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5.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6.xml" ContentType="application/vnd.openxmlformats-officedocument.drawing+xml"/>
  <Override PartName="/xl/comments15.xml" ContentType="application/vnd.openxmlformats-officedocument.spreadsheetml.comments+xml"/>
  <Override PartName="/xl/threadedComments/threadedComment2.xml" ContentType="application/vnd.ms-excel.threadedcomments+xml"/>
  <Override PartName="/xl/drawings/drawing7.xml" ContentType="application/vnd.openxmlformats-officedocument.drawing+xml"/>
  <Override PartName="/xl/comments16.xml" ContentType="application/vnd.openxmlformats-officedocument.spreadsheetml.comments+xml"/>
  <Override PartName="/xl/threadedComments/threadedComment3.xml" ContentType="application/vnd.ms-excel.threadedcomments+xml"/>
  <Override PartName="/xl/comments17.xml" ContentType="application/vnd.openxmlformats-officedocument.spreadsheetml.comments+xml"/>
  <Override PartName="/xl/comments18.xml" ContentType="application/vnd.openxmlformats-officedocument.spreadsheetml.comments+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78" documentId="13_ncr:1_{02F2AC36-F36C-4367-895A-7D561537AB89}" xr6:coauthVersionLast="47" xr6:coauthVersionMax="47" xr10:uidLastSave="{1E9FADEF-49B8-4CAD-9073-0BDEC03433C9}"/>
  <bookViews>
    <workbookView xWindow="-120" yWindow="-120" windowWidth="29040" windowHeight="15840" tabRatio="850" firstSheet="13" activeTab="21" xr2:uid="{00000000-000D-0000-FFFF-FFFF00000000}"/>
  </bookViews>
  <sheets>
    <sheet name="Change Log" sheetId="61" r:id="rId1"/>
    <sheet name="Table Sequence" sheetId="17" r:id="rId2"/>
    <sheet name="Hyperlinks" sheetId="49" r:id="rId3"/>
    <sheet name="NRCC Headers" sheetId="1" r:id="rId4"/>
    <sheet name="LMCC Headers" sheetId="57" r:id="rId5"/>
    <sheet name="NRCC Footer" sheetId="63" r:id="rId6"/>
    <sheet name="LMCC Footer" sheetId="65" r:id="rId7"/>
    <sheet name="NRCC A. General Info" sheetId="20" r:id="rId8"/>
    <sheet name="LMCC A. General Info" sheetId="58" r:id="rId9"/>
    <sheet name="NRCC B. Project Scope" sheetId="7" r:id="rId10"/>
    <sheet name="LMCC B. Project Scope" sheetId="55" r:id="rId11"/>
    <sheet name="C. Compliance" sheetId="11" r:id="rId12"/>
    <sheet name="D. Exceptional Conditions" sheetId="18" r:id="rId13"/>
    <sheet name="E. Additional Remarks" sheetId="19" r:id="rId14"/>
    <sheet name="F. Allocated Zone" sheetId="51" r:id="rId15"/>
    <sheet name="G. PV" sheetId="34" r:id="rId16"/>
    <sheet name="H. SWH_NOT USED" sheetId="50" state="hidden" r:id="rId17"/>
    <sheet name="H. SWH" sheetId="52" r:id="rId18"/>
    <sheet name="I. Tstat+EE" sheetId="26" r:id="rId19"/>
    <sheet name="NRCC J. PV&amp;Batt" sheetId="56" r:id="rId20"/>
    <sheet name="LMCC J. PV&amp;Batt" sheetId="54" r:id="rId21"/>
    <sheet name="K. NRCI" sheetId="43" r:id="rId22"/>
    <sheet name="K. LMCI" sheetId="59" r:id="rId23"/>
    <sheet name="L. NRCA" sheetId="42" r:id="rId24"/>
    <sheet name="Signature" sheetId="64" r:id="rId25"/>
  </sheets>
  <externalReferences>
    <externalReference r:id="rId26"/>
  </externalReferences>
  <definedNames>
    <definedName name="CalcMethod" localSheetId="14">'NRCC B. Project Scope'!#REF!</definedName>
    <definedName name="CalcMethod" localSheetId="17">'NRCC B. Project Scope'!#REF!</definedName>
    <definedName name="CalcMethod" localSheetId="16">'NRCC B. Project Scope'!#REF!</definedName>
    <definedName name="CalcMethod" localSheetId="2">'NRCC B. Project Scope'!#REF!</definedName>
    <definedName name="CalcMethod" localSheetId="22">'[1]B. Project Scope'!#REF!</definedName>
    <definedName name="CalcMethod" localSheetId="21">'[1]B. Project Scope'!#REF!</definedName>
    <definedName name="CalcMethod" localSheetId="23">'[1]B. Project Scope'!#REF!</definedName>
    <definedName name="CalcMethod" localSheetId="10">'LMCC B. Project Scope'!#REF!</definedName>
    <definedName name="CalcMethod" localSheetId="5">'NRCC B. Project Scope'!#REF!</definedName>
    <definedName name="CalcMethod">'NRCC B. Project Scope'!#REF!</definedName>
    <definedName name="_xlnm.Print_Area" localSheetId="11">'C. Compliance'!$A$3:$O$11</definedName>
    <definedName name="_xlnm.Print_Area" localSheetId="12">'D. Exceptional Conditions'!$A$2:$K$7</definedName>
    <definedName name="_xlnm.Print_Area" localSheetId="13">'E. Additional Remarks'!$A$2:$K$7</definedName>
    <definedName name="_xlnm.Print_Area" localSheetId="15">'G. PV'!$A$2:$AG$12</definedName>
    <definedName name="_xlnm.Print_Area" localSheetId="17">'H. SWH'!$A$2:$AO$11</definedName>
    <definedName name="_xlnm.Print_Area" localSheetId="16">'H. SWH_NOT USED'!$A$2:$AN$13</definedName>
    <definedName name="_xlnm.Print_Area" localSheetId="18">'I. Tstat+EE'!#REF!</definedName>
    <definedName name="_xlnm.Print_Area" localSheetId="22">'K. LMCI'!$A$2:$K$5</definedName>
    <definedName name="_xlnm.Print_Area" localSheetId="21">'K. NRCI'!$A$2:$K$5</definedName>
    <definedName name="_xlnm.Print_Area" localSheetId="23">'L. NRCA'!$A$2:$K$4</definedName>
    <definedName name="_xlnm.Print_Area" localSheetId="8">'LMCC A. General Info'!$A$2:$L$2</definedName>
    <definedName name="_xlnm.Print_Area" localSheetId="10">'LMCC B. Project Scope'!$A$2:$I$10</definedName>
    <definedName name="_xlnm.Print_Area" localSheetId="4">'LMCC Headers'!$A$3:$K$22</definedName>
    <definedName name="_xlnm.Print_Area" localSheetId="7">'NRCC A. General Info'!$A$2:$L$2</definedName>
    <definedName name="_xlnm.Print_Area" localSheetId="9">'NRCC B. Project Scope'!$A$2:$I$12</definedName>
    <definedName name="_xlnm.Print_Area" localSheetId="3">'NRCC Headers'!$A$3:$K$23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51" l="1"/>
  <c r="C10" i="11" l="1"/>
  <c r="A10" i="11" l="1"/>
  <c r="M9" i="51"/>
  <c r="D9" i="51"/>
  <c r="B8"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F7E2707F-327C-4114-B8D0-931B1DC51481}">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73BE8662-3592-43C3-BF8C-141F665594D8}">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Joe Singer</author>
    <author>Sally Blair</author>
    <author>Alexis Markstrum</author>
  </authors>
  <commentList>
    <comment ref="A7" authorId="0" shapeId="0" xr:uid="{90625D8B-F2D0-49F3-9AD8-7D2F8327D865}">
      <text>
        <r>
          <rPr>
            <b/>
            <sz val="9"/>
            <color indexed="81"/>
            <rFont val="Tahoma"/>
            <family val="2"/>
          </rPr>
          <t>Joe Singer:</t>
        </r>
        <r>
          <rPr>
            <sz val="9"/>
            <color indexed="81"/>
            <rFont val="Tahoma"/>
            <family val="2"/>
          </rPr>
          <t xml:space="preserve">
shows up if user selects "Addition/Alteration increases roof ≤ 2,000 ft2"  in Construction Type dropdown. </t>
        </r>
      </text>
    </comment>
    <comment ref="A8" authorId="0" shapeId="0" xr:uid="{23A2F9AB-0837-4471-A3F1-83937906F388}">
      <text>
        <r>
          <rPr>
            <b/>
            <sz val="9"/>
            <color indexed="81"/>
            <rFont val="Tahoma"/>
            <family val="2"/>
          </rPr>
          <t>Joe Singer:</t>
        </r>
        <r>
          <rPr>
            <sz val="9"/>
            <color indexed="81"/>
            <rFont val="Tahoma"/>
            <family val="2"/>
          </rPr>
          <t xml:space="preserve">
shows up if "Healthcare facilities", OR "Bldg with total roof area &lt; 533ft2" OR "All other building types" is selected in col 04</t>
        </r>
      </text>
    </comment>
    <comment ref="K10" authorId="1" shapeId="0" xr:uid="{79238B4F-6F7B-49F3-AFF9-3BE3030E7150}">
      <text>
        <r>
          <rPr>
            <b/>
            <sz val="9"/>
            <color indexed="81"/>
            <rFont val="Tahoma"/>
            <family val="2"/>
          </rPr>
          <t>11.5.12:</t>
        </r>
        <r>
          <rPr>
            <sz val="9"/>
            <color indexed="81"/>
            <rFont val="Tahoma"/>
            <family val="2"/>
          </rPr>
          <t xml:space="preserve">
This is select all that apply
</t>
        </r>
      </text>
    </comment>
    <comment ref="K36" authorId="2" shapeId="0" xr:uid="{23EFEEA8-15C5-4607-A95B-20A7A41D5EDF}">
      <text>
        <r>
          <rPr>
            <b/>
            <sz val="9"/>
            <color indexed="10"/>
            <rFont val="Tahoma"/>
            <family val="2"/>
          </rPr>
          <t>Alexis Markstrum:</t>
        </r>
        <r>
          <rPr>
            <sz val="9"/>
            <color indexed="10"/>
            <rFont val="Tahoma"/>
            <family val="2"/>
          </rPr>
          <t xml:space="preserve">
Add question in UI - What is square footage of "All Other Building types"?
If this is selected along with a PV required Occupancy above, AND "this square footage/total square footage of building (A03)" is ≥ 20%, don't trigger PV table, just Solar Ready table.
If &lt; 20%, trigger PV table, not Solar Ready </t>
        </r>
      </text>
    </comment>
    <comment ref="K37" authorId="1" shapeId="0" xr:uid="{928BBF5E-06E4-40FE-8C2D-8194A2600FA8}">
      <text>
        <r>
          <rPr>
            <b/>
            <sz val="9"/>
            <color indexed="81"/>
            <rFont val="Tahoma"/>
            <family val="2"/>
          </rPr>
          <t>10.27.21:</t>
        </r>
        <r>
          <rPr>
            <sz val="9"/>
            <color indexed="81"/>
            <rFont val="Tahoma"/>
            <family val="2"/>
          </rPr>
          <t xml:space="preserve">
This Healthcare option triggers "STOP! Healthcare facilities..." message</t>
        </r>
      </text>
    </comment>
    <comment ref="K45" authorId="1" shapeId="0" xr:uid="{136DCA71-5F8B-4B73-B346-C61FDB0EEF14}">
      <text>
        <r>
          <rPr>
            <b/>
            <sz val="9"/>
            <color indexed="81"/>
            <rFont val="Tahoma"/>
            <family val="2"/>
          </rPr>
          <t>Sally Blair:</t>
        </r>
        <r>
          <rPr>
            <sz val="9"/>
            <color indexed="81"/>
            <rFont val="Tahoma"/>
            <family val="2"/>
          </rPr>
          <t xml:space="preserve">
Triggers "STOP!  Alterations, or..." Note Above</t>
        </r>
      </text>
    </comment>
    <comment ref="K46" authorId="2" shapeId="0" xr:uid="{E2BBD9F7-CE4A-41D9-86DC-95B3C3C25F54}">
      <text>
        <r>
          <rPr>
            <b/>
            <sz val="9"/>
            <color indexed="10"/>
            <rFont val="Tahoma"/>
            <family val="2"/>
          </rPr>
          <t>Alexis Markstrum:</t>
        </r>
        <r>
          <rPr>
            <sz val="9"/>
            <color indexed="10"/>
            <rFont val="Tahoma"/>
            <family val="2"/>
          </rPr>
          <t xml:space="preserve">
Remove from UI, but keep in schema - there are no current exceptions approved but maybe in the future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Joe Singer</author>
    <author>Sally Blair</author>
    <author>Alexis Markstrum</author>
  </authors>
  <commentList>
    <comment ref="A7" authorId="0" shapeId="0" xr:uid="{38070D63-5D28-4F98-9CEB-68EC46F3AF7C}">
      <text>
        <r>
          <rPr>
            <b/>
            <sz val="9"/>
            <color indexed="81"/>
            <rFont val="Tahoma"/>
            <family val="2"/>
          </rPr>
          <t>Joe Singer:</t>
        </r>
        <r>
          <rPr>
            <sz val="9"/>
            <color indexed="81"/>
            <rFont val="Tahoma"/>
            <family val="2"/>
          </rPr>
          <t xml:space="preserve">
shows up if user selects "Addition/Alteration increases roof ≤ 2,000 ft2"  in Construction Type dropdown. </t>
        </r>
      </text>
    </comment>
    <comment ref="K12" authorId="1" shapeId="0" xr:uid="{DDDFB3AF-A4D5-4D99-A1D1-2C0F1811281A}">
      <text>
        <r>
          <rPr>
            <b/>
            <sz val="9"/>
            <color indexed="81"/>
            <rFont val="Tahoma"/>
            <family val="2"/>
          </rPr>
          <t>4.27.22:</t>
        </r>
        <r>
          <rPr>
            <sz val="9"/>
            <color indexed="81"/>
            <rFont val="Tahoma"/>
            <family val="2"/>
          </rPr>
          <t xml:space="preserve">
Added these exceptions per CEC direction.</t>
        </r>
      </text>
    </comment>
    <comment ref="K18" authorId="1" shapeId="0" xr:uid="{2BAB6054-B064-40AD-8003-159FC6C90957}">
      <text>
        <r>
          <rPr>
            <b/>
            <sz val="9"/>
            <color indexed="81"/>
            <rFont val="Tahoma"/>
            <family val="2"/>
          </rPr>
          <t>Sally Blair:</t>
        </r>
        <r>
          <rPr>
            <sz val="9"/>
            <color indexed="81"/>
            <rFont val="Tahoma"/>
            <family val="2"/>
          </rPr>
          <t xml:space="preserve">
Triggers "STOP!  Alterations, or additions…" Note</t>
        </r>
      </text>
    </comment>
    <comment ref="K19" authorId="2" shapeId="0" xr:uid="{0F7592CE-2240-4F4D-A199-A3502AEAACF2}">
      <text>
        <r>
          <rPr>
            <b/>
            <sz val="9"/>
            <color indexed="10"/>
            <rFont val="Tahoma"/>
            <family val="2"/>
          </rPr>
          <t>Alexis Markstrum:</t>
        </r>
        <r>
          <rPr>
            <sz val="9"/>
            <color indexed="10"/>
            <rFont val="Tahoma"/>
            <family val="2"/>
          </rPr>
          <t xml:space="preserve">
Remove from UI, but keep in schema - there are no current exceptions approved but maybe in the future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Alexis Markstrum</author>
    <author>tc={75B395BC-891D-4349-A8C0-5D9A72200A0D}</author>
  </authors>
  <commentList>
    <comment ref="A6" authorId="0" shapeId="0" xr:uid="{7E59EACD-1390-414D-9472-8C899D91657F}">
      <text>
        <r>
          <rPr>
            <b/>
            <sz val="9"/>
            <color indexed="81"/>
            <rFont val="Tahoma"/>
            <family val="2"/>
          </rPr>
          <t>10.26.21:</t>
        </r>
        <r>
          <rPr>
            <sz val="9"/>
            <color indexed="81"/>
            <rFont val="Tahoma"/>
            <family val="2"/>
          </rPr>
          <t xml:space="preserve">
This has become a subtable that is triggered if PV/battery requirements don't apply but SR requirements do (either from Table A selections or because the project meets an exception in the PV/Battery subtable below.) If it's because of an exception in PV/battery subtable, need to still show that subtable so AHJ understands they met an exception.</t>
        </r>
      </text>
    </comment>
    <comment ref="A10" authorId="0" shapeId="0" xr:uid="{EE34613D-6463-484D-890D-99901FC361A7}">
      <text>
        <r>
          <rPr>
            <b/>
            <sz val="9"/>
            <color indexed="81"/>
            <rFont val="Tahoma"/>
            <family val="2"/>
          </rPr>
          <t>2019 Update:</t>
        </r>
        <r>
          <rPr>
            <sz val="9"/>
            <color indexed="81"/>
            <rFont val="Tahoma"/>
            <family val="2"/>
          </rPr>
          <t xml:space="preserve">
This should only be available if the form user selects the Hotel/Motel or High-rise multifamily options in A.04.</t>
        </r>
      </text>
    </comment>
    <comment ref="A11" authorId="1" shapeId="0" xr:uid="{B51B9282-379C-4DE4-9488-FA2B35729BCF}">
      <text>
        <r>
          <rPr>
            <b/>
            <sz val="9"/>
            <color indexed="81"/>
            <rFont val="Tahoma"/>
            <family val="2"/>
          </rPr>
          <t>Rebecca Rice:</t>
        </r>
        <r>
          <rPr>
            <sz val="9"/>
            <color indexed="81"/>
            <rFont val="Tahoma"/>
            <family val="2"/>
          </rPr>
          <t xml:space="preserve">
The smart thermostat + EE option checkbox should only be available if the form user selects the high-rise multi-family option on Table A</t>
        </r>
      </text>
    </comment>
    <comment ref="A13" authorId="0" shapeId="0" xr:uid="{94276F7A-1A90-4AEE-BA28-3C817454D303}">
      <text>
        <r>
          <rPr>
            <b/>
            <sz val="9"/>
            <color indexed="81"/>
            <rFont val="Tahoma"/>
            <family val="2"/>
          </rPr>
          <t>10.29.21:</t>
        </r>
        <r>
          <rPr>
            <sz val="9"/>
            <color indexed="81"/>
            <rFont val="Tahoma"/>
            <family val="2"/>
          </rPr>
          <t xml:space="preserve">
= true if "New Construction w roof &lt;= 533ft2" selected in A05</t>
        </r>
      </text>
    </comment>
    <comment ref="A14" authorId="0" shapeId="0" xr:uid="{8F232A07-5F13-4115-B0E4-EFE5547516B5}">
      <text>
        <r>
          <rPr>
            <b/>
            <sz val="9"/>
            <color indexed="81"/>
            <rFont val="Tahoma"/>
            <family val="2"/>
          </rPr>
          <t>10.29.21:</t>
        </r>
        <r>
          <rPr>
            <sz val="9"/>
            <color indexed="81"/>
            <rFont val="Tahoma"/>
            <family val="2"/>
          </rPr>
          <t xml:space="preserve">
= true if:
- Highrise MF, hotel/motel in A04 AND Bldg &gt; 10 stories in A06 OR
- Any other occupancy selected in A04 AND Bldg &gt; 3 stories in A06</t>
        </r>
      </text>
    </comment>
    <comment ref="A22" authorId="0" shapeId="0" xr:uid="{F7A4EFF8-2906-48FF-B84B-091526CE9467}">
      <text>
        <r>
          <rPr>
            <b/>
            <sz val="9"/>
            <color indexed="81"/>
            <rFont val="Tahoma"/>
            <family val="2"/>
          </rPr>
          <t>10.26.21:</t>
        </r>
        <r>
          <rPr>
            <sz val="9"/>
            <color indexed="81"/>
            <rFont val="Tahoma"/>
            <family val="2"/>
          </rPr>
          <t xml:space="preserve">
This subtable is triggered if PV/battery requirements apply from Table A.</t>
        </r>
      </text>
    </comment>
    <comment ref="A24" authorId="0" shapeId="0" xr:uid="{F9E12A5F-0B7E-4D6E-B240-0DDA8F71AC16}">
      <text>
        <r>
          <rPr>
            <b/>
            <sz val="9"/>
            <color indexed="81"/>
            <rFont val="Tahoma"/>
            <family val="2"/>
          </rPr>
          <t>10.31.21:</t>
        </r>
        <r>
          <rPr>
            <sz val="9"/>
            <color indexed="81"/>
            <rFont val="Tahoma"/>
            <family val="2"/>
          </rPr>
          <t xml:space="preserve">
= True if:
- Table J "Total Design PV" &gt;= "Total Required PV" AND
- Table J "Total Energy Capacity Designed" &gt;= "Total Required Energy Capacity" AND
- Table J "Total Power Capacity Designed" &gt;= "Total Required Power Capacity"</t>
        </r>
      </text>
    </comment>
    <comment ref="A25" authorId="0" shapeId="0" xr:uid="{E39D05A8-76B1-44C6-8457-D5FE13726EEF}">
      <text>
        <r>
          <rPr>
            <b/>
            <sz val="9"/>
            <color indexed="81"/>
            <rFont val="Tahoma"/>
            <family val="2"/>
          </rPr>
          <t>10.31..21:</t>
        </r>
        <r>
          <rPr>
            <sz val="9"/>
            <color indexed="81"/>
            <rFont val="Tahoma"/>
            <family val="2"/>
          </rPr>
          <t xml:space="preserve">
= True if:
- Table J "Total Required PV" = 0 because Sum col 07 &lt; 0.03 x Sum col 02 (See Table J logic.) Bless us all.</t>
        </r>
      </text>
    </comment>
    <comment ref="A26" authorId="0" shapeId="0" xr:uid="{D87E6C79-F8F4-477C-B442-D298A123D882}">
      <text>
        <r>
          <rPr>
            <b/>
            <sz val="9"/>
            <color indexed="81"/>
            <rFont val="Tahoma"/>
            <family val="2"/>
          </rPr>
          <t>10.31.21:</t>
        </r>
        <r>
          <rPr>
            <sz val="9"/>
            <color indexed="81"/>
            <rFont val="Tahoma"/>
            <family val="2"/>
          </rPr>
          <t xml:space="preserve">
= True if:
- Table J "Total Required PV" = 0 because Sum </t>
        </r>
        <r>
          <rPr>
            <sz val="9"/>
            <color indexed="10"/>
            <rFont val="Tahoma"/>
            <family val="2"/>
          </rPr>
          <t>col 03 (Occupancy table) or col 08 (Roof table)</t>
        </r>
        <r>
          <rPr>
            <sz val="9"/>
            <color indexed="81"/>
            <rFont val="Tahoma"/>
            <family val="2"/>
          </rPr>
          <t xml:space="preserve"> &lt; 4 (See Table J logic.) </t>
        </r>
      </text>
    </comment>
    <comment ref="A27" authorId="0" shapeId="0" xr:uid="{5D2782CD-E8D8-46FC-85F0-4E82BB21E21A}">
      <text>
        <r>
          <rPr>
            <b/>
            <sz val="9"/>
            <color indexed="81"/>
            <rFont val="Tahoma"/>
            <family val="2"/>
          </rPr>
          <t>10.31.21:</t>
        </r>
        <r>
          <rPr>
            <sz val="9"/>
            <color indexed="81"/>
            <rFont val="Tahoma"/>
            <family val="2"/>
          </rPr>
          <t xml:space="preserve">
= True if:
- Table J "Total Required PV" = 0 because Sum col 07 &lt; 80 (See Table J logic.) </t>
        </r>
      </text>
    </comment>
    <comment ref="A29" authorId="2" shapeId="0" xr:uid="{8B798803-A53B-4D8B-AA58-1C7B619749BF}">
      <text>
        <r>
          <rPr>
            <b/>
            <sz val="9"/>
            <color indexed="10"/>
            <rFont val="Tahoma"/>
            <family val="2"/>
          </rPr>
          <t>Alexis Markstrum:</t>
        </r>
        <r>
          <rPr>
            <sz val="9"/>
            <color indexed="10"/>
            <rFont val="Tahoma"/>
            <family val="2"/>
          </rPr>
          <t xml:space="preserve">
Only allow this for user input if A04 = High-rise multifamily
ELSE
This is automatically checked if alll exceptions in J02 are met/checked for all spaces</t>
        </r>
      </text>
    </comment>
    <comment ref="A30" authorId="2" shapeId="0" xr:uid="{FD8CCFB1-3A4A-4A9D-9D46-A4E7809D033D}">
      <text>
        <r>
          <rPr>
            <b/>
            <sz val="9"/>
            <color indexed="10"/>
            <rFont val="Tahoma"/>
            <family val="2"/>
          </rPr>
          <t>Alexis Markstrum:</t>
        </r>
        <r>
          <rPr>
            <sz val="9"/>
            <color indexed="10"/>
            <rFont val="Tahoma"/>
            <family val="2"/>
          </rPr>
          <t xml:space="preserve">
Only allow this if A04 = High-rise multifamily</t>
        </r>
      </text>
    </comment>
    <comment ref="A31" authorId="2" shapeId="0" xr:uid="{F74264BF-E719-4F0A-AE96-1E2D999425F6}">
      <text>
        <r>
          <rPr>
            <b/>
            <sz val="9"/>
            <color indexed="10"/>
            <rFont val="Tahoma"/>
            <family val="2"/>
          </rPr>
          <t>Alexis Markstrum:</t>
        </r>
        <r>
          <rPr>
            <sz val="9"/>
            <color indexed="10"/>
            <rFont val="Tahoma"/>
            <family val="2"/>
          </rPr>
          <t xml:space="preserve">
= True if:
- Table A, square footage of "All Other Building types" / "square footage of building" is ≥ 20%</t>
        </r>
      </text>
    </comment>
    <comment ref="A38" authorId="0" shapeId="0" xr:uid="{C98A4E12-83E1-4F44-AD64-4CCB9507BD7D}">
      <text>
        <r>
          <rPr>
            <b/>
            <sz val="9"/>
            <color indexed="81"/>
            <rFont val="Tahoma"/>
            <family val="2"/>
          </rPr>
          <t>11.5.21:</t>
        </r>
        <r>
          <rPr>
            <sz val="9"/>
            <color indexed="81"/>
            <rFont val="Tahoma"/>
            <family val="2"/>
          </rPr>
          <t xml:space="preserve">
This subtable is triggered by a question in the UI asking if they are documenting compliance with Solar Thermal Water heating per §170.2(d)2Bii for multifamilyand hotel/ motel occupancies.</t>
        </r>
      </text>
    </comment>
    <comment ref="A39" authorId="3" shapeId="0" xr:uid="{75B395BC-891D-4349-A8C0-5D9A72200A0D}">
      <text>
        <t xml:space="preserve">[Threaded comment]
Your version of Excel allows you to read this threaded comment; however, any edits to it will get removed if the file is opened in a newer version of Excel. Learn more: https://go.microsoft.com/fwlink/?linkid=870924
Comment:
    @Saeed, Muhammad@Energy It seems the 170.2(d) 3 has changed to 170.2(d)Bii @Alhabibi, Haider@Energy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Alexis Markstrum</author>
  </authors>
  <commentList>
    <comment ref="A6" authorId="0" shapeId="0" xr:uid="{86BC31DC-05DE-4394-A190-9C4FC8748190}">
      <text>
        <r>
          <rPr>
            <b/>
            <sz val="9"/>
            <color indexed="81"/>
            <rFont val="Tahoma"/>
            <family val="2"/>
          </rPr>
          <t>10.26.21:</t>
        </r>
        <r>
          <rPr>
            <sz val="9"/>
            <color indexed="81"/>
            <rFont val="Tahoma"/>
            <family val="2"/>
          </rPr>
          <t xml:space="preserve">
This has become a subtable that is triggered if PV/battery requirements don't apply but SR requirements do (either from Table A selections or because the project meets an exception in the PV/Battery subtable below.) If it's because of an exception in PV/battery subtable, need to still show that subtable so AHJ understands they met an exception.</t>
        </r>
      </text>
    </comment>
    <comment ref="A9" authorId="1" shapeId="0" xr:uid="{7F187B67-4395-4086-9E22-F13185DEE2E2}">
      <text>
        <r>
          <rPr>
            <b/>
            <sz val="9"/>
            <color indexed="81"/>
            <rFont val="Tahoma"/>
            <family val="2"/>
          </rPr>
          <t xml:space="preserve">10.29.21:
</t>
        </r>
        <r>
          <rPr>
            <sz val="9"/>
            <color indexed="81"/>
            <rFont val="Tahoma"/>
            <family val="2"/>
          </rPr>
          <t>The smart thermostat + EE option checkbox should only be available if the form user selects the low-rise multifamily option on Table A</t>
        </r>
      </text>
    </comment>
    <comment ref="A11" authorId="0" shapeId="0" xr:uid="{ED24EF84-3E40-4F46-90B5-280E8B5A9849}">
      <text>
        <r>
          <rPr>
            <b/>
            <sz val="9"/>
            <color indexed="81"/>
            <rFont val="Tahoma"/>
            <family val="2"/>
          </rPr>
          <t>10.29.21:</t>
        </r>
        <r>
          <rPr>
            <sz val="9"/>
            <color indexed="81"/>
            <rFont val="Tahoma"/>
            <family val="2"/>
          </rPr>
          <t xml:space="preserve">
= true if "New Construction w roof &lt;= 533ft2" selected in A05</t>
        </r>
      </text>
    </comment>
    <comment ref="A19" authorId="0" shapeId="0" xr:uid="{E449E193-5683-4641-A6AC-43A840F5173B}">
      <text>
        <r>
          <rPr>
            <b/>
            <sz val="9"/>
            <color indexed="81"/>
            <rFont val="Tahoma"/>
            <family val="2"/>
          </rPr>
          <t>10.26.21:</t>
        </r>
        <r>
          <rPr>
            <sz val="9"/>
            <color indexed="81"/>
            <rFont val="Tahoma"/>
            <family val="2"/>
          </rPr>
          <t xml:space="preserve">
This subtable is triggered if PV/battery requirements apply from Table A.</t>
        </r>
      </text>
    </comment>
    <comment ref="A21" authorId="0" shapeId="0" xr:uid="{52438DD6-46AC-4BC9-BF96-54F956A53791}">
      <text>
        <r>
          <rPr>
            <b/>
            <sz val="9"/>
            <color indexed="81"/>
            <rFont val="Tahoma"/>
            <family val="2"/>
          </rPr>
          <t>10.31.21:</t>
        </r>
        <r>
          <rPr>
            <sz val="9"/>
            <color indexed="81"/>
            <rFont val="Tahoma"/>
            <family val="2"/>
          </rPr>
          <t xml:space="preserve">
= True if:
- Table J col 10 &gt;= Table J col 09
</t>
        </r>
      </text>
    </comment>
    <comment ref="A22" authorId="0" shapeId="0" xr:uid="{2215B914-9286-4611-A18E-BE140DCCB87F}">
      <text>
        <r>
          <rPr>
            <b/>
            <sz val="9"/>
            <color indexed="81"/>
            <rFont val="Tahoma"/>
            <family val="2"/>
          </rPr>
          <t>10.31.21:</t>
        </r>
        <r>
          <rPr>
            <sz val="9"/>
            <color indexed="81"/>
            <rFont val="Tahoma"/>
            <family val="2"/>
          </rPr>
          <t xml:space="preserve">
= True if:
- Table J "Total Required PV" = 0 because Sum col 09 &lt; </t>
        </r>
        <r>
          <rPr>
            <strike/>
            <sz val="9"/>
            <color indexed="10"/>
            <rFont val="Tahoma"/>
            <family val="2"/>
          </rPr>
          <t>4</t>
        </r>
        <r>
          <rPr>
            <sz val="9"/>
            <color indexed="10"/>
            <rFont val="Tahoma"/>
            <family val="2"/>
          </rPr>
          <t xml:space="preserve"> </t>
        </r>
        <r>
          <rPr>
            <strike/>
            <sz val="9"/>
            <color indexed="10"/>
            <rFont val="Tahoma"/>
            <family val="2"/>
          </rPr>
          <t>1.8</t>
        </r>
        <r>
          <rPr>
            <sz val="9"/>
            <color indexed="81"/>
            <rFont val="Tahoma"/>
            <family val="2"/>
          </rPr>
          <t xml:space="preserve"> (See Table J logic.) </t>
        </r>
      </text>
    </comment>
    <comment ref="A23" authorId="0" shapeId="0" xr:uid="{A85994F0-AF86-4A14-B130-B6CD03D01DD3}">
      <text>
        <r>
          <rPr>
            <b/>
            <sz val="9"/>
            <color indexed="81"/>
            <rFont val="Tahoma"/>
            <family val="2"/>
          </rPr>
          <t>10.31.21:</t>
        </r>
        <r>
          <rPr>
            <sz val="9"/>
            <color indexed="81"/>
            <rFont val="Tahoma"/>
            <family val="2"/>
          </rPr>
          <t xml:space="preserve">
= True if:
- Table J "Total Required PV" = 0 because Sum col</t>
        </r>
        <r>
          <rPr>
            <sz val="9"/>
            <color indexed="10"/>
            <rFont val="Tahoma"/>
            <family val="2"/>
          </rPr>
          <t xml:space="preserve"> </t>
        </r>
        <r>
          <rPr>
            <strike/>
            <sz val="9"/>
            <color indexed="10"/>
            <rFont val="Tahoma"/>
            <family val="2"/>
          </rPr>
          <t>05</t>
        </r>
        <r>
          <rPr>
            <sz val="9"/>
            <color indexed="10"/>
            <rFont val="Tahoma"/>
            <family val="2"/>
          </rPr>
          <t xml:space="preserve"> 06</t>
        </r>
        <r>
          <rPr>
            <sz val="9"/>
            <color indexed="81"/>
            <rFont val="Tahoma"/>
            <family val="2"/>
          </rPr>
          <t xml:space="preserve"> &lt; 80 (See Table J logic.) </t>
        </r>
      </text>
    </comment>
    <comment ref="A25" authorId="2" shapeId="0" xr:uid="{43BF1E56-CB63-40F5-8068-8D87E4D9DDF5}">
      <text>
        <r>
          <rPr>
            <b/>
            <sz val="9"/>
            <color indexed="10"/>
            <rFont val="Tahoma"/>
            <family val="2"/>
          </rPr>
          <t>Alexis Markstrum:</t>
        </r>
        <r>
          <rPr>
            <sz val="9"/>
            <color indexed="10"/>
            <rFont val="Tahoma"/>
            <family val="2"/>
          </rPr>
          <t xml:space="preserve">
Only allow this if A04 = High-rise multifamily</t>
        </r>
      </text>
    </comment>
    <comment ref="A34" authorId="0" shapeId="0" xr:uid="{DE029B13-06E1-4B47-B5C2-39EFF76DE61F}">
      <text>
        <r>
          <rPr>
            <b/>
            <sz val="9"/>
            <color indexed="81"/>
            <rFont val="Tahoma"/>
            <family val="2"/>
          </rPr>
          <t>11.5.21:</t>
        </r>
        <r>
          <rPr>
            <sz val="9"/>
            <color indexed="81"/>
            <rFont val="Tahoma"/>
            <family val="2"/>
          </rPr>
          <t xml:space="preserve">
This subtable is triggered by a question in the UI asking if they are documenting compliance with Solar Thermal Water heating per §170.2(d)2Bii for multifamilyand hotel/ motel occupancies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O8" authorId="0" shapeId="0" xr:uid="{00000000-0006-0000-0500-000003000000}">
      <text>
        <r>
          <rPr>
            <b/>
            <sz val="9"/>
            <color indexed="81"/>
            <rFont val="Tahoma"/>
            <family val="2"/>
          </rPr>
          <t>10.29.31:</t>
        </r>
        <r>
          <rPr>
            <sz val="9"/>
            <color indexed="81"/>
            <rFont val="Tahoma"/>
            <family val="2"/>
          </rPr>
          <t xml:space="preserve">
Compliance depends on the path taken.  Here is what would make each path say "COMPLIES"
</t>
        </r>
        <r>
          <rPr>
            <b/>
            <sz val="9"/>
            <color indexed="81"/>
            <rFont val="Tahoma"/>
            <family val="2"/>
          </rPr>
          <t>Allocated Solar Zone:</t>
        </r>
        <r>
          <rPr>
            <sz val="9"/>
            <color indexed="81"/>
            <rFont val="Tahoma"/>
            <family val="2"/>
          </rPr>
          <t xml:space="preserve">
If 02 &gt;</t>
        </r>
        <r>
          <rPr>
            <b/>
            <sz val="9"/>
            <color indexed="81"/>
            <rFont val="Tahoma"/>
            <family val="2"/>
          </rPr>
          <t>=</t>
        </r>
        <r>
          <rPr>
            <sz val="9"/>
            <color indexed="81"/>
            <rFont val="Tahoma"/>
            <family val="2"/>
          </rPr>
          <t xml:space="preserve"> 01 and all subareas in Table F say "COMPLIES" OR
If 01 says "0" and 02 says "NA"
</t>
        </r>
        <r>
          <rPr>
            <b/>
            <sz val="9"/>
            <color indexed="81"/>
            <rFont val="Tahoma"/>
            <family val="2"/>
          </rPr>
          <t>Installed PV System:</t>
        </r>
        <r>
          <rPr>
            <sz val="9"/>
            <color indexed="81"/>
            <rFont val="Tahoma"/>
            <family val="2"/>
          </rPr>
          <t xml:space="preserve">
If 04 &gt;</t>
        </r>
        <r>
          <rPr>
            <b/>
            <sz val="9"/>
            <color indexed="81"/>
            <rFont val="Tahoma"/>
            <family val="2"/>
          </rPr>
          <t>=</t>
        </r>
        <r>
          <rPr>
            <sz val="9"/>
            <color indexed="81"/>
            <rFont val="Tahoma"/>
            <family val="2"/>
          </rPr>
          <t xml:space="preserve"> 03
</t>
        </r>
        <r>
          <rPr>
            <b/>
            <sz val="9"/>
            <color indexed="81"/>
            <rFont val="Tahoma"/>
            <family val="2"/>
          </rPr>
          <t>Installed SHW System:</t>
        </r>
        <r>
          <rPr>
            <sz val="9"/>
            <color indexed="81"/>
            <rFont val="Tahoma"/>
            <family val="2"/>
          </rPr>
          <t xml:space="preserve">
If 06 &gt;</t>
        </r>
        <r>
          <rPr>
            <b/>
            <sz val="9"/>
            <color indexed="81"/>
            <rFont val="Tahoma"/>
            <family val="2"/>
          </rPr>
          <t>=</t>
        </r>
        <r>
          <rPr>
            <sz val="9"/>
            <color indexed="81"/>
            <rFont val="Tahoma"/>
            <family val="2"/>
          </rPr>
          <t xml:space="preserve"> 05 AND Table H column 03 says "Yes" if not greyed out.
</t>
        </r>
        <r>
          <rPr>
            <b/>
            <sz val="9"/>
            <color indexed="81"/>
            <rFont val="Tahoma"/>
            <family val="2"/>
          </rPr>
          <t>Smart Tsat + EE Measure:</t>
        </r>
        <r>
          <rPr>
            <sz val="9"/>
            <color indexed="81"/>
            <rFont val="Tahoma"/>
            <family val="2"/>
          </rPr>
          <t xml:space="preserve">
If 07 says "YES" AND 08 is populated.
Otherwise this is blank until the user selects a compliance path in Table B.  Once the user selects a path, this should say "DOES NOT COMPLY" until one of the criteria above is met.
Here is what would make this say "COMPLIES with Exceptions":
B01 Solar Readiness subtable says:
- Roof designed for vehicular traffic OR
- Roof too small OR
- Number of building stories</t>
        </r>
      </text>
    </comment>
    <comment ref="C10" authorId="0" shapeId="0" xr:uid="{00000000-0006-0000-0500-000004000000}">
      <text>
        <r>
          <rPr>
            <b/>
            <sz val="9"/>
            <color indexed="81"/>
            <rFont val="Tahoma"/>
            <family val="2"/>
          </rPr>
          <t>Sally Blair:</t>
        </r>
        <r>
          <rPr>
            <sz val="9"/>
            <color indexed="81"/>
            <rFont val="Tahoma"/>
            <family val="2"/>
          </rPr>
          <t xml:space="preserve">
If Table F column 19 is greyed out, this says "NA"</t>
        </r>
      </text>
    </comment>
    <comment ref="E10" authorId="0" shapeId="0" xr:uid="{0BF6E282-070C-4A01-9D07-57E0F199B93B}">
      <text>
        <r>
          <rPr>
            <sz val="9"/>
            <color indexed="81"/>
            <rFont val="Tahoma"/>
            <family val="2"/>
          </rPr>
          <t xml:space="preserve">
col 02 for Table G OR
col 09 x 1000 for LMCC Table J OR
</t>
        </r>
        <r>
          <rPr>
            <sz val="9"/>
            <color indexed="10"/>
            <rFont val="Tahoma"/>
            <family val="2"/>
          </rPr>
          <t>"</t>
        </r>
        <r>
          <rPr>
            <strike/>
            <sz val="9"/>
            <color indexed="10"/>
            <rFont val="Tahoma"/>
            <family val="2"/>
          </rPr>
          <t>Total Required</t>
        </r>
        <r>
          <rPr>
            <sz val="9"/>
            <color indexed="81"/>
            <rFont val="Tahoma"/>
            <family val="2"/>
          </rPr>
          <t xml:space="preserve">" </t>
        </r>
        <r>
          <rPr>
            <sz val="9"/>
            <color indexed="10"/>
            <rFont val="Tahoma"/>
            <family val="2"/>
          </rPr>
          <t>"Total Min Size PV System Required (H21)"</t>
        </r>
        <r>
          <rPr>
            <sz val="9"/>
            <color indexed="81"/>
            <rFont val="Tahoma"/>
            <family val="2"/>
          </rPr>
          <t xml:space="preserve"> x 1000 for NRCC Table J</t>
        </r>
      </text>
    </comment>
    <comment ref="G10" authorId="0" shapeId="0" xr:uid="{4950344F-38FD-4D41-90D7-923BA571E13D}">
      <text>
        <r>
          <rPr>
            <b/>
            <sz val="9"/>
            <color indexed="81"/>
            <rFont val="Tahoma"/>
            <family val="2"/>
          </rPr>
          <t>10.29.21:</t>
        </r>
        <r>
          <rPr>
            <sz val="9"/>
            <color indexed="81"/>
            <rFont val="Tahoma"/>
            <family val="2"/>
          </rPr>
          <t xml:space="preserve">
col 03 for Table G OR
col 10 x 1000 for LMCC Table J OR
"Total Size PV System in Design" x 1000 for NRCC Table J</t>
        </r>
      </text>
    </comment>
    <comment ref="I10" authorId="0" shapeId="0" xr:uid="{00000000-0006-0000-0500-000005000000}">
      <text>
        <r>
          <rPr>
            <b/>
            <sz val="9"/>
            <color indexed="81"/>
            <rFont val="Tahoma"/>
            <family val="2"/>
          </rPr>
          <t>Sally Blair:</t>
        </r>
        <r>
          <rPr>
            <sz val="9"/>
            <color indexed="81"/>
            <rFont val="Tahoma"/>
            <family val="2"/>
          </rPr>
          <t xml:space="preserve">
Gray out any of these cells that do not hold a value
</t>
        </r>
        <r>
          <rPr>
            <b/>
            <sz val="9"/>
            <color indexed="81"/>
            <rFont val="Tahoma"/>
            <family val="2"/>
          </rPr>
          <t>Usability Update:</t>
        </r>
        <r>
          <rPr>
            <sz val="9"/>
            <color indexed="81"/>
            <rFont val="Tahoma"/>
            <family val="2"/>
          </rPr>
          <t xml:space="preserve">
If the "Drain water heat recovery" box in Table H is unchecked, here are the values for this cell:
0.2 for CZ 1-9 and 0.35 for CZ 10-16 (this did not change from 2016 form).
If the "Drain water heat recovery" box in Table H is checked, here are the values for this cell:
0.15 for CZ 1-9 and 0.30 for CZ 10-16</t>
        </r>
      </text>
    </comment>
    <comment ref="M10" authorId="0" shapeId="0" xr:uid="{00000000-0006-0000-0500-000007000000}">
      <text>
        <r>
          <rPr>
            <b/>
            <sz val="9"/>
            <color indexed="81"/>
            <rFont val="Tahoma"/>
            <family val="2"/>
          </rPr>
          <t>Sally Blair:</t>
        </r>
        <r>
          <rPr>
            <sz val="9"/>
            <color indexed="81"/>
            <rFont val="Tahoma"/>
            <family val="2"/>
          </rPr>
          <t xml:space="preserve">
Says "Yes" if checkbox in Table I is checked and location in contract documents is indicated in Table I.</t>
        </r>
      </text>
    </comment>
    <comment ref="N10" authorId="0" shapeId="0" xr:uid="{00000000-0006-0000-0500-000008000000}">
      <text>
        <r>
          <rPr>
            <b/>
            <sz val="9"/>
            <color indexed="81"/>
            <rFont val="Tahoma"/>
            <family val="2"/>
          </rPr>
          <t>Sally Blair:</t>
        </r>
        <r>
          <rPr>
            <sz val="9"/>
            <color indexed="81"/>
            <rFont val="Tahoma"/>
            <family val="2"/>
          </rPr>
          <t xml:space="preserve">
Measure is brought in from Table I when checkbox is checked AND location in contract documents is indicated.</t>
        </r>
      </text>
    </comment>
    <comment ref="A11" authorId="0" shapeId="0" xr:uid="{00000000-0006-0000-0500-000009000000}">
      <text>
        <r>
          <rPr>
            <b/>
            <sz val="9"/>
            <color indexed="81"/>
            <rFont val="Tahoma"/>
            <family val="2"/>
          </rPr>
          <t>Sally Blair:</t>
        </r>
        <r>
          <rPr>
            <sz val="9"/>
            <color indexed="81"/>
            <rFont val="Tahoma"/>
            <family val="2"/>
          </rPr>
          <t xml:space="preserve">
grey out unless Allocated Solar Zone in Table B is checked.
If not grey out, then fill with "Interconnection Pathways" field in Table F under "F. ALLOCATED SOLAR ZONE"</t>
        </r>
      </text>
    </comment>
    <comment ref="O11" authorId="0" shapeId="0" xr:uid="{00000000-0006-0000-0500-00000B000000}">
      <text>
        <r>
          <rPr>
            <b/>
            <sz val="9"/>
            <color indexed="81"/>
            <rFont val="Tahoma"/>
            <family val="2"/>
          </rPr>
          <t>Sally Blair:</t>
        </r>
        <r>
          <rPr>
            <sz val="9"/>
            <color indexed="81"/>
            <rFont val="Tahoma"/>
            <family val="2"/>
          </rPr>
          <t xml:space="preserve">
Says "COMPLIES" if sheet  # is populated.  Says "DOES NOT COMPLY" if Allocated Solar Zone is checked in Table B, but sheet # is left blank.  Says "Not Applicable" if Installed PV, Installed SHW or Tstat paths are selected in Table B.</t>
        </r>
      </text>
    </comment>
    <comment ref="O12" authorId="0" shapeId="0" xr:uid="{6BACD969-6992-46D3-81FD-BE8B6B2D62C8}">
      <text>
        <r>
          <rPr>
            <b/>
            <sz val="9"/>
            <color indexed="81"/>
            <rFont val="Tahoma"/>
            <family val="2"/>
          </rPr>
          <t>5.11.22:</t>
        </r>
        <r>
          <rPr>
            <sz val="9"/>
            <color indexed="81"/>
            <rFont val="Tahoma"/>
            <family val="2"/>
          </rPr>
          <t xml:space="preserve">
NRCC Says "COMPLIES" if 
- Table J Battery Storage System Designed Total Energy Capacity is &gt;= Required Min AND
- Table J Battery Storage System Designed Total POwer Capacity &gt;= Required Min 
Says "Not Applicable" if 
- Battery Subtable in
Table J is not triggered
Else Says "DOES NOT COMPLY"
LMCC always says "Not Applicable" here.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Hussein, Zalmie</author>
    <author>Ben Lalor</author>
  </authors>
  <commentList>
    <comment ref="B10" authorId="0" shapeId="0" xr:uid="{56C97155-AEFD-4683-BF70-1DF0DBEA1C76}">
      <text>
        <r>
          <rPr>
            <b/>
            <sz val="9"/>
            <color indexed="81"/>
            <rFont val="Tahoma"/>
            <family val="2"/>
          </rPr>
          <t>12/8/22:</t>
        </r>
        <r>
          <rPr>
            <sz val="9"/>
            <color indexed="81"/>
            <rFont val="Tahoma"/>
            <family val="2"/>
          </rPr>
          <t xml:space="preserve">
If any of the sub areas in Table F say "Does not comply" this note should be triggered.</t>
        </r>
      </text>
    </comment>
    <comment ref="B11" authorId="0" shapeId="0" xr:uid="{8704C0FF-2A42-4177-B642-6C52A67A1EE8}">
      <text>
        <r>
          <rPr>
            <b/>
            <sz val="9"/>
            <color indexed="81"/>
            <rFont val="Tahoma"/>
            <family val="2"/>
          </rPr>
          <t>12/8/22:</t>
        </r>
        <r>
          <rPr>
            <sz val="9"/>
            <color indexed="81"/>
            <rFont val="Tahoma"/>
            <family val="2"/>
          </rPr>
          <t xml:space="preserve">
If Table H is triggered and column 03 is not greyed out, but does not say "Yes", this note should be triggered.</t>
        </r>
      </text>
    </comment>
    <comment ref="B12" authorId="0" shapeId="0" xr:uid="{0D9F9056-F7D1-44CE-B5B0-11B14F465C04}">
      <text>
        <r>
          <rPr>
            <b/>
            <sz val="9"/>
            <color indexed="81"/>
            <rFont val="Tahoma"/>
            <family val="2"/>
          </rPr>
          <t>12/8/22:</t>
        </r>
        <r>
          <rPr>
            <sz val="9"/>
            <color indexed="81"/>
            <rFont val="Tahoma"/>
            <family val="2"/>
          </rPr>
          <t xml:space="preserve">
J.08 &gt;=7.5</t>
        </r>
      </text>
    </comment>
    <comment ref="B13" authorId="1" shapeId="0" xr:uid="{3ED0DEC3-E4E0-4FDA-B7F8-6FAF351A4AA0}">
      <text>
        <r>
          <rPr>
            <b/>
            <sz val="9"/>
            <color indexed="81"/>
            <rFont val="Tahoma"/>
            <family val="2"/>
          </rPr>
          <t>Ben Lalor:</t>
        </r>
        <r>
          <rPr>
            <sz val="9"/>
            <color indexed="81"/>
            <rFont val="Tahoma"/>
            <family val="2"/>
          </rPr>
          <t xml:space="preserve">
Triggers only for LMCC J.09 == column 6 rather than the result of equation 170.2-C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0" authorId="0" shapeId="0" xr:uid="{00000000-0006-0000-0700-000001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9" authorId="0" shapeId="0" xr:uid="{00000000-0006-0000-0800-000003000000}">
      <text>
        <r>
          <rPr>
            <b/>
            <sz val="9"/>
            <color indexed="81"/>
            <rFont val="Tahoma"/>
            <family val="2"/>
          </rPr>
          <t>Sally Blair:</t>
        </r>
        <r>
          <rPr>
            <sz val="9"/>
            <color indexed="81"/>
            <rFont val="Tahoma"/>
            <family val="2"/>
          </rPr>
          <t xml:space="preserve">
Columns 03 - 04 open for user input when "Total New or Added Roof Area" is selected in column 01- otherwise, they grey out because they're NA.   If the user changes the selection in column 01, this need to update accordingly</t>
        </r>
      </text>
    </comment>
    <comment ref="M9" authorId="0" shapeId="0" xr:uid="{00000000-0006-0000-0800-000004000000}">
      <text>
        <r>
          <rPr>
            <b/>
            <sz val="9"/>
            <color indexed="81"/>
            <rFont val="Tahoma"/>
            <family val="2"/>
          </rPr>
          <t>Sally Blair:</t>
        </r>
        <r>
          <rPr>
            <sz val="9"/>
            <color indexed="81"/>
            <rFont val="Tahoma"/>
            <family val="2"/>
          </rPr>
          <t xml:space="preserve">
Columns 05-07 open for user input when "Potential Solar Zone" is selected in column 01- otherwise, they grey out because they're NA.  If the user changes the selection in column 01, this need to update accordingly.</t>
        </r>
      </text>
    </comment>
    <comment ref="O9" authorId="0" shapeId="0" xr:uid="{00000000-0006-0000-0800-000005000000}">
      <text>
        <r>
          <rPr>
            <b/>
            <sz val="9"/>
            <color indexed="81"/>
            <rFont val="Tahoma"/>
            <family val="2"/>
          </rPr>
          <t>Sally Blair:</t>
        </r>
        <r>
          <rPr>
            <sz val="9"/>
            <color indexed="81"/>
            <rFont val="Tahoma"/>
            <family val="2"/>
          </rPr>
          <t xml:space="preserve">
Column 04 OR 07 depending on calculation method selected in column 01  -- This value is tranferred to Table C, Column 01
If this value is 0, column 09 - 19 need to grey out.</t>
        </r>
      </text>
    </comment>
    <comment ref="E12" authorId="0" shapeId="0" xr:uid="{00000000-0006-0000-0800-000006000000}">
      <text>
        <r>
          <rPr>
            <b/>
            <sz val="9"/>
            <color indexed="81"/>
            <rFont val="Tahoma"/>
            <family val="2"/>
          </rPr>
          <t>Sally Blair:</t>
        </r>
        <r>
          <rPr>
            <sz val="9"/>
            <color indexed="81"/>
            <rFont val="Tahoma"/>
            <family val="2"/>
          </rPr>
          <t xml:space="preserve">
This cell is only accessible if user selects "Steep-Sloped" in column 11.  Otherwise it is greyed out.  Needs to adjust if user changes selection in column 11.
</t>
        </r>
      </text>
    </comment>
    <comment ref="M12" authorId="0" shapeId="0" xr:uid="{00000000-0006-0000-0800-000007000000}">
      <text>
        <r>
          <rPr>
            <b/>
            <sz val="9"/>
            <color indexed="81"/>
            <rFont val="Tahoma"/>
            <family val="2"/>
          </rPr>
          <t>Sally Blair:</t>
        </r>
        <r>
          <rPr>
            <sz val="9"/>
            <color indexed="81"/>
            <rFont val="Tahoma"/>
            <family val="2"/>
          </rPr>
          <t xml:space="preserve">
If column 02 is &lt;= 10,000 ft2, then this = 80 ft2; 
If column 02 is &gt; 10,000 ft2, then this =160 ft2.
</t>
        </r>
      </text>
    </comment>
    <comment ref="O14" authorId="0" shapeId="0" xr:uid="{00000000-0006-0000-0800-000008000000}">
      <text>
        <r>
          <rPr>
            <b/>
            <sz val="9"/>
            <color indexed="81"/>
            <rFont val="Tahoma"/>
            <family val="2"/>
          </rPr>
          <t>Sally Blair:</t>
        </r>
        <r>
          <rPr>
            <sz val="9"/>
            <color indexed="81"/>
            <rFont val="Tahoma"/>
            <family val="2"/>
          </rPr>
          <t xml:space="preserve">
Says "COMPLIES" if:
- column 12 is greyed out 
- columns 13/14/15 all say "Yes" AND
- column 16 input is &gt; 5 AND
- column 18 is &gt; column 17
OR 
- column 12 is not greyed out and has a value between 110-270 input AND
- columns 13/14/15 all say "Yes" AND
- column 16 input is &gt; 5 AND
- column 18 is &gt; column 17
Column 19 goes blank and greys out if column 08 = 0
Otherwise, says DOES NOT COMPLY
 If any of the sub areas say "Does not comply" then a note should be triggered in Table D about a subarea being out of compliance: "Table F indicates a subarea that is not in compliance with the requirements.  Please revisit Table F."</t>
        </r>
      </text>
    </comment>
    <comment ref="N15" authorId="0" shapeId="0" xr:uid="{00000000-0006-0000-0800-000009000000}">
      <text>
        <r>
          <rPr>
            <b/>
            <sz val="9"/>
            <color indexed="81"/>
            <rFont val="Tahoma"/>
            <family val="2"/>
          </rPr>
          <t>Sally Blair:</t>
        </r>
        <r>
          <rPr>
            <sz val="9"/>
            <color indexed="81"/>
            <rFont val="Tahoma"/>
            <family val="2"/>
          </rPr>
          <t xml:space="preserve">
Transferred to Table C. column 02</t>
        </r>
      </text>
    </comment>
    <comment ref="K18" authorId="0" shapeId="0" xr:uid="{00000000-0006-0000-0800-00000A000000}">
      <text>
        <r>
          <rPr>
            <b/>
            <sz val="9"/>
            <color indexed="81"/>
            <rFont val="Tahoma"/>
            <family val="2"/>
          </rPr>
          <t>Sally Blair:</t>
        </r>
        <r>
          <rPr>
            <sz val="9"/>
            <color indexed="81"/>
            <rFont val="Tahoma"/>
            <family val="2"/>
          </rPr>
          <t xml:space="preserve">
Transfers to Table C Row 11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B8" authorId="0" shapeId="0" xr:uid="{00000000-0006-0000-0900-000002000000}">
      <text>
        <r>
          <rPr>
            <b/>
            <sz val="9"/>
            <color indexed="81"/>
            <rFont val="Tahoma"/>
            <family val="2"/>
          </rPr>
          <t>Rebecca Rice:</t>
        </r>
        <r>
          <rPr>
            <sz val="9"/>
            <color indexed="81"/>
            <rFont val="Tahoma"/>
            <family val="2"/>
          </rPr>
          <t xml:space="preserve">
This value is transferred to Table C, Column 03.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Rosemary Howley</author>
  </authors>
  <commentList>
    <comment ref="L6" authorId="0" shapeId="0" xr:uid="{00000000-0006-0000-0A00-000001000000}">
      <text>
        <r>
          <rPr>
            <b/>
            <sz val="9"/>
            <color indexed="81"/>
            <rFont val="Tahoma"/>
            <family val="2"/>
          </rPr>
          <t>Sally Blair:</t>
        </r>
        <r>
          <rPr>
            <sz val="9"/>
            <color indexed="81"/>
            <rFont val="Tahoma"/>
            <family val="2"/>
          </rPr>
          <t xml:space="preserve">
Gray until associated checkbox on the far left is clicked.  Then opens for user input.</t>
        </r>
      </text>
    </comment>
    <comment ref="J10" authorId="1" shapeId="0" xr:uid="{00000000-0006-0000-0A00-000002000000}">
      <text>
        <r>
          <rPr>
            <b/>
            <sz val="9"/>
            <color indexed="81"/>
            <rFont val="Tahoma"/>
            <family val="2"/>
          </rPr>
          <t>Rebecca Rice:</t>
        </r>
        <r>
          <rPr>
            <sz val="9"/>
            <color indexed="81"/>
            <rFont val="Tahoma"/>
            <family val="2"/>
          </rPr>
          <t xml:space="preserve">
Unless this says "NA" Transferred to Table C, Column 6</t>
        </r>
      </text>
    </comment>
    <comment ref="K10" authorId="0" shapeId="0" xr:uid="{00000000-0006-0000-0A00-000003000000}">
      <text>
        <r>
          <rPr>
            <b/>
            <sz val="9"/>
            <color indexed="81"/>
            <rFont val="Tahoma"/>
            <family val="2"/>
          </rPr>
          <t>Sally Blair:</t>
        </r>
        <r>
          <rPr>
            <sz val="9"/>
            <color indexed="81"/>
            <rFont val="Tahoma"/>
            <family val="2"/>
          </rPr>
          <t xml:space="preserve">
Ben. If the user selects OG-100 above, this field turns gray because it's NA.  
If the user selects OG-300 above, columns 01-09 turn gray and this field is active.
Unless this is gray, transfer to Table C, Column 6</t>
        </r>
      </text>
    </comment>
    <comment ref="B17" authorId="2" shapeId="0" xr:uid="{00000000-0006-0000-0A00-000004000000}">
      <text>
        <r>
          <rPr>
            <b/>
            <sz val="9"/>
            <color indexed="81"/>
            <rFont val="Tahoma"/>
            <family val="2"/>
          </rPr>
          <t>Rosemary Howley:</t>
        </r>
        <r>
          <rPr>
            <sz val="9"/>
            <color indexed="81"/>
            <rFont val="Tahoma"/>
            <family val="2"/>
          </rPr>
          <t xml:space="preserve">
Sally, the panel type has two parts in the CEC calculator: the "Model" which is the model name and number, and the "SRCC #".  The SRCC# is from the ICC-SRCC directory of OG-100 rated solar panels.   See screen shots below.
When you pick something from the T24 Solar Calc dropdown for either Model or SRCC#, the other part of the Panel Type description automatically comes up.  The T24 solar calculator has a database of maybe 400 panel types with information about them such as collector size that is used in the calculation.  I printed out a sample report to give you an idea of what's in there.  If you actually want to recreate the calculation here, then I think you'll have to get the database from the CEC.
CEC, does it make sense to build the panel type database in the T24 Solar Calculator into the form? I'm thinking yes, can we get the data in the database?
</t>
        </r>
        <r>
          <rPr>
            <b/>
            <sz val="10"/>
            <color indexed="81"/>
            <rFont val="Tahoma"/>
            <family val="2"/>
          </rPr>
          <t xml:space="preserve">Alexis:
I emailed Danny to ensure that this was okay to do. He does not think we should incorporate the Solar Calculator into the table because </t>
        </r>
        <r>
          <rPr>
            <b/>
            <i/>
            <sz val="10"/>
            <color indexed="81"/>
            <rFont val="Tahoma"/>
            <family val="2"/>
          </rPr>
          <t xml:space="preserve">"the programming language behind the calculator is some rare programming language called flat assembler. Additionally, the underlining method is very old and not worth the time to translate." </t>
        </r>
        <r>
          <rPr>
            <b/>
            <sz val="10"/>
            <color indexed="81"/>
            <rFont val="Tahoma"/>
            <family val="2"/>
          </rPr>
          <t xml:space="preserve">He is trying to get a more up to date and appropriate tool to use. I don't know how you want to proceed...
</t>
        </r>
        <r>
          <rPr>
            <sz val="10"/>
            <color indexed="81"/>
            <rFont val="Tahoma"/>
            <family val="2"/>
          </rPr>
          <t>Ben, let's build this table and then wait and see what the CEC can give us as far as database goes.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Joe Singer</author>
  </authors>
  <commentList>
    <comment ref="A5" authorId="0" shapeId="0" xr:uid="{482AFCED-7AA9-4B07-BC3C-69A4394DED30}">
      <text>
        <r>
          <rPr>
            <b/>
            <sz val="9"/>
            <color indexed="81"/>
            <rFont val="Tahoma"/>
            <family val="2"/>
          </rPr>
          <t>4.15.24:</t>
        </r>
        <r>
          <rPr>
            <sz val="9"/>
            <color indexed="81"/>
            <rFont val="Tahoma"/>
            <family val="2"/>
          </rPr>
          <t xml:space="preserve">
Always checked, not able to be modified</t>
        </r>
      </text>
    </comment>
    <comment ref="A6" authorId="0" shapeId="0" xr:uid="{00000000-0006-0000-0B00-000002000000}">
      <text>
        <r>
          <rPr>
            <b/>
            <sz val="9"/>
            <color indexed="81"/>
            <rFont val="Tahoma"/>
            <family val="2"/>
          </rPr>
          <t>2.15.22:</t>
        </r>
        <r>
          <rPr>
            <sz val="9"/>
            <color indexed="81"/>
            <rFont val="Tahoma"/>
            <family val="2"/>
          </rPr>
          <t xml:space="preserve">
If this box is checked it updates the required SSF in Table C column 05.</t>
        </r>
      </text>
    </comment>
    <comment ref="D10" authorId="1" shapeId="0" xr:uid="{E55EB3A8-8A3F-4B43-A2F6-4887B222F121}">
      <text>
        <r>
          <rPr>
            <b/>
            <sz val="9"/>
            <color indexed="81"/>
            <rFont val="Tahoma"/>
            <family val="2"/>
          </rPr>
          <t>3.14.22:</t>
        </r>
        <r>
          <rPr>
            <sz val="9"/>
            <color indexed="81"/>
            <rFont val="Tahoma"/>
            <family val="2"/>
          </rPr>
          <t xml:space="preserve">
H.03 transferres to C.06</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7" authorId="0" shapeId="0" xr:uid="{00000000-0006-0000-0C00-000002000000}">
      <text>
        <r>
          <rPr>
            <b/>
            <sz val="9"/>
            <color indexed="81"/>
            <rFont val="Tahoma"/>
            <family val="2"/>
          </rPr>
          <t xml:space="preserve">Sally Blair:
</t>
        </r>
        <r>
          <rPr>
            <sz val="9"/>
            <color indexed="81"/>
            <rFont val="Tahoma"/>
            <family val="2"/>
          </rPr>
          <t>when this box is checked AND the location in contract documents is indicated, Table C column 07 turns to "YES".  It turns to "NO" if unchecked OR if the location in contract documents is blank.</t>
        </r>
      </text>
    </comment>
    <comment ref="B12" authorId="0" shapeId="0" xr:uid="{00000000-0006-0000-0C00-000003000000}">
      <text>
        <r>
          <rPr>
            <b/>
            <sz val="9"/>
            <color indexed="81"/>
            <rFont val="Tahoma"/>
            <family val="2"/>
          </rPr>
          <t>Sally Blair:</t>
        </r>
        <r>
          <rPr>
            <sz val="9"/>
            <color indexed="81"/>
            <rFont val="Tahoma"/>
            <family val="2"/>
          </rPr>
          <t xml:space="preserve">
Depending on which box they check, this EE measure "name" will show up in Table C column 08.</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Daemi, Sahar@Energy</author>
    <author>Alexis Markstrum</author>
    <author>Sally Blair</author>
    <author>tc={B5DCCA06-BC38-4072-B73C-834155707844}</author>
    <author>Saeed, Muhammad@Energy</author>
    <author>tc={D17465BF-75F9-4B2F-AC3A-FDA04C04061E}</author>
    <author>Joe Singer</author>
    <author>tc={A4B43895-80C9-4EA2-9A95-8103AF8D6C3A}</author>
  </authors>
  <commentList>
    <comment ref="B8" authorId="0" shapeId="0" xr:uid="{FE2578FA-0B9D-4E17-AE60-AFBED750FAE2}">
      <text>
        <r>
          <rPr>
            <b/>
            <sz val="14"/>
            <color indexed="10"/>
            <rFont val="Tahoma"/>
            <family val="2"/>
          </rPr>
          <t>Daemi, Sahar@Energy:</t>
        </r>
        <r>
          <rPr>
            <sz val="14"/>
            <color indexed="10"/>
            <rFont val="Tahoma"/>
            <family val="2"/>
          </rPr>
          <t xml:space="preserve">
Daemi, Sahar@Energy:
The intend of adding this exception is to include all the following language in one exception, meaning that if you satisfy all the condition, then you are allowed to use exceptio. This tenant space is then qualified to be substracted from the whole CFA. So it should be one dropdown option.</t>
        </r>
      </text>
    </comment>
    <comment ref="B9" authorId="1" shapeId="0" xr:uid="{22A10145-CC6A-4C2F-B678-777F00FB930D}">
      <text>
        <r>
          <rPr>
            <b/>
            <sz val="9"/>
            <color indexed="10"/>
            <rFont val="Tahoma"/>
            <family val="2"/>
          </rPr>
          <t>Alexis Markstrum:</t>
        </r>
        <r>
          <rPr>
            <sz val="9"/>
            <color indexed="10"/>
            <rFont val="Tahoma"/>
            <family val="2"/>
          </rPr>
          <t xml:space="preserve">
If ALL of these are selected except NA, gray out rest of table for that row and do not include in 03 equation
</t>
        </r>
      </text>
    </comment>
    <comment ref="D9" authorId="1" shapeId="0" xr:uid="{D1CDF2B3-49BF-4A5E-AAA3-B4A363B41370}">
      <text>
        <r>
          <rPr>
            <b/>
            <sz val="9"/>
            <color indexed="81"/>
            <rFont val="Tahoma"/>
            <family val="2"/>
          </rPr>
          <t>Alexis Markstrum:</t>
        </r>
        <r>
          <rPr>
            <sz val="9"/>
            <color indexed="81"/>
            <rFont val="Tahoma"/>
            <family val="2"/>
          </rPr>
          <t xml:space="preserve">
Use Equation 140.10-A
Eq 140.10-A is to the right. A depends on occupancy from col 01 &amp; CZ from A02. CFA comes from col 02</t>
        </r>
      </text>
    </comment>
    <comment ref="D10" authorId="2" shapeId="0" xr:uid="{28CECBA1-5EFC-4E01-B449-8946C7E409C1}">
      <text>
        <r>
          <rPr>
            <b/>
            <sz val="9"/>
            <color indexed="81"/>
            <rFont val="Tahoma"/>
            <family val="2"/>
          </rPr>
          <t>10.31.21:</t>
        </r>
        <r>
          <rPr>
            <sz val="9"/>
            <color indexed="81"/>
            <rFont val="Tahoma"/>
            <family val="2"/>
          </rPr>
          <t xml:space="preserve">
Equals
- Sum col 03 for all spaces OR
- 0 if Sum col 03 &lt; 4 
</t>
        </r>
      </text>
    </comment>
    <comment ref="F17" authorId="3" shapeId="0" xr:uid="{B5DCCA06-BC38-4072-B73C-834155707844}">
      <text>
        <t>[Threaded comment]
Your version of Excel allows you to read this threaded comment; however, any edits to it will get removed if the file is opened in a newer version of Excel. Learn more: https://go.microsoft.com/fwlink/?linkid=870924
Comment:
    @Alhabibi, Haider@Energy Please consider adding a column for the exception of SARA for roof area that is not available due to state and local building codes.</t>
      </text>
    </comment>
    <comment ref="F18" authorId="4" shapeId="0" xr:uid="{B6C8CB7E-80BC-4FAE-A0CB-66C59B2F6B6E}">
      <text>
        <r>
          <rPr>
            <b/>
            <sz val="9"/>
            <color indexed="81"/>
            <rFont val="Tahoma"/>
            <family val="2"/>
          </rPr>
          <t>Saeed, Muhammad@Energy:</t>
        </r>
        <r>
          <rPr>
            <sz val="9"/>
            <color indexed="81"/>
            <rFont val="Tahoma"/>
            <family val="2"/>
          </rPr>
          <t xml:space="preserve">
</t>
        </r>
      </text>
    </comment>
    <comment ref="H18" authorId="5" shapeId="0" xr:uid="{D17465BF-75F9-4B2F-AC3A-FDA04C04061E}">
      <text>
        <t>[Threaded comment]
Your version of Excel allows you to read this threaded comment; however, any edits to it will get removed if the file is opened in a newer version of Excel. Learn more: https://go.microsoft.com/fwlink/?linkid=870924
Comment:
    Change “size” to “capacity”</t>
      </text>
    </comment>
    <comment ref="B19" authorId="0" shapeId="0" xr:uid="{BC8F0AA8-7493-4205-9866-1E305CA715E8}">
      <text>
        <r>
          <rPr>
            <b/>
            <sz val="14"/>
            <color indexed="81"/>
            <rFont val="Tahoma"/>
            <family val="2"/>
          </rPr>
          <t>Daemi, Sahar@Energy:</t>
        </r>
        <r>
          <rPr>
            <sz val="14"/>
            <color indexed="81"/>
            <rFont val="Tahoma"/>
            <family val="2"/>
          </rPr>
          <t xml:space="preserve">
Should we write dropdown here?</t>
        </r>
      </text>
    </comment>
    <comment ref="H19" authorId="2" shapeId="0" xr:uid="{33B4102E-FDD4-4099-9D09-CA6E89540BF1}">
      <text>
        <r>
          <rPr>
            <b/>
            <sz val="9"/>
            <color indexed="81"/>
            <rFont val="Tahoma"/>
            <family val="2"/>
          </rPr>
          <t>10.31.21:</t>
        </r>
        <r>
          <rPr>
            <sz val="9"/>
            <color indexed="81"/>
            <rFont val="Tahoma"/>
            <family val="2"/>
          </rPr>
          <t xml:space="preserve">
</t>
        </r>
        <r>
          <rPr>
            <sz val="9"/>
            <color indexed="10"/>
            <rFont val="Tahoma"/>
            <family val="2"/>
          </rPr>
          <t>if Col 02 = &lt;2:12,</t>
        </r>
        <r>
          <rPr>
            <sz val="9"/>
            <color indexed="81"/>
            <rFont val="Tahoma"/>
            <family val="2"/>
          </rPr>
          <t xml:space="preserve"> equals ((col 07 x 14)/1000) 
</t>
        </r>
        <r>
          <rPr>
            <sz val="9"/>
            <color indexed="10"/>
            <rFont val="Tahoma"/>
            <family val="2"/>
          </rPr>
          <t xml:space="preserve">if Col 02 = &gt;2:12,  equals ((col 07 x 18)/1000) </t>
        </r>
        <r>
          <rPr>
            <sz val="9"/>
            <color indexed="81"/>
            <rFont val="Tahoma"/>
            <family val="2"/>
          </rPr>
          <t xml:space="preserve">
</t>
        </r>
      </text>
    </comment>
    <comment ref="H20" authorId="2" shapeId="0" xr:uid="{3B57EC7F-4488-4688-B9BB-98BF93C02A6A}">
      <text>
        <r>
          <rPr>
            <b/>
            <sz val="9"/>
            <color indexed="81"/>
            <rFont val="Tahoma"/>
            <family val="2"/>
          </rPr>
          <t>10.31.21:</t>
        </r>
        <r>
          <rPr>
            <sz val="9"/>
            <color indexed="81"/>
            <rFont val="Tahoma"/>
            <family val="2"/>
          </rPr>
          <t xml:space="preserve">
Equals
- Sum col 08 for all roofs OR
- 0 if Sum col 08 &lt; 4 OR
- 0 if Sum col 07 &lt; 0.03 x  Sum col 02 </t>
        </r>
        <r>
          <rPr>
            <sz val="9"/>
            <color indexed="10"/>
            <rFont val="Tahoma"/>
            <family val="2"/>
          </rPr>
          <t xml:space="preserve">(CFA from Occupancy table) </t>
        </r>
        <r>
          <rPr>
            <sz val="9"/>
            <color indexed="81"/>
            <rFont val="Tahoma"/>
            <family val="2"/>
          </rPr>
          <t>OR
- 0 if Sum col 07 &lt; 80</t>
        </r>
      </text>
    </comment>
    <comment ref="H21" authorId="1" shapeId="0" xr:uid="{23740AC3-2CD8-436C-AE9D-6BA818EB4FCF}">
      <text>
        <r>
          <rPr>
            <b/>
            <sz val="9"/>
            <color indexed="10"/>
            <rFont val="Tahoma"/>
            <family val="2"/>
          </rPr>
          <t>Alexis Markstrum:</t>
        </r>
        <r>
          <rPr>
            <sz val="9"/>
            <color indexed="10"/>
            <rFont val="Tahoma"/>
            <family val="2"/>
          </rPr>
          <t xml:space="preserve">
Take smaller of Occupancy Type table total (D10) and Roof Type table total (H20)</t>
        </r>
      </text>
    </comment>
    <comment ref="B25" authorId="0" shapeId="0" xr:uid="{2E1DB467-B4F5-4D5C-AF44-F78DB2C918B3}">
      <text>
        <r>
          <rPr>
            <b/>
            <sz val="14"/>
            <color indexed="10"/>
            <rFont val="Tahoma"/>
            <family val="2"/>
          </rPr>
          <t>Daemi, Sahar@Energy:</t>
        </r>
        <r>
          <rPr>
            <sz val="14"/>
            <color indexed="10"/>
            <rFont val="Tahoma"/>
            <family val="2"/>
          </rPr>
          <t xml:space="preserve">
The intend of adding this exception is to include all the following language in one exception, meaning that if you satisfy all the condition, then you are allowed to use exceptio. This tenant space is then qualified to be substracted from the whole CFA.</t>
        </r>
      </text>
    </comment>
    <comment ref="A46" authorId="6" shapeId="0" xr:uid="{ABDCA5E5-AC1E-4F14-975D-2A262CCE4020}">
      <text>
        <r>
          <rPr>
            <b/>
            <sz val="9"/>
            <color indexed="81"/>
            <rFont val="Tahoma"/>
            <family val="2"/>
          </rPr>
          <t>Joe Singer:</t>
        </r>
        <r>
          <rPr>
            <sz val="9"/>
            <color indexed="81"/>
            <rFont val="Tahoma"/>
            <family val="2"/>
          </rPr>
          <t xml:space="preserve">
Triggered if "Total PV Required" above is &gt;0 AND
- Total Size of PV System in Design &gt;= 0.15* sum(Min size of PV system required using Eq. 140.10-A) for all occupancies AND
- Sum (PV table col 02) for all occupancies &gt;= 5,000</t>
        </r>
      </text>
    </comment>
    <comment ref="A47" authorId="7" shapeId="0" xr:uid="{A4B43895-80C9-4EA2-9A95-8103AF8D6C3A}">
      <text>
        <t>[Threaded comment]
Your version of Excel allows you to read this threaded comment; however, any edits to it will get removed if the file is opened in a newer version of Excel. Learn more: https://go.microsoft.com/fwlink/?linkid=870924
Comment:
    @Saeed, Muhammad@EnergyException 1 and 3 are here.</t>
      </text>
    </comment>
    <comment ref="A50" authorId="1" shapeId="0" xr:uid="{8FA9BBE1-23D7-4BBE-AF72-F736BEF66865}">
      <text>
        <r>
          <rPr>
            <b/>
            <sz val="9"/>
            <color indexed="10"/>
            <rFont val="Tahoma"/>
            <family val="2"/>
          </rPr>
          <t>Alexis Markstrum:</t>
        </r>
        <r>
          <rPr>
            <sz val="9"/>
            <color indexed="10"/>
            <rFont val="Tahoma"/>
            <family val="2"/>
          </rPr>
          <t xml:space="preserve">
There should be one row per row from the Occupancy table</t>
        </r>
      </text>
    </comment>
    <comment ref="D50" authorId="2" shapeId="0" xr:uid="{3AFAA181-23D3-48AA-AD83-0C111CD773AF}">
      <text>
        <r>
          <rPr>
            <b/>
            <sz val="9"/>
            <color indexed="81"/>
            <rFont val="Tahoma"/>
            <family val="2"/>
          </rPr>
          <t>10..31.21:</t>
        </r>
        <r>
          <rPr>
            <sz val="9"/>
            <color indexed="81"/>
            <rFont val="Tahoma"/>
            <family val="2"/>
          </rPr>
          <t xml:space="preserve">
</t>
        </r>
        <r>
          <rPr>
            <sz val="9"/>
            <color indexed="10"/>
            <rFont val="Tahoma"/>
            <family val="2"/>
          </rPr>
          <t>If Equation 140.10-A (from Occupancy table) is the smaller PV capacity, then use Equation 140.10-B to the right
If SARA equation (from Roof Type table) is the smaller PV capacity, then use Equation 140.10-C to the right
Use Table 140.10-B for B factor based on Building Type in Col 01 of Occupancy table</t>
        </r>
        <r>
          <rPr>
            <sz val="9"/>
            <color indexed="10"/>
            <rFont val="Tahoma"/>
            <family val="2"/>
          </rPr>
          <t xml:space="preserve">
</t>
        </r>
        <r>
          <rPr>
            <sz val="9"/>
            <color indexed="81"/>
            <rFont val="Tahoma"/>
            <family val="2"/>
          </rPr>
          <t xml:space="preserve">
</t>
        </r>
        <r>
          <rPr>
            <strike/>
            <sz val="9"/>
            <color indexed="10"/>
            <rFont val="Tahoma"/>
            <family val="2"/>
          </rPr>
          <t>See Eq 140.10-B to the right &amp; Table for B factors based on occupancy in Col01</t>
        </r>
      </text>
    </comment>
    <comment ref="E50" authorId="2" shapeId="0" xr:uid="{E34C5972-78A3-4C57-BE34-D684270E415C}">
      <text>
        <r>
          <rPr>
            <b/>
            <sz val="9"/>
            <color indexed="81"/>
            <rFont val="Tahoma"/>
            <family val="2"/>
          </rPr>
          <t>10.31.21:</t>
        </r>
        <r>
          <rPr>
            <sz val="9"/>
            <color indexed="81"/>
            <rFont val="Tahoma"/>
            <family val="2"/>
          </rPr>
          <t xml:space="preserve">
</t>
        </r>
        <r>
          <rPr>
            <strike/>
            <sz val="9"/>
            <color indexed="10"/>
            <rFont val="Tahoma"/>
            <family val="2"/>
          </rPr>
          <t>See Table 140.10-B to the right for C factors based on occupancy in Col01</t>
        </r>
      </text>
    </comment>
    <comment ref="D51" authorId="2" shapeId="0" xr:uid="{9BFCBEAC-E994-4605-B5E7-92026D537AC8}">
      <text>
        <r>
          <rPr>
            <b/>
            <sz val="9"/>
            <color indexed="81"/>
            <rFont val="Tahoma"/>
            <family val="2"/>
          </rPr>
          <t>5.11.22:</t>
        </r>
        <r>
          <rPr>
            <sz val="9"/>
            <color indexed="81"/>
            <rFont val="Tahoma"/>
            <family val="2"/>
          </rPr>
          <t xml:space="preserve">
= 0 if calculated value is &lt; 10
col 05 Min Required also = 0 if col04 &lt; 10</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tc={8162AA1D-1E3E-4489-9B17-E4083D6C3ED5}</author>
    <author>Joe Singer</author>
    <author>Sally Blair</author>
  </authors>
  <commentList>
    <comment ref="J7" authorId="0" shapeId="0" xr:uid="{8162AA1D-1E3E-4489-9B17-E4083D6C3ED5}">
      <text>
        <t xml:space="preserve">[Threaded comment]
Your version of Excel allows you to read this threaded comment; however, any edits to it will get removed if the file is opened in a newer version of Excel. Learn more: https://go.microsoft.com/fwlink/?linkid=870924
Comment:
    @Saeed, Muhammad@Energy I think column names are not correct, for example “If I.08&gt;=7.5”
Also ((A.03 * Aper Tabl 170.2-T)/1000 + H.07 * Bper Tabl 170.2-T), and CFA is not A.03.
Reply:
    @Alhabibi, Haider@Energy </t>
      </text>
    </comment>
    <comment ref="J8" authorId="1" shapeId="0" xr:uid="{D0959A68-D68C-443A-BA59-1C5208EB3BDE}">
      <text>
        <r>
          <rPr>
            <sz val="9"/>
            <color indexed="81"/>
            <rFont val="Tahoma"/>
            <family val="2"/>
          </rPr>
          <t xml:space="preserve">
If J.08&gt;=7.5:
Then: equals minimum of:
</t>
        </r>
        <r>
          <rPr>
            <sz val="9"/>
            <color indexed="10"/>
            <rFont val="Tahoma"/>
            <family val="2"/>
          </rPr>
          <t>if Col 01 = &lt;2:12, equals ((col 06 x 14)/1000) 
if Col 01 = &gt;2:12,  equals ((col 06 x 18)/1000)</t>
        </r>
        <r>
          <rPr>
            <sz val="9"/>
            <color indexed="81"/>
            <rFont val="Tahoma"/>
            <family val="2"/>
          </rPr>
          <t xml:space="preserve">
OR
((A.03 * A</t>
        </r>
        <r>
          <rPr>
            <vertAlign val="subscript"/>
            <sz val="9"/>
            <color indexed="81"/>
            <rFont val="Tahoma"/>
            <family val="2"/>
          </rPr>
          <t>per Equ 170.2-C</t>
        </r>
        <r>
          <rPr>
            <sz val="9"/>
            <color indexed="81"/>
            <rFont val="Tahoma"/>
            <family val="2"/>
          </rPr>
          <t>)/1000 + J.07 * B</t>
        </r>
        <r>
          <rPr>
            <vertAlign val="subscript"/>
            <sz val="9"/>
            <color indexed="81"/>
            <rFont val="Tahoma"/>
            <family val="2"/>
          </rPr>
          <t>per Equ 170.2-C</t>
        </r>
        <r>
          <rPr>
            <sz val="9"/>
            <color indexed="81"/>
            <rFont val="Tahoma"/>
            <family val="2"/>
          </rPr>
          <t xml:space="preserve">)*0.25
ELSE:   equals minimum of: 
</t>
        </r>
        <r>
          <rPr>
            <sz val="9"/>
            <color indexed="10"/>
            <rFont val="Tahoma"/>
            <family val="2"/>
          </rPr>
          <t>if Col 01 = &lt;2:12, equals ((col 06 x 14)/1000) 
if Col 01 = &gt;2:12,  equals ((col 06 x 18)/1000)</t>
        </r>
        <r>
          <rPr>
            <sz val="9"/>
            <color indexed="81"/>
            <rFont val="Tahoma"/>
            <family val="2"/>
          </rPr>
          <t xml:space="preserve">
OR
((A.03 * A</t>
        </r>
        <r>
          <rPr>
            <vertAlign val="subscript"/>
            <sz val="9"/>
            <color indexed="81"/>
            <rFont val="Tahoma"/>
            <family val="2"/>
          </rPr>
          <t>per Equ 170.2-C</t>
        </r>
        <r>
          <rPr>
            <sz val="9"/>
            <color indexed="81"/>
            <rFont val="Tahoma"/>
            <family val="2"/>
          </rPr>
          <t>)/1000 + J.07 * B</t>
        </r>
        <r>
          <rPr>
            <vertAlign val="subscript"/>
            <sz val="9"/>
            <color indexed="81"/>
            <rFont val="Tahoma"/>
            <family val="2"/>
          </rPr>
          <t>per Equ 170.2-C</t>
        </r>
        <r>
          <rPr>
            <sz val="9"/>
            <color indexed="81"/>
            <rFont val="Tahoma"/>
            <family val="2"/>
          </rPr>
          <t>)</t>
        </r>
      </text>
    </comment>
    <comment ref="J9" authorId="2" shapeId="0" xr:uid="{2A6BE1E6-4748-4579-91B9-91C8430B2B90}">
      <text>
        <r>
          <rPr>
            <sz val="9"/>
            <color indexed="10"/>
            <rFont val="Tahoma"/>
            <family val="2"/>
          </rPr>
          <t>Equals
- Sum col 09 for all roofs OR
- 0 if Sum col 09 &lt; 4 OR
- 0 if Sum col 06 &lt; 80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22354B40-67FD-4FCB-95AA-5973CA008466}">
      <text>
        <r>
          <rPr>
            <sz val="9"/>
            <color indexed="81"/>
            <rFont val="Tahoma"/>
            <family val="2"/>
          </rPr>
          <t>Need to update URL when available.</t>
        </r>
      </text>
    </comment>
    <comment ref="A7" authorId="0" shapeId="0" xr:uid="{737725D1-D897-457D-A0C4-C48F98EC92F3}">
      <text>
        <r>
          <rPr>
            <b/>
            <sz val="9"/>
            <color indexed="81"/>
            <rFont val="Tahoma"/>
            <family val="2"/>
          </rPr>
          <t>10.31.21:</t>
        </r>
        <r>
          <rPr>
            <sz val="9"/>
            <color indexed="81"/>
            <rFont val="Tahoma"/>
            <family val="2"/>
          </rPr>
          <t xml:space="preserve">
Defaults to Yes and can not be changed to No.</t>
        </r>
      </text>
    </comment>
    <comment ref="B8" authorId="0" shapeId="0" xr:uid="{F041F237-C105-4ADA-ACA8-359B1551D559}">
      <text>
        <r>
          <rPr>
            <b/>
            <sz val="9"/>
            <color indexed="81"/>
            <rFont val="Tahoma"/>
            <family val="2"/>
          </rPr>
          <t>10.26.23:</t>
        </r>
        <r>
          <rPr>
            <sz val="9"/>
            <color indexed="81"/>
            <rFont val="Tahoma"/>
            <family val="2"/>
          </rPr>
          <t xml:space="preserve">
This form defaults to "No", but changes to "Yes" if solar water heating is selected in Table B.</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BE9B6E6-CA3C-4CC7-B1CF-A01EFAB33BA9}">
      <text>
        <r>
          <rPr>
            <sz val="9"/>
            <color indexed="81"/>
            <rFont val="Tahoma"/>
            <family val="2"/>
          </rPr>
          <t>Need to update URL when available.</t>
        </r>
      </text>
    </comment>
    <comment ref="A7" authorId="0" shapeId="0" xr:uid="{97BAD789-F7C3-4A19-ADCA-62244DEDF814}">
      <text>
        <r>
          <rPr>
            <b/>
            <sz val="9"/>
            <color indexed="81"/>
            <rFont val="Tahoma"/>
            <family val="2"/>
          </rPr>
          <t>10.31.21:</t>
        </r>
        <r>
          <rPr>
            <sz val="9"/>
            <color indexed="81"/>
            <rFont val="Tahoma"/>
            <family val="2"/>
          </rPr>
          <t xml:space="preserve">
Defaults to Yes and can not be changed to No.</t>
        </r>
      </text>
    </comment>
    <comment ref="B8" authorId="0" shapeId="0" xr:uid="{99F076D0-B926-49F7-A014-A74B39CDE3D1}">
      <text>
        <r>
          <rPr>
            <b/>
            <sz val="9"/>
            <color indexed="81"/>
            <rFont val="Tahoma"/>
            <family val="2"/>
          </rPr>
          <t>10.26.23:</t>
        </r>
        <r>
          <rPr>
            <sz val="9"/>
            <color indexed="81"/>
            <rFont val="Tahoma"/>
            <family val="2"/>
          </rPr>
          <t xml:space="preserve">
This form defaults to "No", but changes to "Yes" if solar water heating is selected in Table B.</t>
        </r>
      </text>
    </comment>
  </commentList>
</comments>
</file>

<file path=xl/sharedStrings.xml><?xml version="1.0" encoding="utf-8"?>
<sst xmlns="http://schemas.openxmlformats.org/spreadsheetml/2006/main" count="967" uniqueCount="525">
  <si>
    <t>Date</t>
  </si>
  <si>
    <t>Table</t>
  </si>
  <si>
    <t>Description</t>
  </si>
  <si>
    <t>Colors</t>
  </si>
  <si>
    <t>Footers</t>
  </si>
  <si>
    <t>Changed date in footer and added an LMCC Footer</t>
  </si>
  <si>
    <t>Yellow with red text</t>
  </si>
  <si>
    <t>Signature Block</t>
  </si>
  <si>
    <t>Add "Responsible Person Scope" field</t>
  </si>
  <si>
    <t>Added AEA and replaced "HERS" with "ECC"</t>
  </si>
  <si>
    <t>NRCC, Section A - A03</t>
  </si>
  <si>
    <t>Changed from "Conditioned Floor Area (ft2)" to "Square footage of building (ft2)"</t>
  </si>
  <si>
    <t>NRCC, Section A - A04</t>
  </si>
  <si>
    <t>Revised dropdown options</t>
  </si>
  <si>
    <t>When "All other building types" is selected, trigger question in UI</t>
  </si>
  <si>
    <t>NRCC, Section B - PV subtable</t>
  </si>
  <si>
    <t xml:space="preserve">Revised text in fields, deleted an exception, and added an exception </t>
  </si>
  <si>
    <t>LMCC, Section B - PV subtable</t>
  </si>
  <si>
    <t>Deleted an exception</t>
  </si>
  <si>
    <t>Section C, C03</t>
  </si>
  <si>
    <t>Changed note to clarify logic</t>
  </si>
  <si>
    <t>Section H</t>
  </si>
  <si>
    <t>Updated section references</t>
  </si>
  <si>
    <t>NRCC, Section J - PV subtable</t>
  </si>
  <si>
    <t>Split into two tables and added fields and calculations - fully changed the way this section works and calculates</t>
  </si>
  <si>
    <t>NRCC, Section J - Battery subtable</t>
  </si>
  <si>
    <t>Revised Column 01 header text and added clarifying note</t>
  </si>
  <si>
    <t>Added calculations in Column 04 (and added logic) and 05</t>
  </si>
  <si>
    <t>LMCC, Section J, Column 01</t>
  </si>
  <si>
    <t>New field - Roof Slope (renumbered subsequent columns)</t>
  </si>
  <si>
    <t>LMCC, Section J, Column 02</t>
  </si>
  <si>
    <t xml:space="preserve">Revised column header </t>
  </si>
  <si>
    <t>LMCC, Section J, Column 06</t>
  </si>
  <si>
    <t>Deleted column</t>
  </si>
  <si>
    <t>LMCC, Section J, Column 09</t>
  </si>
  <si>
    <t>Revised logic</t>
  </si>
  <si>
    <t>LMCC, Section J</t>
  </si>
  <si>
    <t>Added "Add Roof" and "Remove Last" buttons</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</si>
  <si>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</si>
  <si>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</si>
  <si>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</si>
  <si>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</si>
  <si>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</si>
  <si>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</si>
  <si>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</si>
  <si>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</si>
  <si>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</si>
  <si>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</si>
  <si>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</si>
  <si>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</si>
  <si>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</si>
  <si>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</si>
  <si>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</si>
  <si>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Allocated Solar Zone</t>
  </si>
  <si>
    <t>Table G</t>
  </si>
  <si>
    <t>Permanently Installed Solar Photovoltaic (PV) System</t>
  </si>
  <si>
    <t>Table H</t>
  </si>
  <si>
    <t>Permanently Installed Solar Water Heating System</t>
  </si>
  <si>
    <t>Table I</t>
  </si>
  <si>
    <t>Smart Thermostats and Alternative Efficiency Measure</t>
  </si>
  <si>
    <t>Table J</t>
  </si>
  <si>
    <t>Photovoltaic and Battery Systems</t>
  </si>
  <si>
    <t>Table A &amp; B</t>
  </si>
  <si>
    <t>Table K</t>
  </si>
  <si>
    <t>Declaration of Required Certificates of Installation</t>
  </si>
  <si>
    <t>Table L</t>
  </si>
  <si>
    <t>Declaration of Required Certificates of Acceptance</t>
  </si>
  <si>
    <t>-</t>
  </si>
  <si>
    <t>Signature Page</t>
  </si>
  <si>
    <t>Tables</t>
  </si>
  <si>
    <t>§110.10</t>
  </si>
  <si>
    <t>Header 1st page, A</t>
  </si>
  <si>
    <t>§110.10(b)</t>
  </si>
  <si>
    <t>B</t>
  </si>
  <si>
    <t>§110.10(b)1B</t>
  </si>
  <si>
    <t>B, F, G, H, I, J</t>
  </si>
  <si>
    <t>§110.12(a)</t>
  </si>
  <si>
    <t>B, I</t>
  </si>
  <si>
    <t>§150.1(c)8Biii</t>
  </si>
  <si>
    <t>Reference Joint Appendix 5 JA5</t>
  </si>
  <si>
    <t>Reference Residential Appendix RA 4</t>
  </si>
  <si>
    <t>§110.10(b)3A</t>
  </si>
  <si>
    <t>F</t>
  </si>
  <si>
    <t>§110.10(b)3B</t>
  </si>
  <si>
    <t>§110.10(c)</t>
  </si>
  <si>
    <t>§140.10</t>
  </si>
  <si>
    <t>§170.2(f-h)</t>
  </si>
  <si>
    <t>User input</t>
  </si>
  <si>
    <t>auto calculated</t>
  </si>
  <si>
    <t>From another Table</t>
  </si>
  <si>
    <t>From look up table</t>
  </si>
  <si>
    <r>
      <rPr>
        <sz val="7"/>
        <color rgb="FF231F20"/>
        <rFont val="Arial"/>
        <family val="2"/>
      </rPr>
      <t>STATE OF CALIFORNIA</t>
    </r>
  </si>
  <si>
    <t>Solar And Battery</t>
  </si>
  <si>
    <t>NRCC-SAB-E</t>
  </si>
  <si>
    <t xml:space="preserve">CALIFORNIA ENERGY COMMISSION                       </t>
  </si>
  <si>
    <t>CERTIFICATE OF COMPLIANCE</t>
  </si>
  <si>
    <r>
      <t>This document is used to demonstrate compliance with prescriptive PV and battery requirements in §140.10/§170.2 for nonresidential, multifamily and mixed-use buildings and prescriptive solar thermal requirements in §170.2(d)3C for multifamilyand hotel/ motel occupancies.
When PV/battery/solar thermal requirements don't apply or are traded using the performance approach, this document demonstrates compliance with mandatory solar readiness requirements in §110.10/ §160.8 for newly constructed buildings which are either multifamily ten stories or fewer, hotel/motel ten stories or fewer or all other nonresidential buildings three stories or fewer.  It is also used to demonstrate compliance with solar readiness in §110.10/ §160.8 for additions to nonresidential, multifamily or hotel/motel building types which add more than 2,000 ft</t>
    </r>
    <r>
      <rPr>
        <i/>
        <vertAlign val="superscript"/>
        <sz val="10"/>
        <rFont val="Calibri"/>
        <family val="2"/>
      </rPr>
      <t>2</t>
    </r>
    <r>
      <rPr>
        <i/>
        <sz val="10"/>
        <rFont val="Calibri"/>
        <family val="2"/>
      </rPr>
      <t xml:space="preserve"> of roof area.  Alterations, or additions of less than 2,000 ft</t>
    </r>
    <r>
      <rPr>
        <i/>
        <vertAlign val="superscript"/>
        <sz val="10"/>
        <rFont val="Calibri"/>
        <family val="2"/>
      </rPr>
      <t>2</t>
    </r>
    <r>
      <rPr>
        <i/>
        <sz val="10"/>
        <rFont val="Calibri"/>
        <family val="2"/>
      </rPr>
      <t xml:space="preserve"> of roof area, are not required to comply with solar readiness, solar PV and battery requirements and do not need to complete this document.</t>
    </r>
  </si>
  <si>
    <t>Project Name:</t>
  </si>
  <si>
    <t>Report Page:</t>
  </si>
  <si>
    <t>Page 1 of ??</t>
  </si>
  <si>
    <t>Project Address:</t>
  </si>
  <si>
    <t>Date Prepared:</t>
  </si>
  <si>
    <t>This is a heading.  The project name, address and date prepared should be a user input on the first page, but that should populate the heading on all other pages.</t>
  </si>
  <si>
    <t>Remove this field on all but first &amp; last page header</t>
  </si>
  <si>
    <t xml:space="preserve">LMCC-SAB-01-E </t>
  </si>
  <si>
    <t>LMCC-SAB-01-E</t>
  </si>
  <si>
    <r>
      <t>This document is used to demonstrate compliance with prescriptive PV and battery requirements in §140.10/§170.2 for low-rise multifamily and low-rise mixed-use buildings and prescriptive solar thermal requirements in §170.2(d)3C for low-rise multifamily and hotel/motel occupancies.
When PV/battery/solar thermal requirements don't apply or are traded using the performance approach, this document demonstrates compliance with mandatory solar readiness requirements in §110.10/ §160.8 for newly constructed buildings which are low-rise multifamily or low-rise mixed-use.  It is also used to demonstrate compliance with solar readiness in §160.8 for additions to low-rise multifamily which add more than 2,000 ft</t>
    </r>
    <r>
      <rPr>
        <i/>
        <vertAlign val="superscript"/>
        <sz val="10"/>
        <rFont val="Calibri"/>
        <family val="2"/>
      </rPr>
      <t>2</t>
    </r>
    <r>
      <rPr>
        <i/>
        <sz val="10"/>
        <rFont val="Calibri"/>
        <family val="2"/>
      </rPr>
      <t xml:space="preserve"> of roof area.  Alterations, or additions of less than 2,000 ft</t>
    </r>
    <r>
      <rPr>
        <i/>
        <vertAlign val="superscript"/>
        <sz val="10"/>
        <rFont val="Calibri"/>
        <family val="2"/>
      </rPr>
      <t>2</t>
    </r>
    <r>
      <rPr>
        <i/>
        <sz val="10"/>
        <rFont val="Calibri"/>
        <family val="2"/>
      </rPr>
      <t xml:space="preserve"> of roof area, are not required to comply with solar readiness, solar PV and battery requirements and do not need to complete this document.</t>
    </r>
  </si>
  <si>
    <t>Footer for every page:</t>
  </si>
  <si>
    <t>Registration Number:</t>
  </si>
  <si>
    <t>Registration Date/Time:</t>
  </si>
  <si>
    <t>Registration Provider:</t>
  </si>
  <si>
    <t>Report Version:</t>
  </si>
  <si>
    <t>Compliance ID:</t>
  </si>
  <si>
    <t>Schema Version:</t>
  </si>
  <si>
    <t>Report Generated:</t>
  </si>
  <si>
    <r>
      <t xml:space="preserve">CA Building Energy Efficiency Standards - </t>
    </r>
    <r>
      <rPr>
        <strike/>
        <sz val="10"/>
        <rFont val="Calibri"/>
        <family val="2"/>
        <scheme val="minor"/>
      </rPr>
      <t>2022</t>
    </r>
    <r>
      <rPr>
        <sz val="10"/>
        <color rgb="FFFF0000"/>
        <rFont val="Calibri"/>
        <family val="2"/>
        <scheme val="minor"/>
      </rPr>
      <t xml:space="preserve"> 2025 Nonresidential</t>
    </r>
    <r>
      <rPr>
        <sz val="10"/>
        <rFont val="Calibri"/>
        <family val="2"/>
        <scheme val="minor"/>
      </rPr>
      <t xml:space="preserve"> Compliance</t>
    </r>
  </si>
  <si>
    <r>
      <t xml:space="preserve">CA Building Energy Efficiency Standards - </t>
    </r>
    <r>
      <rPr>
        <strike/>
        <sz val="10"/>
        <rFont val="Calibri"/>
        <family val="2"/>
        <scheme val="minor"/>
      </rPr>
      <t>2022</t>
    </r>
    <r>
      <rPr>
        <sz val="10"/>
        <color rgb="FFFF0000"/>
        <rFont val="Calibri"/>
        <family val="2"/>
        <scheme val="minor"/>
      </rPr>
      <t xml:space="preserve"> 2025 Low-rise Multifamily</t>
    </r>
    <r>
      <rPr>
        <sz val="10"/>
        <rFont val="Calibri"/>
        <family val="2"/>
        <scheme val="minor"/>
      </rPr>
      <t xml:space="preserve"> Compliance</t>
    </r>
  </si>
  <si>
    <t>A. GENERAL INFORMATION</t>
  </si>
  <si>
    <t>01</t>
  </si>
  <si>
    <t>Project Location (city)</t>
  </si>
  <si>
    <t>04</t>
  </si>
  <si>
    <t>Building Occupancies</t>
  </si>
  <si>
    <t>Dropdown (select all that apply), see below for list</t>
  </si>
  <si>
    <t>02</t>
  </si>
  <si>
    <t>Climate Zone</t>
  </si>
  <si>
    <t>Dropdown, see below for list</t>
  </si>
  <si>
    <t>05</t>
  </si>
  <si>
    <t>Construction Type</t>
  </si>
  <si>
    <t>03</t>
  </si>
  <si>
    <r>
      <t>Conditioned Floor Area (ft</t>
    </r>
    <r>
      <rPr>
        <strike/>
        <vertAlign val="superscript"/>
        <sz val="10"/>
        <color rgb="FFFF0000"/>
        <rFont val="Calibri"/>
        <family val="2"/>
        <scheme val="minor"/>
      </rPr>
      <t>2</t>
    </r>
    <r>
      <rPr>
        <strike/>
        <sz val="10"/>
        <color rgb="FFFF0000"/>
        <rFont val="Calibri"/>
        <family val="2"/>
        <scheme val="minor"/>
      </rPr>
      <t xml:space="preserve">) </t>
    </r>
    <r>
      <rPr>
        <sz val="10"/>
        <color rgb="FFFF0000"/>
        <rFont val="Calibri"/>
        <family val="2"/>
        <scheme val="minor"/>
      </rPr>
      <t>Square footage of building (ft2)</t>
    </r>
  </si>
  <si>
    <t>user input</t>
  </si>
  <si>
    <t>06</t>
  </si>
  <si>
    <t>Number of Stories</t>
  </si>
  <si>
    <r>
      <t>STOP!  Alterations, or additions that increase roof area by ≤ 2,000 ft</t>
    </r>
    <r>
      <rPr>
        <i/>
        <vertAlign val="superscript"/>
        <sz val="11"/>
        <rFont val="Calibri"/>
        <family val="2"/>
        <scheme val="minor"/>
      </rPr>
      <t>2</t>
    </r>
    <r>
      <rPr>
        <i/>
        <sz val="11"/>
        <rFont val="Calibri"/>
        <family val="2"/>
        <scheme val="minor"/>
      </rPr>
      <t xml:space="preserve">, are not required to comply with requirements in §110.10/§140.10/§170.2(g and h) and do not need to complete this compliance document.  </t>
    </r>
  </si>
  <si>
    <t xml:space="preserve">STOP! Healthcare facilities are not required to comply with the requirements of §110.10/§140.10/§170.2(g and h) and do not need to complete this compliance document. </t>
  </si>
  <si>
    <t>Climate Zone Dropdown</t>
  </si>
  <si>
    <t>Building Type Dropdown</t>
  </si>
  <si>
    <t>Hotel/Motel</t>
  </si>
  <si>
    <t>&lt;triggers PV/Battery subtable in Table B if either New Construction choices in col05; triggers Solar Ready in Table B if Add&gt; 2000sf</t>
  </si>
  <si>
    <t>High-rise multifamily</t>
  </si>
  <si>
    <t>&lt;triggers PV/Battery subtable in Table B if either New Construction choices in col05; triggers Solar Ready in Table B if Add&gt; 2000sf OR Declared Emergency Area Rebuild</t>
  </si>
  <si>
    <t>Grocery</t>
  </si>
  <si>
    <t>Office</t>
  </si>
  <si>
    <t>Financial Institution</t>
  </si>
  <si>
    <t>Unleased Tenant Space</t>
  </si>
  <si>
    <t>Retail</t>
  </si>
  <si>
    <t>School or Classroom</t>
  </si>
  <si>
    <t>Warehouse</t>
  </si>
  <si>
    <t>Sports &amp; Recreation</t>
  </si>
  <si>
    <t>Events &amp; Exhibits</t>
  </si>
  <si>
    <t>Library</t>
  </si>
  <si>
    <t>Medical Office Bldg/ Clinic</t>
  </si>
  <si>
    <t>Restaurant</t>
  </si>
  <si>
    <r>
      <t xml:space="preserve">Religious </t>
    </r>
    <r>
      <rPr>
        <strike/>
        <sz val="10"/>
        <color rgb="FFFF0000"/>
        <rFont val="Calibri"/>
        <family val="2"/>
        <scheme val="minor"/>
      </rPr>
      <t xml:space="preserve">Facility </t>
    </r>
    <r>
      <rPr>
        <sz val="10"/>
        <color rgb="FFFF0000"/>
        <rFont val="Calibri"/>
        <family val="2"/>
        <scheme val="minor"/>
      </rPr>
      <t>Worship           </t>
    </r>
  </si>
  <si>
    <t>Theater</t>
  </si>
  <si>
    <t xml:space="preserve">Parking Garage </t>
  </si>
  <si>
    <t>Auditorium</t>
  </si>
  <si>
    <t>Commercial Industrial</t>
  </si>
  <si>
    <t>Data Center  </t>
  </si>
  <si>
    <t>Gymnasium</t>
  </si>
  <si>
    <t>Relocatable Public School</t>
  </si>
  <si>
    <t>Support Area</t>
  </si>
  <si>
    <t>Convention Center</t>
  </si>
  <si>
    <t>All other building types</t>
  </si>
  <si>
    <t>&lt; triggers Solar Ready if New Const. or Add &gt;2,000ft2 in col 05 AND &lt;= 3 stories in col 06</t>
  </si>
  <si>
    <t>I-2 and I-2.1 Healthcare Facilities</t>
  </si>
  <si>
    <t>&lt; triggers none, Healthcare is exempt from all requirements</t>
  </si>
  <si>
    <t>Construction Type Dropdown</t>
  </si>
  <si>
    <t>New Construction</t>
  </si>
  <si>
    <r>
      <t>New Construction w roof &lt;= 533ft</t>
    </r>
    <r>
      <rPr>
        <vertAlign val="superscript"/>
        <sz val="10"/>
        <rFont val="Calibri"/>
        <family val="2"/>
        <scheme val="minor"/>
      </rPr>
      <t>2</t>
    </r>
  </si>
  <si>
    <t>&lt; exception to Solar Ready requirements.</t>
  </si>
  <si>
    <r>
      <t>Additionincreases roof area &gt; 2,000 ft</t>
    </r>
    <r>
      <rPr>
        <vertAlign val="superscript"/>
        <sz val="10"/>
        <rFont val="Calibri"/>
        <family val="2"/>
        <scheme val="minor"/>
      </rPr>
      <t>2</t>
    </r>
  </si>
  <si>
    <r>
      <t>Alteration/ Additionincreases roof area ≤ 2,000 ft</t>
    </r>
    <r>
      <rPr>
        <vertAlign val="superscript"/>
        <sz val="10"/>
        <rFont val="Calibri"/>
        <family val="2"/>
        <scheme val="minor"/>
      </rPr>
      <t>2</t>
    </r>
  </si>
  <si>
    <t>Declared Emergency Area Rebuild</t>
  </si>
  <si>
    <t>Number of Stories Dropdown</t>
  </si>
  <si>
    <t>Bldg &lt;= 3 stories</t>
  </si>
  <si>
    <t>Bldg 4-10 stories</t>
  </si>
  <si>
    <t>Bldg &gt; 10 stories</t>
  </si>
  <si>
    <r>
      <t>Conditioned Floor Area (ft</t>
    </r>
    <r>
      <rPr>
        <vertAlign val="superscript"/>
        <sz val="10"/>
        <rFont val="Calibri"/>
        <family val="2"/>
        <scheme val="minor"/>
      </rPr>
      <t>2</t>
    </r>
    <r>
      <rPr>
        <sz val="10"/>
        <rFont val="Calibri"/>
        <family val="2"/>
        <scheme val="minor"/>
      </rPr>
      <t>)</t>
    </r>
  </si>
  <si>
    <r>
      <t>STOP!  Alterations, or additions that increase roof area by ≤ 2,000 ft</t>
    </r>
    <r>
      <rPr>
        <i/>
        <vertAlign val="superscript"/>
        <sz val="11"/>
        <rFont val="Calibri"/>
        <family val="2"/>
        <scheme val="minor"/>
      </rPr>
      <t>2</t>
    </r>
    <r>
      <rPr>
        <i/>
        <sz val="11"/>
        <rFont val="Calibri"/>
        <family val="2"/>
        <scheme val="minor"/>
      </rPr>
      <t xml:space="preserve">, are not required to comply with requirements in §110.10/§170.2(f) and do not need to complete this compliance document.  </t>
    </r>
  </si>
  <si>
    <t>Multifamily/ Mixed-Use</t>
  </si>
  <si>
    <t>&lt;triggers PV/Battery subtable in Table B if either New Construction choices in col05; triggers Solar Ready in Table B if Add &gt; 2000sf OR Declared Emergency Area Rebuild</t>
  </si>
  <si>
    <t>Multifamily in Trinity Public Utility Dist.</t>
  </si>
  <si>
    <t>&lt;triggers Solar Ready in Table B if either New Construction choices in col05 OR Add &gt; 2000sf OR Declared Emergency Area Rebuild</t>
  </si>
  <si>
    <t>Multifamily in City of Needles</t>
  </si>
  <si>
    <r>
      <t>Addition increases roof area &gt; 2,000 ft</t>
    </r>
    <r>
      <rPr>
        <vertAlign val="superscript"/>
        <sz val="10"/>
        <rFont val="Calibri"/>
        <family val="2"/>
        <scheme val="minor"/>
      </rPr>
      <t>2</t>
    </r>
  </si>
  <si>
    <r>
      <t>Alteration/ Addition increases roof area ≤ 2,000 ft</t>
    </r>
    <r>
      <rPr>
        <vertAlign val="superscript"/>
        <sz val="10"/>
        <rFont val="Calibri"/>
        <family val="2"/>
        <scheme val="minor"/>
      </rPr>
      <t>2</t>
    </r>
  </si>
  <si>
    <t>B. PROJECT SCOPE</t>
  </si>
  <si>
    <t xml:space="preserve">The compliance path the project is using to comply per §110.10(b)1B/§140.10/§170.2(g and h) is indicated below. </t>
  </si>
  <si>
    <t>Compliance with Solar Readiness Requirements in §110.10(b)1B</t>
  </si>
  <si>
    <t>¨</t>
  </si>
  <si>
    <t>Provide Solar Ready Area no exceptions</t>
  </si>
  <si>
    <r>
      <t>The project has allocated a solar zone on the roof plan per requirements in §110.10(b</t>
    </r>
    <r>
      <rPr>
        <sz val="10"/>
        <rFont val="Calibri"/>
        <family val="2"/>
        <scheme val="minor"/>
      </rPr>
      <t>), as documented in Table F.</t>
    </r>
  </si>
  <si>
    <t>&lt;&lt; triggers Table F.</t>
  </si>
  <si>
    <t>Exception to Solar Ready Area:
Installed Solar Photovoltaic System</t>
  </si>
  <si>
    <r>
      <t>The project includes a permanently installed solar electric system having a nameplate DC power rating, measured under Standard Test Conditions, of no less than one watt per square foot of roof are</t>
    </r>
    <r>
      <rPr>
        <sz val="10"/>
        <rFont val="Calibri"/>
        <family val="2"/>
      </rPr>
      <t>a, as documented in Table G.</t>
    </r>
  </si>
  <si>
    <t xml:space="preserve">&lt;&lt; triggers Table G </t>
  </si>
  <si>
    <t>Exception to Solar Ready Area:
Installed Solar Water Heating System</t>
  </si>
  <si>
    <r>
      <t>The project is a hotel/motel or high-rise multifamily occupancy and includes a permanently installed domestic solar water-heating system complying with §170.2(d)</t>
    </r>
    <r>
      <rPr>
        <strike/>
        <sz val="10"/>
        <color rgb="FFFF0000"/>
        <rFont val="Calibri"/>
        <family val="2"/>
        <scheme val="minor"/>
      </rPr>
      <t>3</t>
    </r>
    <r>
      <rPr>
        <sz val="10"/>
        <color rgb="FFFF0000"/>
        <rFont val="Calibri"/>
        <family val="2"/>
        <scheme val="minor"/>
      </rPr>
      <t>2</t>
    </r>
    <r>
      <rPr>
        <strike/>
        <sz val="10"/>
        <color rgb="FFFF0000"/>
        <rFont val="Calibri"/>
        <family val="2"/>
        <scheme val="minor"/>
      </rPr>
      <t>C</t>
    </r>
    <r>
      <rPr>
        <sz val="10"/>
        <color rgb="FFFF0000"/>
        <rFont val="Calibri"/>
        <family val="2"/>
        <scheme val="minor"/>
      </rPr>
      <t xml:space="preserve">Bii </t>
    </r>
    <r>
      <rPr>
        <sz val="10"/>
        <rFont val="Calibri"/>
        <family val="2"/>
        <scheme val="minor"/>
      </rPr>
      <t>and Reference Residential Appendix RA4, as documented in Table H.</t>
    </r>
  </si>
  <si>
    <t>&lt;&lt; triggers Table H.</t>
  </si>
  <si>
    <t>Exception to Solar Ready Area:
Smart Thermostat and Alternative Energy Efficiency Measure</t>
  </si>
  <si>
    <t>The project is a multifamily occupancy where all thermostats in each dwelling unit comply with §110.12(a) AND at least one additional measure listed in Exception 4 to §110.10(b)1B is installed, as documented in Table I.</t>
  </si>
  <si>
    <t>&lt;&lt; triggers Table I.</t>
  </si>
  <si>
    <t>Exception to Solar Ready Area:
Roof is designed for vehicular traffic, parking or for heliport</t>
  </si>
  <si>
    <t>Plan sheet showing roof designed for vehiclar traffic, parking, or heliport:</t>
  </si>
  <si>
    <t>&lt;&lt; triggers "COMPLIES with Exceptions" in Table C</t>
  </si>
  <si>
    <t>Exception to Solar Ready Area:
Roof too small</t>
  </si>
  <si>
    <r>
      <t>The project is new construction and has a total roof area &lt;= 533 square feet.</t>
    </r>
    <r>
      <rPr>
        <vertAlign val="superscript"/>
        <sz val="10"/>
        <rFont val="Calibri"/>
        <family val="2"/>
      </rPr>
      <t>1</t>
    </r>
  </si>
  <si>
    <t>Exception to Solar Ready Area:
Number of building stories</t>
  </si>
  <si>
    <t>The project is nonresidential &gt; 3 stories or multifamily/hotel/motel &gt; 10 stories.</t>
  </si>
  <si>
    <r>
      <rPr>
        <i/>
        <vertAlign val="superscript"/>
        <sz val="10"/>
        <rFont val="Calibri"/>
        <family val="2"/>
        <scheme val="minor"/>
      </rPr>
      <t>1</t>
    </r>
    <r>
      <rPr>
        <i/>
        <sz val="10"/>
        <rFont val="Calibri"/>
        <family val="2"/>
        <scheme val="minor"/>
      </rPr>
      <t xml:space="preserve"> FOOTNOTE: Buildings with roof area &lt;= 533 ft</t>
    </r>
    <r>
      <rPr>
        <i/>
        <vertAlign val="superscript"/>
        <sz val="10"/>
        <rFont val="Calibri"/>
        <family val="2"/>
        <scheme val="minor"/>
      </rPr>
      <t>2</t>
    </r>
    <r>
      <rPr>
        <i/>
        <sz val="10"/>
        <rFont val="Calibri"/>
        <family val="2"/>
        <scheme val="minor"/>
      </rPr>
      <t xml:space="preserve"> would have a required solar zone &lt; 80ft</t>
    </r>
    <r>
      <rPr>
        <i/>
        <vertAlign val="superscript"/>
        <sz val="10"/>
        <rFont val="Calibri"/>
        <family val="2"/>
        <scheme val="minor"/>
      </rPr>
      <t>2</t>
    </r>
    <r>
      <rPr>
        <i/>
        <sz val="10"/>
        <rFont val="Calibri"/>
        <family val="2"/>
        <scheme val="minor"/>
      </rPr>
      <t xml:space="preserve"> and are therefore exempt per §110.10(b)1.</t>
    </r>
  </si>
  <si>
    <t>Compliance with Solar Photovoltaic (PV) and Battery Requirements in §140.10/§170.2 (g &amp; h)</t>
  </si>
  <si>
    <t>Provided PV system and battery storage sized per §140.10/§170.2 (g &amp; h)</t>
  </si>
  <si>
    <t>The project has included an installed PV system and battery storage system per requirements in §140.10/ §170.2(g &amp; h), as documented in Table J.</t>
  </si>
  <si>
    <t>Exception to PV &amp; Battery:
Not enough Solar Access Roof Area</t>
  </si>
  <si>
    <t>The total of all available Solar Access Roof Area(s) of the project site is less than three percent of the conditioned floor area as documented in Table J.</t>
  </si>
  <si>
    <t>&lt;&lt;triggers Solar Readiness subtable</t>
  </si>
  <si>
    <t>Exception to PV &amp; Battery:
Required PV &lt; 4kW</t>
  </si>
  <si>
    <r>
      <t xml:space="preserve">The required PV system </t>
    </r>
    <r>
      <rPr>
        <strike/>
        <sz val="10"/>
        <color rgb="FFFF0000"/>
        <rFont val="Calibri"/>
        <family val="2"/>
      </rPr>
      <t>size</t>
    </r>
    <r>
      <rPr>
        <sz val="10"/>
        <color rgb="FFFF0000"/>
        <rFont val="Calibri"/>
        <family val="2"/>
      </rPr>
      <t xml:space="preserve"> capacity</t>
    </r>
    <r>
      <rPr>
        <sz val="10"/>
        <rFont val="Calibri"/>
        <family val="2"/>
      </rPr>
      <t xml:space="preserve"> is less than 4 kWdc as documented in Table J.</t>
    </r>
  </si>
  <si>
    <t>Exception to PV &amp; Battery:
No contiguous Solar Access Roof Area</t>
  </si>
  <si>
    <t>The Solar Access Roof Area(s) of the project site contains less than 80 contiguous square feet as documented in Table J.</t>
  </si>
  <si>
    <t>Exception to PV &amp; Battery:
Can't meet snow load</t>
  </si>
  <si>
    <t>The project has a roof design where the enforcement authority has verified it is not possible for the PV system, including panels, modules, components, supports, and attachments to the roof structure, to meet ASCE 7-16, Chapter 7, Snow Loads.</t>
  </si>
  <si>
    <r>
      <t xml:space="preserve">Exception to PV &amp; Battery:
</t>
    </r>
    <r>
      <rPr>
        <strike/>
        <sz val="10"/>
        <color rgb="FFFF0000"/>
        <rFont val="Calibri"/>
        <family val="2"/>
        <scheme val="minor"/>
      </rPr>
      <t>Multi-tenant</t>
    </r>
    <r>
      <rPr>
        <sz val="10"/>
        <color rgb="FFFF0000"/>
        <rFont val="Calibri"/>
        <family val="2"/>
        <scheme val="minor"/>
      </rPr>
      <t xml:space="preserve"> </t>
    </r>
    <r>
      <rPr>
        <strike/>
        <sz val="10"/>
        <color rgb="FFFF0000"/>
        <rFont val="Calibri"/>
        <family val="2"/>
        <scheme val="minor"/>
      </rPr>
      <t xml:space="preserve">VNEM or Community Solar </t>
    </r>
    <r>
      <rPr>
        <sz val="10"/>
        <color rgb="FFFF0000"/>
        <rFont val="Calibri"/>
        <family val="2"/>
        <scheme val="minor"/>
      </rPr>
      <t xml:space="preserve">Multifamily without virtual energy credits </t>
    </r>
  </si>
  <si>
    <r>
      <t xml:space="preserve">The project is a </t>
    </r>
    <r>
      <rPr>
        <sz val="10"/>
        <color rgb="FFFF0000"/>
        <rFont val="Calibri"/>
        <family val="2"/>
      </rPr>
      <t xml:space="preserve">multifamily </t>
    </r>
    <r>
      <rPr>
        <strike/>
        <sz val="10"/>
        <color rgb="FFFF0000"/>
        <rFont val="Calibri"/>
        <family val="2"/>
      </rPr>
      <t>mulit-tenant</t>
    </r>
    <r>
      <rPr>
        <sz val="10"/>
        <rFont val="Calibri"/>
        <family val="2"/>
      </rPr>
      <t xml:space="preserve"> building in an area where a load serving entity does not provide </t>
    </r>
    <r>
      <rPr>
        <strike/>
        <sz val="10"/>
        <color rgb="FFFF0000"/>
        <rFont val="Calibri"/>
        <family val="2"/>
      </rPr>
      <t>either</t>
    </r>
    <r>
      <rPr>
        <sz val="10"/>
        <rFont val="Calibri"/>
        <family val="2"/>
      </rPr>
      <t xml:space="preserve"> </t>
    </r>
    <r>
      <rPr>
        <sz val="10"/>
        <color rgb="FFFF0000"/>
        <rFont val="Calibri"/>
        <family val="2"/>
      </rPr>
      <t>a program where PV generation is compensated through virtual energy bill credits.</t>
    </r>
    <r>
      <rPr>
        <sz val="10"/>
        <rFont val="Calibri"/>
        <family val="2"/>
      </rPr>
      <t xml:space="preserve"> </t>
    </r>
    <r>
      <rPr>
        <sz val="10"/>
        <color rgb="FFFF0000"/>
        <rFont val="Calibri"/>
        <family val="2"/>
      </rPr>
      <t xml:space="preserve">Also, there is no community solar program and the utility does not support a virtual energy bill program. </t>
    </r>
    <r>
      <rPr>
        <strike/>
        <sz val="10"/>
        <color rgb="FFFF0000"/>
        <rFont val="Calibri"/>
        <family val="2"/>
      </rPr>
      <t>Virtual Net Metering (VNEM) or community solar program</t>
    </r>
    <r>
      <rPr>
        <sz val="10"/>
        <color rgb="FFFF0000"/>
        <rFont val="Calibri"/>
        <family val="2"/>
      </rPr>
      <t>.</t>
    </r>
  </si>
  <si>
    <t>The prescriptive PV/battery requirement has been traded off using the performance compliance approach as documented on the PRF Certificate of Compliance form.</t>
  </si>
  <si>
    <t>Exception to PV &amp; Battery: 
&lt; 80% of Occupancy listed in Table 140.10-A</t>
  </si>
  <si>
    <t>The project has a building where &lt; 80% of the floor area is an occupancy in Table 140.10-A</t>
  </si>
  <si>
    <t>Compliance with Solar Thermal Water Heating Requirements in §170.2(d)3C (Multifamily and hotel/ motel occupancies only)</t>
  </si>
  <si>
    <r>
      <t>The project includes a hotel/motel or multifamily occupancy with a gas or propane central water-heating system (serves 2+ dwelling units) and includes a permanently installed domestic solar water-heating system to comply with §170.2(d</t>
    </r>
    <r>
      <rPr>
        <strike/>
        <sz val="10"/>
        <rFont val="Calibri"/>
        <family val="2"/>
        <scheme val="minor"/>
      </rPr>
      <t>)</t>
    </r>
    <r>
      <rPr>
        <strike/>
        <sz val="10"/>
        <color rgb="FFFF0000"/>
        <rFont val="Calibri"/>
        <family val="2"/>
        <scheme val="minor"/>
      </rPr>
      <t>3</t>
    </r>
    <r>
      <rPr>
        <sz val="10"/>
        <color rgb="FFFF0000"/>
        <rFont val="Calibri"/>
        <family val="2"/>
        <scheme val="minor"/>
      </rPr>
      <t>2</t>
    </r>
    <r>
      <rPr>
        <strike/>
        <sz val="10"/>
        <color rgb="FFFF0000"/>
        <rFont val="Calibri"/>
        <family val="2"/>
        <scheme val="minor"/>
      </rPr>
      <t>C</t>
    </r>
    <r>
      <rPr>
        <sz val="10"/>
        <color rgb="FFFF0000"/>
        <rFont val="Calibri"/>
        <family val="2"/>
        <scheme val="minor"/>
      </rPr>
      <t>Bii</t>
    </r>
    <r>
      <rPr>
        <sz val="10"/>
        <rFont val="Calibri"/>
        <family val="2"/>
        <scheme val="minor"/>
      </rPr>
      <t xml:space="preserve"> and Reference Residential Appendix RA4, as documented in Table H.
Compliance meets Exception 2 to solar ready requirements in  §110.10(b).</t>
    </r>
  </si>
  <si>
    <t>&lt;&lt;triggers Table H.</t>
  </si>
  <si>
    <t xml:space="preserve"> </t>
  </si>
  <si>
    <t xml:space="preserve">The compliance path the project is using to comply per §110.10(b)1B/§170.2(f) is indicated below. </t>
  </si>
  <si>
    <t>Compliance with Solar Photovoltaic (PV) Requirements in §170.2 (f)</t>
  </si>
  <si>
    <t>Provided PV system sized per §170.2 (f)</t>
  </si>
  <si>
    <t>The project has included an installed PV system per requirements in §170.2(f), as documented in Table J.</t>
  </si>
  <si>
    <r>
      <t xml:space="preserve">Exception to PV &amp; Battery:
Required PV &lt; </t>
    </r>
    <r>
      <rPr>
        <sz val="10"/>
        <color rgb="FFFF0000"/>
        <rFont val="Calibri"/>
        <family val="2"/>
        <scheme val="minor"/>
      </rPr>
      <t>4</t>
    </r>
    <r>
      <rPr>
        <sz val="10"/>
        <rFont val="Calibri"/>
        <family val="2"/>
        <scheme val="minor"/>
      </rPr>
      <t xml:space="preserve"> </t>
    </r>
    <r>
      <rPr>
        <strike/>
        <sz val="10"/>
        <rFont val="Calibri"/>
        <family val="2"/>
        <scheme val="minor"/>
      </rPr>
      <t>1.8</t>
    </r>
    <r>
      <rPr>
        <sz val="10"/>
        <rFont val="Calibri"/>
        <family val="2"/>
        <scheme val="minor"/>
      </rPr>
      <t xml:space="preserve"> kW</t>
    </r>
  </si>
  <si>
    <r>
      <t xml:space="preserve">The required PV system size is less than </t>
    </r>
    <r>
      <rPr>
        <sz val="10"/>
        <color rgb="FFFF0000"/>
        <rFont val="Calibri"/>
        <family val="2"/>
      </rPr>
      <t xml:space="preserve">4 </t>
    </r>
    <r>
      <rPr>
        <strike/>
        <sz val="10"/>
        <color rgb="FFFF0000"/>
        <rFont val="Calibri"/>
        <family val="2"/>
      </rPr>
      <t>1.8</t>
    </r>
    <r>
      <rPr>
        <sz val="10"/>
        <color rgb="FFFF0000"/>
        <rFont val="Calibri"/>
        <family val="2"/>
      </rPr>
      <t xml:space="preserve"> </t>
    </r>
    <r>
      <rPr>
        <sz val="10"/>
        <rFont val="Calibri"/>
        <family val="2"/>
      </rPr>
      <t>kWdc as documented in Table J.</t>
    </r>
  </si>
  <si>
    <r>
      <t>The project includes a hotel/motel or multifamily occupancy with a gas or propane central water-heating system (serves 2+ dwelling units) and includes a permanently installed domestic solar water-heating system to comply with §170.2(d)</t>
    </r>
    <r>
      <rPr>
        <strike/>
        <sz val="10"/>
        <color rgb="FFFF0000"/>
        <rFont val="Calibri"/>
        <family val="2"/>
        <scheme val="minor"/>
      </rPr>
      <t>3</t>
    </r>
    <r>
      <rPr>
        <sz val="10"/>
        <color rgb="FFFF0000"/>
        <rFont val="Calibri"/>
        <family val="2"/>
        <scheme val="minor"/>
      </rPr>
      <t>2</t>
    </r>
    <r>
      <rPr>
        <strike/>
        <sz val="10"/>
        <color rgb="FFFF0000"/>
        <rFont val="Calibri"/>
        <family val="2"/>
        <scheme val="minor"/>
      </rPr>
      <t>C</t>
    </r>
    <r>
      <rPr>
        <sz val="10"/>
        <color rgb="FFFF0000"/>
        <rFont val="Calibri"/>
        <family val="2"/>
        <scheme val="minor"/>
      </rPr>
      <t>Bii</t>
    </r>
    <r>
      <rPr>
        <sz val="10"/>
        <rFont val="Calibri"/>
        <family val="2"/>
        <scheme val="minor"/>
      </rPr>
      <t xml:space="preserve"> and Reference Residential Appendix RA4, as documented in Table H.</t>
    </r>
  </si>
  <si>
    <t>C. COMPLIANCE RESULTS</t>
  </si>
  <si>
    <t xml:space="preserve">Results in this table are automatically calculated from data input and calculations in Tables F through I. 
Note: If any cell on this table says "COMPLIES with Exceptional Conditions" refer to Table D. Exceptional Conditions for guidance or see the applicable Table referenced below. </t>
  </si>
  <si>
    <t>OR</t>
  </si>
  <si>
    <t>Installed PV System</t>
  </si>
  <si>
    <t>Installed SWH System</t>
  </si>
  <si>
    <t>Smart Tstat and Alternative EE Measure</t>
  </si>
  <si>
    <t>&lt;</t>
  </si>
  <si>
    <t>07</t>
  </si>
  <si>
    <t>08</t>
  </si>
  <si>
    <t>09</t>
  </si>
  <si>
    <r>
      <t>Required Minimum Area 
(ft</t>
    </r>
    <r>
      <rPr>
        <vertAlign val="superscript"/>
        <sz val="10"/>
        <rFont val="Calibri"/>
        <family val="2"/>
      </rPr>
      <t>2</t>
    </r>
    <r>
      <rPr>
        <sz val="10"/>
        <rFont val="Calibri"/>
        <family val="2"/>
      </rPr>
      <t>)</t>
    </r>
  </si>
  <si>
    <r>
      <t>Designated Area 
(ft</t>
    </r>
    <r>
      <rPr>
        <vertAlign val="superscript"/>
        <sz val="10"/>
        <rFont val="Calibri"/>
        <family val="2"/>
      </rPr>
      <t>2</t>
    </r>
    <r>
      <rPr>
        <sz val="10"/>
        <rFont val="Calibri"/>
        <family val="2"/>
      </rPr>
      <t>)</t>
    </r>
  </si>
  <si>
    <t>Required Minimum DC Power Rating (Watts)</t>
  </si>
  <si>
    <t>Designed DC Power Rating (Watts)</t>
  </si>
  <si>
    <t>Required Minimum Solar Savings Fraction</t>
  </si>
  <si>
    <t>Designed/Rated Solar Savings Fraction</t>
  </si>
  <si>
    <t>JA5 Compliant Thermostat Specified?</t>
  </si>
  <si>
    <t>Alternative Energy Efficiency Measure</t>
  </si>
  <si>
    <t>COMPLIES or
DOES NOT COMPLY or
COMPLIES with Exceptions</t>
  </si>
  <si>
    <t>(See Table F)</t>
  </si>
  <si>
    <r>
      <t>(See Table</t>
    </r>
    <r>
      <rPr>
        <b/>
        <sz val="10"/>
        <rFont val="Calibri"/>
        <family val="2"/>
      </rPr>
      <t>s</t>
    </r>
    <r>
      <rPr>
        <sz val="10"/>
        <rFont val="Calibri"/>
        <family val="2"/>
      </rPr>
      <t xml:space="preserve"> G or J)</t>
    </r>
  </si>
  <si>
    <t>(See Table H)</t>
  </si>
  <si>
    <t>(See Table I)</t>
  </si>
  <si>
    <t>Table H, column 03</t>
  </si>
  <si>
    <t>YES/NO</t>
  </si>
  <si>
    <t>Measure from Table I column 02</t>
  </si>
  <si>
    <t>Location in construction documents showing the location for inverters and metering equipment and a pathway for the routing of conduit/ plumbing to the electrical service/ water heating system per §110.10(c).</t>
  </si>
  <si>
    <t>COMPLIES or DOES NOT COMPLY or Not Applicable</t>
  </si>
  <si>
    <t>Battery storage system design meets the minimum requirements in Joint Appendix JA12 and the minimum energy (kWh)/ power (kW) capacity per Table J.</t>
  </si>
  <si>
    <t>D. EXCEPTIONAL CONDITIONS</t>
  </si>
  <si>
    <t>This table is auto-filled with uneditable comments because of selections made or data entered in tables throughout the form.</t>
  </si>
  <si>
    <t>Comment:</t>
  </si>
  <si>
    <t>The note about making changes in the NRCI table need to show up too just like on LTI.  Note Table letters will need to be updated to match this form.</t>
  </si>
  <si>
    <t>Table F indicates a subarea that is not in compliance with the requirements.  Please revisit Table F.</t>
  </si>
  <si>
    <t>Table H column 03 does not indicate the output from CEC's Solar Water Heating Calculator has been attached.  Please attach the output and indicate this in Table H.</t>
  </si>
  <si>
    <t>See Table J for minimim battery capacity (kWh) being used to reduce required PV system size (kW).</t>
  </si>
  <si>
    <t>The permit applicant has indicated in Table J that the the projects roof space SARA  is not able to fit the minimum system size per Equation 170.2-C. Please ensure the permit applicant has included documenation using an approved solar assessement tool found here https://www.energy.ca.gov/programs-and-topics/programs/building-energy-efficiency-standards/solar-assessment-tools</t>
  </si>
  <si>
    <t>E. ADDITIONAL REMARKS</t>
  </si>
  <si>
    <t>This table includes remarks made by the permit applicant to the Authority Having Jurisdiction.</t>
  </si>
  <si>
    <t>Table Tip:</t>
  </si>
  <si>
    <r>
      <rPr>
        <b/>
        <sz val="10"/>
        <rFont val="Calibri"/>
        <family val="2"/>
        <scheme val="minor"/>
      </rPr>
      <t xml:space="preserve">[d:OnlyUI] </t>
    </r>
    <r>
      <rPr>
        <sz val="10"/>
        <rFont val="Calibri"/>
        <family val="2"/>
        <scheme val="minor"/>
      </rPr>
      <t>Table E allows user input of additional information to support the compliance documentation.</t>
    </r>
    <r>
      <rPr>
        <b/>
        <sz val="10"/>
        <rFont val="Calibri"/>
        <family val="2"/>
        <scheme val="minor"/>
      </rPr>
      <t xml:space="preserve"> [d:/OnlyUI]</t>
    </r>
  </si>
  <si>
    <t>F. ALLOCATED SOLAR ZONE</t>
  </si>
  <si>
    <t xml:space="preserve">This table is completed if the project is designating a solar zone to comply with §110.10(b)1B. New construction considers the total roof area; Additions consider only newly added roof area.
This table demonstrates that the project has designated the minimum area required for the Allocated Solar Zone, and also that the requirements for Solar Zone Subareas have been met.  Each subarea must be shown on a roof plan or documented in construction documents.  The solar zones must also comply with fire code requirements, including, but not limited to, setback and pathway requirements. Requirements for interconnection pathways must also be included in construction documents, and the location is specified in this table. </t>
  </si>
  <si>
    <t xml:space="preserve">Required Minimum Solar Zone </t>
  </si>
  <si>
    <t xml:space="preserve">Minimum Solar Zone Area Calculation Method </t>
  </si>
  <si>
    <r>
      <t>Total New or Added Roof Area
(ft</t>
    </r>
    <r>
      <rPr>
        <vertAlign val="superscript"/>
        <sz val="10"/>
        <rFont val="Calibri"/>
        <family val="2"/>
      </rPr>
      <t>2</t>
    </r>
    <r>
      <rPr>
        <sz val="10"/>
        <rFont val="Calibri"/>
        <family val="2"/>
      </rPr>
      <t>)</t>
    </r>
  </si>
  <si>
    <r>
      <t>Total New or Added Roof Area Covered with Skylights
(ft</t>
    </r>
    <r>
      <rPr>
        <vertAlign val="superscript"/>
        <sz val="10"/>
        <rFont val="Calibri"/>
        <family val="2"/>
      </rPr>
      <t>2</t>
    </r>
    <r>
      <rPr>
        <sz val="10"/>
        <rFont val="Calibri"/>
        <family val="2"/>
      </rPr>
      <t>)</t>
    </r>
  </si>
  <si>
    <r>
      <t>Minimum Solar Zone Based on Total or Added Roof Area                        
(0.15 x (Roof-Skylt))
(ft</t>
    </r>
    <r>
      <rPr>
        <vertAlign val="superscript"/>
        <sz val="10"/>
        <rFont val="Calibri"/>
        <family val="2"/>
      </rPr>
      <t>2</t>
    </r>
    <r>
      <rPr>
        <sz val="10"/>
        <rFont val="Calibri"/>
        <family val="2"/>
      </rPr>
      <t>)</t>
    </r>
  </si>
  <si>
    <r>
      <t>Method/Tool(s) Used to Determine Annual Solar Access for Potential Zones</t>
    </r>
    <r>
      <rPr>
        <vertAlign val="superscript"/>
        <sz val="10"/>
        <rFont val="Calibri"/>
        <family val="2"/>
      </rPr>
      <t>1</t>
    </r>
  </si>
  <si>
    <t>Potential Solar Zone Areas:  Roof Areas with ≥ 70% Solar Access</t>
  </si>
  <si>
    <r>
      <t>Minimum Solar Zone Based on Potential Zone (0.5 x (Total Potential Zone))
(ft</t>
    </r>
    <r>
      <rPr>
        <vertAlign val="superscript"/>
        <sz val="10"/>
        <rFont val="Calibri"/>
        <family val="2"/>
      </rPr>
      <t>2</t>
    </r>
    <r>
      <rPr>
        <sz val="10"/>
        <rFont val="Calibri"/>
        <family val="2"/>
      </rPr>
      <t>)</t>
    </r>
  </si>
  <si>
    <r>
      <t>Required Minimum Solar Zone Area
(ft</t>
    </r>
    <r>
      <rPr>
        <vertAlign val="superscript"/>
        <sz val="10"/>
        <rFont val="Calibri"/>
        <family val="2"/>
      </rPr>
      <t>2</t>
    </r>
    <r>
      <rPr>
        <sz val="10"/>
        <rFont val="Calibri"/>
        <family val="2"/>
      </rPr>
      <t>)</t>
    </r>
  </si>
  <si>
    <r>
      <t>Low-Sloped Area 
(≤ 2:12 pitch)
(ft</t>
    </r>
    <r>
      <rPr>
        <vertAlign val="superscript"/>
        <sz val="10"/>
        <color rgb="FF000000"/>
        <rFont val="Calibri"/>
        <family val="2"/>
        <scheme val="minor"/>
      </rPr>
      <t>2</t>
    </r>
    <r>
      <rPr>
        <sz val="10"/>
        <color rgb="FF000000"/>
        <rFont val="Calibri"/>
        <family val="2"/>
        <scheme val="minor"/>
      </rPr>
      <t>)</t>
    </r>
  </si>
  <si>
    <r>
      <t>Steep-Sloped Area 
(&gt; 2:12 pitch), Oriented 90° - 300°
(ft</t>
    </r>
    <r>
      <rPr>
        <vertAlign val="superscript"/>
        <sz val="10"/>
        <rFont val="Calibri"/>
        <family val="2"/>
      </rPr>
      <t>2</t>
    </r>
    <r>
      <rPr>
        <sz val="10"/>
        <rFont val="Calibri"/>
        <family val="2"/>
      </rPr>
      <t>)</t>
    </r>
  </si>
  <si>
    <r>
      <t>Total Potential Solar Zone Area  
(ft</t>
    </r>
    <r>
      <rPr>
        <vertAlign val="superscript"/>
        <sz val="10"/>
        <rFont val="Calibri"/>
        <family val="2"/>
      </rPr>
      <t>2</t>
    </r>
    <r>
      <rPr>
        <sz val="10"/>
        <rFont val="Calibri"/>
        <family val="2"/>
      </rPr>
      <t>)</t>
    </r>
  </si>
  <si>
    <t>See dropdown</t>
  </si>
  <si>
    <t>Need to to give enough room for user text</t>
  </si>
  <si>
    <t>Designated Solar Zone Subareas</t>
  </si>
  <si>
    <t>10</t>
  </si>
  <si>
    <t>11</t>
  </si>
  <si>
    <t>12</t>
  </si>
  <si>
    <t>13</t>
  </si>
  <si>
    <t>14</t>
  </si>
  <si>
    <t>15</t>
  </si>
  <si>
    <t>16</t>
  </si>
  <si>
    <t>17</t>
  </si>
  <si>
    <t>18</t>
  </si>
  <si>
    <t>19</t>
  </si>
  <si>
    <t>Subarea Name or Tag</t>
  </si>
  <si>
    <t>Building Plan Reference</t>
  </si>
  <si>
    <r>
      <t xml:space="preserve">Roof or 
Overhang Slope
(Low </t>
    </r>
    <r>
      <rPr>
        <u/>
        <sz val="10"/>
        <rFont val="Calibri"/>
        <family val="2"/>
      </rPr>
      <t>&lt;</t>
    </r>
    <r>
      <rPr>
        <sz val="10"/>
        <rFont val="Calibri"/>
        <family val="2"/>
      </rPr>
      <t xml:space="preserve"> 2:12 pitch)
(Steep &gt; 2:12 pitch)</t>
    </r>
  </si>
  <si>
    <t>Is Steep-Sloped Roof or Overhang between 90 and 300 degrees?</t>
  </si>
  <si>
    <t>Subarea Complies with Title 24, Part 9</t>
  </si>
  <si>
    <t>Solar Zone Subarea Free of Obstructions per §110.10(b)3A</t>
  </si>
  <si>
    <t>Subarea is Required Distance from Potential Obstructions  per §110.10(b)3B</t>
  </si>
  <si>
    <t>Is the Smallest Dimension 5 feet or greater?</t>
  </si>
  <si>
    <r>
      <t>Min. Area Required per Subarea 
(ft</t>
    </r>
    <r>
      <rPr>
        <vertAlign val="superscript"/>
        <sz val="10"/>
        <rFont val="Calibri"/>
        <family val="2"/>
      </rPr>
      <t>2</t>
    </r>
    <r>
      <rPr>
        <sz val="10"/>
        <rFont val="Calibri"/>
        <family val="2"/>
      </rPr>
      <t>)</t>
    </r>
  </si>
  <si>
    <r>
      <t>Designated Area 
(ft</t>
    </r>
    <r>
      <rPr>
        <vertAlign val="superscript"/>
        <sz val="10"/>
        <rFont val="Calibri"/>
        <family val="2"/>
        <scheme val="minor"/>
      </rPr>
      <t>2</t>
    </r>
    <r>
      <rPr>
        <sz val="10"/>
        <rFont val="Calibri"/>
        <family val="2"/>
        <scheme val="minor"/>
      </rPr>
      <t>)</t>
    </r>
  </si>
  <si>
    <t>Subarea Complies?</t>
  </si>
  <si>
    <r>
      <t>Total Designated Solar Zone Area (ft</t>
    </r>
    <r>
      <rPr>
        <b/>
        <vertAlign val="superscript"/>
        <sz val="11"/>
        <color rgb="FF000000"/>
        <rFont val="Calibri"/>
        <family val="2"/>
      </rPr>
      <t>2</t>
    </r>
    <r>
      <rPr>
        <b/>
        <sz val="11"/>
        <color rgb="FF000000"/>
        <rFont val="Calibri"/>
        <family val="2"/>
      </rPr>
      <t>):</t>
    </r>
  </si>
  <si>
    <t>sum of column 18 for subareas that say "COMPLIES" in column 19</t>
  </si>
  <si>
    <t>Add Subarea</t>
  </si>
  <si>
    <t>Remove Last</t>
  </si>
  <si>
    <t>Interconnection Pathways</t>
  </si>
  <si>
    <r>
      <rPr>
        <i/>
        <vertAlign val="superscript"/>
        <sz val="10"/>
        <color rgb="FF000000"/>
        <rFont val="Calibri"/>
        <family val="2"/>
      </rPr>
      <t>1</t>
    </r>
    <r>
      <rPr>
        <i/>
        <sz val="10"/>
        <color rgb="FF000000"/>
        <rFont val="Calibri"/>
        <family val="2"/>
      </rPr>
      <t xml:space="preserve"> FOOTNOTE:   This field is used to document how the percentage of annual solar access was determined per §110.10(b)1B.  Solar access is the ratio of solar insolation including shade to the solar insolation without shade. Shading from obstructions located on the roof or any other part of the building shall not be included in the determination of annual solar access.</t>
    </r>
  </si>
  <si>
    <t>Minimum Solar Zone Area Calculation Method Dropdown</t>
  </si>
  <si>
    <t xml:space="preserve">Roof/ Overhang Slope dropdown </t>
  </si>
  <si>
    <t>Steep-Sloped Roof or Overhang dropdown</t>
  </si>
  <si>
    <t>Complies with Title 24, Part 9 dropdown</t>
  </si>
  <si>
    <t>Solar Zone Free of Obstructions dropdown</t>
  </si>
  <si>
    <t>Solar Zone Distance from Obstructions dropdown</t>
  </si>
  <si>
    <t>The Smallest Dimension dropdown</t>
  </si>
  <si>
    <t>Total New or Added Roof Area</t>
  </si>
  <si>
    <t xml:space="preserve">Low-Sloped </t>
  </si>
  <si>
    <t>Yes</t>
  </si>
  <si>
    <t>Potential Solar Zone</t>
  </si>
  <si>
    <t xml:space="preserve">Steep-Sloped  </t>
  </si>
  <si>
    <t>No</t>
  </si>
  <si>
    <t>G. PERMANENTLY INSTALLED SOLAR PV FOR SOLAR READY EXCEPTION</t>
  </si>
  <si>
    <t>This table is completed if the project is installing a PV system to comply with §110.10(b)1B Exception 1.</t>
  </si>
  <si>
    <r>
      <t>Total Roof Area</t>
    </r>
    <r>
      <rPr>
        <vertAlign val="superscript"/>
        <sz val="9"/>
        <color theme="1"/>
        <rFont val="Calibri"/>
        <family val="2"/>
        <scheme val="minor"/>
      </rPr>
      <t>1</t>
    </r>
    <r>
      <rPr>
        <sz val="9"/>
        <color theme="1"/>
        <rFont val="Calibri"/>
        <family val="2"/>
        <scheme val="minor"/>
      </rPr>
      <t xml:space="preserve"> (ft</t>
    </r>
    <r>
      <rPr>
        <vertAlign val="superscript"/>
        <sz val="9"/>
        <color theme="1"/>
        <rFont val="Calibri"/>
        <family val="2"/>
        <scheme val="minor"/>
      </rPr>
      <t>2</t>
    </r>
    <r>
      <rPr>
        <sz val="9"/>
        <color theme="1"/>
        <rFont val="Calibri"/>
        <family val="2"/>
        <scheme val="minor"/>
      </rPr>
      <t>)</t>
    </r>
  </si>
  <si>
    <t>Designed System 
DC Power Rating 
(Watts)</t>
  </si>
  <si>
    <t>Location in Construction Documents showing PV System/ Components</t>
  </si>
  <si>
    <t>Field Inspector</t>
  </si>
  <si>
    <t>Pass</t>
  </si>
  <si>
    <t>Fail</t>
  </si>
  <si>
    <t>This value is transferred to Table C, Column 04</t>
  </si>
  <si>
    <t>o</t>
  </si>
  <si>
    <r>
      <rPr>
        <i/>
        <vertAlign val="superscript"/>
        <sz val="10"/>
        <color theme="1"/>
        <rFont val="Calibri"/>
        <family val="2"/>
        <scheme val="minor"/>
      </rPr>
      <t>1</t>
    </r>
    <r>
      <rPr>
        <i/>
        <sz val="10"/>
        <color theme="1"/>
        <rFont val="Calibri"/>
        <family val="2"/>
        <scheme val="minor"/>
      </rPr>
      <t xml:space="preserve"> FOOTNOTES: Newly Constructed Projects should report total roof area; Additions should report newly added roof area.</t>
    </r>
  </si>
  <si>
    <t>H. PERMANENTLY INSTALLED SOLAR HOT WATER SYSTEM</t>
  </si>
  <si>
    <t>Table Instructions:  Complete this table if the project is installing a solar water heating (SWH) system to comply with §110.10(b)1B Exception 2.</t>
  </si>
  <si>
    <t>OG-100 Certified Collectors</t>
  </si>
  <si>
    <t>The collectors specified are certified by the Solar Rating and Certification Company (SRCC) as OG-100.</t>
  </si>
  <si>
    <t>SRCC #</t>
  </si>
  <si>
    <t>OG-300 Certified System</t>
  </si>
  <si>
    <t>The system specified is certified by the Solar Rating and Certification Company (SRCC) as OG-300 and will be installed in the exact configuration and California climate zone for which it was rated.</t>
  </si>
  <si>
    <t>Panel Type</t>
  </si>
  <si>
    <t>Collector Fluid</t>
  </si>
  <si>
    <t># of Collectors</t>
  </si>
  <si>
    <t>Panel Orientation</t>
  </si>
  <si>
    <t>Tank Volume (gal)</t>
  </si>
  <si>
    <r>
      <t>Conditioned Floor Area Served (ft</t>
    </r>
    <r>
      <rPr>
        <vertAlign val="superscript"/>
        <sz val="9"/>
        <color theme="1"/>
        <rFont val="Calibri"/>
        <family val="2"/>
        <scheme val="minor"/>
      </rPr>
      <t>2</t>
    </r>
    <r>
      <rPr>
        <sz val="9"/>
        <color theme="1"/>
        <rFont val="Calibri"/>
        <family val="2"/>
        <scheme val="minor"/>
      </rPr>
      <t>)</t>
    </r>
  </si>
  <si>
    <t># of Residential Units or Hotel/Motel Rooms Served</t>
  </si>
  <si>
    <t>Designed Solar Savings Fraction for OG-100</t>
  </si>
  <si>
    <t>Rated Solar Savings Fraction for OG-300</t>
  </si>
  <si>
    <t>Tilt (deg)</t>
  </si>
  <si>
    <t>Azimuth (deg)</t>
  </si>
  <si>
    <t>Dropdown See list below</t>
  </si>
  <si>
    <t>Panel Type Dropdown</t>
  </si>
  <si>
    <t>Collector Fluid Dropdown</t>
  </si>
  <si>
    <t>Model #'s from CEC Panel Database</t>
  </si>
  <si>
    <t>Water</t>
  </si>
  <si>
    <t>Glycol</t>
  </si>
  <si>
    <t>Air</t>
  </si>
  <si>
    <t>Depending on whether the project is using OG-100 Certified Collectors or an OG-300 Certified System, the Solar Savings Fraction is either calculated by Table H., or the Rated Solar Savings Fraction is entered.   This Solar Savings Fraction (SSF) is transferred to Table C. and compared to the Required Minimum SSF.  For OG-100 Certified Collectors, the calculations performed using CEC's T24 Solar Calculator have been built into this table.  The T24 Solar Calculator refers to "Solar Fraction", which is the same as the Solar Savings Fraction.</t>
  </si>
  <si>
    <r>
      <t>This table is completed if the project is installing a solar water heating (SWH) system to comply with §110.10(b)1B Exception 2 or for multifamily/ hotel/ motel occupancies to demonstrate compliance with §170.2(d)</t>
    </r>
    <r>
      <rPr>
        <i/>
        <strike/>
        <sz val="10"/>
        <color rgb="FFFF0000"/>
        <rFont val="Calibri"/>
        <family val="2"/>
        <scheme val="minor"/>
      </rPr>
      <t>3</t>
    </r>
    <r>
      <rPr>
        <i/>
        <sz val="10"/>
        <color rgb="FFFF0000"/>
        <rFont val="Calibri"/>
        <family val="2"/>
        <scheme val="minor"/>
      </rPr>
      <t>2</t>
    </r>
    <r>
      <rPr>
        <i/>
        <strike/>
        <sz val="10"/>
        <color rgb="FFFF0000"/>
        <rFont val="Calibri"/>
        <family val="2"/>
        <scheme val="minor"/>
      </rPr>
      <t>C</t>
    </r>
    <r>
      <rPr>
        <i/>
        <sz val="10"/>
        <color rgb="FFFF0000"/>
        <rFont val="Calibri"/>
        <family val="2"/>
        <scheme val="minor"/>
      </rPr>
      <t>Bii</t>
    </r>
    <r>
      <rPr>
        <i/>
        <sz val="10"/>
        <rFont val="Calibri"/>
        <family val="2"/>
        <scheme val="minor"/>
      </rPr>
      <t>.</t>
    </r>
  </si>
  <si>
    <t>☑</t>
  </si>
  <si>
    <r>
      <t xml:space="preserve">The SWH system is built-up and specifies collectors certified by the Solar Rating &amp; Certification Company (SRCC) </t>
    </r>
    <r>
      <rPr>
        <sz val="10"/>
        <rFont val="Calibri"/>
        <family val="2"/>
        <scheme val="minor"/>
      </rPr>
      <t>or the International Association of Plumbing &amp; Mechanical Officials (IAPMO) as OG-100.</t>
    </r>
  </si>
  <si>
    <t>Drain Water Heat Recovery</t>
  </si>
  <si>
    <r>
      <t>A drain water heat recovery system that is field verified by a HERS Rater as specified in the Reference Appendix RA3.6.9 is being used to lower the required Solar Savings Fraction per §170.2(d)</t>
    </r>
    <r>
      <rPr>
        <strike/>
        <sz val="10"/>
        <color rgb="FFFF0000"/>
        <rFont val="Calibri"/>
        <family val="2"/>
        <scheme val="minor"/>
      </rPr>
      <t>3</t>
    </r>
    <r>
      <rPr>
        <b/>
        <sz val="10"/>
        <color rgb="FFFF0000"/>
        <rFont val="Calibri"/>
        <family val="2"/>
        <scheme val="minor"/>
      </rPr>
      <t>2</t>
    </r>
    <r>
      <rPr>
        <strike/>
        <sz val="10"/>
        <color rgb="FFFF0000"/>
        <rFont val="Calibri"/>
        <family val="2"/>
        <scheme val="minor"/>
      </rPr>
      <t>C</t>
    </r>
    <r>
      <rPr>
        <b/>
        <sz val="10"/>
        <color rgb="FFFF0000"/>
        <rFont val="Calibri"/>
        <family val="2"/>
        <scheme val="minor"/>
      </rPr>
      <t>B</t>
    </r>
    <r>
      <rPr>
        <sz val="10"/>
        <color rgb="FFFF0000"/>
        <rFont val="Calibri"/>
        <family val="2"/>
        <scheme val="minor"/>
      </rPr>
      <t>ii</t>
    </r>
    <r>
      <rPr>
        <sz val="10"/>
        <rFont val="Calibri"/>
        <family val="2"/>
        <scheme val="minor"/>
      </rPr>
      <t>.</t>
    </r>
  </si>
  <si>
    <t>SRCC # or IAPMO File #</t>
  </si>
  <si>
    <t>Certification #</t>
  </si>
  <si>
    <r>
      <t>Output from CEC's T24 SWH Calculator Attached</t>
    </r>
    <r>
      <rPr>
        <vertAlign val="superscript"/>
        <sz val="9"/>
        <rFont val="Calibri"/>
        <family val="2"/>
        <scheme val="minor"/>
      </rPr>
      <t>1</t>
    </r>
  </si>
  <si>
    <r>
      <rPr>
        <i/>
        <vertAlign val="superscript"/>
        <sz val="10"/>
        <rFont val="Calibri"/>
        <family val="2"/>
        <scheme val="minor"/>
      </rPr>
      <t>1</t>
    </r>
    <r>
      <rPr>
        <i/>
        <sz val="10"/>
        <rFont val="Calibri"/>
        <family val="2"/>
        <scheme val="minor"/>
      </rPr>
      <t xml:space="preserve"> FOOTNOTES:</t>
    </r>
    <r>
      <rPr>
        <i/>
        <strike/>
        <sz val="10"/>
        <rFont val="Calibri"/>
        <family val="2"/>
        <scheme val="minor"/>
      </rPr>
      <t xml:space="preserve"> </t>
    </r>
    <r>
      <rPr>
        <i/>
        <sz val="10"/>
        <rFont val="Calibri"/>
        <family val="2"/>
        <scheme val="minor"/>
      </rPr>
      <t>Built-up SWH systems using OG-100 collectors must calculate the Designed Solar Savings Fraction using the SWH module in the CEC's CBECC software. The calculation output must be included within the permit application.</t>
    </r>
  </si>
  <si>
    <t>SRCC # or IAPMO File # dropdown</t>
  </si>
  <si>
    <t>Dropdown for Output</t>
  </si>
  <si>
    <t>IAPMO File #</t>
  </si>
  <si>
    <t>I. SMART THERMOSTATS AND ALTERNATIVE EFFICIENCY MEASURE FOR SOLAR READY EXCEPTION</t>
  </si>
  <si>
    <t>This table indicates thermostats compliant with §110.12(a) have been specified and which additional energy efficiency measure has been included in the design for multifamily occupancies complying with Exception 4 to §110.10(b)1B.</t>
  </si>
  <si>
    <t>Smart Thermostats</t>
  </si>
  <si>
    <t>The contract documents clearly specify that all thermostats in each dwelling unit comply with  §110.12(a)   prior to granting of an occupancy permit by the enforcing agency.</t>
  </si>
  <si>
    <t>Location in contract documents:</t>
  </si>
  <si>
    <t>Alternative Efficiency Measure</t>
  </si>
  <si>
    <t>In addition, my project consists of (check at least one):</t>
  </si>
  <si>
    <t>Energy Star Appliances and EC Motor</t>
  </si>
  <si>
    <t>The contract documents include an ENERGY STAR dishwasher AND EITHER an ENERGY STAR refrigerator OR a whole house fan driven by an electronically commutated motor.</t>
  </si>
  <si>
    <t>Home Automation System</t>
  </si>
  <si>
    <t>The contract documents include a home automation system that is capable of, at a minimum, controlling the appliances and lighting of the dwelling and responding to demand response signals.</t>
  </si>
  <si>
    <t>Greywater irrigation system</t>
  </si>
  <si>
    <t>The contract documents include alternative plumbing piping to permit the discharge from the clothes washer and all showers and bathtubs to be used for an irrigation system in compliance with the California Plumbing Code and any applicable local ordinances.</t>
  </si>
  <si>
    <t>Rainwater Catchment System</t>
  </si>
  <si>
    <t>The contract documents include a rainwater catchment system designed to comply with the California Plumbing Code and any applicable local ordinances, and that uses rainwater flowing from at least 65% of the available  roof area.</t>
  </si>
  <si>
    <t>Part 11: Electric Vehicle Charging Space</t>
  </si>
  <si>
    <t>The contract documents demonstrate compliance with Title 24, Part 11, §A4.106.8.2 requirements for electric vehicle charging spaces.</t>
  </si>
  <si>
    <r>
      <t xml:space="preserve">J. PHOTOVOLTAIC (PV) AND BATTERY </t>
    </r>
    <r>
      <rPr>
        <b/>
        <sz val="11"/>
        <color rgb="FFFF0000"/>
        <rFont val="Calibri"/>
        <family val="2"/>
      </rPr>
      <t>ENERGY</t>
    </r>
    <r>
      <rPr>
        <b/>
        <sz val="11"/>
        <color rgb="FF231F20"/>
        <rFont val="Calibri"/>
        <family val="2"/>
      </rPr>
      <t xml:space="preserve"> </t>
    </r>
    <r>
      <rPr>
        <b/>
        <sz val="11"/>
        <color rgb="FFFF0000"/>
        <rFont val="Calibri"/>
        <family val="2"/>
      </rPr>
      <t>STORAGE</t>
    </r>
    <r>
      <rPr>
        <b/>
        <sz val="11"/>
        <color rgb="FF231F20"/>
        <rFont val="Calibri"/>
        <family val="2"/>
      </rPr>
      <t xml:space="preserve"> SYSTEMS</t>
    </r>
  </si>
  <si>
    <t>This table documents compliance with prescriptive photovoltaic and battery system requirements in §140.10/§170.2(g &amp; h). Unless the project meets one of the listed exceptions or trades-off PV in an energy model using the performance path, §140.10/§170.2(g &amp; h) requires installed photovoltaic and battery systems for newly constructed buildings. The installed PV systems must meet the minimum requirements in Joint Appendix 11.</t>
  </si>
  <si>
    <t>NR Eq 140.10-A (same as HRR Eq 170.2-D)</t>
  </si>
  <si>
    <t>Photovoltaic (PV) System</t>
  </si>
  <si>
    <t>Occupancy Type</t>
  </si>
  <si>
    <r>
      <rPr>
        <sz val="10"/>
        <color rgb="FFFF0000"/>
        <rFont val="Calibri"/>
        <family val="2"/>
      </rPr>
      <t>Building Type</t>
    </r>
    <r>
      <rPr>
        <sz val="10"/>
        <rFont val="Calibri"/>
        <family val="2"/>
      </rPr>
      <t xml:space="preserve"> </t>
    </r>
    <r>
      <rPr>
        <strike/>
        <sz val="10"/>
        <rFont val="Calibri"/>
        <family val="2"/>
      </rPr>
      <t>Occupancy</t>
    </r>
  </si>
  <si>
    <t>Tenant Space Exception to Section 140.10(a)</t>
  </si>
  <si>
    <r>
      <t>Conditioned Floor Area
(ft</t>
    </r>
    <r>
      <rPr>
        <vertAlign val="superscript"/>
        <sz val="10"/>
        <rFont val="Calibri"/>
        <family val="2"/>
      </rPr>
      <t>2</t>
    </r>
    <r>
      <rPr>
        <sz val="10"/>
        <rFont val="Calibri"/>
        <family val="2"/>
      </rPr>
      <t>)</t>
    </r>
  </si>
  <si>
    <t xml:space="preserve">Min Size of PV System Required (kWdc) </t>
  </si>
  <si>
    <t xml:space="preserve">Dropdown </t>
  </si>
  <si>
    <t>Dropdown</t>
  </si>
  <si>
    <r>
      <t>Total Min Size PV System Required for all Spaces (kW</t>
    </r>
    <r>
      <rPr>
        <b/>
        <vertAlign val="subscript"/>
        <sz val="11"/>
        <color theme="1"/>
        <rFont val="Calibri"/>
        <family val="2"/>
        <scheme val="minor"/>
      </rPr>
      <t>dc</t>
    </r>
    <r>
      <rPr>
        <b/>
        <sz val="11"/>
        <color theme="1"/>
        <rFont val="Calibri"/>
        <family val="2"/>
        <scheme val="minor"/>
      </rPr>
      <t>):</t>
    </r>
  </si>
  <si>
    <r>
      <t xml:space="preserve">Add </t>
    </r>
    <r>
      <rPr>
        <i/>
        <strike/>
        <sz val="10"/>
        <color theme="1"/>
        <rFont val="Calibri"/>
        <family val="2"/>
        <scheme val="minor"/>
      </rPr>
      <t>Space</t>
    </r>
    <r>
      <rPr>
        <i/>
        <sz val="10"/>
        <color theme="1"/>
        <rFont val="Calibri"/>
        <family val="2"/>
        <scheme val="minor"/>
      </rPr>
      <t xml:space="preserve"> 
</t>
    </r>
    <r>
      <rPr>
        <i/>
        <sz val="10"/>
        <color rgb="FFFF0000"/>
        <rFont val="Calibri"/>
        <family val="2"/>
        <scheme val="minor"/>
      </rPr>
      <t>Building Type</t>
    </r>
  </si>
  <si>
    <r>
      <rPr>
        <i/>
        <vertAlign val="superscript"/>
        <sz val="10"/>
        <color theme="1"/>
        <rFont val="Calibri"/>
        <family val="2"/>
        <scheme val="minor"/>
      </rPr>
      <t>1</t>
    </r>
    <r>
      <rPr>
        <i/>
        <sz val="10"/>
        <color theme="1"/>
        <rFont val="Calibri"/>
        <family val="2"/>
        <scheme val="minor"/>
      </rPr>
      <t xml:space="preserve"> FOOTNOTES: Includes the area of the building’s roof space capable of structurally supporting a PV system, and the area of all roof space on covered parking areas, carports, and all other newly constructed structures on the site that are compatible with supporting a PV system per Title 24, Part 2, Section 1511.2.</t>
    </r>
  </si>
  <si>
    <r>
      <rPr>
        <i/>
        <vertAlign val="superscript"/>
        <sz val="10"/>
        <color theme="1"/>
        <rFont val="Calibri"/>
        <family val="2"/>
        <scheme val="minor"/>
      </rPr>
      <t>2</t>
    </r>
    <r>
      <rPr>
        <i/>
        <sz val="10"/>
        <color theme="1"/>
        <rFont val="Calibri"/>
        <family val="2"/>
        <scheme val="minor"/>
      </rPr>
      <t xml:space="preserve"> Solar access must be determined using CEC approved solar access calculation tools found at: https://www.energy.ca.gov/programs-and-topics/programs/building-energy-efficiency-standards/solar-assessment-tools</t>
    </r>
  </si>
  <si>
    <r>
      <rPr>
        <i/>
        <vertAlign val="superscript"/>
        <sz val="10"/>
        <color theme="1"/>
        <rFont val="Calibri"/>
        <family val="2"/>
        <scheme val="minor"/>
      </rPr>
      <t>3</t>
    </r>
    <r>
      <rPr>
        <i/>
        <sz val="10"/>
        <color theme="1"/>
        <rFont val="Calibri"/>
        <family val="2"/>
        <scheme val="minor"/>
      </rPr>
      <t xml:space="preserve"> As specified by CBC Section 503.1.4</t>
    </r>
  </si>
  <si>
    <t>Roof Type</t>
  </si>
  <si>
    <t>CZ from A02, Bldg type from Col 01</t>
  </si>
  <si>
    <t>Roof Name</t>
  </si>
  <si>
    <t>Roof Slope</t>
  </si>
  <si>
    <r>
      <t>Area of New Roof</t>
    </r>
    <r>
      <rPr>
        <vertAlign val="superscript"/>
        <sz val="10"/>
        <rFont val="Calibri"/>
        <family val="2"/>
      </rPr>
      <t xml:space="preserve">1 </t>
    </r>
    <r>
      <rPr>
        <sz val="10"/>
        <rFont val="Calibri"/>
        <family val="2"/>
      </rPr>
      <t xml:space="preserve">
(ft</t>
    </r>
    <r>
      <rPr>
        <vertAlign val="superscript"/>
        <sz val="10"/>
        <rFont val="Calibri"/>
        <family val="2"/>
      </rPr>
      <t>2</t>
    </r>
    <r>
      <rPr>
        <sz val="10"/>
        <rFont val="Calibri"/>
        <family val="2"/>
      </rPr>
      <t>)</t>
    </r>
  </si>
  <si>
    <r>
      <t>Roof Area &lt; 70% Solar Access</t>
    </r>
    <r>
      <rPr>
        <vertAlign val="superscript"/>
        <sz val="10"/>
        <rFont val="Calibri"/>
        <family val="2"/>
      </rPr>
      <t>2</t>
    </r>
    <r>
      <rPr>
        <sz val="10"/>
        <rFont val="Calibri"/>
        <family val="2"/>
      </rPr>
      <t xml:space="preserve">
(ft</t>
    </r>
    <r>
      <rPr>
        <vertAlign val="superscript"/>
        <sz val="10"/>
        <rFont val="Calibri"/>
        <family val="2"/>
      </rPr>
      <t>2</t>
    </r>
    <r>
      <rPr>
        <sz val="10"/>
        <rFont val="Calibri"/>
        <family val="2"/>
      </rPr>
      <t>)</t>
    </r>
  </si>
  <si>
    <t>Plansheet or Document showing Solar Access Calculations</t>
  </si>
  <si>
    <r>
      <t>Occupied Roof Area</t>
    </r>
    <r>
      <rPr>
        <vertAlign val="superscript"/>
        <sz val="10"/>
        <rFont val="Calibri"/>
        <family val="2"/>
      </rPr>
      <t>3</t>
    </r>
    <r>
      <rPr>
        <sz val="10"/>
        <rFont val="Calibri"/>
        <family val="2"/>
      </rPr>
      <t xml:space="preserve"> 
(ft</t>
    </r>
    <r>
      <rPr>
        <vertAlign val="superscript"/>
        <sz val="10"/>
        <rFont val="Calibri"/>
        <family val="2"/>
      </rPr>
      <t>2</t>
    </r>
    <r>
      <rPr>
        <sz val="10"/>
        <rFont val="Calibri"/>
        <family val="2"/>
      </rPr>
      <t>)</t>
    </r>
  </si>
  <si>
    <r>
      <t>Solar Access Roof Area (SARA)
(ft</t>
    </r>
    <r>
      <rPr>
        <vertAlign val="superscript"/>
        <sz val="10"/>
        <rFont val="Calibri"/>
        <family val="2"/>
      </rPr>
      <t>2</t>
    </r>
    <r>
      <rPr>
        <sz val="10"/>
        <rFont val="Calibri"/>
        <family val="2"/>
      </rPr>
      <t>)</t>
    </r>
  </si>
  <si>
    <r>
      <t>Min Size of PV System Required
(kW</t>
    </r>
    <r>
      <rPr>
        <vertAlign val="subscript"/>
        <sz val="10"/>
        <rFont val="Calibri"/>
        <family val="2"/>
      </rPr>
      <t>dc</t>
    </r>
    <r>
      <rPr>
        <sz val="10"/>
        <rFont val="Calibri"/>
        <family val="2"/>
      </rPr>
      <t>)</t>
    </r>
  </si>
  <si>
    <t>zero is acceptable</t>
  </si>
  <si>
    <t>equals col03-col04-col06</t>
  </si>
  <si>
    <r>
      <t>Total Min Size PV System Required for all Roofs (kW</t>
    </r>
    <r>
      <rPr>
        <b/>
        <vertAlign val="subscript"/>
        <sz val="11"/>
        <color rgb="FFFF0000"/>
        <rFont val="Calibri"/>
        <family val="2"/>
        <scheme val="minor"/>
      </rPr>
      <t>dc</t>
    </r>
    <r>
      <rPr>
        <b/>
        <sz val="11"/>
        <color rgb="FFFF0000"/>
        <rFont val="Calibri"/>
        <family val="2"/>
        <scheme val="minor"/>
      </rPr>
      <t>):</t>
    </r>
  </si>
  <si>
    <t>Total Min Size PV System Required (kWdc):</t>
  </si>
  <si>
    <r>
      <t>Total Size PV System in Design (kW</t>
    </r>
    <r>
      <rPr>
        <b/>
        <vertAlign val="subscript"/>
        <sz val="11"/>
        <color theme="1"/>
        <rFont val="Calibri"/>
        <family val="2"/>
        <scheme val="minor"/>
      </rPr>
      <t>dc</t>
    </r>
    <r>
      <rPr>
        <b/>
        <sz val="11"/>
        <color theme="1"/>
        <rFont val="Calibri"/>
        <family val="2"/>
        <scheme val="minor"/>
      </rPr>
      <t>):</t>
    </r>
  </si>
  <si>
    <t>Add Roof</t>
  </si>
  <si>
    <t xml:space="preserve">Exception Dropdown </t>
  </si>
  <si>
    <t>Tenant space &lt; 2,000 ft2 of conditioned space</t>
  </si>
  <si>
    <t>Tenant space served by an HVAC system that does not serve other tenant spaces in building</t>
  </si>
  <si>
    <t>Occupancy Dropdown</t>
  </si>
  <si>
    <t xml:space="preserve">Tenant space has individual utility meter to track electricity </t>
  </si>
  <si>
    <t>No approved community solar program</t>
  </si>
  <si>
    <t>High-rise Multifamily</t>
  </si>
  <si>
    <t>Utility does not support a virtual energy bill program</t>
  </si>
  <si>
    <t>NA</t>
  </si>
  <si>
    <r>
      <t xml:space="preserve">Office </t>
    </r>
    <r>
      <rPr>
        <strike/>
        <sz val="10"/>
        <rFont val="Calibri"/>
        <family val="2"/>
        <scheme val="minor"/>
      </rPr>
      <t>(NA CZ 1)</t>
    </r>
  </si>
  <si>
    <r>
      <rPr>
        <strike/>
        <sz val="10"/>
        <color rgb="FFFF0000"/>
        <rFont val="Calibri"/>
        <family val="2"/>
        <scheme val="minor"/>
      </rPr>
      <t>Unleased</t>
    </r>
    <r>
      <rPr>
        <sz val="10"/>
        <rFont val="Calibri"/>
        <family val="2"/>
        <scheme val="minor"/>
      </rPr>
      <t xml:space="preserve"> Tenant Space </t>
    </r>
    <r>
      <rPr>
        <sz val="10"/>
        <color rgb="FFFF0000"/>
        <rFont val="Calibri"/>
        <family val="2"/>
        <scheme val="minor"/>
      </rPr>
      <t>in Multitenant Building</t>
    </r>
  </si>
  <si>
    <r>
      <t xml:space="preserve">School </t>
    </r>
    <r>
      <rPr>
        <strike/>
        <sz val="10"/>
        <rFont val="Calibri"/>
        <family val="2"/>
        <scheme val="minor"/>
      </rPr>
      <t>(NA CZ 1)</t>
    </r>
  </si>
  <si>
    <t>Roof Slope Dropdown</t>
  </si>
  <si>
    <r>
      <t xml:space="preserve">Warehouse </t>
    </r>
    <r>
      <rPr>
        <strike/>
        <sz val="10"/>
        <rFont val="Calibri"/>
        <family val="2"/>
        <scheme val="minor"/>
      </rPr>
      <t>(NA CZ 1)</t>
    </r>
  </si>
  <si>
    <t>&lt;2:12</t>
  </si>
  <si>
    <r>
      <rPr>
        <strike/>
        <sz val="10"/>
        <color rgb="FFFF0000"/>
        <rFont val="Calibri"/>
        <family val="2"/>
        <scheme val="minor"/>
      </rPr>
      <t>Auditorium</t>
    </r>
    <r>
      <rPr>
        <sz val="10"/>
        <color rgb="FFFF0000"/>
        <rFont val="Calibri"/>
        <family val="2"/>
        <scheme val="minor"/>
      </rPr>
      <t xml:space="preserve"> Sports &amp; Recreation</t>
    </r>
  </si>
  <si>
    <t>&gt;= 2:12</t>
  </si>
  <si>
    <t>Convention Center Events &amp; Exhibits</t>
  </si>
  <si>
    <t>Medical Office/Clinic</t>
  </si>
  <si>
    <r>
      <rPr>
        <strike/>
        <sz val="10"/>
        <color rgb="FFFF0000"/>
        <rFont val="Calibri"/>
        <family val="2"/>
        <scheme val="minor"/>
      </rPr>
      <t>Theater</t>
    </r>
    <r>
      <rPr>
        <sz val="10"/>
        <color rgb="FFFF0000"/>
        <rFont val="Calibri"/>
        <family val="2"/>
        <scheme val="minor"/>
      </rPr>
      <t xml:space="preserve"> Religious Worship</t>
    </r>
  </si>
  <si>
    <r>
      <t xml:space="preserve">Installed battery </t>
    </r>
    <r>
      <rPr>
        <i/>
        <sz val="10"/>
        <color rgb="FFFF0000"/>
        <rFont val="Calibri"/>
        <family val="2"/>
      </rPr>
      <t>energy</t>
    </r>
    <r>
      <rPr>
        <i/>
        <sz val="10"/>
        <rFont val="Calibri"/>
        <family val="2"/>
      </rPr>
      <t xml:space="preserve"> storage systems must meet the minimum requirements in Joint Appendix JA12. + ADD CEC CERTIFIED BY JA12 control install requirements</t>
    </r>
  </si>
  <si>
    <r>
      <t>Min Size of PV Applicable To Battery Sizing
(kW</t>
    </r>
    <r>
      <rPr>
        <vertAlign val="subscript"/>
        <sz val="10"/>
        <rFont val="Calibri"/>
        <family val="2"/>
      </rPr>
      <t>dc</t>
    </r>
    <r>
      <rPr>
        <sz val="10"/>
        <rFont val="Calibri"/>
        <family val="2"/>
      </rPr>
      <t>)</t>
    </r>
  </si>
  <si>
    <r>
      <t>Rated Single Charge-Discharge AC Efficiency of Battery System</t>
    </r>
    <r>
      <rPr>
        <vertAlign val="superscript"/>
        <sz val="10"/>
        <rFont val="Calibri"/>
        <family val="2"/>
      </rPr>
      <t>1</t>
    </r>
  </si>
  <si>
    <t>Min Battery Rated Energy Capacity Required
(kWh)</t>
  </si>
  <si>
    <r>
      <t>Min Power Capacity of Battery Required
(kW</t>
    </r>
    <r>
      <rPr>
        <vertAlign val="subscript"/>
        <sz val="10"/>
        <rFont val="Calibri"/>
        <family val="2"/>
      </rPr>
      <t>dc</t>
    </r>
    <r>
      <rPr>
        <sz val="10"/>
        <rFont val="Calibri"/>
        <family val="2"/>
      </rPr>
      <t>)</t>
    </r>
  </si>
  <si>
    <t>from Col 01 above</t>
  </si>
  <si>
    <r>
      <t xml:space="preserve">from Col </t>
    </r>
    <r>
      <rPr>
        <i/>
        <strike/>
        <sz val="9"/>
        <color rgb="FFFF0000"/>
        <rFont val="Calibri"/>
        <family val="2"/>
        <scheme val="minor"/>
      </rPr>
      <t>08</t>
    </r>
    <r>
      <rPr>
        <i/>
        <sz val="9"/>
        <color rgb="FFFF0000"/>
        <rFont val="Calibri"/>
        <family val="2"/>
        <scheme val="minor"/>
      </rPr>
      <t>03</t>
    </r>
    <r>
      <rPr>
        <i/>
        <sz val="9"/>
        <rFont val="Calibri"/>
        <family val="2"/>
        <scheme val="minor"/>
      </rPr>
      <t xml:space="preserve"> above</t>
    </r>
  </si>
  <si>
    <t>Equation 140.10-B is 
(CFA x B)/(1000 * col03^0.5)
Equation 140.10-C is 
((CFA x B)/(1000 * col03^0.5)) * (H20/D10)</t>
  </si>
  <si>
    <t>equals Col04 / 4</t>
  </si>
  <si>
    <t>Total Min Energy (kWh) and Power (kW) Capacity Required:</t>
  </si>
  <si>
    <t>equals Sum Col04 for all spaces</t>
  </si>
  <si>
    <t>equals Sum Col05 for all spaces</t>
  </si>
  <si>
    <t>Total Energy (kWh) and Power (kW) Capacity in Design:</t>
  </si>
  <si>
    <r>
      <rPr>
        <i/>
        <vertAlign val="superscript"/>
        <sz val="10"/>
        <color theme="1"/>
        <rFont val="Calibri"/>
        <family val="2"/>
        <scheme val="minor"/>
      </rPr>
      <t>1</t>
    </r>
    <r>
      <rPr>
        <i/>
        <sz val="10"/>
        <color theme="1"/>
        <rFont val="Calibri"/>
        <family val="2"/>
        <scheme val="minor"/>
      </rPr>
      <t xml:space="preserve"> FOOTNOTE: Rated single charge-discharge cycle AC to AC (round-trip) efficiency of the battery storage system</t>
    </r>
  </si>
  <si>
    <t>J. PHOTOVOLTAIC (PV) SYSTEMS</t>
  </si>
  <si>
    <t>This table documents compliance with prescriptive photovoltaic system requirements in §170.2(f). Unless the project meets one of the listed exceptions or trades-off PV in an energy model using the performance path, §170.2(f) requires installed photovoltaic systems for newly constructed buildings. The installed PV systems must meet the minimum requirements in Joint Appendix 11.</t>
  </si>
  <si>
    <t>Eq 170.2-C should be: ((CFA x A)/1000) + (Ndu x B)</t>
  </si>
  <si>
    <r>
      <rPr>
        <strike/>
        <sz val="10"/>
        <color rgb="FFFF0000"/>
        <rFont val="Calibri"/>
        <family val="2"/>
      </rPr>
      <t xml:space="preserve">01 </t>
    </r>
    <r>
      <rPr>
        <sz val="10"/>
        <color rgb="FFFF0000"/>
        <rFont val="Calibri"/>
        <family val="2"/>
      </rPr>
      <t>02</t>
    </r>
  </si>
  <si>
    <r>
      <rPr>
        <strike/>
        <sz val="10"/>
        <color rgb="FFFF0000"/>
        <rFont val="Calibri"/>
        <family val="2"/>
      </rPr>
      <t xml:space="preserve">02 </t>
    </r>
    <r>
      <rPr>
        <sz val="10"/>
        <color rgb="FFFF0000"/>
        <rFont val="Calibri"/>
        <family val="2"/>
      </rPr>
      <t>03</t>
    </r>
  </si>
  <si>
    <r>
      <rPr>
        <strike/>
        <sz val="10"/>
        <color rgb="FFFF0000"/>
        <rFont val="Calibri"/>
        <family val="2"/>
      </rPr>
      <t xml:space="preserve">03 </t>
    </r>
    <r>
      <rPr>
        <sz val="10"/>
        <color rgb="FFFF0000"/>
        <rFont val="Calibri"/>
        <family val="2"/>
      </rPr>
      <t>04</t>
    </r>
  </si>
  <si>
    <r>
      <rPr>
        <strike/>
        <sz val="10"/>
        <color rgb="FFFF0000"/>
        <rFont val="Calibri"/>
        <family val="2"/>
      </rPr>
      <t>04</t>
    </r>
    <r>
      <rPr>
        <sz val="10"/>
        <color rgb="FFFF0000"/>
        <rFont val="Calibri"/>
        <family val="2"/>
      </rPr>
      <t xml:space="preserve"> 05</t>
    </r>
  </si>
  <si>
    <r>
      <rPr>
        <strike/>
        <sz val="10"/>
        <color rgb="FFFF0000"/>
        <rFont val="Calibri"/>
        <family val="2"/>
      </rPr>
      <t>05</t>
    </r>
    <r>
      <rPr>
        <sz val="10"/>
        <color rgb="FFFF0000"/>
        <rFont val="Calibri"/>
        <family val="2"/>
      </rPr>
      <t xml:space="preserve"> 06</t>
    </r>
  </si>
  <si>
    <r>
      <t xml:space="preserve">Area of New Roof </t>
    </r>
    <r>
      <rPr>
        <sz val="10"/>
        <color rgb="FFFF0000"/>
        <rFont val="Calibri"/>
        <family val="2"/>
      </rPr>
      <t>(with that slope)</t>
    </r>
    <r>
      <rPr>
        <vertAlign val="superscript"/>
        <sz val="10"/>
        <rFont val="Calibri"/>
        <family val="2"/>
      </rPr>
      <t xml:space="preserve">1 </t>
    </r>
    <r>
      <rPr>
        <sz val="10"/>
        <rFont val="Calibri"/>
        <family val="2"/>
      </rPr>
      <t xml:space="preserve">
(ft</t>
    </r>
    <r>
      <rPr>
        <vertAlign val="superscript"/>
        <sz val="10"/>
        <rFont val="Calibri"/>
        <family val="2"/>
      </rPr>
      <t>2</t>
    </r>
    <r>
      <rPr>
        <sz val="10"/>
        <rFont val="Calibri"/>
        <family val="2"/>
      </rPr>
      <t>)</t>
    </r>
  </si>
  <si>
    <r>
      <t>Max Size of PV system that will fit on SARA
(kW</t>
    </r>
    <r>
      <rPr>
        <strike/>
        <vertAlign val="subscript"/>
        <sz val="10"/>
        <color rgb="FFFF0000"/>
        <rFont val="Calibri"/>
        <family val="2"/>
      </rPr>
      <t>dc</t>
    </r>
    <r>
      <rPr>
        <strike/>
        <sz val="10"/>
        <color rgb="FFFF0000"/>
        <rFont val="Calibri"/>
        <family val="2"/>
      </rPr>
      <t>)</t>
    </r>
  </si>
  <si>
    <t xml:space="preserve"># of Dwelling Units </t>
  </si>
  <si>
    <r>
      <t>Usable Capacity of Battery Storage</t>
    </r>
    <r>
      <rPr>
        <vertAlign val="superscript"/>
        <sz val="10"/>
        <rFont val="Calibri"/>
        <family val="2"/>
      </rPr>
      <t>4</t>
    </r>
    <r>
      <rPr>
        <sz val="10"/>
        <rFont val="Calibri"/>
        <family val="2"/>
      </rPr>
      <t xml:space="preserve"> 
(kWh)</t>
    </r>
  </si>
  <si>
    <r>
      <t>Size of PV system in Design
(kW</t>
    </r>
    <r>
      <rPr>
        <vertAlign val="subscript"/>
        <sz val="10"/>
        <rFont val="Calibri"/>
        <family val="2"/>
      </rPr>
      <t>dc</t>
    </r>
    <r>
      <rPr>
        <sz val="10"/>
        <rFont val="Calibri"/>
        <family val="2"/>
      </rPr>
      <t>)</t>
    </r>
  </si>
  <si>
    <r>
      <t>equals col</t>
    </r>
    <r>
      <rPr>
        <i/>
        <strike/>
        <sz val="9"/>
        <color rgb="FFFF0000"/>
        <rFont val="Calibri"/>
        <family val="2"/>
      </rPr>
      <t>01</t>
    </r>
    <r>
      <rPr>
        <i/>
        <sz val="9"/>
        <color rgb="FFFF0000"/>
        <rFont val="Calibri"/>
        <family val="2"/>
      </rPr>
      <t>02</t>
    </r>
    <r>
      <rPr>
        <i/>
        <sz val="9"/>
        <rFont val="Calibri"/>
        <family val="2"/>
      </rPr>
      <t>-col</t>
    </r>
    <r>
      <rPr>
        <i/>
        <strike/>
        <sz val="9"/>
        <color rgb="FFFF0000"/>
        <rFont val="Calibri"/>
        <family val="2"/>
      </rPr>
      <t>02</t>
    </r>
    <r>
      <rPr>
        <i/>
        <sz val="9"/>
        <color rgb="FFFF0000"/>
        <rFont val="Calibri"/>
        <family val="2"/>
      </rPr>
      <t>03</t>
    </r>
    <r>
      <rPr>
        <i/>
        <sz val="9"/>
        <rFont val="Calibri"/>
        <family val="2"/>
      </rPr>
      <t>-col</t>
    </r>
    <r>
      <rPr>
        <i/>
        <strike/>
        <sz val="9"/>
        <color rgb="FFFF0000"/>
        <rFont val="Calibri"/>
        <family val="2"/>
      </rPr>
      <t>04</t>
    </r>
    <r>
      <rPr>
        <i/>
        <sz val="9"/>
        <color rgb="FFFF0000"/>
        <rFont val="Calibri"/>
        <family val="2"/>
      </rPr>
      <t>05</t>
    </r>
  </si>
  <si>
    <r>
      <rPr>
        <i/>
        <vertAlign val="superscript"/>
        <sz val="10"/>
        <rFont val="Calibri"/>
        <family val="2"/>
        <scheme val="minor"/>
      </rPr>
      <t>4</t>
    </r>
    <r>
      <rPr>
        <i/>
        <sz val="10"/>
        <rFont val="Calibri"/>
        <family val="2"/>
        <scheme val="minor"/>
      </rPr>
      <t xml:space="preserve"> PV system sizes determined using Equation 170.2-C may be reduced by 25% if installed in conjunction with a battery storage system. The battery storage system shall meet the qualification requirements specified in Joint Appendix JA12 and have a minimum usable capacity of 7.5 kWh.</t>
    </r>
  </si>
  <si>
    <t>^ If J.08 &gt;=7.5, reduce PV system size calc'd by Equation 170.2-C (in J.08) by 25% &amp; trigger note 4 in Table D.</t>
  </si>
  <si>
    <t>CZ from A02 &amp; CFA from A03</t>
  </si>
  <si>
    <t>&gt;2:12</t>
  </si>
  <si>
    <t>K. DECLARATION OF REQUIRED CERTIFICATES OF INSTALLATION</t>
  </si>
  <si>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</si>
  <si>
    <t>YES</t>
  </si>
  <si>
    <t>NO</t>
  </si>
  <si>
    <t>Form/Title</t>
  </si>
  <si>
    <t>●</t>
  </si>
  <si>
    <t>NRCI-SAB-E - Must be submitted for all buildings that must comply with solar readiness or PV/Battery requirements.</t>
  </si>
  <si>
    <t>m</t>
  </si>
  <si>
    <t>NRCI-PLB-E - Must be submitted for all buildings that must comply with solar water heating requirements.</t>
  </si>
  <si>
    <t>LMCI-SAB-E - Must be submitted for all buildings that must comply with solar readiness or PV/Battery requirements.</t>
  </si>
  <si>
    <t>L. DECLARATION OF REQUIRED CERTIFICATES OF ACCEPTANCE</t>
  </si>
  <si>
    <t>There are no Certificates of Acceptance applicable to solar readiness or PV/battery requirements.</t>
  </si>
  <si>
    <t>DOCUMENTATION AUTHOR'S DECLARATION STATEMENT</t>
  </si>
  <si>
    <t>Documentation Author Name:</t>
  </si>
  <si>
    <t>Documentation Author Signature:</t>
  </si>
  <si>
    <t>Company:</t>
  </si>
  <si>
    <t>Signature Date:</t>
  </si>
  <si>
    <t>Address:</t>
  </si>
  <si>
    <r>
      <t>CEA/</t>
    </r>
    <r>
      <rPr>
        <b/>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</si>
  <si>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</si>
  <si>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</si>
  <si>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</si>
  <si>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</si>
  <si>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</si>
  <si>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</si>
  <si>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</si>
  <si>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</si>
  <si>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r>
      <t>Min capacity of PV System Required
(kW</t>
    </r>
    <r>
      <rPr>
        <vertAlign val="subscript"/>
        <sz val="10"/>
        <rFont val="Calibri"/>
        <family val="2"/>
      </rPr>
      <t>dc</t>
    </r>
    <r>
      <rPr>
        <sz val="10"/>
        <rFont val="Calibri"/>
        <family val="2"/>
      </rPr>
      <t>)</t>
    </r>
  </si>
  <si>
    <t>CEC</t>
  </si>
  <si>
    <t>See the Sahar's note on "Compliance with Solar Thermal Water Heating Requirements"</t>
  </si>
  <si>
    <t>See the Sahar's note on J09</t>
  </si>
  <si>
    <t>NRCC J. PV&amp;Batt - Photovoltaic (PV) System</t>
  </si>
  <si>
    <t>See the Sahar's note on J06 and J08</t>
  </si>
  <si>
    <r>
      <rPr>
        <b/>
        <sz val="11"/>
        <color rgb="FF000000"/>
        <rFont val="Calibri"/>
        <family val="2"/>
        <scheme val="minor"/>
      </rPr>
      <t xml:space="preserve">Battery </t>
    </r>
    <r>
      <rPr>
        <b/>
        <sz val="11"/>
        <color rgb="FFFF0000"/>
        <rFont val="Calibri"/>
        <family val="2"/>
        <scheme val="minor"/>
      </rPr>
      <t>Energy</t>
    </r>
    <r>
      <rPr>
        <b/>
        <sz val="11"/>
        <color rgb="FF000000"/>
        <rFont val="Calibri"/>
        <family val="2"/>
        <scheme val="minor"/>
      </rPr>
      <t xml:space="preserve"> Storage System (BESS)</t>
    </r>
  </si>
  <si>
    <t>See the Sahar's note on top note</t>
  </si>
  <si>
    <t>LMCC J. PV&amp;Batt - Photovoltaic (PV) System</t>
  </si>
  <si>
    <t>NRCC J. PV&amp;Batt - NRCC B. Project Scope</t>
  </si>
  <si>
    <t>NRCC J. PV&amp;Batt - Battery Energy Storage System (BESS)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</si>
</sst>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4">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b/>
      <sz val="10"/>
      <name val="Calibri"/>
      <family val="2"/>
      <scheme val="minor"/>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name val="Calibri"/>
      <family val="2"/>
    </font>
    <font>
      <sz val="12"/>
      <color theme="1"/>
      <name val="AvenirNext LT Pro Regular"/>
      <family val="2"/>
    </font>
    <font>
      <sz val="10"/>
      <color rgb="FF000000"/>
      <name val="Times New Roman"/>
      <family val="1"/>
    </font>
    <font>
      <sz val="11"/>
      <color rgb="FF000000"/>
      <name val="Times New Roman"/>
      <family val="1"/>
    </font>
    <font>
      <i/>
      <sz val="11"/>
      <color rgb="FFFF0000"/>
      <name val="Calibri"/>
      <family val="2"/>
    </font>
    <font>
      <sz val="10"/>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8"/>
      <color rgb="FFFF0000"/>
      <name val="Calibri"/>
      <family val="2"/>
      <scheme val="minor"/>
    </font>
    <font>
      <sz val="9"/>
      <color theme="1"/>
      <name val="Calibri"/>
      <family val="2"/>
      <scheme val="minor"/>
    </font>
    <font>
      <sz val="11"/>
      <name val="Calibri"/>
      <family val="2"/>
      <scheme val="minor"/>
    </font>
    <font>
      <i/>
      <sz val="11"/>
      <color theme="1"/>
      <name val="Calibri"/>
      <family val="2"/>
      <scheme val="minor"/>
    </font>
    <font>
      <sz val="11"/>
      <name val="Arial"/>
      <family val="2"/>
    </font>
    <font>
      <sz val="11"/>
      <color rgb="FF000000"/>
      <name val="Calibri"/>
      <family val="2"/>
      <scheme val="minor"/>
    </font>
    <font>
      <sz val="8"/>
      <name val="Calibri"/>
      <family val="2"/>
      <scheme val="minor"/>
    </font>
    <font>
      <b/>
      <i/>
      <sz val="10"/>
      <color rgb="FFFF0000"/>
      <name val="Calibri"/>
      <family val="2"/>
      <scheme val="minor"/>
    </font>
    <font>
      <b/>
      <i/>
      <sz val="11"/>
      <color rgb="FFFF0000"/>
      <name val="Calibri"/>
      <family val="2"/>
      <scheme val="minor"/>
    </font>
    <font>
      <sz val="11"/>
      <color rgb="FF000000"/>
      <name val="Wingdings"/>
      <charset val="2"/>
    </font>
    <font>
      <b/>
      <sz val="9"/>
      <name val="Calibri"/>
      <family val="2"/>
      <scheme val="minor"/>
    </font>
    <font>
      <vertAlign val="superscript"/>
      <sz val="10"/>
      <name val="Calibri"/>
      <family val="2"/>
    </font>
    <font>
      <sz val="11"/>
      <color rgb="FF1F497D"/>
      <name val="Calibri"/>
      <family val="2"/>
      <scheme val="minor"/>
    </font>
    <font>
      <b/>
      <sz val="10"/>
      <color rgb="FF000000"/>
      <name val="Calibri"/>
      <family val="2"/>
      <scheme val="minor"/>
    </font>
    <font>
      <i/>
      <sz val="8"/>
      <color rgb="FFFF0000"/>
      <name val="Calibri"/>
      <family val="2"/>
      <scheme val="minor"/>
    </font>
    <font>
      <sz val="10"/>
      <name val="Calibri"/>
      <family val="2"/>
      <scheme val="minor"/>
    </font>
    <font>
      <b/>
      <sz val="11"/>
      <color rgb="FF000000"/>
      <name val="Calibri"/>
      <family val="2"/>
    </font>
    <font>
      <u/>
      <sz val="11"/>
      <name val="Calibri"/>
      <family val="2"/>
    </font>
    <font>
      <u/>
      <sz val="10"/>
      <name val="Calibri"/>
      <family val="2"/>
      <scheme val="minor"/>
    </font>
    <font>
      <vertAlign val="superscript"/>
      <sz val="9"/>
      <color theme="1"/>
      <name val="Calibri"/>
      <family val="2"/>
      <scheme val="minor"/>
    </font>
    <font>
      <sz val="9"/>
      <name val="Calibri"/>
      <family val="2"/>
      <scheme val="minor"/>
    </font>
    <font>
      <sz val="9"/>
      <color rgb="FF000000"/>
      <name val="Calibri"/>
      <family val="2"/>
      <scheme val="minor"/>
    </font>
    <font>
      <i/>
      <sz val="10"/>
      <color rgb="FF000000"/>
      <name val="Calibri"/>
      <family val="2"/>
    </font>
    <font>
      <vertAlign val="superscript"/>
      <sz val="10"/>
      <color rgb="FF000000"/>
      <name val="Calibri"/>
      <family val="2"/>
      <scheme val="minor"/>
    </font>
    <font>
      <i/>
      <vertAlign val="superscript"/>
      <sz val="10"/>
      <color rgb="FF000000"/>
      <name val="Calibri"/>
      <family val="2"/>
    </font>
    <font>
      <vertAlign val="superscript"/>
      <sz val="10"/>
      <name val="Calibri"/>
      <family val="2"/>
      <scheme val="minor"/>
    </font>
    <font>
      <b/>
      <vertAlign val="superscript"/>
      <sz val="11"/>
      <color rgb="FF000000"/>
      <name val="Calibri"/>
      <family val="2"/>
    </font>
    <font>
      <b/>
      <sz val="10"/>
      <color indexed="81"/>
      <name val="Tahoma"/>
      <family val="2"/>
    </font>
    <font>
      <b/>
      <i/>
      <sz val="10"/>
      <color indexed="81"/>
      <name val="Tahoma"/>
      <family val="2"/>
    </font>
    <font>
      <sz val="10"/>
      <color indexed="81"/>
      <name val="Tahoma"/>
      <family val="2"/>
    </font>
    <font>
      <vertAlign val="superscript"/>
      <sz val="9"/>
      <name val="Calibri"/>
      <family val="2"/>
      <scheme val="minor"/>
    </font>
    <font>
      <i/>
      <vertAlign val="superscript"/>
      <sz val="10"/>
      <color theme="1"/>
      <name val="Calibri"/>
      <family val="2"/>
      <scheme val="minor"/>
    </font>
    <font>
      <u/>
      <sz val="10"/>
      <name val="Calibri"/>
      <family val="2"/>
    </font>
    <font>
      <b/>
      <i/>
      <sz val="11"/>
      <name val="Calibri"/>
      <family val="2"/>
      <scheme val="minor"/>
    </font>
    <font>
      <i/>
      <sz val="11"/>
      <name val="Calibri"/>
      <family val="2"/>
    </font>
    <font>
      <i/>
      <sz val="8"/>
      <name val="Calibri"/>
      <family val="2"/>
      <scheme val="minor"/>
    </font>
    <font>
      <b/>
      <sz val="10"/>
      <color rgb="FFFF0000"/>
      <name val="Calibri"/>
      <family val="2"/>
      <scheme val="minor"/>
    </font>
    <font>
      <b/>
      <strike/>
      <sz val="10"/>
      <color rgb="FFFF0000"/>
      <name val="Calibri"/>
      <family val="2"/>
      <scheme val="minor"/>
    </font>
    <font>
      <b/>
      <sz val="11"/>
      <color rgb="FFFF0000"/>
      <name val="Calibri"/>
      <family val="2"/>
      <scheme val="minor"/>
    </font>
    <font>
      <strike/>
      <sz val="10"/>
      <name val="Calibri"/>
      <family val="2"/>
      <scheme val="minor"/>
    </font>
    <font>
      <vertAlign val="subscript"/>
      <sz val="10"/>
      <name val="Calibri"/>
      <family val="2"/>
    </font>
    <font>
      <i/>
      <sz val="11"/>
      <color rgb="FFFF0000"/>
      <name val="Calibri"/>
      <family val="2"/>
      <scheme val="minor"/>
    </font>
    <font>
      <i/>
      <sz val="9"/>
      <color rgb="FFFF0000"/>
      <name val="Calibri"/>
      <family val="2"/>
      <scheme val="minor"/>
    </font>
    <font>
      <b/>
      <vertAlign val="subscript"/>
      <sz val="11"/>
      <color theme="1"/>
      <name val="Calibri"/>
      <family val="2"/>
      <scheme val="minor"/>
    </font>
    <font>
      <sz val="11"/>
      <color rgb="FF0070C0"/>
      <name val="Calibri"/>
      <family val="2"/>
      <scheme val="minor"/>
    </font>
    <font>
      <sz val="10"/>
      <color theme="0"/>
      <name val="Calibri"/>
      <family val="2"/>
      <scheme val="minor"/>
    </font>
    <font>
      <sz val="11"/>
      <color theme="9" tint="-0.249977111117893"/>
      <name val="Calibri"/>
      <family val="2"/>
      <scheme val="minor"/>
    </font>
    <font>
      <sz val="10"/>
      <name val="Wingdings"/>
      <charset val="2"/>
    </font>
    <font>
      <i/>
      <vertAlign val="superscript"/>
      <sz val="10"/>
      <name val="Calibri"/>
      <family val="2"/>
    </font>
    <font>
      <i/>
      <sz val="11"/>
      <name val="Calibri"/>
      <family val="2"/>
      <scheme val="minor"/>
    </font>
    <font>
      <i/>
      <vertAlign val="superscript"/>
      <sz val="11"/>
      <name val="Calibri"/>
      <family val="2"/>
      <scheme val="minor"/>
    </font>
    <font>
      <i/>
      <sz val="10"/>
      <name val="Calibri"/>
      <family val="2"/>
      <scheme val="minor"/>
    </font>
    <font>
      <i/>
      <vertAlign val="superscript"/>
      <sz val="10"/>
      <name val="Calibri"/>
      <family val="2"/>
      <scheme val="minor"/>
    </font>
    <font>
      <b/>
      <sz val="10"/>
      <name val="Calibri"/>
      <family val="2"/>
    </font>
    <font>
      <strike/>
      <sz val="10"/>
      <name val="Calibri"/>
      <family val="2"/>
    </font>
    <font>
      <i/>
      <sz val="9"/>
      <name val="Calibri"/>
      <family val="2"/>
    </font>
    <font>
      <i/>
      <sz val="9"/>
      <name val="Calibri"/>
      <family val="2"/>
      <scheme val="minor"/>
    </font>
    <font>
      <sz val="16"/>
      <name val="Arial"/>
      <family val="2"/>
    </font>
    <font>
      <sz val="16"/>
      <name val="Calibri Light"/>
      <family val="2"/>
    </font>
    <font>
      <vertAlign val="subscript"/>
      <sz val="9"/>
      <color indexed="81"/>
      <name val="Tahoma"/>
      <family val="2"/>
    </font>
    <font>
      <i/>
      <strike/>
      <sz val="10"/>
      <name val="Calibri"/>
      <family val="2"/>
      <scheme val="minor"/>
    </font>
    <font>
      <sz val="11"/>
      <color rgb="FF202122"/>
      <name val="Arial"/>
      <family val="2"/>
    </font>
    <font>
      <strike/>
      <sz val="10"/>
      <color rgb="FFFF0000"/>
      <name val="Calibri"/>
      <family val="2"/>
      <scheme val="minor"/>
    </font>
    <font>
      <i/>
      <sz val="10"/>
      <color rgb="FFFF0000"/>
      <name val="Calibri"/>
      <family val="2"/>
    </font>
    <font>
      <b/>
      <sz val="11"/>
      <color rgb="FFFF0000"/>
      <name val="Calibri"/>
      <family val="2"/>
    </font>
    <font>
      <strike/>
      <sz val="10"/>
      <color rgb="FFFF0000"/>
      <name val="Calibri"/>
      <family val="2"/>
    </font>
    <font>
      <sz val="10"/>
      <color rgb="FFFF0000"/>
      <name val="Calibri"/>
      <family val="2"/>
    </font>
    <font>
      <b/>
      <sz val="9"/>
      <color rgb="FFFF0000"/>
      <name val="Calibri"/>
      <family val="2"/>
      <scheme val="minor"/>
    </font>
    <font>
      <b/>
      <sz val="9"/>
      <color indexed="10"/>
      <name val="Tahoma"/>
      <family val="2"/>
    </font>
    <font>
      <sz val="9"/>
      <color indexed="10"/>
      <name val="Tahoma"/>
      <family val="2"/>
    </font>
    <font>
      <i/>
      <strike/>
      <sz val="10"/>
      <color theme="1"/>
      <name val="Calibri"/>
      <family val="2"/>
      <scheme val="minor"/>
    </font>
    <font>
      <i/>
      <sz val="10"/>
      <color rgb="FFFF0000"/>
      <name val="Calibri"/>
      <family val="2"/>
      <scheme val="minor"/>
    </font>
    <font>
      <b/>
      <vertAlign val="subscript"/>
      <sz val="11"/>
      <color rgb="FFFF0000"/>
      <name val="Calibri"/>
      <family val="2"/>
      <scheme val="minor"/>
    </font>
    <font>
      <strike/>
      <vertAlign val="superscript"/>
      <sz val="10"/>
      <color rgb="FFFF0000"/>
      <name val="Calibri"/>
      <family val="2"/>
      <scheme val="minor"/>
    </font>
    <font>
      <sz val="11"/>
      <color theme="1"/>
      <name val="Calibri"/>
      <family val="2"/>
      <scheme val="minor"/>
    </font>
    <font>
      <strike/>
      <sz val="9"/>
      <color indexed="10"/>
      <name val="Tahoma"/>
      <family val="2"/>
    </font>
    <font>
      <i/>
      <sz val="9"/>
      <color rgb="FFFF0000"/>
      <name val="Calibri"/>
      <family val="2"/>
    </font>
    <font>
      <i/>
      <strike/>
      <sz val="11"/>
      <name val="Calibri"/>
      <family val="2"/>
    </font>
    <font>
      <strike/>
      <vertAlign val="subscript"/>
      <sz val="10"/>
      <color rgb="FFFF0000"/>
      <name val="Calibri"/>
      <family val="2"/>
    </font>
    <font>
      <i/>
      <strike/>
      <sz val="9"/>
      <color rgb="FFFF0000"/>
      <name val="Calibri"/>
      <family val="2"/>
    </font>
    <font>
      <sz val="10"/>
      <color rgb="FFFF0000"/>
      <name val="Wingdings"/>
      <charset val="2"/>
    </font>
    <font>
      <i/>
      <strike/>
      <sz val="10"/>
      <color rgb="FFFF0000"/>
      <name val="Calibri"/>
      <family val="2"/>
      <scheme val="minor"/>
    </font>
    <font>
      <strike/>
      <sz val="10"/>
      <name val="Wingdings"/>
      <charset val="2"/>
    </font>
    <font>
      <i/>
      <strike/>
      <sz val="9"/>
      <color rgb="FFFF0000"/>
      <name val="Calibri"/>
      <family val="2"/>
      <scheme val="minor"/>
    </font>
    <font>
      <strike/>
      <sz val="10"/>
      <color rgb="FFFF0000"/>
      <name val="Wingdings"/>
      <charset val="2"/>
    </font>
    <font>
      <b/>
      <sz val="14"/>
      <color indexed="81"/>
      <name val="Tahoma"/>
      <family val="2"/>
    </font>
    <font>
      <sz val="14"/>
      <color indexed="81"/>
      <name val="Tahoma"/>
      <family val="2"/>
    </font>
    <font>
      <b/>
      <sz val="14"/>
      <color indexed="10"/>
      <name val="Tahoma"/>
      <family val="2"/>
    </font>
    <font>
      <sz val="14"/>
      <color indexed="10"/>
      <name val="Tahoma"/>
      <family val="2"/>
    </font>
    <font>
      <b/>
      <sz val="11"/>
      <color rgb="FF000000"/>
      <name val="Calibri"/>
      <family val="2"/>
      <scheme val="minor"/>
    </font>
  </fonts>
  <fills count="18">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AA4A5F"/>
        <bgColor indexed="64"/>
      </patternFill>
    </fill>
    <fill>
      <patternFill patternType="solid">
        <fgColor theme="5"/>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231F20"/>
      </left>
      <right/>
      <top style="thin">
        <color rgb="FF231F20"/>
      </top>
      <bottom style="thin">
        <color indexed="64"/>
      </bottom>
      <diagonal/>
    </border>
    <border>
      <left/>
      <right/>
      <top style="thin">
        <color rgb="FF231F20"/>
      </top>
      <bottom style="thin">
        <color indexed="64"/>
      </bottom>
      <diagonal/>
    </border>
    <border>
      <left/>
      <right style="thin">
        <color rgb="FF231F20"/>
      </right>
      <top style="thin">
        <color rgb="FF231F20"/>
      </top>
      <bottom style="thin">
        <color indexed="64"/>
      </bottom>
      <diagonal/>
    </border>
    <border>
      <left style="thin">
        <color indexed="64"/>
      </left>
      <right/>
      <top/>
      <bottom/>
      <diagonal/>
    </border>
    <border>
      <left/>
      <right style="thin">
        <color indexed="64"/>
      </right>
      <top/>
      <bottom/>
      <diagonal/>
    </border>
    <border>
      <left style="thin">
        <color indexed="64"/>
      </left>
      <right style="thin">
        <color theme="1"/>
      </right>
      <top style="thin">
        <color theme="1"/>
      </top>
      <bottom style="thin">
        <color theme="1"/>
      </bottom>
      <diagonal/>
    </border>
  </borders>
  <cellStyleXfs count="24">
    <xf numFmtId="0" fontId="0" fillId="0" borderId="0"/>
    <xf numFmtId="0" fontId="25" fillId="0" borderId="0"/>
    <xf numFmtId="0" fontId="28" fillId="0" borderId="0"/>
    <xf numFmtId="0" fontId="29" fillId="0" borderId="0"/>
    <xf numFmtId="0" fontId="5" fillId="0" borderId="0"/>
    <xf numFmtId="0" fontId="4" fillId="0" borderId="0"/>
    <xf numFmtId="0" fontId="43" fillId="0" borderId="0"/>
    <xf numFmtId="0" fontId="3" fillId="0" borderId="0"/>
    <xf numFmtId="0" fontId="25" fillId="0" borderId="0"/>
    <xf numFmtId="0" fontId="3" fillId="0" borderId="0"/>
    <xf numFmtId="0" fontId="2" fillId="0" borderId="0"/>
    <xf numFmtId="0" fontId="2" fillId="0" borderId="0"/>
    <xf numFmtId="0" fontId="25"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54">
    <xf numFmtId="0" fontId="0" fillId="0" borderId="0" xfId="0"/>
    <xf numFmtId="0" fontId="7" fillId="0" borderId="0" xfId="0" applyFont="1" applyAlignment="1">
      <alignment horizontal="left" vertical="top"/>
    </xf>
    <xf numFmtId="0" fontId="0" fillId="0" borderId="0" xfId="0" applyAlignment="1">
      <alignment horizontal="left" vertical="top"/>
    </xf>
    <xf numFmtId="0" fontId="14" fillId="0" borderId="0" xfId="0" applyFont="1"/>
    <xf numFmtId="0" fontId="14" fillId="0" borderId="0" xfId="0" applyFont="1" applyAlignment="1">
      <alignment horizontal="center" vertical="center"/>
    </xf>
    <xf numFmtId="0" fontId="14" fillId="0" borderId="0" xfId="0" applyFont="1" applyAlignment="1">
      <alignment horizontal="center"/>
    </xf>
    <xf numFmtId="0" fontId="29" fillId="0" borderId="0" xfId="3" applyAlignment="1">
      <alignment horizontal="left" vertical="top"/>
    </xf>
    <xf numFmtId="0" fontId="26" fillId="0" borderId="0" xfId="3" applyFont="1" applyAlignment="1">
      <alignment horizontal="left" vertical="top"/>
    </xf>
    <xf numFmtId="0" fontId="23" fillId="0" borderId="0" xfId="3" applyFont="1" applyAlignment="1">
      <alignment horizontal="left" vertical="top"/>
    </xf>
    <xf numFmtId="0" fontId="29" fillId="0" borderId="0" xfId="3" applyAlignment="1">
      <alignment horizontal="left" vertical="center"/>
    </xf>
    <xf numFmtId="0" fontId="29" fillId="0" borderId="0" xfId="3" applyAlignment="1">
      <alignment horizontal="center" vertical="center"/>
    </xf>
    <xf numFmtId="0" fontId="25" fillId="0" borderId="0" xfId="1" applyAlignment="1">
      <alignment horizontal="left" vertical="top"/>
    </xf>
    <xf numFmtId="0" fontId="25" fillId="0" borderId="0" xfId="1" applyAlignment="1">
      <alignment horizontal="center" vertical="top"/>
    </xf>
    <xf numFmtId="0" fontId="27" fillId="0" borderId="0" xfId="3" applyFont="1" applyAlignment="1">
      <alignment horizontal="right" vertical="center" wrapText="1"/>
    </xf>
    <xf numFmtId="0" fontId="35" fillId="0" borderId="0" xfId="0" applyFont="1" applyAlignment="1">
      <alignment horizontal="center" vertical="center"/>
    </xf>
    <xf numFmtId="0" fontId="36" fillId="6" borderId="0" xfId="4" applyFont="1" applyFill="1"/>
    <xf numFmtId="0" fontId="5" fillId="0" borderId="0" xfId="4"/>
    <xf numFmtId="0" fontId="5" fillId="0" borderId="0" xfId="4" applyAlignment="1">
      <alignment horizontal="center"/>
    </xf>
    <xf numFmtId="0" fontId="14" fillId="0" borderId="0" xfId="0" applyFont="1" applyAlignment="1">
      <alignment horizontal="right"/>
    </xf>
    <xf numFmtId="0" fontId="42" fillId="0" borderId="0" xfId="0" applyFont="1"/>
    <xf numFmtId="0" fontId="45" fillId="0" borderId="0" xfId="0" applyFont="1" applyAlignment="1">
      <alignment vertical="top" wrapText="1"/>
    </xf>
    <xf numFmtId="0" fontId="0" fillId="0" borderId="1" xfId="0" applyBorder="1" applyAlignment="1">
      <alignment horizontal="center" vertical="top" wrapText="1"/>
    </xf>
    <xf numFmtId="0" fontId="0" fillId="10" borderId="0" xfId="0" applyFill="1"/>
    <xf numFmtId="0" fontId="0" fillId="8" borderId="0" xfId="0" applyFill="1"/>
    <xf numFmtId="0" fontId="0" fillId="5" borderId="0" xfId="0" applyFill="1"/>
    <xf numFmtId="0" fontId="14" fillId="8" borderId="2" xfId="0" applyFont="1" applyFill="1" applyBorder="1" applyAlignment="1">
      <alignment horizontal="right" vertical="center"/>
    </xf>
    <xf numFmtId="0" fontId="14" fillId="10" borderId="2" xfId="0" applyFont="1" applyFill="1" applyBorder="1"/>
    <xf numFmtId="0" fontId="14" fillId="10" borderId="8" xfId="0" applyFont="1" applyFill="1" applyBorder="1"/>
    <xf numFmtId="0" fontId="48" fillId="0" borderId="9" xfId="0" applyFont="1" applyBorder="1" applyAlignment="1">
      <alignment horizontal="left" vertical="top"/>
    </xf>
    <xf numFmtId="0" fontId="0" fillId="0" borderId="9" xfId="0" applyBorder="1" applyAlignment="1">
      <alignment horizontal="left" vertical="top"/>
    </xf>
    <xf numFmtId="0" fontId="49" fillId="0" borderId="9" xfId="0" applyFont="1" applyBorder="1" applyAlignment="1">
      <alignment horizontal="right" vertical="center"/>
    </xf>
    <xf numFmtId="0" fontId="49" fillId="0" borderId="8" xfId="0" applyFont="1" applyBorder="1" applyAlignment="1">
      <alignment horizontal="left" vertical="center"/>
    </xf>
    <xf numFmtId="0" fontId="45" fillId="0" borderId="0" xfId="0" applyFont="1" applyAlignment="1">
      <alignment horizontal="center" vertical="center"/>
    </xf>
    <xf numFmtId="0" fontId="45" fillId="0" borderId="0" xfId="0" applyFont="1" applyAlignment="1">
      <alignment horizontal="center" vertical="center" wrapText="1"/>
    </xf>
    <xf numFmtId="0" fontId="14" fillId="11" borderId="2" xfId="0" applyFont="1" applyFill="1" applyBorder="1"/>
    <xf numFmtId="0" fontId="35" fillId="10" borderId="13" xfId="0" applyFont="1" applyFill="1" applyBorder="1" applyAlignment="1">
      <alignment horizontal="center" vertical="center"/>
    </xf>
    <xf numFmtId="0" fontId="52" fillId="0" borderId="0" xfId="0" applyFont="1"/>
    <xf numFmtId="0" fontId="30" fillId="0" borderId="0" xfId="1" applyFont="1" applyAlignment="1">
      <alignment horizontal="left" vertical="top" wrapText="1"/>
    </xf>
    <xf numFmtId="0" fontId="54" fillId="0" borderId="0" xfId="1" applyFont="1" applyAlignment="1">
      <alignment vertical="center" wrapText="1"/>
    </xf>
    <xf numFmtId="165" fontId="21" fillId="0" borderId="0" xfId="1" applyNumberFormat="1" applyFont="1" applyAlignment="1">
      <alignment vertical="top" wrapText="1"/>
    </xf>
    <xf numFmtId="0" fontId="45" fillId="0" borderId="0" xfId="0" applyFont="1" applyAlignment="1">
      <alignment vertical="center" wrapText="1"/>
    </xf>
    <xf numFmtId="0" fontId="45" fillId="0" borderId="0" xfId="0" applyFont="1" applyAlignment="1">
      <alignment vertical="center"/>
    </xf>
    <xf numFmtId="0" fontId="44" fillId="0" borderId="0" xfId="0" applyFont="1" applyAlignment="1">
      <alignment vertical="center" wrapText="1"/>
    </xf>
    <xf numFmtId="0" fontId="44" fillId="0" borderId="0" xfId="0" applyFont="1" applyAlignment="1">
      <alignment vertical="center"/>
    </xf>
    <xf numFmtId="0" fontId="50" fillId="0" borderId="0" xfId="0" applyFont="1" applyAlignment="1">
      <alignment horizontal="center" vertical="center"/>
    </xf>
    <xf numFmtId="0" fontId="14" fillId="0" borderId="0" xfId="0" applyFont="1" applyAlignment="1">
      <alignment vertical="center"/>
    </xf>
    <xf numFmtId="0" fontId="0" fillId="0" borderId="0" xfId="0" applyAlignment="1">
      <alignment vertical="center"/>
    </xf>
    <xf numFmtId="0" fontId="44" fillId="10" borderId="2" xfId="0" applyFont="1" applyFill="1" applyBorder="1" applyAlignment="1">
      <alignment horizontal="center" vertical="center"/>
    </xf>
    <xf numFmtId="0" fontId="0" fillId="10" borderId="2" xfId="0" applyFill="1" applyBorder="1" applyAlignment="1">
      <alignment horizontal="center"/>
    </xf>
    <xf numFmtId="0" fontId="47" fillId="7" borderId="9" xfId="0" applyFont="1" applyFill="1" applyBorder="1"/>
    <xf numFmtId="0" fontId="47" fillId="7" borderId="8" xfId="0" applyFont="1" applyFill="1" applyBorder="1"/>
    <xf numFmtId="0" fontId="6" fillId="7" borderId="6" xfId="0" applyFont="1" applyFill="1" applyBorder="1"/>
    <xf numFmtId="0" fontId="6" fillId="7" borderId="9" xfId="0" applyFont="1" applyFill="1" applyBorder="1"/>
    <xf numFmtId="0" fontId="47" fillId="0" borderId="0" xfId="0" applyFont="1"/>
    <xf numFmtId="49" fontId="14" fillId="0" borderId="0" xfId="0" applyNumberFormat="1" applyFont="1"/>
    <xf numFmtId="0" fontId="53" fillId="0" borderId="2" xfId="1" applyFont="1" applyBorder="1" applyAlignment="1">
      <alignment horizontal="center" vertical="center" wrapText="1"/>
    </xf>
    <xf numFmtId="0" fontId="35" fillId="10" borderId="6" xfId="0" applyFont="1" applyFill="1" applyBorder="1" applyAlignment="1">
      <alignment horizontal="center" vertical="center"/>
    </xf>
    <xf numFmtId="0" fontId="41" fillId="0" borderId="0" xfId="0" applyFont="1" applyAlignment="1">
      <alignment vertical="top" wrapText="1"/>
    </xf>
    <xf numFmtId="0" fontId="15" fillId="0" borderId="0" xfId="0" applyFont="1" applyAlignment="1">
      <alignment vertical="top" wrapText="1"/>
    </xf>
    <xf numFmtId="0" fontId="35" fillId="10" borderId="2" xfId="0" applyFont="1" applyFill="1" applyBorder="1" applyAlignment="1">
      <alignment horizontal="center" vertical="center"/>
    </xf>
    <xf numFmtId="0" fontId="21" fillId="0" borderId="0" xfId="1" applyFont="1" applyAlignment="1">
      <alignment horizontal="center" vertical="top" wrapText="1"/>
    </xf>
    <xf numFmtId="0" fontId="56" fillId="0" borderId="0" xfId="0" applyFont="1"/>
    <xf numFmtId="49" fontId="14" fillId="0" borderId="0" xfId="2" applyNumberFormat="1" applyFont="1"/>
    <xf numFmtId="0" fontId="33" fillId="0" borderId="0" xfId="2" applyFont="1"/>
    <xf numFmtId="0" fontId="14" fillId="0" borderId="0" xfId="2" applyFont="1" applyAlignment="1">
      <alignment vertical="top"/>
    </xf>
    <xf numFmtId="0" fontId="18" fillId="0" borderId="0" xfId="2" applyFont="1"/>
    <xf numFmtId="0" fontId="36" fillId="9" borderId="0" xfId="4" applyFont="1" applyFill="1"/>
    <xf numFmtId="0" fontId="0" fillId="12" borderId="0" xfId="0" applyFill="1"/>
    <xf numFmtId="0" fontId="51" fillId="0" borderId="0" xfId="0" applyFont="1" applyAlignment="1">
      <alignment vertical="center"/>
    </xf>
    <xf numFmtId="49" fontId="14" fillId="3" borderId="2" xfId="0" applyNumberFormat="1" applyFont="1" applyFill="1" applyBorder="1" applyAlignment="1">
      <alignment horizontal="center" vertical="center"/>
    </xf>
    <xf numFmtId="49" fontId="14" fillId="3" borderId="7" xfId="0" applyNumberFormat="1" applyFont="1" applyFill="1" applyBorder="1" applyAlignment="1">
      <alignment horizontal="center" vertical="center"/>
    </xf>
    <xf numFmtId="3" fontId="20" fillId="0" borderId="2" xfId="3" applyNumberFormat="1" applyFont="1" applyBorder="1" applyAlignment="1">
      <alignment horizontal="center" vertical="center" wrapText="1"/>
    </xf>
    <xf numFmtId="0" fontId="57" fillId="4" borderId="2" xfId="3" applyFont="1" applyFill="1" applyBorder="1" applyAlignment="1">
      <alignment vertical="top" wrapText="1"/>
    </xf>
    <xf numFmtId="0" fontId="0" fillId="11" borderId="0" xfId="0" applyFill="1"/>
    <xf numFmtId="0" fontId="44" fillId="10" borderId="2" xfId="0" applyFont="1" applyFill="1" applyBorder="1" applyAlignment="1">
      <alignment horizontal="center" vertical="center" wrapText="1"/>
    </xf>
    <xf numFmtId="0" fontId="0" fillId="4" borderId="2" xfId="0" applyFill="1" applyBorder="1" applyAlignment="1">
      <alignment horizontal="center"/>
    </xf>
    <xf numFmtId="0" fontId="58" fillId="5" borderId="2" xfId="0" applyFont="1" applyFill="1" applyBorder="1" applyAlignment="1">
      <alignment horizontal="center" vertical="center" wrapText="1"/>
    </xf>
    <xf numFmtId="0" fontId="0" fillId="0" borderId="0" xfId="0" applyAlignment="1">
      <alignment horizontal="center" vertical="top" wrapText="1"/>
    </xf>
    <xf numFmtId="0" fontId="12" fillId="0" borderId="0" xfId="0" applyFont="1"/>
    <xf numFmtId="0" fontId="31" fillId="10" borderId="2" xfId="1" applyFont="1" applyFill="1" applyBorder="1" applyAlignment="1">
      <alignment horizontal="center" vertical="top" wrapText="1"/>
    </xf>
    <xf numFmtId="0" fontId="39" fillId="0" borderId="0" xfId="1" applyFont="1" applyAlignment="1">
      <alignment vertical="top" wrapText="1"/>
    </xf>
    <xf numFmtId="165" fontId="31" fillId="10" borderId="8" xfId="1" applyNumberFormat="1" applyFont="1" applyFill="1" applyBorder="1" applyAlignment="1">
      <alignment vertical="top" wrapText="1"/>
    </xf>
    <xf numFmtId="0" fontId="13" fillId="0" borderId="0" xfId="2" applyFont="1"/>
    <xf numFmtId="164" fontId="21" fillId="13" borderId="10" xfId="1" applyNumberFormat="1" applyFont="1" applyFill="1" applyBorder="1" applyAlignment="1">
      <alignment horizontal="center" vertical="center" wrapText="1"/>
    </xf>
    <xf numFmtId="164" fontId="31" fillId="11" borderId="3" xfId="1" applyNumberFormat="1" applyFont="1" applyFill="1" applyBorder="1" applyAlignment="1">
      <alignment horizontal="center" vertical="top" wrapText="1"/>
    </xf>
    <xf numFmtId="3" fontId="62" fillId="0" borderId="2" xfId="3" applyNumberFormat="1" applyFont="1" applyBorder="1" applyAlignment="1">
      <alignment horizontal="center" vertical="center" wrapText="1"/>
    </xf>
    <xf numFmtId="0" fontId="59" fillId="0" borderId="2" xfId="1" applyFont="1" applyBorder="1" applyAlignment="1">
      <alignment horizontal="center" vertical="top"/>
    </xf>
    <xf numFmtId="0" fontId="59" fillId="0" borderId="8" xfId="1" applyFont="1" applyBorder="1" applyAlignment="1">
      <alignment horizontal="center" vertical="top"/>
    </xf>
    <xf numFmtId="0" fontId="65" fillId="3" borderId="2" xfId="1" applyFont="1" applyFill="1" applyBorder="1" applyAlignment="1">
      <alignment horizontal="center" vertical="center"/>
    </xf>
    <xf numFmtId="0" fontId="14" fillId="3" borderId="2" xfId="0" applyFont="1" applyFill="1" applyBorder="1" applyAlignment="1">
      <alignment horizontal="center" vertical="center" wrapText="1"/>
    </xf>
    <xf numFmtId="0" fontId="59" fillId="3" borderId="2" xfId="0" applyFont="1" applyFill="1" applyBorder="1" applyAlignment="1">
      <alignment horizontal="center" vertical="center" wrapText="1"/>
    </xf>
    <xf numFmtId="0" fontId="14" fillId="0" borderId="1" xfId="0" applyFont="1" applyBorder="1" applyAlignment="1">
      <alignment horizontal="left" vertical="center"/>
    </xf>
    <xf numFmtId="0" fontId="22" fillId="5" borderId="3" xfId="1" applyFont="1" applyFill="1" applyBorder="1" applyAlignment="1">
      <alignment horizontal="center" vertical="center" wrapText="1"/>
    </xf>
    <xf numFmtId="165" fontId="21" fillId="12" borderId="0" xfId="1" applyNumberFormat="1" applyFont="1" applyFill="1" applyAlignment="1">
      <alignment horizontal="center" vertical="center" wrapText="1"/>
    </xf>
    <xf numFmtId="0" fontId="25" fillId="7" borderId="2" xfId="1" applyFill="1" applyBorder="1" applyAlignment="1">
      <alignment horizontal="left" vertical="top"/>
    </xf>
    <xf numFmtId="0" fontId="59" fillId="0" borderId="0" xfId="0" applyFont="1"/>
    <xf numFmtId="49" fontId="19" fillId="3" borderId="2" xfId="3" applyNumberFormat="1" applyFont="1" applyFill="1" applyBorder="1" applyAlignment="1">
      <alignment horizontal="center" vertical="center"/>
    </xf>
    <xf numFmtId="49" fontId="19" fillId="3" borderId="2" xfId="3" applyNumberFormat="1" applyFont="1" applyFill="1" applyBorder="1" applyAlignment="1">
      <alignment horizontal="center" vertical="center" wrapText="1"/>
    </xf>
    <xf numFmtId="0" fontId="12" fillId="3" borderId="2" xfId="3" applyFont="1" applyFill="1" applyBorder="1" applyAlignment="1">
      <alignment horizontal="center" vertical="center" wrapText="1"/>
    </xf>
    <xf numFmtId="0" fontId="1" fillId="0" borderId="0" xfId="4" applyFont="1"/>
    <xf numFmtId="49" fontId="14" fillId="0" borderId="0" xfId="0" applyNumberFormat="1" applyFont="1" applyAlignment="1">
      <alignment horizontal="center"/>
    </xf>
    <xf numFmtId="49" fontId="14" fillId="0" borderId="0" xfId="0" applyNumberFormat="1" applyFont="1" applyAlignment="1">
      <alignment horizontal="center" vertical="center"/>
    </xf>
    <xf numFmtId="0" fontId="44" fillId="0" borderId="0" xfId="0" applyFont="1" applyAlignment="1">
      <alignment horizontal="center" vertical="center" wrapText="1"/>
    </xf>
    <xf numFmtId="0" fontId="44" fillId="0" borderId="0" xfId="0" applyFont="1" applyAlignment="1">
      <alignment horizontal="center" vertical="center"/>
    </xf>
    <xf numFmtId="0" fontId="3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59" fillId="0" borderId="0" xfId="0" applyFont="1" applyAlignment="1">
      <alignment vertical="center" wrapText="1"/>
    </xf>
    <xf numFmtId="0" fontId="59" fillId="0" borderId="0" xfId="0" applyFont="1" applyAlignment="1">
      <alignment horizontal="center" vertical="center" wrapText="1"/>
    </xf>
    <xf numFmtId="0" fontId="6" fillId="0" borderId="0" xfId="0" applyFont="1"/>
    <xf numFmtId="0" fontId="34" fillId="0" borderId="0" xfId="0" applyFont="1"/>
    <xf numFmtId="0" fontId="20" fillId="5" borderId="2" xfId="1" applyFont="1" applyFill="1" applyBorder="1" applyAlignment="1">
      <alignment horizontal="center" vertical="top"/>
    </xf>
    <xf numFmtId="0" fontId="14" fillId="0" borderId="2" xfId="0" applyFont="1" applyBorder="1" applyAlignment="1">
      <alignment horizontal="center" vertical="center"/>
    </xf>
    <xf numFmtId="0" fontId="17" fillId="0" borderId="0" xfId="0" applyFont="1"/>
    <xf numFmtId="0" fontId="34" fillId="0" borderId="1" xfId="0" applyFont="1" applyBorder="1" applyAlignment="1">
      <alignment horizontal="left" vertical="center" wrapText="1"/>
    </xf>
    <xf numFmtId="164" fontId="31" fillId="8" borderId="2" xfId="1" applyNumberFormat="1" applyFont="1" applyFill="1" applyBorder="1" applyAlignment="1">
      <alignment horizontal="center" vertical="top" wrapText="1"/>
    </xf>
    <xf numFmtId="0" fontId="1" fillId="0" borderId="0" xfId="4" applyFont="1" applyAlignment="1">
      <alignment wrapText="1"/>
    </xf>
    <xf numFmtId="49" fontId="59" fillId="3" borderId="7" xfId="0" applyNumberFormat="1" applyFont="1" applyFill="1" applyBorder="1" applyAlignment="1">
      <alignment horizontal="center" vertical="center"/>
    </xf>
    <xf numFmtId="0" fontId="46" fillId="0" borderId="0" xfId="0" applyFont="1"/>
    <xf numFmtId="0" fontId="77" fillId="0" borderId="0" xfId="0" applyFont="1"/>
    <xf numFmtId="3" fontId="59" fillId="11" borderId="2" xfId="3" applyNumberFormat="1" applyFont="1" applyFill="1" applyBorder="1" applyAlignment="1">
      <alignment horizontal="center" vertical="center" wrapText="1"/>
    </xf>
    <xf numFmtId="0" fontId="59" fillId="11" borderId="2" xfId="3" applyFont="1" applyFill="1" applyBorder="1" applyAlignment="1">
      <alignment horizontal="center" vertical="center" wrapText="1"/>
    </xf>
    <xf numFmtId="0" fontId="21" fillId="8" borderId="8" xfId="1" applyFont="1" applyFill="1" applyBorder="1" applyAlignment="1">
      <alignment horizontal="center" vertical="top" wrapText="1"/>
    </xf>
    <xf numFmtId="165" fontId="19" fillId="8" borderId="2" xfId="1" applyNumberFormat="1" applyFont="1" applyFill="1" applyBorder="1" applyAlignment="1">
      <alignment horizontal="center" vertical="center" wrapText="1"/>
    </xf>
    <xf numFmtId="0" fontId="78" fillId="8" borderId="2" xfId="1" applyFont="1" applyFill="1" applyBorder="1" applyAlignment="1">
      <alignment vertical="top" wrapText="1"/>
    </xf>
    <xf numFmtId="0" fontId="78" fillId="10" borderId="2" xfId="1" applyFont="1" applyFill="1" applyBorder="1" applyAlignment="1">
      <alignment horizontal="center" vertical="top" wrapText="1"/>
    </xf>
    <xf numFmtId="0" fontId="50" fillId="4" borderId="2" xfId="0" applyFont="1" applyFill="1" applyBorder="1" applyAlignment="1">
      <alignment horizontal="center" vertical="center" wrapText="1"/>
    </xf>
    <xf numFmtId="0" fontId="50" fillId="10" borderId="2" xfId="0" applyFont="1" applyFill="1" applyBorder="1" applyAlignment="1">
      <alignment horizontal="center" vertical="center" wrapText="1"/>
    </xf>
    <xf numFmtId="0" fontId="79" fillId="10" borderId="2" xfId="0" applyFont="1" applyFill="1" applyBorder="1" applyAlignment="1">
      <alignment horizontal="center" vertical="center" wrapText="1"/>
    </xf>
    <xf numFmtId="0" fontId="46" fillId="10" borderId="2" xfId="0" applyFont="1" applyFill="1" applyBorder="1" applyAlignment="1">
      <alignment horizontal="center"/>
    </xf>
    <xf numFmtId="0" fontId="79" fillId="5" borderId="2" xfId="0" applyFont="1" applyFill="1" applyBorder="1" applyAlignment="1">
      <alignment horizontal="center" vertical="center"/>
    </xf>
    <xf numFmtId="0" fontId="46" fillId="0" borderId="0" xfId="0" applyFont="1" applyAlignment="1">
      <alignment vertical="center"/>
    </xf>
    <xf numFmtId="0" fontId="86" fillId="8" borderId="2" xfId="0" applyFont="1" applyFill="1" applyBorder="1" applyAlignment="1">
      <alignment wrapText="1"/>
    </xf>
    <xf numFmtId="0" fontId="85" fillId="0" borderId="0" xfId="0" applyFont="1"/>
    <xf numFmtId="0" fontId="82" fillId="0" borderId="0" xfId="0" applyFont="1"/>
    <xf numFmtId="0" fontId="6" fillId="0" borderId="0" xfId="0" applyFont="1" applyAlignment="1">
      <alignment horizontal="right"/>
    </xf>
    <xf numFmtId="0" fontId="86" fillId="10" borderId="2" xfId="0" applyFont="1" applyFill="1" applyBorder="1" applyAlignment="1">
      <alignment wrapText="1"/>
    </xf>
    <xf numFmtId="0" fontId="21" fillId="0" borderId="0" xfId="0" applyFont="1" applyAlignment="1">
      <alignment vertical="top" wrapText="1"/>
    </xf>
    <xf numFmtId="49" fontId="6" fillId="0" borderId="0" xfId="0" applyNumberFormat="1" applyFont="1" applyAlignment="1">
      <alignment vertical="center"/>
    </xf>
    <xf numFmtId="0" fontId="34" fillId="0" borderId="0" xfId="0" applyFont="1" applyAlignment="1">
      <alignment vertical="center" wrapText="1"/>
    </xf>
    <xf numFmtId="0" fontId="42" fillId="0" borderId="0" xfId="0" applyFont="1" applyAlignment="1">
      <alignment vertical="center"/>
    </xf>
    <xf numFmtId="0" fontId="80" fillId="0" borderId="0" xfId="0" applyFont="1" applyAlignment="1">
      <alignment wrapText="1"/>
    </xf>
    <xf numFmtId="0" fontId="81" fillId="0" borderId="0" xfId="0" applyFont="1"/>
    <xf numFmtId="0" fontId="81" fillId="0" borderId="0" xfId="0" applyFont="1" applyAlignment="1">
      <alignment wrapText="1"/>
    </xf>
    <xf numFmtId="0" fontId="59" fillId="0" borderId="0" xfId="0" applyFont="1" applyAlignment="1">
      <alignment wrapText="1"/>
    </xf>
    <xf numFmtId="0" fontId="80" fillId="0" borderId="0" xfId="0" applyFont="1" applyAlignment="1">
      <alignment vertical="center" wrapText="1"/>
    </xf>
    <xf numFmtId="0" fontId="34" fillId="14" borderId="0" xfId="0" applyFont="1" applyFill="1" applyAlignment="1">
      <alignment horizontal="center" vertical="center" wrapText="1"/>
    </xf>
    <xf numFmtId="0" fontId="89" fillId="0" borderId="0" xfId="3" applyFont="1" applyAlignment="1">
      <alignment horizontal="left" vertical="top"/>
    </xf>
    <xf numFmtId="0" fontId="36" fillId="0" borderId="0" xfId="4" applyFont="1"/>
    <xf numFmtId="0" fontId="90" fillId="0" borderId="0" xfId="0" applyFont="1"/>
    <xf numFmtId="0" fontId="48" fillId="0" borderId="0" xfId="4" applyFont="1"/>
    <xf numFmtId="0" fontId="48" fillId="0" borderId="0" xfId="4" applyFont="1" applyAlignment="1">
      <alignment wrapText="1"/>
    </xf>
    <xf numFmtId="0" fontId="59" fillId="10" borderId="9" xfId="0" applyFont="1" applyFill="1" applyBorder="1"/>
    <xf numFmtId="0" fontId="59" fillId="10" borderId="8" xfId="0" applyFont="1" applyFill="1" applyBorder="1"/>
    <xf numFmtId="0" fontId="91" fillId="10" borderId="2" xfId="0" applyFont="1" applyFill="1" applyBorder="1" applyAlignment="1">
      <alignment horizontal="center" vertical="center"/>
    </xf>
    <xf numFmtId="0" fontId="46" fillId="0" borderId="8" xfId="0" applyFont="1" applyBorder="1" applyAlignment="1">
      <alignment horizontal="right" vertical="center"/>
    </xf>
    <xf numFmtId="0" fontId="93" fillId="0" borderId="0" xfId="0" applyFont="1"/>
    <xf numFmtId="0" fontId="93" fillId="0" borderId="0" xfId="0" applyFont="1" applyAlignment="1">
      <alignment vertical="center"/>
    </xf>
    <xf numFmtId="0" fontId="91" fillId="8" borderId="2" xfId="0" applyFont="1" applyFill="1" applyBorder="1" applyAlignment="1">
      <alignment horizontal="center" vertical="center"/>
    </xf>
    <xf numFmtId="49" fontId="99" fillId="8" borderId="2" xfId="1" applyNumberFormat="1" applyFont="1" applyFill="1" applyBorder="1" applyAlignment="1">
      <alignment horizontal="center" vertical="top" wrapText="1"/>
    </xf>
    <xf numFmtId="0" fontId="100" fillId="8" borderId="2" xfId="0" applyFont="1" applyFill="1" applyBorder="1" applyAlignment="1">
      <alignment wrapText="1"/>
    </xf>
    <xf numFmtId="0" fontId="100" fillId="5" borderId="2" xfId="0" applyFont="1" applyFill="1" applyBorder="1" applyAlignment="1">
      <alignment horizontal="center" vertical="center"/>
    </xf>
    <xf numFmtId="0" fontId="59" fillId="0" borderId="2" xfId="0" applyFont="1" applyBorder="1" applyAlignment="1">
      <alignment horizontal="left" vertical="center" wrapText="1"/>
    </xf>
    <xf numFmtId="0" fontId="101" fillId="3" borderId="2" xfId="0" applyFont="1" applyFill="1" applyBorder="1" applyAlignment="1">
      <alignment horizontal="center" vertical="center"/>
    </xf>
    <xf numFmtId="0" fontId="20" fillId="4" borderId="2" xfId="3" applyFont="1" applyFill="1" applyBorder="1" applyAlignment="1">
      <alignment vertical="top" wrapText="1"/>
    </xf>
    <xf numFmtId="0" fontId="88" fillId="0" borderId="0" xfId="0" applyFont="1" applyAlignment="1">
      <alignment wrapText="1"/>
    </xf>
    <xf numFmtId="0" fontId="105" fillId="0" borderId="0" xfId="0" applyFont="1"/>
    <xf numFmtId="0" fontId="105" fillId="8" borderId="0" xfId="0" applyFont="1" applyFill="1" applyAlignment="1">
      <alignment horizontal="center" vertical="center"/>
    </xf>
    <xf numFmtId="0" fontId="78" fillId="5" borderId="2" xfId="1" applyFont="1" applyFill="1" applyBorder="1" applyAlignment="1">
      <alignment horizontal="center" vertical="center" wrapText="1"/>
    </xf>
    <xf numFmtId="164" fontId="64" fillId="0" borderId="0" xfId="1" applyNumberFormat="1" applyFont="1" applyAlignment="1">
      <alignment vertical="center" wrapText="1"/>
    </xf>
    <xf numFmtId="49" fontId="14" fillId="0" borderId="0" xfId="0" applyNumberFormat="1" applyFont="1" applyAlignment="1">
      <alignment vertical="center"/>
    </xf>
    <xf numFmtId="0" fontId="40" fillId="0" borderId="0" xfId="0" applyFont="1" applyAlignment="1">
      <alignment vertical="center" wrapText="1"/>
    </xf>
    <xf numFmtId="0" fontId="59" fillId="0" borderId="2" xfId="0" applyFont="1" applyBorder="1" applyAlignment="1">
      <alignment horizontal="center" vertical="center" wrapText="1"/>
    </xf>
    <xf numFmtId="0" fontId="42" fillId="0" borderId="22" xfId="0" applyFont="1" applyBorder="1" applyAlignment="1">
      <alignment wrapText="1"/>
    </xf>
    <xf numFmtId="0" fontId="82" fillId="0" borderId="0" xfId="0" applyFont="1" applyAlignment="1">
      <alignment wrapText="1"/>
    </xf>
    <xf numFmtId="0" fontId="82" fillId="0" borderId="22" xfId="0" applyFont="1" applyBorder="1" applyAlignment="1">
      <alignment wrapText="1"/>
    </xf>
    <xf numFmtId="0" fontId="101" fillId="0" borderId="2" xfId="0" applyFont="1" applyBorder="1" applyAlignment="1">
      <alignment horizontal="center" vertical="center"/>
    </xf>
    <xf numFmtId="0" fontId="91" fillId="0" borderId="2" xfId="0" applyFont="1" applyBorder="1" applyAlignment="1">
      <alignment horizontal="center" vertical="center"/>
    </xf>
    <xf numFmtId="0" fontId="102" fillId="0" borderId="2" xfId="0" applyFont="1" applyBorder="1" applyAlignment="1">
      <alignment horizontal="center" vertical="center"/>
    </xf>
    <xf numFmtId="0" fontId="93" fillId="0" borderId="22" xfId="0" applyFont="1" applyBorder="1" applyAlignment="1">
      <alignment vertical="center"/>
    </xf>
    <xf numFmtId="0" fontId="14" fillId="0" borderId="2" xfId="0" applyFont="1" applyBorder="1"/>
    <xf numFmtId="0" fontId="14" fillId="17" borderId="2" xfId="0" applyFont="1" applyFill="1" applyBorder="1"/>
    <xf numFmtId="0" fontId="40" fillId="17" borderId="2" xfId="0" applyFont="1" applyFill="1" applyBorder="1"/>
    <xf numFmtId="0" fontId="42" fillId="17" borderId="24" xfId="0" applyFont="1" applyFill="1" applyBorder="1" applyAlignment="1">
      <alignment horizontal="center"/>
    </xf>
    <xf numFmtId="0" fontId="59" fillId="17" borderId="0" xfId="0" applyFont="1" applyFill="1"/>
    <xf numFmtId="0" fontId="14" fillId="17" borderId="0" xfId="0" applyFont="1" applyFill="1"/>
    <xf numFmtId="0" fontId="106" fillId="0" borderId="2" xfId="0" applyFont="1" applyBorder="1" applyAlignment="1">
      <alignment horizontal="center" vertical="center" wrapText="1"/>
    </xf>
    <xf numFmtId="0" fontId="40" fillId="0" borderId="2" xfId="0" applyFont="1" applyBorder="1" applyAlignment="1">
      <alignment horizontal="center" vertical="center" wrapText="1"/>
    </xf>
    <xf numFmtId="49" fontId="110" fillId="17" borderId="2" xfId="1" applyNumberFormat="1" applyFont="1" applyFill="1" applyBorder="1" applyAlignment="1">
      <alignment horizontal="center" vertical="top" wrapText="1"/>
    </xf>
    <xf numFmtId="0" fontId="110" fillId="17" borderId="14" xfId="1" applyFont="1" applyFill="1" applyBorder="1" applyAlignment="1">
      <alignment horizontal="center" vertical="center" wrapText="1"/>
    </xf>
    <xf numFmtId="0" fontId="111" fillId="17" borderId="2" xfId="0" applyFont="1" applyFill="1" applyBorder="1" applyAlignment="1">
      <alignment horizontal="center" vertical="center" wrapText="1"/>
    </xf>
    <xf numFmtId="0" fontId="0" fillId="5" borderId="2" xfId="0" applyFill="1" applyBorder="1"/>
    <xf numFmtId="0" fontId="100" fillId="17" borderId="2" xfId="0" applyFont="1" applyFill="1" applyBorder="1" applyAlignment="1">
      <alignment wrapText="1"/>
    </xf>
    <xf numFmtId="0" fontId="40" fillId="17" borderId="2" xfId="0" applyFont="1" applyFill="1" applyBorder="1" applyAlignment="1">
      <alignment horizontal="center" vertical="center" wrapText="1"/>
    </xf>
    <xf numFmtId="0" fontId="54" fillId="5" borderId="2" xfId="0" applyFont="1" applyFill="1" applyBorder="1" applyAlignment="1">
      <alignment horizontal="center" vertical="center"/>
    </xf>
    <xf numFmtId="0" fontId="110" fillId="17" borderId="2" xfId="1" applyFont="1" applyFill="1" applyBorder="1" applyAlignment="1">
      <alignment horizontal="center" vertical="center" wrapText="1"/>
    </xf>
    <xf numFmtId="0" fontId="12" fillId="17" borderId="14" xfId="1" applyFont="1" applyFill="1" applyBorder="1" applyAlignment="1">
      <alignment horizontal="center" vertical="center" wrapText="1"/>
    </xf>
    <xf numFmtId="0" fontId="42" fillId="17" borderId="0" xfId="0" applyFont="1" applyFill="1" applyAlignment="1">
      <alignment horizontal="center" vertical="center"/>
    </xf>
    <xf numFmtId="49" fontId="42" fillId="17" borderId="2" xfId="0" applyNumberFormat="1" applyFont="1" applyFill="1" applyBorder="1" applyAlignment="1">
      <alignment horizontal="center"/>
    </xf>
    <xf numFmtId="0" fontId="115" fillId="17" borderId="0" xfId="0" applyFont="1" applyFill="1" applyAlignment="1">
      <alignment horizontal="center" vertical="center" wrapText="1"/>
    </xf>
    <xf numFmtId="0" fontId="0" fillId="8" borderId="2" xfId="0" applyFill="1" applyBorder="1"/>
    <xf numFmtId="0" fontId="86" fillId="8" borderId="3" xfId="0" applyFont="1" applyFill="1" applyBorder="1" applyAlignment="1">
      <alignment wrapText="1"/>
    </xf>
    <xf numFmtId="0" fontId="34" fillId="17" borderId="2" xfId="0" applyFont="1" applyFill="1" applyBorder="1" applyAlignment="1">
      <alignment horizontal="center" vertical="center" wrapText="1"/>
    </xf>
    <xf numFmtId="0" fontId="34" fillId="14" borderId="2" xfId="0" applyFont="1" applyFill="1" applyBorder="1" applyAlignment="1">
      <alignment horizontal="center" vertical="center" wrapText="1"/>
    </xf>
    <xf numFmtId="0" fontId="86" fillId="17" borderId="2" xfId="0" applyFont="1" applyFill="1" applyBorder="1" applyAlignment="1">
      <alignment wrapText="1"/>
    </xf>
    <xf numFmtId="0" fontId="42" fillId="17" borderId="0" xfId="0" applyFont="1" applyFill="1"/>
    <xf numFmtId="0" fontId="82" fillId="17" borderId="0" xfId="0" applyFont="1" applyFill="1" applyAlignment="1">
      <alignment horizontal="right"/>
    </xf>
    <xf numFmtId="0" fontId="120" fillId="17" borderId="2" xfId="1" applyFont="1" applyFill="1" applyBorder="1" applyAlignment="1">
      <alignment horizontal="center" vertical="top" wrapText="1"/>
    </xf>
    <xf numFmtId="0" fontId="86" fillId="17" borderId="2" xfId="0" applyFont="1" applyFill="1" applyBorder="1" applyAlignment="1">
      <alignment horizontal="center" vertical="center" wrapText="1"/>
    </xf>
    <xf numFmtId="0" fontId="118" fillId="0" borderId="0" xfId="4" applyFont="1"/>
    <xf numFmtId="0" fontId="118" fillId="0" borderId="0" xfId="4" applyFont="1" applyAlignment="1">
      <alignment horizontal="center"/>
    </xf>
    <xf numFmtId="0" fontId="115" fillId="17" borderId="2" xfId="0" applyFont="1" applyFill="1" applyBorder="1" applyAlignment="1">
      <alignment horizontal="center" vertical="center" wrapText="1"/>
    </xf>
    <xf numFmtId="0" fontId="121" fillId="10" borderId="2" xfId="1" applyFont="1" applyFill="1" applyBorder="1" applyAlignment="1">
      <alignment horizontal="center" vertical="top" wrapText="1"/>
    </xf>
    <xf numFmtId="0" fontId="109" fillId="17" borderId="14" xfId="1" applyFont="1" applyFill="1" applyBorder="1" applyAlignment="1">
      <alignment horizontal="center" vertical="center" wrapText="1"/>
    </xf>
    <xf numFmtId="49" fontId="109" fillId="17" borderId="2" xfId="1" applyNumberFormat="1" applyFont="1" applyFill="1" applyBorder="1" applyAlignment="1">
      <alignment horizontal="center" vertical="top" wrapText="1"/>
    </xf>
    <xf numFmtId="49" fontId="99" fillId="17" borderId="2" xfId="1" applyNumberFormat="1" applyFont="1" applyFill="1" applyBorder="1" applyAlignment="1">
      <alignment horizontal="center" vertical="top" wrapText="1"/>
    </xf>
    <xf numFmtId="49" fontId="12" fillId="3" borderId="2" xfId="1" applyNumberFormat="1" applyFont="1" applyFill="1" applyBorder="1" applyAlignment="1">
      <alignment horizontal="center" vertical="top" wrapText="1"/>
    </xf>
    <xf numFmtId="14" fontId="5" fillId="0" borderId="0" xfId="4" applyNumberFormat="1"/>
    <xf numFmtId="0" fontId="124" fillId="17" borderId="2" xfId="0" applyFont="1" applyFill="1" applyBorder="1" applyAlignment="1">
      <alignment horizontal="center" vertical="center"/>
    </xf>
    <xf numFmtId="0" fontId="0" fillId="0" borderId="0" xfId="4" applyFont="1"/>
    <xf numFmtId="0" fontId="0" fillId="0" borderId="0" xfId="4" applyFont="1" applyAlignment="1">
      <alignment wrapText="1"/>
    </xf>
    <xf numFmtId="0" fontId="126" fillId="17" borderId="2" xfId="0" applyFont="1" applyFill="1" applyBorder="1" applyAlignment="1">
      <alignment horizontal="center" vertical="center"/>
    </xf>
    <xf numFmtId="0" fontId="9" fillId="0" borderId="0" xfId="0" applyFont="1" applyAlignment="1">
      <alignment horizontal="left" vertical="top"/>
    </xf>
    <xf numFmtId="0" fontId="0" fillId="11" borderId="0" xfId="0" applyFill="1" applyAlignment="1">
      <alignment horizontal="center"/>
    </xf>
    <xf numFmtId="0" fontId="14" fillId="10" borderId="9" xfId="0" applyFont="1" applyFill="1" applyBorder="1"/>
    <xf numFmtId="0" fontId="59" fillId="3" borderId="6" xfId="0" applyFont="1" applyFill="1" applyBorder="1" applyAlignment="1">
      <alignment horizontal="left" vertical="center"/>
    </xf>
    <xf numFmtId="0" fontId="59" fillId="3" borderId="9" xfId="0" applyFont="1" applyFill="1" applyBorder="1" applyAlignment="1">
      <alignment horizontal="left" vertical="center"/>
    </xf>
    <xf numFmtId="0" fontId="46" fillId="0" borderId="0" xfId="0" applyFont="1" applyAlignment="1">
      <alignment horizontal="center" vertical="center"/>
    </xf>
    <xf numFmtId="0" fontId="11" fillId="0" borderId="9" xfId="0" applyFont="1" applyBorder="1" applyAlignment="1">
      <alignment horizontal="left" vertical="center" wrapText="1"/>
    </xf>
    <xf numFmtId="0" fontId="16" fillId="3" borderId="2" xfId="3" applyFont="1" applyFill="1" applyBorder="1" applyAlignment="1">
      <alignment horizontal="center" vertical="center"/>
    </xf>
    <xf numFmtId="0" fontId="41" fillId="0" borderId="9" xfId="0" applyFont="1" applyBorder="1" applyAlignment="1">
      <alignment horizontal="left" vertical="top" wrapText="1"/>
    </xf>
    <xf numFmtId="0" fontId="41" fillId="0" borderId="8" xfId="0" applyFont="1" applyBorder="1" applyAlignment="1">
      <alignment horizontal="left" vertical="top" wrapText="1"/>
    </xf>
    <xf numFmtId="49" fontId="32" fillId="3" borderId="2" xfId="1" applyNumberFormat="1" applyFont="1" applyFill="1" applyBorder="1" applyAlignment="1">
      <alignment horizontal="center" vertical="top" wrapText="1"/>
    </xf>
    <xf numFmtId="0" fontId="12" fillId="3" borderId="2" xfId="1" applyFont="1" applyFill="1" applyBorder="1" applyAlignment="1">
      <alignment horizontal="center" vertical="center" wrapText="1"/>
    </xf>
    <xf numFmtId="0" fontId="23" fillId="0" borderId="2" xfId="1" applyFont="1" applyBorder="1" applyAlignment="1">
      <alignment horizontal="center" vertical="top"/>
    </xf>
    <xf numFmtId="0" fontId="12" fillId="3" borderId="14" xfId="1" applyFont="1" applyFill="1" applyBorder="1" applyAlignment="1">
      <alignment horizontal="center" vertical="center" wrapText="1"/>
    </xf>
    <xf numFmtId="0" fontId="12" fillId="3" borderId="15" xfId="1" applyFont="1" applyFill="1" applyBorder="1" applyAlignment="1">
      <alignment horizontal="center" vertical="center" wrapText="1"/>
    </xf>
    <xf numFmtId="49" fontId="14" fillId="3" borderId="6" xfId="0" applyNumberFormat="1" applyFont="1" applyFill="1" applyBorder="1" applyAlignment="1">
      <alignment horizontal="center" vertical="center"/>
    </xf>
    <xf numFmtId="0" fontId="45" fillId="3" borderId="2" xfId="0" applyFont="1" applyFill="1" applyBorder="1" applyAlignment="1">
      <alignment horizontal="center" vertical="center" wrapText="1"/>
    </xf>
    <xf numFmtId="0" fontId="23" fillId="0" borderId="0" xfId="1" applyFont="1" applyAlignment="1">
      <alignment horizontal="center" vertical="top"/>
    </xf>
    <xf numFmtId="49" fontId="14" fillId="3" borderId="2" xfId="0" applyNumberFormat="1" applyFont="1" applyFill="1" applyBorder="1" applyAlignment="1">
      <alignment horizontal="center"/>
    </xf>
    <xf numFmtId="0" fontId="0" fillId="0" borderId="0" xfId="0" applyAlignment="1">
      <alignment horizontal="center"/>
    </xf>
    <xf numFmtId="0" fontId="34" fillId="0" borderId="0" xfId="0" applyFont="1" applyAlignment="1">
      <alignment horizontal="left" vertical="center"/>
    </xf>
    <xf numFmtId="0" fontId="34" fillId="0" borderId="0" xfId="0" applyFont="1" applyAlignment="1">
      <alignment horizontal="left" vertical="center" wrapText="1"/>
    </xf>
    <xf numFmtId="0" fontId="14" fillId="3" borderId="2" xfId="0" applyFont="1" applyFill="1" applyBorder="1" applyAlignment="1">
      <alignment horizontal="center" vertical="center"/>
    </xf>
    <xf numFmtId="0" fontId="100" fillId="17" borderId="2" xfId="0" applyFont="1" applyFill="1" applyBorder="1" applyAlignment="1">
      <alignment horizontal="center" vertical="center"/>
    </xf>
    <xf numFmtId="0" fontId="0" fillId="17" borderId="0" xfId="0" applyFill="1"/>
    <xf numFmtId="0" fontId="91" fillId="17" borderId="2" xfId="0" applyFont="1" applyFill="1" applyBorder="1" applyAlignment="1">
      <alignment horizontal="center" vertical="center"/>
    </xf>
    <xf numFmtId="0" fontId="128" fillId="17" borderId="2" xfId="0" applyFont="1" applyFill="1" applyBorder="1" applyAlignment="1">
      <alignment horizontal="center" vertical="center"/>
    </xf>
    <xf numFmtId="3" fontId="59" fillId="17" borderId="2" xfId="3" applyNumberFormat="1" applyFont="1" applyFill="1" applyBorder="1" applyAlignment="1">
      <alignment horizontal="center" vertical="center" wrapText="1"/>
    </xf>
    <xf numFmtId="0" fontId="1" fillId="0" borderId="0" xfId="4" applyFont="1" applyAlignment="1">
      <alignment horizontal="center" vertical="center"/>
    </xf>
    <xf numFmtId="0" fontId="27" fillId="0" borderId="0" xfId="3" applyFont="1" applyAlignment="1">
      <alignment vertical="center" wrapText="1"/>
    </xf>
    <xf numFmtId="0" fontId="27" fillId="0" borderId="0" xfId="3" applyFont="1" applyAlignment="1">
      <alignment horizontal="left" vertical="center" wrapText="1"/>
    </xf>
    <xf numFmtId="0" fontId="36" fillId="0" borderId="0" xfId="4" applyFont="1" applyAlignment="1">
      <alignment horizontal="right"/>
    </xf>
    <xf numFmtId="0" fontId="5" fillId="0" borderId="0" xfId="4" applyAlignment="1">
      <alignment horizontal="right"/>
    </xf>
    <xf numFmtId="14" fontId="1" fillId="0" borderId="0" xfId="4" applyNumberFormat="1" applyFont="1" applyAlignment="1">
      <alignment horizontal="right"/>
    </xf>
    <xf numFmtId="14" fontId="5" fillId="0" borderId="0" xfId="4" applyNumberFormat="1" applyAlignment="1">
      <alignment horizontal="right"/>
    </xf>
    <xf numFmtId="0" fontId="9" fillId="0" borderId="0" xfId="0" applyFont="1" applyAlignment="1">
      <alignment horizontal="left" vertical="top"/>
    </xf>
    <xf numFmtId="0" fontId="0" fillId="11" borderId="0" xfId="0" applyFill="1" applyAlignment="1">
      <alignment horizontal="center"/>
    </xf>
    <xf numFmtId="0" fontId="21" fillId="0" borderId="6" xfId="0" applyFont="1" applyBorder="1" applyAlignment="1">
      <alignment horizontal="left" vertical="top" wrapText="1"/>
    </xf>
    <xf numFmtId="0" fontId="21" fillId="0" borderId="9" xfId="0" applyFont="1" applyBorder="1" applyAlignment="1">
      <alignment horizontal="left" vertical="top" wrapText="1"/>
    </xf>
    <xf numFmtId="0" fontId="21" fillId="0" borderId="8" xfId="0" applyFont="1" applyBorder="1" applyAlignment="1">
      <alignment horizontal="left" vertical="top" wrapText="1"/>
    </xf>
    <xf numFmtId="0" fontId="10" fillId="0" borderId="0" xfId="0" applyFont="1" applyAlignment="1">
      <alignment horizontal="right" vertical="center"/>
    </xf>
    <xf numFmtId="0" fontId="14" fillId="0" borderId="6" xfId="0" applyFont="1" applyBorder="1" applyAlignment="1">
      <alignment horizontal="right"/>
    </xf>
    <xf numFmtId="0" fontId="14" fillId="0" borderId="8" xfId="0" applyFont="1" applyBorder="1" applyAlignment="1">
      <alignment horizontal="right"/>
    </xf>
    <xf numFmtId="0" fontId="14" fillId="10" borderId="6" xfId="0" applyFont="1" applyFill="1" applyBorder="1"/>
    <xf numFmtId="0" fontId="14" fillId="10" borderId="9" xfId="0" applyFont="1" applyFill="1" applyBorder="1"/>
    <xf numFmtId="0" fontId="14" fillId="0" borderId="6" xfId="0" applyFont="1" applyBorder="1"/>
    <xf numFmtId="0" fontId="14" fillId="0" borderId="8" xfId="0" applyFont="1" applyBorder="1"/>
    <xf numFmtId="0" fontId="50" fillId="0" borderId="0" xfId="0" applyFont="1" applyAlignment="1">
      <alignment horizontal="left" vertical="center"/>
    </xf>
    <xf numFmtId="0" fontId="14" fillId="10" borderId="6" xfId="0" applyFont="1" applyFill="1" applyBorder="1" applyAlignment="1">
      <alignment horizontal="center"/>
    </xf>
    <xf numFmtId="0" fontId="14" fillId="10" borderId="9" xfId="0" applyFont="1" applyFill="1" applyBorder="1" applyAlignment="1">
      <alignment horizontal="center"/>
    </xf>
    <xf numFmtId="0" fontId="14" fillId="10" borderId="8" xfId="0" applyFont="1" applyFill="1" applyBorder="1" applyAlignment="1">
      <alignment horizontal="center"/>
    </xf>
    <xf numFmtId="0" fontId="59" fillId="10" borderId="6" xfId="0" applyFont="1" applyFill="1" applyBorder="1" applyAlignment="1">
      <alignment horizontal="left"/>
    </xf>
    <xf numFmtId="0" fontId="59" fillId="10" borderId="9" xfId="0" applyFont="1" applyFill="1" applyBorder="1" applyAlignment="1">
      <alignment horizontal="left"/>
    </xf>
    <xf numFmtId="0" fontId="59" fillId="10" borderId="8" xfId="0" applyFont="1" applyFill="1" applyBorder="1" applyAlignment="1">
      <alignment horizontal="left"/>
    </xf>
    <xf numFmtId="0" fontId="20" fillId="0" borderId="0" xfId="0" applyFont="1" applyAlignment="1">
      <alignment horizontal="right"/>
    </xf>
    <xf numFmtId="0" fontId="17" fillId="0" borderId="0" xfId="0" applyFont="1" applyAlignment="1">
      <alignment horizontal="right"/>
    </xf>
    <xf numFmtId="0" fontId="59" fillId="0" borderId="2" xfId="0" applyFont="1" applyBorder="1" applyAlignment="1">
      <alignment horizontal="center"/>
    </xf>
    <xf numFmtId="0" fontId="106" fillId="0" borderId="6" xfId="0" applyFont="1" applyBorder="1" applyAlignment="1">
      <alignment horizontal="center"/>
    </xf>
    <xf numFmtId="0" fontId="106" fillId="0" borderId="8" xfId="0" applyFont="1" applyBorder="1" applyAlignment="1">
      <alignment horizontal="center"/>
    </xf>
    <xf numFmtId="0" fontId="106" fillId="0" borderId="6" xfId="0" applyFont="1" applyBorder="1" applyAlignment="1">
      <alignment horizontal="center" wrapText="1"/>
    </xf>
    <xf numFmtId="0" fontId="106" fillId="0" borderId="8" xfId="0" applyFont="1" applyBorder="1" applyAlignment="1">
      <alignment horizontal="center" wrapText="1"/>
    </xf>
    <xf numFmtId="0" fontId="20" fillId="5" borderId="2" xfId="0" applyFont="1" applyFill="1" applyBorder="1" applyAlignment="1">
      <alignment horizontal="center"/>
    </xf>
    <xf numFmtId="0" fontId="83" fillId="0" borderId="6" xfId="0" applyFont="1" applyBorder="1" applyAlignment="1">
      <alignment horizontal="center" wrapText="1"/>
    </xf>
    <xf numFmtId="0" fontId="83" fillId="0" borderId="8" xfId="0" applyFont="1" applyBorder="1" applyAlignment="1">
      <alignment horizontal="center" wrapText="1"/>
    </xf>
    <xf numFmtId="0" fontId="59" fillId="0" borderId="6" xfId="0" applyFont="1" applyBorder="1" applyAlignment="1">
      <alignment horizontal="center"/>
    </xf>
    <xf numFmtId="0" fontId="59" fillId="0" borderId="8" xfId="0" applyFont="1" applyBorder="1" applyAlignment="1">
      <alignment horizontal="center"/>
    </xf>
    <xf numFmtId="0" fontId="14" fillId="0" borderId="2" xfId="0" applyFont="1" applyBorder="1" applyAlignment="1">
      <alignment horizontal="center"/>
    </xf>
    <xf numFmtId="0" fontId="93" fillId="0" borderId="2" xfId="0" applyFont="1" applyBorder="1" applyAlignment="1">
      <alignment horizontal="left" vertical="center" wrapText="1"/>
    </xf>
    <xf numFmtId="0" fontId="40" fillId="0" borderId="6" xfId="0" applyFont="1" applyBorder="1" applyAlignment="1">
      <alignment horizontal="center"/>
    </xf>
    <xf numFmtId="0" fontId="40" fillId="0" borderId="8" xfId="0" applyFont="1" applyBorder="1" applyAlignment="1">
      <alignment horizontal="center"/>
    </xf>
    <xf numFmtId="0" fontId="42" fillId="0" borderId="9" xfId="0" applyFont="1" applyBorder="1" applyAlignment="1">
      <alignment horizontal="center"/>
    </xf>
    <xf numFmtId="0" fontId="59" fillId="17" borderId="2" xfId="0" applyFont="1" applyFill="1" applyBorder="1" applyAlignment="1">
      <alignment horizontal="center" wrapText="1"/>
    </xf>
    <xf numFmtId="0" fontId="40" fillId="17" borderId="6" xfId="0" applyFont="1" applyFill="1" applyBorder="1" applyAlignment="1">
      <alignment horizontal="center"/>
    </xf>
    <xf numFmtId="0" fontId="40" fillId="17" borderId="8" xfId="0" applyFont="1" applyFill="1" applyBorder="1" applyAlignment="1">
      <alignment horizontal="center"/>
    </xf>
    <xf numFmtId="0" fontId="106" fillId="0" borderId="6" xfId="0" applyFont="1" applyBorder="1" applyAlignment="1">
      <alignment horizontal="center" vertical="center" wrapText="1"/>
    </xf>
    <xf numFmtId="0" fontId="106" fillId="0" borderId="8" xfId="0" applyFont="1" applyBorder="1" applyAlignment="1">
      <alignment horizontal="center" vertical="center" wrapText="1"/>
    </xf>
    <xf numFmtId="0" fontId="14" fillId="3" borderId="6" xfId="0" applyFont="1" applyFill="1" applyBorder="1" applyAlignment="1">
      <alignment horizontal="left"/>
    </xf>
    <xf numFmtId="0" fontId="14" fillId="3" borderId="9" xfId="0" applyFont="1" applyFill="1" applyBorder="1" applyAlignment="1">
      <alignment horizontal="left"/>
    </xf>
    <xf numFmtId="0" fontId="95" fillId="5" borderId="2" xfId="0" applyFont="1" applyFill="1" applyBorder="1" applyAlignment="1">
      <alignment horizontal="center" vertical="center"/>
    </xf>
    <xf numFmtId="0" fontId="59" fillId="9" borderId="6" xfId="0" applyFont="1" applyFill="1" applyBorder="1" applyAlignment="1">
      <alignment horizontal="center"/>
    </xf>
    <xf numFmtId="0" fontId="59" fillId="9" borderId="9" xfId="0" applyFont="1" applyFill="1" applyBorder="1" applyAlignment="1">
      <alignment horizontal="center"/>
    </xf>
    <xf numFmtId="0" fontId="59" fillId="9" borderId="8" xfId="0" applyFont="1" applyFill="1" applyBorder="1" applyAlignment="1">
      <alignment horizontal="center"/>
    </xf>
    <xf numFmtId="0" fontId="15" fillId="2" borderId="19" xfId="0" applyFont="1" applyFill="1" applyBorder="1" applyAlignment="1">
      <alignment horizontal="left" vertical="top" wrapText="1"/>
    </xf>
    <xf numFmtId="0" fontId="15" fillId="2" borderId="20" xfId="0" applyFont="1" applyFill="1" applyBorder="1" applyAlignment="1">
      <alignment horizontal="left" vertical="top" wrapText="1"/>
    </xf>
    <xf numFmtId="0" fontId="15" fillId="2" borderId="21" xfId="0" applyFont="1" applyFill="1" applyBorder="1" applyAlignment="1">
      <alignment horizontal="left" vertical="top" wrapText="1"/>
    </xf>
    <xf numFmtId="0" fontId="95" fillId="5" borderId="6" xfId="0" applyFont="1" applyFill="1" applyBorder="1" applyAlignment="1">
      <alignment horizontal="center"/>
    </xf>
    <xf numFmtId="0" fontId="95" fillId="5" borderId="9" xfId="0" applyFont="1" applyFill="1" applyBorder="1" applyAlignment="1">
      <alignment horizontal="center"/>
    </xf>
    <xf numFmtId="0" fontId="95" fillId="5" borderId="8" xfId="0" applyFont="1" applyFill="1" applyBorder="1" applyAlignment="1">
      <alignment horizontal="center"/>
    </xf>
    <xf numFmtId="0" fontId="95" fillId="9" borderId="6" xfId="0" applyFont="1" applyFill="1" applyBorder="1" applyAlignment="1">
      <alignment horizontal="center" vertical="center"/>
    </xf>
    <xf numFmtId="0" fontId="95" fillId="9" borderId="9" xfId="0" applyFont="1" applyFill="1" applyBorder="1" applyAlignment="1">
      <alignment horizontal="center" vertical="center"/>
    </xf>
    <xf numFmtId="0" fontId="95" fillId="9" borderId="8" xfId="0" applyFont="1" applyFill="1" applyBorder="1" applyAlignment="1">
      <alignment horizontal="center" vertical="center"/>
    </xf>
    <xf numFmtId="0" fontId="93" fillId="0" borderId="6" xfId="0" applyFont="1" applyBorder="1" applyAlignment="1">
      <alignment horizontal="left" vertical="center" wrapText="1"/>
    </xf>
    <xf numFmtId="0" fontId="93" fillId="0" borderId="9" xfId="0" applyFont="1" applyBorder="1" applyAlignment="1">
      <alignment horizontal="left" vertical="center" wrapText="1"/>
    </xf>
    <xf numFmtId="0" fontId="93" fillId="0" borderId="8" xfId="0" applyFont="1" applyBorder="1" applyAlignment="1">
      <alignment horizontal="left" vertical="center" wrapText="1"/>
    </xf>
    <xf numFmtId="0" fontId="106" fillId="17" borderId="6" xfId="0" applyFont="1" applyFill="1" applyBorder="1" applyAlignment="1">
      <alignment horizontal="left" vertical="center" wrapText="1"/>
    </xf>
    <xf numFmtId="0" fontId="106" fillId="17" borderId="9" xfId="0" applyFont="1" applyFill="1" applyBorder="1" applyAlignment="1">
      <alignment horizontal="left" vertical="center" wrapText="1"/>
    </xf>
    <xf numFmtId="0" fontId="46" fillId="0" borderId="22" xfId="0" applyFont="1" applyBorder="1" applyAlignment="1">
      <alignment horizontal="left"/>
    </xf>
    <xf numFmtId="0" fontId="46" fillId="0" borderId="0" xfId="0" applyFont="1" applyAlignment="1">
      <alignment horizontal="left"/>
    </xf>
    <xf numFmtId="0" fontId="20" fillId="5" borderId="6" xfId="0" applyFont="1" applyFill="1" applyBorder="1" applyAlignment="1">
      <alignment horizontal="center"/>
    </xf>
    <xf numFmtId="0" fontId="20" fillId="5" borderId="8" xfId="0" applyFont="1" applyFill="1" applyBorder="1" applyAlignment="1">
      <alignment horizontal="center"/>
    </xf>
    <xf numFmtId="0" fontId="59" fillId="17" borderId="6" xfId="0" applyFont="1" applyFill="1" applyBorder="1" applyAlignment="1">
      <alignment horizontal="center" wrapText="1"/>
    </xf>
    <xf numFmtId="0" fontId="59" fillId="17" borderId="8" xfId="0" applyFont="1" applyFill="1" applyBorder="1" applyAlignment="1">
      <alignment horizontal="center" wrapText="1"/>
    </xf>
    <xf numFmtId="0" fontId="14" fillId="3" borderId="6" xfId="0" applyFont="1" applyFill="1" applyBorder="1" applyAlignment="1">
      <alignment horizontal="left" vertical="center"/>
    </xf>
    <xf numFmtId="0" fontId="14" fillId="3" borderId="9" xfId="0" applyFont="1" applyFill="1" applyBorder="1" applyAlignment="1">
      <alignment horizontal="left" vertical="center"/>
    </xf>
    <xf numFmtId="0" fontId="95" fillId="5" borderId="6" xfId="0" applyFont="1" applyFill="1" applyBorder="1" applyAlignment="1">
      <alignment horizontal="center" vertical="center"/>
    </xf>
    <xf numFmtId="0" fontId="95" fillId="5" borderId="8" xfId="0" applyFont="1" applyFill="1" applyBorder="1" applyAlignment="1">
      <alignment horizontal="center" vertical="center"/>
    </xf>
    <xf numFmtId="0" fontId="59" fillId="3" borderId="6" xfId="0" applyFont="1" applyFill="1" applyBorder="1" applyAlignment="1">
      <alignment horizontal="left" vertical="center"/>
    </xf>
    <xf numFmtId="0" fontId="59" fillId="3" borderId="9" xfId="0" applyFont="1" applyFill="1" applyBorder="1" applyAlignment="1">
      <alignment horizontal="left" vertical="center"/>
    </xf>
    <xf numFmtId="0" fontId="59" fillId="3" borderId="8" xfId="0" applyFont="1" applyFill="1" applyBorder="1" applyAlignment="1">
      <alignment horizontal="left" vertical="center"/>
    </xf>
    <xf numFmtId="0" fontId="16" fillId="7" borderId="9" xfId="0" applyFont="1" applyFill="1" applyBorder="1" applyAlignment="1">
      <alignment horizontal="left" vertical="top" wrapText="1"/>
    </xf>
    <xf numFmtId="0" fontId="16" fillId="7" borderId="8" xfId="0" applyFont="1" applyFill="1" applyBorder="1" applyAlignment="1">
      <alignment horizontal="left" vertical="top" wrapText="1"/>
    </xf>
    <xf numFmtId="0" fontId="59" fillId="17" borderId="6" xfId="0" applyFont="1" applyFill="1" applyBorder="1" applyAlignment="1">
      <alignment horizontal="left" vertical="center" wrapText="1"/>
    </xf>
    <xf numFmtId="0" fontId="59" fillId="17" borderId="9" xfId="0" applyFont="1" applyFill="1" applyBorder="1" applyAlignment="1">
      <alignment horizontal="left" vertical="center" wrapText="1"/>
    </xf>
    <xf numFmtId="0" fontId="59" fillId="17" borderId="8" xfId="0" applyFont="1" applyFill="1" applyBorder="1" applyAlignment="1">
      <alignment horizontal="left" vertical="center" wrapText="1"/>
    </xf>
    <xf numFmtId="0" fontId="59" fillId="17" borderId="8" xfId="0" applyFont="1" applyFill="1" applyBorder="1" applyAlignment="1">
      <alignment horizontal="left" vertical="center"/>
    </xf>
    <xf numFmtId="0" fontId="12" fillId="17" borderId="6" xfId="0" applyFont="1" applyFill="1" applyBorder="1" applyAlignment="1">
      <alignment horizontal="left" vertical="center" wrapText="1"/>
    </xf>
    <xf numFmtId="0" fontId="12" fillId="17" borderId="9" xfId="0" applyFont="1" applyFill="1" applyBorder="1" applyAlignment="1">
      <alignment horizontal="left" vertical="center" wrapText="1"/>
    </xf>
    <xf numFmtId="0" fontId="12" fillId="17" borderId="8" xfId="0" applyFont="1" applyFill="1" applyBorder="1" applyAlignment="1">
      <alignment horizontal="left" vertical="center" wrapText="1"/>
    </xf>
    <xf numFmtId="0" fontId="59" fillId="15" borderId="6" xfId="0" applyFont="1" applyFill="1" applyBorder="1" applyAlignment="1">
      <alignment horizontal="left" vertical="center" wrapText="1"/>
    </xf>
    <xf numFmtId="0" fontId="59" fillId="15" borderId="9" xfId="0" applyFont="1" applyFill="1" applyBorder="1" applyAlignment="1">
      <alignment horizontal="left" vertical="center" wrapText="1"/>
    </xf>
    <xf numFmtId="0" fontId="59" fillId="15" borderId="8" xfId="0" applyFont="1" applyFill="1" applyBorder="1" applyAlignment="1">
      <alignment horizontal="left" vertical="center" wrapText="1"/>
    </xf>
    <xf numFmtId="0" fontId="16" fillId="0" borderId="9" xfId="0" applyFont="1" applyBorder="1" applyAlignment="1">
      <alignment horizontal="left" vertical="top" wrapText="1"/>
    </xf>
    <xf numFmtId="0" fontId="16" fillId="0" borderId="8" xfId="0" applyFont="1" applyBorder="1" applyAlignment="1">
      <alignment horizontal="left" vertical="top" wrapText="1"/>
    </xf>
    <xf numFmtId="49" fontId="46" fillId="3" borderId="6" xfId="0" applyNumberFormat="1" applyFont="1" applyFill="1" applyBorder="1" applyAlignment="1">
      <alignment horizontal="center" vertical="center"/>
    </xf>
    <xf numFmtId="49" fontId="46" fillId="3" borderId="9" xfId="0" applyNumberFormat="1" applyFont="1" applyFill="1" applyBorder="1" applyAlignment="1">
      <alignment horizontal="center" vertical="center"/>
    </xf>
    <xf numFmtId="49" fontId="46" fillId="3" borderId="8" xfId="0" applyNumberFormat="1" applyFont="1" applyFill="1" applyBorder="1" applyAlignment="1">
      <alignment horizontal="center" vertical="center"/>
    </xf>
    <xf numFmtId="0" fontId="40" fillId="17" borderId="13" xfId="0" applyFont="1" applyFill="1" applyBorder="1" applyAlignment="1">
      <alignment horizontal="left" vertical="center" wrapText="1"/>
    </xf>
    <xf numFmtId="0" fontId="40" fillId="17" borderId="12" xfId="0" applyFont="1" applyFill="1" applyBorder="1" applyAlignment="1">
      <alignment horizontal="left" vertical="center" wrapText="1"/>
    </xf>
    <xf numFmtId="0" fontId="110" fillId="17" borderId="6" xfId="0" applyFont="1" applyFill="1" applyBorder="1" applyAlignment="1">
      <alignment horizontal="left" vertical="center" wrapText="1"/>
    </xf>
    <xf numFmtId="0" fontId="110" fillId="17" borderId="9" xfId="0" applyFont="1" applyFill="1" applyBorder="1" applyAlignment="1">
      <alignment horizontal="left" vertical="center" wrapText="1"/>
    </xf>
    <xf numFmtId="0" fontId="110" fillId="17" borderId="8" xfId="0" applyFont="1" applyFill="1" applyBorder="1" applyAlignment="1">
      <alignment horizontal="left" vertical="center" wrapText="1"/>
    </xf>
    <xf numFmtId="0" fontId="46" fillId="0" borderId="22" xfId="0" applyFont="1" applyBorder="1" applyAlignment="1">
      <alignment horizontal="center" vertical="center"/>
    </xf>
    <xf numFmtId="0" fontId="46" fillId="0" borderId="0" xfId="0" applyFont="1" applyAlignment="1">
      <alignment horizontal="center" vertical="center"/>
    </xf>
    <xf numFmtId="0" fontId="59" fillId="15" borderId="8" xfId="0" applyFont="1" applyFill="1" applyBorder="1" applyAlignment="1">
      <alignment horizontal="left" vertical="center"/>
    </xf>
    <xf numFmtId="0" fontId="12" fillId="15" borderId="6" xfId="0" applyFont="1" applyFill="1" applyBorder="1" applyAlignment="1">
      <alignment horizontal="left" vertical="center" wrapText="1"/>
    </xf>
    <xf numFmtId="0" fontId="12" fillId="15" borderId="9" xfId="0" applyFont="1" applyFill="1" applyBorder="1" applyAlignment="1">
      <alignment horizontal="left" vertical="center" wrapText="1"/>
    </xf>
    <xf numFmtId="0" fontId="12" fillId="15" borderId="8" xfId="0" applyFont="1" applyFill="1" applyBorder="1" applyAlignment="1">
      <alignment horizontal="left" vertical="center" wrapText="1"/>
    </xf>
    <xf numFmtId="0" fontId="59" fillId="0" borderId="9" xfId="0" applyFont="1" applyBorder="1" applyAlignment="1">
      <alignment horizontal="left" vertical="center" wrapText="1"/>
    </xf>
    <xf numFmtId="0" fontId="59" fillId="0" borderId="8" xfId="0" applyFont="1" applyBorder="1" applyAlignment="1">
      <alignment horizontal="left" vertical="center" wrapText="1"/>
    </xf>
    <xf numFmtId="0" fontId="12" fillId="0" borderId="6" xfId="0" applyFont="1" applyBorder="1" applyAlignment="1">
      <alignment horizontal="left" vertical="center" wrapText="1"/>
    </xf>
    <xf numFmtId="0" fontId="12" fillId="0" borderId="9" xfId="0" applyFont="1" applyBorder="1" applyAlignment="1">
      <alignment horizontal="left" vertical="center" wrapText="1"/>
    </xf>
    <xf numFmtId="0" fontId="12" fillId="0" borderId="8" xfId="0" applyFont="1" applyBorder="1" applyAlignment="1">
      <alignment horizontal="left" vertical="center" wrapText="1"/>
    </xf>
    <xf numFmtId="0" fontId="95" fillId="0" borderId="10" xfId="0" applyFont="1" applyBorder="1" applyAlignment="1">
      <alignment horizontal="left"/>
    </xf>
    <xf numFmtId="0" fontId="15" fillId="2" borderId="6" xfId="0" applyFont="1" applyFill="1" applyBorder="1" applyAlignment="1">
      <alignment horizontal="left" vertical="top" wrapText="1"/>
    </xf>
    <xf numFmtId="0" fontId="15" fillId="2" borderId="9" xfId="0" applyFont="1" applyFill="1" applyBorder="1" applyAlignment="1">
      <alignment horizontal="left" vertical="top" wrapText="1"/>
    </xf>
    <xf numFmtId="0" fontId="15" fillId="2" borderId="8" xfId="0" applyFont="1" applyFill="1" applyBorder="1" applyAlignment="1">
      <alignment horizontal="left" vertical="top" wrapText="1"/>
    </xf>
    <xf numFmtId="0" fontId="21" fillId="3" borderId="6" xfId="0" applyFont="1" applyFill="1" applyBorder="1" applyAlignment="1">
      <alignment horizontal="left" vertical="top" wrapText="1"/>
    </xf>
    <xf numFmtId="0" fontId="21" fillId="3" borderId="9" xfId="0" applyFont="1" applyFill="1" applyBorder="1" applyAlignment="1">
      <alignment horizontal="left" vertical="top" wrapText="1"/>
    </xf>
    <xf numFmtId="0" fontId="21" fillId="3" borderId="8" xfId="0" applyFont="1" applyFill="1" applyBorder="1" applyAlignment="1">
      <alignment horizontal="left" vertical="top" wrapText="1"/>
    </xf>
    <xf numFmtId="0" fontId="14" fillId="0" borderId="9" xfId="0" applyFont="1" applyBorder="1" applyAlignment="1">
      <alignment horizontal="left" vertical="center"/>
    </xf>
    <xf numFmtId="0" fontId="14" fillId="0" borderId="8" xfId="0" applyFont="1" applyBorder="1" applyAlignment="1">
      <alignment horizontal="left" vertical="center"/>
    </xf>
    <xf numFmtId="0" fontId="14" fillId="0" borderId="6" xfId="0" applyFont="1" applyBorder="1" applyAlignment="1">
      <alignment horizontal="left" vertical="center"/>
    </xf>
    <xf numFmtId="49" fontId="0" fillId="0" borderId="6" xfId="0" applyNumberFormat="1" applyBorder="1" applyAlignment="1">
      <alignment horizontal="center" vertical="center"/>
    </xf>
    <xf numFmtId="49" fontId="0" fillId="0" borderId="9" xfId="0" applyNumberFormat="1" applyBorder="1" applyAlignment="1">
      <alignment horizontal="center" vertical="center"/>
    </xf>
    <xf numFmtId="49" fontId="0" fillId="0" borderId="8" xfId="0" applyNumberFormat="1" applyBorder="1" applyAlignment="1">
      <alignment horizontal="center" vertical="center"/>
    </xf>
    <xf numFmtId="0" fontId="14" fillId="0" borderId="9" xfId="0" applyFont="1" applyBorder="1" applyAlignment="1">
      <alignment horizontal="left" vertical="center" wrapText="1"/>
    </xf>
    <xf numFmtId="0" fontId="12" fillId="0" borderId="2" xfId="0" applyFont="1" applyBorder="1" applyAlignment="1">
      <alignment horizontal="center" vertical="center" wrapText="1"/>
    </xf>
    <xf numFmtId="0" fontId="11" fillId="0" borderId="6" xfId="0" applyFont="1" applyBorder="1" applyAlignment="1">
      <alignment horizontal="left" vertical="center" wrapText="1"/>
    </xf>
    <xf numFmtId="0" fontId="11" fillId="0" borderId="9" xfId="0" applyFont="1" applyBorder="1" applyAlignment="1">
      <alignment horizontal="left" vertical="center" wrapText="1"/>
    </xf>
    <xf numFmtId="0" fontId="11" fillId="0" borderId="8" xfId="0" applyFont="1" applyBorder="1" applyAlignment="1">
      <alignment horizontal="left" vertical="center" wrapText="1"/>
    </xf>
    <xf numFmtId="0" fontId="59" fillId="0" borderId="8" xfId="0" applyFont="1" applyBorder="1" applyAlignment="1">
      <alignment horizontal="left" vertical="center"/>
    </xf>
    <xf numFmtId="0" fontId="16" fillId="3" borderId="9" xfId="0" applyFont="1" applyFill="1" applyBorder="1" applyAlignment="1">
      <alignment horizontal="left" vertical="top" wrapText="1"/>
    </xf>
    <xf numFmtId="0" fontId="16" fillId="3" borderId="8" xfId="0" applyFont="1" applyFill="1" applyBorder="1" applyAlignment="1">
      <alignment horizontal="left" vertical="top" wrapText="1"/>
    </xf>
    <xf numFmtId="0" fontId="59" fillId="0" borderId="6" xfId="0" applyFont="1" applyBorder="1" applyAlignment="1">
      <alignment horizontal="left" vertical="center" wrapText="1"/>
    </xf>
    <xf numFmtId="0" fontId="14" fillId="0" borderId="8" xfId="0" applyFont="1" applyBorder="1" applyAlignment="1">
      <alignment horizontal="left" vertical="center" wrapText="1"/>
    </xf>
    <xf numFmtId="49" fontId="0" fillId="3" borderId="6" xfId="0" applyNumberFormat="1" applyFill="1" applyBorder="1" applyAlignment="1">
      <alignment horizontal="center" vertical="center"/>
    </xf>
    <xf numFmtId="49" fontId="0" fillId="3" borderId="9" xfId="0" applyNumberFormat="1" applyFill="1" applyBorder="1" applyAlignment="1">
      <alignment horizontal="center" vertical="center"/>
    </xf>
    <xf numFmtId="49" fontId="0" fillId="3" borderId="8" xfId="0" applyNumberFormat="1" applyFill="1" applyBorder="1" applyAlignment="1">
      <alignment horizontal="center" vertical="center"/>
    </xf>
    <xf numFmtId="0" fontId="16" fillId="2" borderId="2" xfId="3" applyFont="1" applyFill="1" applyBorder="1" applyAlignment="1">
      <alignment horizontal="left" vertical="top" wrapText="1"/>
    </xf>
    <xf numFmtId="0" fontId="41" fillId="0" borderId="2" xfId="3" applyFont="1" applyBorder="1" applyAlignment="1">
      <alignment horizontal="left" vertical="top" wrapText="1"/>
    </xf>
    <xf numFmtId="0" fontId="12" fillId="3" borderId="6" xfId="3" applyFont="1" applyFill="1" applyBorder="1" applyAlignment="1">
      <alignment horizontal="center" vertical="center" wrapText="1"/>
    </xf>
    <xf numFmtId="0" fontId="12" fillId="3" borderId="9" xfId="3" applyFont="1" applyFill="1" applyBorder="1" applyAlignment="1">
      <alignment horizontal="center" vertical="center" wrapText="1"/>
    </xf>
    <xf numFmtId="0" fontId="12" fillId="3" borderId="8" xfId="3" applyFont="1" applyFill="1" applyBorder="1" applyAlignment="1">
      <alignment horizontal="center" vertical="center" wrapText="1"/>
    </xf>
    <xf numFmtId="0" fontId="16" fillId="3" borderId="2" xfId="3" applyFont="1" applyFill="1" applyBorder="1" applyAlignment="1">
      <alignment horizontal="center" vertical="center"/>
    </xf>
    <xf numFmtId="0" fontId="24" fillId="8" borderId="3" xfId="3" applyFont="1" applyFill="1" applyBorder="1" applyAlignment="1">
      <alignment horizontal="center" vertical="center" wrapText="1"/>
    </xf>
    <xf numFmtId="0" fontId="24" fillId="8" borderId="4" xfId="3" applyFont="1" applyFill="1" applyBorder="1" applyAlignment="1">
      <alignment horizontal="center" vertical="center" wrapText="1"/>
    </xf>
    <xf numFmtId="0" fontId="24" fillId="8" borderId="5" xfId="3" applyFont="1" applyFill="1" applyBorder="1" applyAlignment="1">
      <alignment horizontal="center" vertical="center" wrapText="1"/>
    </xf>
    <xf numFmtId="0" fontId="12" fillId="3" borderId="3" xfId="3" applyFont="1" applyFill="1" applyBorder="1" applyAlignment="1">
      <alignment horizontal="center" vertical="center" wrapText="1"/>
    </xf>
    <xf numFmtId="0" fontId="12" fillId="3" borderId="4" xfId="3" applyFont="1" applyFill="1" applyBorder="1" applyAlignment="1">
      <alignment horizontal="center" vertical="center" wrapText="1"/>
    </xf>
    <xf numFmtId="0" fontId="12" fillId="3" borderId="5" xfId="3" applyFont="1" applyFill="1" applyBorder="1" applyAlignment="1">
      <alignment horizontal="center" vertical="center" wrapText="1"/>
    </xf>
    <xf numFmtId="49" fontId="61" fillId="3" borderId="3" xfId="3" applyNumberFormat="1" applyFont="1" applyFill="1" applyBorder="1" applyAlignment="1">
      <alignment horizontal="center" vertical="center"/>
    </xf>
    <xf numFmtId="49" fontId="61" fillId="3" borderId="5" xfId="3" applyNumberFormat="1" applyFont="1" applyFill="1" applyBorder="1" applyAlignment="1">
      <alignment horizontal="center" vertical="center"/>
    </xf>
    <xf numFmtId="0" fontId="64" fillId="4" borderId="6" xfId="3" applyFont="1" applyFill="1" applyBorder="1" applyAlignment="1">
      <alignment horizontal="right" vertical="top" wrapText="1"/>
    </xf>
    <xf numFmtId="0" fontId="64" fillId="4" borderId="9" xfId="3" applyFont="1" applyFill="1" applyBorder="1" applyAlignment="1">
      <alignment horizontal="right" vertical="top" wrapText="1"/>
    </xf>
    <xf numFmtId="0" fontId="64" fillId="4" borderId="8" xfId="3" applyFont="1" applyFill="1" applyBorder="1" applyAlignment="1">
      <alignment horizontal="right" vertical="top" wrapText="1"/>
    </xf>
    <xf numFmtId="0" fontId="64" fillId="0" borderId="2" xfId="3" applyFont="1" applyBorder="1" applyAlignment="1">
      <alignment horizontal="left" vertical="center" wrapText="1"/>
    </xf>
    <xf numFmtId="0" fontId="64" fillId="0" borderId="6" xfId="3" applyFont="1" applyBorder="1" applyAlignment="1">
      <alignment horizontal="right" vertical="center"/>
    </xf>
    <xf numFmtId="0" fontId="64" fillId="0" borderId="9" xfId="3" applyFont="1" applyBorder="1" applyAlignment="1">
      <alignment horizontal="right" vertical="center"/>
    </xf>
    <xf numFmtId="0" fontId="64" fillId="0" borderId="8" xfId="3" applyFont="1" applyBorder="1" applyAlignment="1">
      <alignment horizontal="right" vertical="center"/>
    </xf>
    <xf numFmtId="0" fontId="59" fillId="0" borderId="0" xfId="0" applyFont="1" applyAlignment="1">
      <alignment horizontal="left" wrapText="1"/>
    </xf>
    <xf numFmtId="0" fontId="14" fillId="5" borderId="7" xfId="0" applyFont="1" applyFill="1" applyBorder="1" applyAlignment="1">
      <alignment horizontal="left" vertical="top" wrapText="1"/>
    </xf>
    <xf numFmtId="0" fontId="14" fillId="5" borderId="10" xfId="0" applyFont="1" applyFill="1" applyBorder="1" applyAlignment="1">
      <alignment horizontal="left" vertical="top" wrapText="1"/>
    </xf>
    <xf numFmtId="0" fontId="14" fillId="5" borderId="11" xfId="0" applyFont="1" applyFill="1" applyBorder="1" applyAlignment="1">
      <alignment horizontal="left" vertical="top" wrapText="1"/>
    </xf>
    <xf numFmtId="0" fontId="14" fillId="5" borderId="13" xfId="0" applyFont="1" applyFill="1" applyBorder="1" applyAlignment="1">
      <alignment horizontal="left" vertical="top" wrapText="1"/>
    </xf>
    <xf numFmtId="0" fontId="14" fillId="5" borderId="1" xfId="0" applyFont="1" applyFill="1" applyBorder="1" applyAlignment="1">
      <alignment horizontal="left" vertical="top" wrapText="1"/>
    </xf>
    <xf numFmtId="0" fontId="14" fillId="5" borderId="12" xfId="0" applyFont="1" applyFill="1" applyBorder="1" applyAlignment="1">
      <alignment horizontal="left" vertical="top" wrapText="1"/>
    </xf>
    <xf numFmtId="0" fontId="41" fillId="0" borderId="6" xfId="0" applyFont="1" applyBorder="1" applyAlignment="1">
      <alignment horizontal="left" vertical="top" wrapText="1"/>
    </xf>
    <xf numFmtId="0" fontId="41" fillId="0" borderId="9" xfId="0" applyFont="1" applyBorder="1" applyAlignment="1">
      <alignment horizontal="left" vertical="top" wrapText="1"/>
    </xf>
    <xf numFmtId="0" fontId="41" fillId="0" borderId="8" xfId="0" applyFont="1" applyBorder="1" applyAlignment="1">
      <alignment horizontal="left" vertical="top" wrapText="1"/>
    </xf>
    <xf numFmtId="0" fontId="59" fillId="0" borderId="0" xfId="0" applyFont="1" applyAlignment="1">
      <alignment horizontal="left"/>
    </xf>
    <xf numFmtId="0" fontId="14" fillId="10" borderId="7" xfId="0" applyFont="1" applyFill="1" applyBorder="1" applyAlignment="1">
      <alignment horizontal="left" vertical="top" wrapText="1"/>
    </xf>
    <xf numFmtId="0" fontId="14" fillId="10" borderId="10" xfId="0" applyFont="1" applyFill="1" applyBorder="1" applyAlignment="1">
      <alignment horizontal="left" vertical="top" wrapText="1"/>
    </xf>
    <xf numFmtId="0" fontId="14" fillId="10" borderId="11" xfId="0" applyFont="1" applyFill="1" applyBorder="1" applyAlignment="1">
      <alignment horizontal="left" vertical="top" wrapText="1"/>
    </xf>
    <xf numFmtId="0" fontId="14" fillId="10" borderId="13"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2" xfId="0" applyFont="1" applyFill="1" applyBorder="1" applyAlignment="1">
      <alignment horizontal="left" vertical="top" wrapText="1"/>
    </xf>
    <xf numFmtId="0" fontId="12" fillId="3" borderId="3" xfId="1" applyFont="1" applyFill="1" applyBorder="1" applyAlignment="1">
      <alignment horizontal="center" vertical="center" wrapText="1"/>
    </xf>
    <xf numFmtId="0" fontId="12" fillId="3" borderId="5" xfId="1" applyFont="1" applyFill="1" applyBorder="1" applyAlignment="1">
      <alignment horizontal="center" vertical="center" wrapText="1"/>
    </xf>
    <xf numFmtId="0" fontId="23" fillId="3" borderId="2" xfId="1" applyFont="1" applyFill="1" applyBorder="1" applyAlignment="1">
      <alignment horizontal="center" vertical="center" wrapText="1"/>
    </xf>
    <xf numFmtId="165" fontId="31" fillId="10" borderId="2" xfId="1" applyNumberFormat="1" applyFont="1" applyFill="1" applyBorder="1" applyAlignment="1">
      <alignment horizontal="center" vertical="top" wrapText="1"/>
    </xf>
    <xf numFmtId="0" fontId="60" fillId="3" borderId="2" xfId="1" applyFont="1" applyFill="1" applyBorder="1" applyAlignment="1">
      <alignment horizontal="left" vertical="top" wrapText="1"/>
    </xf>
    <xf numFmtId="49" fontId="32" fillId="3" borderId="6" xfId="1" applyNumberFormat="1" applyFont="1" applyFill="1" applyBorder="1" applyAlignment="1">
      <alignment horizontal="center" vertical="top" wrapText="1"/>
    </xf>
    <xf numFmtId="49" fontId="32" fillId="3" borderId="8" xfId="1" applyNumberFormat="1" applyFont="1" applyFill="1" applyBorder="1" applyAlignment="1">
      <alignment horizontal="center" vertical="top" wrapText="1"/>
    </xf>
    <xf numFmtId="49" fontId="32" fillId="3" borderId="2" xfId="1" applyNumberFormat="1" applyFont="1" applyFill="1" applyBorder="1" applyAlignment="1">
      <alignment horizontal="center" vertical="top" wrapText="1"/>
    </xf>
    <xf numFmtId="0" fontId="12" fillId="3" borderId="2" xfId="1" applyFont="1" applyFill="1" applyBorder="1" applyAlignment="1">
      <alignment horizontal="center" vertical="center" wrapText="1"/>
    </xf>
    <xf numFmtId="0" fontId="19" fillId="8" borderId="2" xfId="1" applyFont="1" applyFill="1" applyBorder="1" applyAlignment="1">
      <alignment horizontal="center" vertical="center" wrapText="1"/>
    </xf>
    <xf numFmtId="0" fontId="59" fillId="3" borderId="2" xfId="1" applyFont="1" applyFill="1" applyBorder="1" applyAlignment="1">
      <alignment horizontal="center" vertical="center" wrapText="1"/>
    </xf>
    <xf numFmtId="0" fontId="59" fillId="3" borderId="3" xfId="1" applyFont="1" applyFill="1" applyBorder="1" applyAlignment="1">
      <alignment horizontal="center" vertical="center" wrapText="1"/>
    </xf>
    <xf numFmtId="0" fontId="59" fillId="3" borderId="5" xfId="1" applyFont="1" applyFill="1" applyBorder="1" applyAlignment="1">
      <alignment horizontal="center" vertical="center" wrapText="1"/>
    </xf>
    <xf numFmtId="0" fontId="23" fillId="0" borderId="2" xfId="1" applyFont="1" applyBorder="1" applyAlignment="1">
      <alignment horizontal="center" vertical="top"/>
    </xf>
    <xf numFmtId="0" fontId="78" fillId="5" borderId="13" xfId="1" applyFont="1" applyFill="1" applyBorder="1" applyAlignment="1">
      <alignment horizontal="center" vertical="top" wrapText="1"/>
    </xf>
    <xf numFmtId="0" fontId="78" fillId="5" borderId="12" xfId="1" applyFont="1" applyFill="1" applyBorder="1" applyAlignment="1">
      <alignment horizontal="center" vertical="top" wrapText="1"/>
    </xf>
    <xf numFmtId="0" fontId="22" fillId="5" borderId="2" xfId="1" applyFont="1" applyFill="1" applyBorder="1" applyAlignment="1">
      <alignment horizontal="center" vertical="center" wrapText="1"/>
    </xf>
    <xf numFmtId="0" fontId="60" fillId="0" borderId="6" xfId="1" applyFont="1" applyBorder="1" applyAlignment="1">
      <alignment horizontal="right"/>
    </xf>
    <xf numFmtId="0" fontId="60" fillId="0" borderId="9" xfId="1" applyFont="1" applyBorder="1" applyAlignment="1">
      <alignment horizontal="right"/>
    </xf>
    <xf numFmtId="0" fontId="66" fillId="0" borderId="10" xfId="1" applyFont="1" applyBorder="1" applyAlignment="1">
      <alignment horizontal="left" vertical="center" wrapText="1"/>
    </xf>
    <xf numFmtId="0" fontId="78" fillId="5" borderId="6" xfId="1" applyFont="1" applyFill="1" applyBorder="1" applyAlignment="1">
      <alignment horizontal="center" vertical="center" wrapText="1"/>
    </xf>
    <xf numFmtId="0" fontId="78" fillId="5" borderId="8" xfId="1" applyFont="1" applyFill="1" applyBorder="1" applyAlignment="1">
      <alignment horizontal="center" vertical="center" wrapText="1"/>
    </xf>
    <xf numFmtId="0" fontId="23" fillId="0" borderId="9" xfId="1" applyFont="1" applyBorder="1" applyAlignment="1">
      <alignment horizontal="left" vertical="center"/>
    </xf>
    <xf numFmtId="0" fontId="25" fillId="10" borderId="2" xfId="1" applyFill="1" applyBorder="1" applyAlignment="1">
      <alignment horizontal="center" vertical="top"/>
    </xf>
    <xf numFmtId="0" fontId="12" fillId="3" borderId="14" xfId="1" applyFont="1" applyFill="1" applyBorder="1" applyAlignment="1">
      <alignment horizontal="center" vertical="center" wrapText="1"/>
    </xf>
    <xf numFmtId="49" fontId="32" fillId="3" borderId="9" xfId="1" applyNumberFormat="1" applyFont="1" applyFill="1" applyBorder="1" applyAlignment="1">
      <alignment horizontal="center" vertical="top" wrapText="1"/>
    </xf>
    <xf numFmtId="0" fontId="19" fillId="8" borderId="2" xfId="1" applyFont="1" applyFill="1" applyBorder="1" applyAlignment="1">
      <alignment horizontal="center" vertical="top" wrapText="1"/>
    </xf>
    <xf numFmtId="0" fontId="12" fillId="3" borderId="15" xfId="1" applyFont="1" applyFill="1" applyBorder="1" applyAlignment="1">
      <alignment horizontal="center" vertical="center" wrapText="1"/>
    </xf>
    <xf numFmtId="0" fontId="12" fillId="3" borderId="0" xfId="1" applyFont="1" applyFill="1" applyAlignment="1">
      <alignment horizontal="center" vertical="center" wrapText="1"/>
    </xf>
    <xf numFmtId="0" fontId="12" fillId="3" borderId="17" xfId="1" applyFont="1" applyFill="1" applyBorder="1" applyAlignment="1">
      <alignment horizontal="center" vertical="center" wrapText="1"/>
    </xf>
    <xf numFmtId="0" fontId="12" fillId="3" borderId="1" xfId="1" applyFont="1" applyFill="1" applyBorder="1" applyAlignment="1">
      <alignment horizontal="center" vertical="center" wrapText="1"/>
    </xf>
    <xf numFmtId="0" fontId="22" fillId="5" borderId="7" xfId="1" applyFont="1" applyFill="1" applyBorder="1" applyAlignment="1">
      <alignment horizontal="center" vertical="center" wrapText="1"/>
    </xf>
    <xf numFmtId="0" fontId="22" fillId="5" borderId="11" xfId="1" applyFont="1" applyFill="1" applyBorder="1" applyAlignment="1">
      <alignment horizontal="center" vertical="center" wrapText="1"/>
    </xf>
    <xf numFmtId="0" fontId="23" fillId="0" borderId="6" xfId="1" applyFont="1" applyBorder="1" applyAlignment="1">
      <alignment horizontal="center" vertical="top"/>
    </xf>
    <xf numFmtId="0" fontId="23" fillId="0" borderId="8" xfId="1" applyFont="1" applyBorder="1" applyAlignment="1">
      <alignment horizontal="center" vertical="top"/>
    </xf>
    <xf numFmtId="0" fontId="21" fillId="0" borderId="2" xfId="1" applyFont="1" applyBorder="1" applyAlignment="1">
      <alignment horizontal="left" vertical="center" wrapText="1"/>
    </xf>
    <xf numFmtId="0" fontId="15" fillId="2" borderId="2" xfId="0" applyFont="1" applyFill="1" applyBorder="1" applyAlignment="1">
      <alignment horizontal="left" vertical="top" wrapText="1"/>
    </xf>
    <xf numFmtId="0" fontId="21" fillId="10" borderId="6" xfId="1" applyFont="1" applyFill="1" applyBorder="1" applyAlignment="1">
      <alignment horizontal="center" vertical="top" wrapText="1"/>
    </xf>
    <xf numFmtId="0" fontId="21" fillId="10" borderId="9" xfId="1" applyFont="1" applyFill="1" applyBorder="1" applyAlignment="1">
      <alignment horizontal="center" vertical="top" wrapText="1"/>
    </xf>
    <xf numFmtId="0" fontId="21" fillId="10" borderId="8" xfId="1" applyFont="1" applyFill="1" applyBorder="1" applyAlignment="1">
      <alignment horizontal="center" vertical="top" wrapText="1"/>
    </xf>
    <xf numFmtId="0" fontId="60" fillId="3" borderId="2" xfId="1" applyFont="1" applyFill="1" applyBorder="1" applyAlignment="1">
      <alignment horizontal="left" vertical="center" wrapText="1"/>
    </xf>
    <xf numFmtId="165" fontId="78" fillId="5" borderId="2" xfId="1" applyNumberFormat="1" applyFont="1" applyFill="1" applyBorder="1" applyAlignment="1">
      <alignment horizontal="center" vertical="top" wrapText="1"/>
    </xf>
    <xf numFmtId="0" fontId="12" fillId="3" borderId="16" xfId="1" applyFont="1" applyFill="1" applyBorder="1" applyAlignment="1">
      <alignment horizontal="center" vertical="center" wrapText="1"/>
    </xf>
    <xf numFmtId="0" fontId="12" fillId="3" borderId="18" xfId="1" applyFont="1" applyFill="1" applyBorder="1" applyAlignment="1">
      <alignment horizontal="center" vertical="center" wrapText="1"/>
    </xf>
    <xf numFmtId="0" fontId="24" fillId="7" borderId="6" xfId="0" applyFont="1" applyFill="1" applyBorder="1" applyAlignment="1">
      <alignment horizontal="left"/>
    </xf>
    <xf numFmtId="0" fontId="24" fillId="7" borderId="9" xfId="0" applyFont="1" applyFill="1" applyBorder="1" applyAlignment="1">
      <alignment horizontal="left"/>
    </xf>
    <xf numFmtId="0" fontId="24" fillId="7" borderId="8" xfId="0" applyFont="1" applyFill="1" applyBorder="1" applyAlignment="1">
      <alignment horizontal="left"/>
    </xf>
    <xf numFmtId="49" fontId="14" fillId="3" borderId="6" xfId="0" applyNumberFormat="1" applyFont="1" applyFill="1" applyBorder="1" applyAlignment="1">
      <alignment horizontal="center" vertical="center"/>
    </xf>
    <xf numFmtId="49" fontId="14" fillId="3" borderId="8" xfId="0" applyNumberFormat="1" applyFont="1" applyFill="1" applyBorder="1" applyAlignment="1">
      <alignment horizontal="center" vertical="center"/>
    </xf>
    <xf numFmtId="0" fontId="64" fillId="3" borderId="6" xfId="1" applyFont="1" applyFill="1" applyBorder="1" applyAlignment="1">
      <alignment horizontal="center" vertical="center" wrapText="1"/>
    </xf>
    <xf numFmtId="0" fontId="64" fillId="3" borderId="8" xfId="1" applyFont="1" applyFill="1" applyBorder="1" applyAlignment="1">
      <alignment horizontal="center" vertical="center" wrapText="1"/>
    </xf>
    <xf numFmtId="0" fontId="34" fillId="3" borderId="6" xfId="0" applyFont="1" applyFill="1" applyBorder="1" applyAlignment="1">
      <alignment horizontal="left" wrapText="1"/>
    </xf>
    <xf numFmtId="0" fontId="34" fillId="3" borderId="9" xfId="0" applyFont="1" applyFill="1" applyBorder="1" applyAlignment="1">
      <alignment horizontal="left" wrapText="1"/>
    </xf>
    <xf numFmtId="0" fontId="34" fillId="3" borderId="8" xfId="0" applyFont="1" applyFill="1" applyBorder="1" applyAlignment="1">
      <alignment horizontal="left" wrapText="1"/>
    </xf>
    <xf numFmtId="0" fontId="45" fillId="3" borderId="2" xfId="0" applyFont="1" applyFill="1" applyBorder="1" applyAlignment="1">
      <alignment horizontal="center" vertical="center" wrapText="1"/>
    </xf>
    <xf numFmtId="164" fontId="64" fillId="3" borderId="2" xfId="1" applyNumberFormat="1" applyFont="1" applyFill="1" applyBorder="1" applyAlignment="1">
      <alignment horizontal="center" vertical="center" wrapText="1"/>
    </xf>
    <xf numFmtId="0" fontId="34" fillId="0" borderId="6" xfId="0" applyFont="1" applyBorder="1" applyAlignment="1">
      <alignment horizontal="left" wrapText="1"/>
    </xf>
    <xf numFmtId="0" fontId="34" fillId="0" borderId="9" xfId="0" applyFont="1" applyBorder="1" applyAlignment="1">
      <alignment horizontal="left" wrapText="1"/>
    </xf>
    <xf numFmtId="0" fontId="34" fillId="0" borderId="8" xfId="0" applyFont="1" applyBorder="1" applyAlignment="1">
      <alignment horizontal="left" wrapText="1"/>
    </xf>
    <xf numFmtId="49" fontId="14" fillId="3" borderId="6" xfId="0" applyNumberFormat="1" applyFont="1" applyFill="1" applyBorder="1" applyAlignment="1">
      <alignment horizontal="center"/>
    </xf>
    <xf numFmtId="49" fontId="14" fillId="3" borderId="8" xfId="0" applyNumberFormat="1" applyFont="1" applyFill="1" applyBorder="1" applyAlignment="1">
      <alignment horizontal="center"/>
    </xf>
    <xf numFmtId="0" fontId="14" fillId="10" borderId="2" xfId="0" applyFont="1" applyFill="1" applyBorder="1" applyAlignment="1">
      <alignment horizontal="center" vertical="center" wrapText="1"/>
    </xf>
    <xf numFmtId="0" fontId="59" fillId="10" borderId="2" xfId="0" applyFont="1" applyFill="1" applyBorder="1" applyAlignment="1">
      <alignment horizontal="center" vertical="center" wrapText="1"/>
    </xf>
    <xf numFmtId="0" fontId="14" fillId="0" borderId="6" xfId="0" applyFont="1" applyBorder="1" applyAlignment="1">
      <alignment horizontal="left" vertical="center" wrapText="1"/>
    </xf>
    <xf numFmtId="0" fontId="40" fillId="0" borderId="0" xfId="0" applyFont="1" applyAlignment="1">
      <alignment horizontal="center" vertical="center" wrapText="1"/>
    </xf>
    <xf numFmtId="0" fontId="45" fillId="3" borderId="3" xfId="0" applyFont="1" applyFill="1" applyBorder="1" applyAlignment="1">
      <alignment horizontal="center" vertical="center" wrapText="1"/>
    </xf>
    <xf numFmtId="0" fontId="45" fillId="3" borderId="5" xfId="0" applyFont="1" applyFill="1" applyBorder="1" applyAlignment="1">
      <alignment horizontal="center" vertical="center" wrapText="1"/>
    </xf>
    <xf numFmtId="0" fontId="45" fillId="3" borderId="6" xfId="0" applyFont="1" applyFill="1" applyBorder="1" applyAlignment="1">
      <alignment horizontal="center" vertical="center" wrapText="1"/>
    </xf>
    <xf numFmtId="0" fontId="45" fillId="3" borderId="8" xfId="0" applyFont="1" applyFill="1" applyBorder="1" applyAlignment="1">
      <alignment horizontal="center" vertical="center" wrapText="1"/>
    </xf>
    <xf numFmtId="0" fontId="23" fillId="0" borderId="0" xfId="1" applyFont="1" applyAlignment="1">
      <alignment horizontal="center" vertical="top"/>
    </xf>
    <xf numFmtId="164" fontId="64" fillId="3" borderId="3" xfId="1" applyNumberFormat="1" applyFont="1" applyFill="1" applyBorder="1" applyAlignment="1">
      <alignment horizontal="center" vertical="center" wrapText="1"/>
    </xf>
    <xf numFmtId="164" fontId="64" fillId="3" borderId="5" xfId="1" applyNumberFormat="1" applyFont="1" applyFill="1" applyBorder="1" applyAlignment="1">
      <alignment horizontal="center" vertical="center" wrapText="1"/>
    </xf>
    <xf numFmtId="0" fontId="45" fillId="3" borderId="7" xfId="0" applyFont="1" applyFill="1" applyBorder="1" applyAlignment="1">
      <alignment horizontal="center" vertical="center" wrapText="1"/>
    </xf>
    <xf numFmtId="0" fontId="45" fillId="3" borderId="11" xfId="0" applyFont="1" applyFill="1" applyBorder="1" applyAlignment="1">
      <alignment horizontal="center" vertical="center" wrapText="1"/>
    </xf>
    <xf numFmtId="0" fontId="45" fillId="3" borderId="13" xfId="0" applyFont="1" applyFill="1" applyBorder="1" applyAlignment="1">
      <alignment horizontal="center" vertical="center" wrapText="1"/>
    </xf>
    <xf numFmtId="0" fontId="45" fillId="3" borderId="12" xfId="0" applyFont="1" applyFill="1" applyBorder="1" applyAlignment="1">
      <alignment horizontal="center" vertical="center" wrapText="1"/>
    </xf>
    <xf numFmtId="0" fontId="58" fillId="5" borderId="6" xfId="0" applyFont="1" applyFill="1" applyBorder="1" applyAlignment="1">
      <alignment horizontal="center" vertical="center" wrapText="1"/>
    </xf>
    <xf numFmtId="0" fontId="58" fillId="5" borderId="8" xfId="0" applyFont="1" applyFill="1" applyBorder="1" applyAlignment="1">
      <alignment horizontal="center" vertical="center" wrapText="1"/>
    </xf>
    <xf numFmtId="0" fontId="22" fillId="5" borderId="13" xfId="1" applyFont="1" applyFill="1" applyBorder="1" applyAlignment="1">
      <alignment horizontal="center" vertical="center" wrapText="1"/>
    </xf>
    <xf numFmtId="0" fontId="22" fillId="5" borderId="12" xfId="1" applyFont="1" applyFill="1" applyBorder="1" applyAlignment="1">
      <alignment horizontal="center" vertical="center" wrapText="1"/>
    </xf>
    <xf numFmtId="0" fontId="23" fillId="0" borderId="2" xfId="1" applyFont="1" applyBorder="1" applyAlignment="1">
      <alignment horizontal="center" vertical="top" wrapText="1"/>
    </xf>
    <xf numFmtId="0" fontId="79" fillId="5" borderId="2" xfId="0" applyFont="1" applyFill="1" applyBorder="1" applyAlignment="1">
      <alignment horizontal="center" vertical="center" wrapText="1"/>
    </xf>
    <xf numFmtId="49" fontId="14" fillId="3" borderId="2" xfId="0" applyNumberFormat="1" applyFont="1" applyFill="1" applyBorder="1" applyAlignment="1">
      <alignment horizontal="center"/>
    </xf>
    <xf numFmtId="0" fontId="64" fillId="3" borderId="2" xfId="0" applyFont="1" applyFill="1" applyBorder="1" applyAlignment="1">
      <alignment horizontal="center" vertical="center" wrapText="1"/>
    </xf>
    <xf numFmtId="0" fontId="64" fillId="3" borderId="3" xfId="0" applyFont="1" applyFill="1" applyBorder="1" applyAlignment="1">
      <alignment horizontal="center" vertical="center" wrapText="1"/>
    </xf>
    <xf numFmtId="0" fontId="64" fillId="3" borderId="5" xfId="0" applyFont="1" applyFill="1" applyBorder="1" applyAlignment="1">
      <alignment horizontal="center" vertical="center" wrapText="1"/>
    </xf>
    <xf numFmtId="0" fontId="6" fillId="7" borderId="2" xfId="0" applyFont="1" applyFill="1" applyBorder="1" applyAlignment="1">
      <alignment horizontal="left"/>
    </xf>
    <xf numFmtId="0" fontId="104" fillId="0" borderId="10" xfId="0" applyFont="1" applyBorder="1" applyAlignment="1">
      <alignment horizontal="left" vertical="center" wrapText="1"/>
    </xf>
    <xf numFmtId="49" fontId="59" fillId="3" borderId="2" xfId="0" applyNumberFormat="1" applyFont="1" applyFill="1" applyBorder="1" applyAlignment="1">
      <alignment horizontal="center"/>
    </xf>
    <xf numFmtId="0" fontId="14" fillId="0" borderId="2" xfId="0" applyFont="1" applyBorder="1" applyAlignment="1">
      <alignment horizontal="left" vertical="center" wrapText="1"/>
    </xf>
    <xf numFmtId="0" fontId="64" fillId="3" borderId="2" xfId="1" applyFont="1" applyFill="1" applyBorder="1" applyAlignment="1">
      <alignment horizontal="center" vertical="center" wrapText="1"/>
    </xf>
    <xf numFmtId="0" fontId="95" fillId="17" borderId="2" xfId="0" applyFont="1" applyFill="1" applyBorder="1" applyAlignment="1">
      <alignment horizontal="left" vertical="center" wrapText="1"/>
    </xf>
    <xf numFmtId="0" fontId="0" fillId="0" borderId="2" xfId="0" applyBorder="1" applyAlignment="1">
      <alignment horizontal="center"/>
    </xf>
    <xf numFmtId="0" fontId="57" fillId="5" borderId="2" xfId="1" applyFont="1" applyFill="1" applyBorder="1" applyAlignment="1">
      <alignment horizontal="center" vertical="top" wrapText="1"/>
    </xf>
    <xf numFmtId="0" fontId="59" fillId="17" borderId="2" xfId="0" applyFont="1" applyFill="1" applyBorder="1" applyAlignment="1">
      <alignment horizontal="left" vertical="center" wrapText="1"/>
    </xf>
    <xf numFmtId="0" fontId="16" fillId="7" borderId="6" xfId="0" applyFont="1" applyFill="1" applyBorder="1" applyAlignment="1">
      <alignment horizontal="left" vertical="top" wrapText="1"/>
    </xf>
    <xf numFmtId="0" fontId="41" fillId="3" borderId="9" xfId="0" applyFont="1" applyFill="1" applyBorder="1" applyAlignment="1">
      <alignment horizontal="left" vertical="top" wrapText="1"/>
    </xf>
    <xf numFmtId="0" fontId="41" fillId="3" borderId="8" xfId="0" applyFont="1" applyFill="1" applyBorder="1" applyAlignment="1">
      <alignment horizontal="left" vertical="top" wrapText="1"/>
    </xf>
    <xf numFmtId="0" fontId="14" fillId="3" borderId="8" xfId="0" applyFont="1" applyFill="1" applyBorder="1" applyAlignment="1">
      <alignment horizontal="left" vertical="center"/>
    </xf>
    <xf numFmtId="0" fontId="11" fillId="10" borderId="9" xfId="0" applyFont="1" applyFill="1" applyBorder="1" applyAlignment="1">
      <alignment horizontal="center" vertical="center" wrapText="1"/>
    </xf>
    <xf numFmtId="0" fontId="11" fillId="10" borderId="8" xfId="0" applyFont="1" applyFill="1" applyBorder="1" applyAlignment="1">
      <alignment horizontal="center" vertical="center" wrapText="1"/>
    </xf>
    <xf numFmtId="49" fontId="6" fillId="3" borderId="6" xfId="0" applyNumberFormat="1" applyFont="1" applyFill="1" applyBorder="1" applyAlignment="1">
      <alignment horizontal="left" vertical="center"/>
    </xf>
    <xf numFmtId="49" fontId="6" fillId="3" borderId="9" xfId="0" applyNumberFormat="1" applyFont="1" applyFill="1" applyBorder="1" applyAlignment="1">
      <alignment horizontal="left" vertical="center"/>
    </xf>
    <xf numFmtId="49" fontId="6" fillId="3" borderId="8" xfId="0" applyNumberFormat="1" applyFont="1" applyFill="1" applyBorder="1" applyAlignment="1">
      <alignment horizontal="left" vertical="center"/>
    </xf>
    <xf numFmtId="0" fontId="0" fillId="0" borderId="0" xfId="0" applyAlignment="1">
      <alignment horizontal="center"/>
    </xf>
    <xf numFmtId="0" fontId="34" fillId="0" borderId="0" xfId="0" applyFont="1" applyAlignment="1">
      <alignment horizontal="left" vertical="center"/>
    </xf>
    <xf numFmtId="0" fontId="6" fillId="0" borderId="10" xfId="0" applyFont="1" applyBorder="1" applyAlignment="1">
      <alignment horizontal="right"/>
    </xf>
    <xf numFmtId="0" fontId="6" fillId="0" borderId="11" xfId="0" applyFont="1" applyBorder="1" applyAlignment="1">
      <alignment horizontal="right"/>
    </xf>
    <xf numFmtId="49" fontId="6" fillId="17" borderId="2" xfId="0" applyNumberFormat="1" applyFont="1" applyFill="1" applyBorder="1" applyAlignment="1">
      <alignment horizontal="left" vertical="center"/>
    </xf>
    <xf numFmtId="0" fontId="21" fillId="17" borderId="2" xfId="0" applyFont="1" applyFill="1" applyBorder="1" applyAlignment="1">
      <alignment horizontal="left" vertical="center" wrapText="1"/>
    </xf>
    <xf numFmtId="49" fontId="82" fillId="17" borderId="2" xfId="0" applyNumberFormat="1" applyFont="1" applyFill="1" applyBorder="1" applyAlignment="1">
      <alignment horizontal="left" vertical="center"/>
    </xf>
    <xf numFmtId="0" fontId="34" fillId="0" borderId="0" xfId="0" applyFont="1" applyAlignment="1">
      <alignment horizontal="left" vertical="center" wrapText="1"/>
    </xf>
    <xf numFmtId="49" fontId="6" fillId="3" borderId="2" xfId="0" applyNumberFormat="1" applyFont="1" applyFill="1" applyBorder="1" applyAlignment="1">
      <alignment horizontal="left" vertical="center"/>
    </xf>
    <xf numFmtId="0" fontId="21" fillId="3" borderId="2" xfId="0" applyFont="1" applyFill="1" applyBorder="1" applyAlignment="1">
      <alignment horizontal="left" vertical="top" wrapText="1"/>
    </xf>
    <xf numFmtId="0" fontId="15" fillId="17" borderId="2" xfId="0" applyFont="1" applyFill="1" applyBorder="1" applyAlignment="1">
      <alignment horizontal="left" vertical="top" wrapText="1"/>
    </xf>
    <xf numFmtId="0" fontId="95" fillId="0" borderId="0" xfId="0" applyFont="1" applyAlignment="1">
      <alignment horizontal="left" vertical="center" wrapText="1"/>
    </xf>
    <xf numFmtId="0" fontId="14" fillId="3" borderId="2" xfId="0" applyFont="1" applyFill="1" applyBorder="1" applyAlignment="1">
      <alignment horizontal="center" vertical="center"/>
    </xf>
    <xf numFmtId="0" fontId="6" fillId="16" borderId="6" xfId="23" applyFont="1" applyFill="1" applyBorder="1" applyAlignment="1">
      <alignment horizontal="left" vertical="center"/>
    </xf>
    <xf numFmtId="0" fontId="6" fillId="16" borderId="9" xfId="23" applyFont="1" applyFill="1" applyBorder="1" applyAlignment="1">
      <alignment horizontal="left" vertical="center"/>
    </xf>
    <xf numFmtId="0" fontId="6" fillId="16" borderId="8" xfId="23" applyFont="1" applyFill="1" applyBorder="1" applyAlignment="1">
      <alignment horizontal="left" vertical="center"/>
    </xf>
    <xf numFmtId="0" fontId="17" fillId="0" borderId="22" xfId="0" applyFont="1" applyBorder="1" applyAlignment="1">
      <alignment horizontal="left" vertical="center" wrapText="1"/>
    </xf>
    <xf numFmtId="0" fontId="17" fillId="0" borderId="0" xfId="0" applyFont="1" applyAlignment="1">
      <alignment horizontal="left" vertical="center" wrapText="1"/>
    </xf>
    <xf numFmtId="0" fontId="17" fillId="0" borderId="23" xfId="0" applyFont="1" applyBorder="1" applyAlignment="1">
      <alignment horizontal="left" vertical="center" wrapText="1"/>
    </xf>
    <xf numFmtId="0" fontId="14" fillId="17" borderId="6" xfId="0" applyFont="1" applyFill="1" applyBorder="1" applyAlignment="1">
      <alignment horizontal="center"/>
    </xf>
    <xf numFmtId="0" fontId="14" fillId="17" borderId="9" xfId="0" applyFont="1" applyFill="1" applyBorder="1" applyAlignment="1">
      <alignment horizontal="center"/>
    </xf>
    <xf numFmtId="0" fontId="14" fillId="17" borderId="8" xfId="0" applyFont="1" applyFill="1" applyBorder="1" applyAlignment="1">
      <alignment horizontal="center"/>
    </xf>
  </cellXfs>
  <cellStyles count="24">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2 2 2" xfId="22" xr:uid="{1B4ABB65-BDB7-494C-9163-8CF6704BBC8C}"/>
    <cellStyle name="Normal 5 2 3" xfId="18" xr:uid="{8B6FE538-56D5-4151-B144-6C72A4E45327}"/>
    <cellStyle name="Normal 5 3" xfId="10" xr:uid="{00000000-0005-0000-0000-00000B000000}"/>
    <cellStyle name="Normal 5 3 2" xfId="19" xr:uid="{2A9BDAF5-9A9C-4BD3-85A7-EBF09F6AD2B4}"/>
    <cellStyle name="Normal 5 4" xfId="15" xr:uid="{208C886B-DA09-44AC-B518-44B1D5AEE16B}"/>
    <cellStyle name="Normal 6" xfId="5" xr:uid="{00000000-0005-0000-0000-00000C000000}"/>
    <cellStyle name="Normal 6 2" xfId="7" xr:uid="{00000000-0005-0000-0000-00000D000000}"/>
    <cellStyle name="Normal 6 2 2" xfId="13" xr:uid="{00000000-0005-0000-0000-00000E000000}"/>
    <cellStyle name="Normal 6 2 2 2" xfId="21" xr:uid="{7E42F8BB-B61E-411B-AA65-186A98A48D84}"/>
    <cellStyle name="Normal 6 2 2 5" xfId="23" xr:uid="{CF562A3A-353E-4456-825E-8650D158E078}"/>
    <cellStyle name="Normal 6 2 3" xfId="17" xr:uid="{87080F9C-FEB9-4DBC-B477-A0E7166A333A}"/>
    <cellStyle name="Normal 6 3" xfId="11" xr:uid="{00000000-0005-0000-0000-00000F000000}"/>
    <cellStyle name="Normal 6 3 2" xfId="20" xr:uid="{45171651-3B1D-457E-AD0F-1AC552D98C05}"/>
    <cellStyle name="Normal 6 4" xfId="16" xr:uid="{A77CE26D-95A1-4595-B4D4-4A129C2EB51F}"/>
  </cellStyles>
  <dxfs count="0"/>
  <tableStyles count="0" defaultTableStyle="TableStyleMedium2" defaultPivotStyle="PivotStyleLight16"/>
  <colors>
    <mruColors>
      <color rgb="FFCC99FF"/>
      <color rgb="FFFF33CC"/>
      <color rgb="FFCC12C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G"/><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1746</xdr:colOff>
      <xdr:row>3</xdr:row>
      <xdr:rowOff>173877</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17</xdr:col>
      <xdr:colOff>7620</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279255" y="220980"/>
          <a:ext cx="2912745" cy="174498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1746</xdr:colOff>
      <xdr:row>3</xdr:row>
      <xdr:rowOff>174512</xdr:rowOff>
    </xdr:to>
    <xdr:pic>
      <xdr:nvPicPr>
        <xdr:cNvPr id="2" name="image1.jpeg">
          <a:extLst>
            <a:ext uri="{FF2B5EF4-FFF2-40B4-BE49-F238E27FC236}">
              <a16:creationId xmlns:a16="http://schemas.microsoft.com/office/drawing/2014/main" id="{C23B955B-44D0-4174-842D-8D328A5D1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438037"/>
          <a:ext cx="352981" cy="305435"/>
        </a:xfrm>
        <a:prstGeom prst="rect">
          <a:avLst/>
        </a:prstGeom>
      </xdr:spPr>
    </xdr:pic>
    <xdr:clientData/>
  </xdr:twoCellAnchor>
  <xdr:twoCellAnchor>
    <xdr:from>
      <xdr:col>12</xdr:col>
      <xdr:colOff>142875</xdr:colOff>
      <xdr:row>1</xdr:row>
      <xdr:rowOff>38100</xdr:rowOff>
    </xdr:from>
    <xdr:to>
      <xdr:col>17</xdr:col>
      <xdr:colOff>7620</xdr:colOff>
      <xdr:row>7</xdr:row>
      <xdr:rowOff>114300</xdr:rowOff>
    </xdr:to>
    <xdr:sp macro="" textlink="">
      <xdr:nvSpPr>
        <xdr:cNvPr id="3" name="Left Arrow 1">
          <a:extLst>
            <a:ext uri="{FF2B5EF4-FFF2-40B4-BE49-F238E27FC236}">
              <a16:creationId xmlns:a16="http://schemas.microsoft.com/office/drawing/2014/main" id="{A77B47A6-41DB-4809-99AB-20D482B5A0D7}"/>
            </a:ext>
          </a:extLst>
        </xdr:cNvPr>
        <xdr:cNvSpPr/>
      </xdr:nvSpPr>
      <xdr:spPr>
        <a:xfrm>
          <a:off x="9413875" y="222250"/>
          <a:ext cx="2912745" cy="18986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CC0AEBC0-1AE0-4B85-955D-D12F508F6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31812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3FF935C6-8C2B-4865-B21C-697E6EA7293A}"/>
            </a:ext>
          </a:extLst>
        </xdr:cNvPr>
        <xdr:cNvSpPr/>
      </xdr:nvSpPr>
      <xdr:spPr>
        <a:xfrm>
          <a:off x="9471025" y="28860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163285</xdr:colOff>
      <xdr:row>42</xdr:row>
      <xdr:rowOff>40821</xdr:rowOff>
    </xdr:from>
    <xdr:to>
      <xdr:col>36</xdr:col>
      <xdr:colOff>589496</xdr:colOff>
      <xdr:row>50</xdr:row>
      <xdr:rowOff>64222</xdr:rowOff>
    </xdr:to>
    <xdr:pic>
      <xdr:nvPicPr>
        <xdr:cNvPr id="2" name="Picture 1">
          <a:extLst>
            <a:ext uri="{FF2B5EF4-FFF2-40B4-BE49-F238E27FC236}">
              <a16:creationId xmlns:a16="http://schemas.microsoft.com/office/drawing/2014/main" id="{244E4974-6AD8-44FF-A3B6-C29603A64D2F}"/>
            </a:ext>
          </a:extLst>
        </xdr:cNvPr>
        <xdr:cNvPicPr>
          <a:picLocks noChangeAspect="1"/>
        </xdr:cNvPicPr>
      </xdr:nvPicPr>
      <xdr:blipFill>
        <a:blip xmlns:r="http://schemas.openxmlformats.org/officeDocument/2006/relationships" r:embed="rId1"/>
        <a:stretch>
          <a:fillRect/>
        </a:stretch>
      </xdr:blipFill>
      <xdr:spPr>
        <a:xfrm>
          <a:off x="12423321" y="9171214"/>
          <a:ext cx="12060318" cy="14793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254000</xdr:colOff>
      <xdr:row>16</xdr:row>
      <xdr:rowOff>79375</xdr:rowOff>
    </xdr:from>
    <xdr:to>
      <xdr:col>37</xdr:col>
      <xdr:colOff>249318</xdr:colOff>
      <xdr:row>24</xdr:row>
      <xdr:rowOff>126814</xdr:rowOff>
    </xdr:to>
    <xdr:pic>
      <xdr:nvPicPr>
        <xdr:cNvPr id="5" name="Picture 4">
          <a:extLst>
            <a:ext uri="{FF2B5EF4-FFF2-40B4-BE49-F238E27FC236}">
              <a16:creationId xmlns:a16="http://schemas.microsoft.com/office/drawing/2014/main" id="{680C2228-D078-4A47-B68C-359AA11ED208}"/>
            </a:ext>
          </a:extLst>
        </xdr:cNvPr>
        <xdr:cNvPicPr>
          <a:picLocks noChangeAspect="1"/>
        </xdr:cNvPicPr>
      </xdr:nvPicPr>
      <xdr:blipFill>
        <a:blip xmlns:r="http://schemas.openxmlformats.org/officeDocument/2006/relationships" r:embed="rId1"/>
        <a:stretch>
          <a:fillRect/>
        </a:stretch>
      </xdr:blipFill>
      <xdr:spPr>
        <a:xfrm>
          <a:off x="12477750" y="5127625"/>
          <a:ext cx="12060318" cy="14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352425</xdr:colOff>
      <xdr:row>28</xdr:row>
      <xdr:rowOff>38100</xdr:rowOff>
    </xdr:from>
    <xdr:to>
      <xdr:col>7</xdr:col>
      <xdr:colOff>628650</xdr:colOff>
      <xdr:row>50</xdr:row>
      <xdr:rowOff>28575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6038850"/>
          <a:ext cx="5876925" cy="4181475"/>
        </a:xfrm>
        <a:prstGeom prst="rect">
          <a:avLst/>
        </a:prstGeom>
      </xdr:spPr>
    </xdr:pic>
    <xdr:clientData/>
  </xdr:twoCellAnchor>
  <xdr:twoCellAnchor editAs="oneCell">
    <xdr:from>
      <xdr:col>0</xdr:col>
      <xdr:colOff>0</xdr:colOff>
      <xdr:row>79</xdr:row>
      <xdr:rowOff>57150</xdr:rowOff>
    </xdr:from>
    <xdr:to>
      <xdr:col>8</xdr:col>
      <xdr:colOff>649527</xdr:colOff>
      <xdr:row>108</xdr:row>
      <xdr:rowOff>47625</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5582900"/>
          <a:ext cx="7678977" cy="5514975"/>
        </a:xfrm>
        <a:prstGeom prst="rect">
          <a:avLst/>
        </a:prstGeom>
      </xdr:spPr>
    </xdr:pic>
    <xdr:clientData/>
  </xdr:twoCellAnchor>
  <xdr:twoCellAnchor editAs="oneCell">
    <xdr:from>
      <xdr:col>0</xdr:col>
      <xdr:colOff>190499</xdr:colOff>
      <xdr:row>51</xdr:row>
      <xdr:rowOff>114299</xdr:rowOff>
    </xdr:from>
    <xdr:to>
      <xdr:col>9</xdr:col>
      <xdr:colOff>8430</xdr:colOff>
      <xdr:row>78</xdr:row>
      <xdr:rowOff>28574</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0499" y="10306049"/>
          <a:ext cx="7990381" cy="5057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10583</xdr:colOff>
      <xdr:row>5</xdr:row>
      <xdr:rowOff>0</xdr:rowOff>
    </xdr:from>
    <xdr:to>
      <xdr:col>25</xdr:col>
      <xdr:colOff>359834</xdr:colOff>
      <xdr:row>11</xdr:row>
      <xdr:rowOff>265462</xdr:rowOff>
    </xdr:to>
    <xdr:pic>
      <xdr:nvPicPr>
        <xdr:cNvPr id="6" name="Picture 5">
          <a:extLst>
            <a:ext uri="{FF2B5EF4-FFF2-40B4-BE49-F238E27FC236}">
              <a16:creationId xmlns:a16="http://schemas.microsoft.com/office/drawing/2014/main" id="{7B7E1579-EBFF-15B6-A33B-7658A7088405}"/>
            </a:ext>
          </a:extLst>
        </xdr:cNvPr>
        <xdr:cNvPicPr>
          <a:picLocks noChangeAspect="1"/>
        </xdr:cNvPicPr>
      </xdr:nvPicPr>
      <xdr:blipFill>
        <a:blip xmlns:r="http://schemas.openxmlformats.org/officeDocument/2006/relationships" r:embed="rId1"/>
        <a:stretch>
          <a:fillRect/>
        </a:stretch>
      </xdr:blipFill>
      <xdr:spPr>
        <a:xfrm>
          <a:off x="15642166" y="1312333"/>
          <a:ext cx="7715251" cy="2403296"/>
        </a:xfrm>
        <a:prstGeom prst="rect">
          <a:avLst/>
        </a:prstGeom>
      </xdr:spPr>
    </xdr:pic>
    <xdr:clientData/>
  </xdr:twoCellAnchor>
  <xdr:twoCellAnchor editAs="oneCell">
    <xdr:from>
      <xdr:col>13</xdr:col>
      <xdr:colOff>31750</xdr:colOff>
      <xdr:row>17</xdr:row>
      <xdr:rowOff>359833</xdr:rowOff>
    </xdr:from>
    <xdr:to>
      <xdr:col>28</xdr:col>
      <xdr:colOff>31750</xdr:colOff>
      <xdr:row>22</xdr:row>
      <xdr:rowOff>207012</xdr:rowOff>
    </xdr:to>
    <xdr:pic>
      <xdr:nvPicPr>
        <xdr:cNvPr id="7" name="Picture 6">
          <a:extLst>
            <a:ext uri="{FF2B5EF4-FFF2-40B4-BE49-F238E27FC236}">
              <a16:creationId xmlns:a16="http://schemas.microsoft.com/office/drawing/2014/main" id="{E1D6CDA1-6E4C-CD1A-C276-26EFB5EC52DD}"/>
            </a:ext>
          </a:extLst>
        </xdr:cNvPr>
        <xdr:cNvPicPr>
          <a:picLocks noChangeAspect="1"/>
        </xdr:cNvPicPr>
      </xdr:nvPicPr>
      <xdr:blipFill>
        <a:blip xmlns:r="http://schemas.openxmlformats.org/officeDocument/2006/relationships" r:embed="rId2"/>
        <a:stretch>
          <a:fillRect/>
        </a:stretch>
      </xdr:blipFill>
      <xdr:spPr>
        <a:xfrm>
          <a:off x="15663333" y="5196416"/>
          <a:ext cx="9207500" cy="3297346"/>
        </a:xfrm>
        <a:prstGeom prst="rect">
          <a:avLst/>
        </a:prstGeom>
      </xdr:spPr>
    </xdr:pic>
    <xdr:clientData/>
  </xdr:twoCellAnchor>
  <xdr:twoCellAnchor editAs="oneCell">
    <xdr:from>
      <xdr:col>11</xdr:col>
      <xdr:colOff>112182</xdr:colOff>
      <xdr:row>36</xdr:row>
      <xdr:rowOff>228600</xdr:rowOff>
    </xdr:from>
    <xdr:to>
      <xdr:col>21</xdr:col>
      <xdr:colOff>29509</xdr:colOff>
      <xdr:row>60</xdr:row>
      <xdr:rowOff>3868</xdr:rowOff>
    </xdr:to>
    <xdr:pic>
      <xdr:nvPicPr>
        <xdr:cNvPr id="8" name="Picture 7">
          <a:extLst>
            <a:ext uri="{FF2B5EF4-FFF2-40B4-BE49-F238E27FC236}">
              <a16:creationId xmlns:a16="http://schemas.microsoft.com/office/drawing/2014/main" id="{F9C19544-B12B-4A9A-6F75-EF481B978296}"/>
            </a:ext>
          </a:extLst>
        </xdr:cNvPr>
        <xdr:cNvPicPr>
          <a:picLocks noChangeAspect="1"/>
        </xdr:cNvPicPr>
      </xdr:nvPicPr>
      <xdr:blipFill>
        <a:blip xmlns:r="http://schemas.openxmlformats.org/officeDocument/2006/relationships" r:embed="rId3"/>
        <a:stretch>
          <a:fillRect/>
        </a:stretch>
      </xdr:blipFill>
      <xdr:spPr>
        <a:xfrm>
          <a:off x="14552082" y="12560300"/>
          <a:ext cx="6140327" cy="6364452"/>
        </a:xfrm>
        <a:prstGeom prst="rect">
          <a:avLst/>
        </a:prstGeom>
      </xdr:spPr>
    </xdr:pic>
    <xdr:clientData/>
  </xdr:twoCellAnchor>
  <xdr:twoCellAnchor editAs="oneCell">
    <xdr:from>
      <xdr:col>11</xdr:col>
      <xdr:colOff>76201</xdr:colOff>
      <xdr:row>62</xdr:row>
      <xdr:rowOff>38101</xdr:rowOff>
    </xdr:from>
    <xdr:to>
      <xdr:col>26</xdr:col>
      <xdr:colOff>457201</xdr:colOff>
      <xdr:row>80</xdr:row>
      <xdr:rowOff>97115</xdr:rowOff>
    </xdr:to>
    <xdr:pic>
      <xdr:nvPicPr>
        <xdr:cNvPr id="9" name="Picture 8">
          <a:extLst>
            <a:ext uri="{FF2B5EF4-FFF2-40B4-BE49-F238E27FC236}">
              <a16:creationId xmlns:a16="http://schemas.microsoft.com/office/drawing/2014/main" id="{ADA094D5-7820-C824-6E05-F4057795F024}"/>
            </a:ext>
          </a:extLst>
        </xdr:cNvPr>
        <xdr:cNvPicPr>
          <a:picLocks noChangeAspect="1"/>
        </xdr:cNvPicPr>
      </xdr:nvPicPr>
      <xdr:blipFill>
        <a:blip xmlns:r="http://schemas.openxmlformats.org/officeDocument/2006/relationships" r:embed="rId4"/>
        <a:stretch>
          <a:fillRect/>
        </a:stretch>
      </xdr:blipFill>
      <xdr:spPr>
        <a:xfrm>
          <a:off x="14516101" y="19456401"/>
          <a:ext cx="9715500" cy="34880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241001</xdr:colOff>
      <xdr:row>28</xdr:row>
      <xdr:rowOff>0</xdr:rowOff>
    </xdr:from>
    <xdr:to>
      <xdr:col>17</xdr:col>
      <xdr:colOff>256557</xdr:colOff>
      <xdr:row>59</xdr:row>
      <xdr:rowOff>151414</xdr:rowOff>
    </xdr:to>
    <xdr:pic>
      <xdr:nvPicPr>
        <xdr:cNvPr id="5" name="Picture 1">
          <a:extLst>
            <a:ext uri="{FF2B5EF4-FFF2-40B4-BE49-F238E27FC236}">
              <a16:creationId xmlns:a16="http://schemas.microsoft.com/office/drawing/2014/main" id="{A826AB7C-1A3C-4940-829A-F7C62C4F0FEA}"/>
            </a:ext>
          </a:extLst>
        </xdr:cNvPr>
        <xdr:cNvPicPr>
          <a:picLocks noChangeAspect="1"/>
        </xdr:cNvPicPr>
      </xdr:nvPicPr>
      <xdr:blipFill>
        <a:blip xmlns:r="http://schemas.openxmlformats.org/officeDocument/2006/relationships" r:embed="rId1"/>
        <a:stretch>
          <a:fillRect/>
        </a:stretch>
      </xdr:blipFill>
      <xdr:spPr>
        <a:xfrm>
          <a:off x="11547176" y="7038975"/>
          <a:ext cx="3673156" cy="6056914"/>
        </a:xfrm>
        <a:prstGeom prst="rect">
          <a:avLst/>
        </a:prstGeom>
      </xdr:spPr>
    </xdr:pic>
    <xdr:clientData/>
  </xdr:twoCellAnchor>
  <xdr:twoCellAnchor editAs="oneCell">
    <xdr:from>
      <xdr:col>11</xdr:col>
      <xdr:colOff>546099</xdr:colOff>
      <xdr:row>4</xdr:row>
      <xdr:rowOff>23289</xdr:rowOff>
    </xdr:from>
    <xdr:to>
      <xdr:col>17</xdr:col>
      <xdr:colOff>297468</xdr:colOff>
      <xdr:row>9</xdr:row>
      <xdr:rowOff>11059</xdr:rowOff>
    </xdr:to>
    <xdr:pic>
      <xdr:nvPicPr>
        <xdr:cNvPr id="3" name="Picture 2">
          <a:extLst>
            <a:ext uri="{FF2B5EF4-FFF2-40B4-BE49-F238E27FC236}">
              <a16:creationId xmlns:a16="http://schemas.microsoft.com/office/drawing/2014/main" id="{AA915EDD-AB66-4ED5-9A92-2100295F455B}"/>
            </a:ext>
          </a:extLst>
        </xdr:cNvPr>
        <xdr:cNvPicPr>
          <a:picLocks noChangeAspect="1"/>
        </xdr:cNvPicPr>
      </xdr:nvPicPr>
      <xdr:blipFill>
        <a:blip xmlns:r="http://schemas.openxmlformats.org/officeDocument/2006/relationships" r:embed="rId2"/>
        <a:stretch>
          <a:fillRect/>
        </a:stretch>
      </xdr:blipFill>
      <xdr:spPr>
        <a:xfrm>
          <a:off x="12153899" y="1090089"/>
          <a:ext cx="3408969" cy="2027178"/>
        </a:xfrm>
        <a:prstGeom prst="rect">
          <a:avLst/>
        </a:prstGeom>
      </xdr:spPr>
    </xdr:pic>
    <xdr:clientData/>
  </xdr:twoCellAnchor>
  <xdr:twoCellAnchor editAs="oneCell">
    <xdr:from>
      <xdr:col>11</xdr:col>
      <xdr:colOff>590550</xdr:colOff>
      <xdr:row>14</xdr:row>
      <xdr:rowOff>376957</xdr:rowOff>
    </xdr:from>
    <xdr:to>
      <xdr:col>21</xdr:col>
      <xdr:colOff>296881</xdr:colOff>
      <xdr:row>17</xdr:row>
      <xdr:rowOff>142735</xdr:rowOff>
    </xdr:to>
    <xdr:pic>
      <xdr:nvPicPr>
        <xdr:cNvPr id="4" name="Picture 3">
          <a:extLst>
            <a:ext uri="{FF2B5EF4-FFF2-40B4-BE49-F238E27FC236}">
              <a16:creationId xmlns:a16="http://schemas.microsoft.com/office/drawing/2014/main" id="{54786A23-55A5-49DE-9B76-7F95D12CD7E7}"/>
            </a:ext>
          </a:extLst>
        </xdr:cNvPr>
        <xdr:cNvPicPr>
          <a:picLocks noChangeAspect="1"/>
        </xdr:cNvPicPr>
      </xdr:nvPicPr>
      <xdr:blipFill>
        <a:blip xmlns:r="http://schemas.openxmlformats.org/officeDocument/2006/relationships" r:embed="rId3"/>
        <a:stretch>
          <a:fillRect/>
        </a:stretch>
      </xdr:blipFill>
      <xdr:spPr>
        <a:xfrm>
          <a:off x="12198350" y="3120157"/>
          <a:ext cx="5802331" cy="5150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914400</xdr:colOff>
      <xdr:row>11</xdr:row>
      <xdr:rowOff>35859</xdr:rowOff>
    </xdr:from>
    <xdr:to>
      <xdr:col>3</xdr:col>
      <xdr:colOff>2434815</xdr:colOff>
      <xdr:row>12</xdr:row>
      <xdr:rowOff>8965</xdr:rowOff>
    </xdr:to>
    <xdr:sp macro="" textlink="">
      <xdr:nvSpPr>
        <xdr:cNvPr id="2" name="Rectangle 1">
          <a:extLst>
            <a:ext uri="{FF2B5EF4-FFF2-40B4-BE49-F238E27FC236}">
              <a16:creationId xmlns:a16="http://schemas.microsoft.com/office/drawing/2014/main" id="{42A75DDB-DFBB-4868-BE33-54136F85A27C}"/>
            </a:ext>
          </a:extLst>
        </xdr:cNvPr>
        <xdr:cNvSpPr/>
      </xdr:nvSpPr>
      <xdr:spPr>
        <a:xfrm>
          <a:off x="6972300" y="4480859"/>
          <a:ext cx="917165" cy="15725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2</xdr:col>
      <xdr:colOff>1076325</xdr:colOff>
      <xdr:row>11</xdr:row>
      <xdr:rowOff>52667</xdr:rowOff>
    </xdr:from>
    <xdr:to>
      <xdr:col>3</xdr:col>
      <xdr:colOff>904652</xdr:colOff>
      <xdr:row>12</xdr:row>
      <xdr:rowOff>9525</xdr:rowOff>
    </xdr:to>
    <xdr:sp macro="" textlink="">
      <xdr:nvSpPr>
        <xdr:cNvPr id="3" name="Rectangle 2">
          <a:extLst>
            <a:ext uri="{FF2B5EF4-FFF2-40B4-BE49-F238E27FC236}">
              <a16:creationId xmlns:a16="http://schemas.microsoft.com/office/drawing/2014/main" id="{496F9061-AAD5-44BC-860E-2A60F3CF8CA1}"/>
            </a:ext>
          </a:extLst>
        </xdr:cNvPr>
        <xdr:cNvSpPr/>
      </xdr:nvSpPr>
      <xdr:spPr>
        <a:xfrm>
          <a:off x="4308475" y="4497667"/>
          <a:ext cx="2654077" cy="14100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Saeed, Muhammad@Energy" id="{8D061578-DDDC-4304-8217-233CDCFD87AE}" userId="Muhammad.Saeed@energy.ca.gov" providerId="PeoplePicker"/>
  <person displayName="Alhabibi, Haider@Energy" id="{EA0A2937-150A-42A9-B099-C539CCAE2D5C}" userId="Haider.AlHabibi@energy.ca.gov" providerId="PeoplePicker"/>
  <person displayName="Daemi, Sahar@Energy" id="{B84AE68D-2632-43D2-A4D8-A7354BB2C543}" userId="S::Sahar.Daemi@energy.ca.gov::63c7593f-0d7a-4873-9f10-8100271e88b2" providerId="AD"/>
  <person displayName="Daemi, Sahar@Energy" id="{DCB8E1FD-3DE9-40DE-A249-904EE52ED8A4}" userId="S::sahar.daemi@energy.ca.gov::63c7593f-0d7a-4873-9f10-8100271e88b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9" dT="2025-01-14T23:23:34.67" personId="{B84AE68D-2632-43D2-A4D8-A7354BB2C543}" id="{75B395BC-891D-4349-A8C0-5D9A72200A0D}">
    <text xml:space="preserve">@Saeed, Muhammad@Energy It seems the 170.2(d) 3 has changed to 170.2(d)Bii @Alhabibi, Haider@Energy </text>
    <mentions>
      <mention mentionpersonId="{8D061578-DDDC-4304-8217-233CDCFD87AE}" mentionId="{F3261418-6C95-4992-B160-6529146DF091}" startIndex="0" length="23"/>
      <mention mentionpersonId="{EA0A2937-150A-42A9-B099-C539CCAE2D5C}" mentionId="{EDF183BA-B7B0-4275-98EC-49F57B369406}" startIndex="75"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F17" dT="2025-01-15T19:25:54.76" personId="{B84AE68D-2632-43D2-A4D8-A7354BB2C543}" id="{B5DCCA06-BC38-4072-B73C-834155707844}">
    <text>@Alhabibi, Haider@Energy Please consider adding a column for the exception of SARA for roof area that is not available due to state and local building codes.</text>
    <mentions>
      <mention mentionpersonId="{EA0A2937-150A-42A9-B099-C539CCAE2D5C}" mentionId="{357B15AA-EF91-47A1-BCA5-C416056DC9FA}" startIndex="0" length="24"/>
    </mentions>
  </threadedComment>
  <threadedComment ref="H18" dT="2025-01-03T18:30:26.47" personId="{B84AE68D-2632-43D2-A4D8-A7354BB2C543}" id="{D17465BF-75F9-4B2F-AC3A-FDA04C04061E}">
    <text>Change “size” to “capacity”</text>
  </threadedComment>
  <threadedComment ref="A47" dT="2025-01-13T20:31:16.52" personId="{DCB8E1FD-3DE9-40DE-A249-904EE52ED8A4}" id="{A4B43895-80C9-4EA2-9A95-8103AF8D6C3A}" done="1">
    <text>@Saeed, Muhammad@EnergyException 1 and 3 are here.</text>
    <mentions>
      <mention mentionpersonId="{8D061578-DDDC-4304-8217-233CDCFD87AE}" mentionId="{33FD3960-9D95-47AF-90E9-8C007B4805BE}" startIndex="0" length="2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7" dT="2025-01-09T22:59:03.40" personId="{B84AE68D-2632-43D2-A4D8-A7354BB2C543}" id="{8162AA1D-1E3E-4489-9B17-E4083D6C3ED5}">
    <text>@Saeed, Muhammad@Energy I think column names are not correct, for example “If I.08&gt;=7.5”
Also ((A.03 * Aper Tabl 170.2-T)/1000 + H.07 * Bper Tabl 170.2-T), and CFA is not A.03.</text>
    <mentions>
      <mention mentionpersonId="{8D061578-DDDC-4304-8217-233CDCFD87AE}" mentionId="{2A22D250-23AE-4326-825B-7B3CA331F38F}" startIndex="0" length="23"/>
    </mentions>
  </threadedComment>
  <threadedComment ref="J7" dT="2025-01-14T17:37:57.15" personId="{B84AE68D-2632-43D2-A4D8-A7354BB2C543}" id="{72CF1DE8-9886-415A-AB41-F88715296002}" parentId="{8162AA1D-1E3E-4489-9B17-E4083D6C3ED5}">
    <text xml:space="preserve">@Alhabibi, Haider@Energy </text>
    <mentions>
      <mention mentionpersonId="{EA0A2937-150A-42A9-B099-C539CCAE2D5C}" mentionId="{80AB2DF4-1464-4D89-9854-DF29E9CAF44D}" startIndex="0" length="24"/>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5.xml"/><Relationship Id="rId1" Type="http://schemas.openxmlformats.org/officeDocument/2006/relationships/printerSettings" Target="../printerSettings/printerSettings16.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6.xml"/><Relationship Id="rId1" Type="http://schemas.openxmlformats.org/officeDocument/2006/relationships/printerSettings" Target="../printerSettings/printerSettings19.bin"/><Relationship Id="rId5" Type="http://schemas.microsoft.com/office/2017/10/relationships/threadedComment" Target="../threadedComments/threadedComment2.xml"/><Relationship Id="rId4" Type="http://schemas.openxmlformats.org/officeDocument/2006/relationships/comments" Target="../comments1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7.xml"/><Relationship Id="rId1" Type="http://schemas.openxmlformats.org/officeDocument/2006/relationships/printerSettings" Target="../printerSettings/printerSettings20.bin"/><Relationship Id="rId5" Type="http://schemas.microsoft.com/office/2017/10/relationships/threadedComment" Target="../threadedComments/threadedComment3.xml"/><Relationship Id="rId4" Type="http://schemas.openxmlformats.org/officeDocument/2006/relationships/comments" Target="../comments1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089C-A206-47C4-8DBE-ECB59C8B7B4E}">
  <dimension ref="A1:E36"/>
  <sheetViews>
    <sheetView zoomScaleNormal="100" workbookViewId="0">
      <selection activeCell="B30" sqref="B30"/>
    </sheetView>
  </sheetViews>
  <sheetFormatPr defaultColWidth="9.140625" defaultRowHeight="14.25"/>
  <cols>
    <col min="1" max="1" width="17" style="16" customWidth="1"/>
    <col min="2" max="2" width="50.85546875" style="16" bestFit="1" customWidth="1"/>
    <col min="3" max="3" width="80.140625" style="16" customWidth="1"/>
    <col min="4" max="4" width="17.140625" style="16" customWidth="1"/>
    <col min="5" max="16384" width="9.140625" style="16"/>
  </cols>
  <sheetData>
    <row r="1" spans="1:5" ht="15">
      <c r="A1" s="148" t="s">
        <v>0</v>
      </c>
      <c r="B1" s="148" t="s">
        <v>1</v>
      </c>
      <c r="C1" s="148" t="s">
        <v>2</v>
      </c>
      <c r="D1" s="148" t="s">
        <v>3</v>
      </c>
      <c r="E1" s="99"/>
    </row>
    <row r="2" spans="1:5">
      <c r="A2" s="99"/>
      <c r="B2" s="99"/>
      <c r="E2" s="99"/>
    </row>
    <row r="3" spans="1:5" ht="15">
      <c r="A3" s="217">
        <v>45630</v>
      </c>
      <c r="B3" s="209" t="s">
        <v>4</v>
      </c>
      <c r="C3" s="209" t="s">
        <v>5</v>
      </c>
      <c r="D3" s="183" t="s">
        <v>6</v>
      </c>
      <c r="E3" s="99"/>
    </row>
    <row r="4" spans="1:5" ht="15">
      <c r="A4" s="217">
        <v>45630</v>
      </c>
      <c r="B4" s="209" t="s">
        <v>7</v>
      </c>
      <c r="C4" s="209" t="s">
        <v>8</v>
      </c>
      <c r="D4" s="183" t="s">
        <v>6</v>
      </c>
      <c r="E4" s="99"/>
    </row>
    <row r="5" spans="1:5" ht="15">
      <c r="A5" s="217">
        <v>45630</v>
      </c>
      <c r="B5" s="209" t="s">
        <v>7</v>
      </c>
      <c r="C5" s="209" t="s">
        <v>9</v>
      </c>
      <c r="D5" s="183" t="s">
        <v>6</v>
      </c>
      <c r="E5" s="99"/>
    </row>
    <row r="6" spans="1:5" ht="15">
      <c r="A6" s="217">
        <v>45630</v>
      </c>
      <c r="B6" s="209" t="s">
        <v>10</v>
      </c>
      <c r="C6" s="209" t="s">
        <v>11</v>
      </c>
      <c r="D6" s="183" t="s">
        <v>6</v>
      </c>
      <c r="E6" s="99"/>
    </row>
    <row r="7" spans="1:5" ht="15">
      <c r="A7" s="217">
        <v>45630</v>
      </c>
      <c r="B7" s="209" t="s">
        <v>12</v>
      </c>
      <c r="C7" s="209" t="s">
        <v>13</v>
      </c>
      <c r="D7" s="183" t="s">
        <v>6</v>
      </c>
      <c r="E7" s="99"/>
    </row>
    <row r="8" spans="1:5" ht="15">
      <c r="A8" s="217">
        <v>45630</v>
      </c>
      <c r="B8" s="209" t="s">
        <v>12</v>
      </c>
      <c r="C8" s="209" t="s">
        <v>14</v>
      </c>
      <c r="D8" s="183" t="s">
        <v>6</v>
      </c>
      <c r="E8" s="99"/>
    </row>
    <row r="9" spans="1:5" ht="15">
      <c r="A9" s="217">
        <v>45630</v>
      </c>
      <c r="B9" s="209" t="s">
        <v>15</v>
      </c>
      <c r="C9" s="209" t="s">
        <v>16</v>
      </c>
      <c r="D9" s="183" t="s">
        <v>6</v>
      </c>
      <c r="E9" s="99"/>
    </row>
    <row r="10" spans="1:5" ht="15">
      <c r="A10" s="217"/>
      <c r="B10" s="209" t="s">
        <v>17</v>
      </c>
      <c r="C10" s="209" t="s">
        <v>18</v>
      </c>
      <c r="D10" s="183"/>
      <c r="E10" s="99"/>
    </row>
    <row r="11" spans="1:5" ht="15">
      <c r="A11" s="217">
        <v>45630</v>
      </c>
      <c r="B11" s="209" t="s">
        <v>19</v>
      </c>
      <c r="C11" s="209" t="s">
        <v>20</v>
      </c>
      <c r="D11" s="183" t="s">
        <v>6</v>
      </c>
      <c r="E11" s="99"/>
    </row>
    <row r="12" spans="1:5" ht="15">
      <c r="A12" s="217"/>
      <c r="B12" s="209" t="s">
        <v>21</v>
      </c>
      <c r="C12" s="209" t="s">
        <v>22</v>
      </c>
      <c r="D12" s="183"/>
      <c r="E12" s="99"/>
    </row>
    <row r="13" spans="1:5" ht="30">
      <c r="A13" s="217">
        <v>45630</v>
      </c>
      <c r="B13" s="209" t="s">
        <v>23</v>
      </c>
      <c r="C13" s="220" t="s">
        <v>24</v>
      </c>
      <c r="D13" s="183" t="s">
        <v>6</v>
      </c>
      <c r="E13" s="99"/>
    </row>
    <row r="14" spans="1:5" ht="15">
      <c r="A14" s="217">
        <v>45630</v>
      </c>
      <c r="B14" s="219" t="s">
        <v>25</v>
      </c>
      <c r="C14" s="220" t="s">
        <v>26</v>
      </c>
      <c r="D14" s="183" t="s">
        <v>6</v>
      </c>
      <c r="E14" s="99"/>
    </row>
    <row r="15" spans="1:5" ht="15">
      <c r="A15" s="217">
        <v>45630</v>
      </c>
      <c r="B15" s="219" t="s">
        <v>25</v>
      </c>
      <c r="C15" s="220" t="s">
        <v>27</v>
      </c>
      <c r="D15" s="183" t="s">
        <v>6</v>
      </c>
      <c r="E15" s="99"/>
    </row>
    <row r="16" spans="1:5" ht="15">
      <c r="A16" s="217">
        <v>45630</v>
      </c>
      <c r="B16" s="209" t="s">
        <v>28</v>
      </c>
      <c r="C16" s="209" t="s">
        <v>29</v>
      </c>
      <c r="D16" s="183" t="s">
        <v>6</v>
      </c>
      <c r="E16" s="99"/>
    </row>
    <row r="17" spans="1:4" ht="15">
      <c r="A17" s="217">
        <v>45630</v>
      </c>
      <c r="B17" s="209" t="s">
        <v>30</v>
      </c>
      <c r="C17" s="209" t="s">
        <v>31</v>
      </c>
      <c r="D17" s="183" t="s">
        <v>6</v>
      </c>
    </row>
    <row r="18" spans="1:4" ht="15">
      <c r="A18" s="217">
        <v>45630</v>
      </c>
      <c r="B18" s="209" t="s">
        <v>32</v>
      </c>
      <c r="C18" s="209" t="s">
        <v>33</v>
      </c>
      <c r="D18" s="183" t="s">
        <v>6</v>
      </c>
    </row>
    <row r="19" spans="1:4" ht="15">
      <c r="A19" s="217">
        <v>45630</v>
      </c>
      <c r="B19" s="209" t="s">
        <v>34</v>
      </c>
      <c r="C19" s="209" t="s">
        <v>35</v>
      </c>
      <c r="D19" s="183" t="s">
        <v>6</v>
      </c>
    </row>
    <row r="20" spans="1:4" ht="15">
      <c r="A20" s="217">
        <v>45630</v>
      </c>
      <c r="B20" s="209" t="s">
        <v>36</v>
      </c>
      <c r="C20" s="209" t="s">
        <v>37</v>
      </c>
      <c r="D20" s="183" t="s">
        <v>6</v>
      </c>
    </row>
    <row r="21" spans="1:4" ht="15">
      <c r="B21" s="209"/>
      <c r="C21" s="209"/>
    </row>
    <row r="22" spans="1:4" ht="15">
      <c r="A22" s="99"/>
      <c r="B22" s="209"/>
      <c r="C22" s="209"/>
    </row>
    <row r="23" spans="1:4" ht="15">
      <c r="A23" s="17"/>
      <c r="B23" s="210"/>
      <c r="C23" s="209"/>
    </row>
    <row r="24" spans="1:4" ht="15">
      <c r="A24" s="253" t="s">
        <v>515</v>
      </c>
      <c r="B24" s="209"/>
      <c r="C24" s="209"/>
    </row>
    <row r="25" spans="1:4" ht="15">
      <c r="A25" s="255">
        <v>45672</v>
      </c>
      <c r="B25" s="209" t="s">
        <v>518</v>
      </c>
      <c r="C25" s="209" t="s">
        <v>519</v>
      </c>
    </row>
    <row r="26" spans="1:4" ht="15">
      <c r="A26" s="255">
        <v>45666</v>
      </c>
      <c r="B26" s="209" t="s">
        <v>524</v>
      </c>
      <c r="C26" s="209" t="s">
        <v>521</v>
      </c>
    </row>
    <row r="27" spans="1:4" ht="15">
      <c r="A27" s="256">
        <v>45671</v>
      </c>
      <c r="B27" s="209" t="s">
        <v>523</v>
      </c>
      <c r="C27" s="209" t="s">
        <v>516</v>
      </c>
    </row>
    <row r="28" spans="1:4" ht="15">
      <c r="A28" s="255">
        <v>45670</v>
      </c>
      <c r="B28" s="209" t="s">
        <v>522</v>
      </c>
      <c r="C28" s="209" t="s">
        <v>517</v>
      </c>
    </row>
    <row r="29" spans="1:4" ht="15">
      <c r="A29" s="254"/>
      <c r="B29" s="209"/>
      <c r="C29" s="209"/>
    </row>
    <row r="30" spans="1:4" ht="15">
      <c r="A30" s="254"/>
      <c r="B30" s="209"/>
      <c r="C30" s="209"/>
    </row>
    <row r="31" spans="1:4" ht="15">
      <c r="A31" s="254"/>
      <c r="B31" s="209"/>
      <c r="C31" s="209"/>
    </row>
    <row r="32" spans="1:4" ht="15">
      <c r="A32" s="254"/>
      <c r="B32" s="209"/>
      <c r="C32" s="209"/>
    </row>
    <row r="33" spans="1:3" ht="15">
      <c r="A33" s="254"/>
      <c r="B33" s="209"/>
      <c r="C33" s="209"/>
    </row>
    <row r="34" spans="1:3" ht="15">
      <c r="A34" s="254"/>
      <c r="B34" s="209"/>
      <c r="C34" s="209"/>
    </row>
    <row r="35" spans="1:3" ht="15">
      <c r="B35" s="209"/>
      <c r="C35" s="209"/>
    </row>
    <row r="36" spans="1:3" ht="15">
      <c r="B36" s="209"/>
      <c r="C36" s="209"/>
    </row>
  </sheetData>
  <phoneticPr fontId="50"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election activeCell="A11" sqref="A11"/>
    </sheetView>
  </sheetViews>
  <sheetFormatPr defaultColWidth="9.140625" defaultRowHeight="14.25"/>
  <cols>
    <col min="1" max="1" width="17" style="16" customWidth="1"/>
    <col min="2" max="2" width="63.42578125" style="16" customWidth="1"/>
    <col min="3" max="3" width="17.140625" style="16" customWidth="1"/>
    <col min="4" max="16384" width="9.140625" style="16"/>
  </cols>
  <sheetData>
    <row r="1" spans="1:4" ht="15">
      <c r="A1" s="15" t="s">
        <v>38</v>
      </c>
      <c r="B1" s="15" t="s">
        <v>39</v>
      </c>
      <c r="C1" s="15" t="s">
        <v>40</v>
      </c>
      <c r="D1" s="99"/>
    </row>
    <row r="2" spans="1:4">
      <c r="A2" s="16" t="s">
        <v>41</v>
      </c>
      <c r="B2" s="16" t="s">
        <v>42</v>
      </c>
      <c r="C2" s="16" t="s">
        <v>43</v>
      </c>
      <c r="D2" s="99"/>
    </row>
    <row r="3" spans="1:4">
      <c r="A3" s="16" t="s">
        <v>44</v>
      </c>
      <c r="B3" s="16" t="s">
        <v>45</v>
      </c>
      <c r="C3" s="16" t="s">
        <v>43</v>
      </c>
      <c r="D3" s="99"/>
    </row>
    <row r="4" spans="1:4">
      <c r="A4" s="16" t="s">
        <v>46</v>
      </c>
      <c r="B4" s="16" t="s">
        <v>47</v>
      </c>
      <c r="C4" s="16" t="s">
        <v>43</v>
      </c>
      <c r="D4" s="99"/>
    </row>
    <row r="5" spans="1:4">
      <c r="A5" s="16" t="s">
        <v>48</v>
      </c>
      <c r="B5" s="16" t="s">
        <v>49</v>
      </c>
      <c r="C5" s="16" t="s">
        <v>43</v>
      </c>
      <c r="D5" s="99"/>
    </row>
    <row r="6" spans="1:4">
      <c r="A6" s="16" t="s">
        <v>50</v>
      </c>
      <c r="B6" s="16" t="s">
        <v>51</v>
      </c>
      <c r="C6" s="16" t="s">
        <v>43</v>
      </c>
      <c r="D6" s="99"/>
    </row>
    <row r="7" spans="1:4">
      <c r="A7" s="16" t="s">
        <v>52</v>
      </c>
      <c r="B7" s="99" t="s">
        <v>53</v>
      </c>
      <c r="C7" s="99" t="s">
        <v>44</v>
      </c>
      <c r="D7" s="99"/>
    </row>
    <row r="8" spans="1:4">
      <c r="A8" s="16" t="s">
        <v>54</v>
      </c>
      <c r="B8" s="99" t="s">
        <v>55</v>
      </c>
      <c r="C8" s="99" t="s">
        <v>44</v>
      </c>
      <c r="D8" s="99"/>
    </row>
    <row r="9" spans="1:4">
      <c r="A9" s="16" t="s">
        <v>56</v>
      </c>
      <c r="B9" s="99" t="s">
        <v>57</v>
      </c>
      <c r="C9" s="99" t="s">
        <v>44</v>
      </c>
      <c r="D9" s="99"/>
    </row>
    <row r="10" spans="1:4">
      <c r="A10" s="16" t="s">
        <v>58</v>
      </c>
      <c r="B10" s="99" t="s">
        <v>59</v>
      </c>
      <c r="C10" s="99" t="s">
        <v>44</v>
      </c>
      <c r="D10" s="99"/>
    </row>
    <row r="11" spans="1:4">
      <c r="A11" s="16" t="s">
        <v>60</v>
      </c>
      <c r="B11" s="99" t="s">
        <v>61</v>
      </c>
      <c r="C11" s="99" t="s">
        <v>62</v>
      </c>
      <c r="D11" s="99"/>
    </row>
    <row r="12" spans="1:4">
      <c r="A12" s="150" t="s">
        <v>63</v>
      </c>
      <c r="B12" s="99" t="s">
        <v>64</v>
      </c>
      <c r="C12" s="99" t="s">
        <v>43</v>
      </c>
      <c r="D12" s="99"/>
    </row>
    <row r="13" spans="1:4">
      <c r="A13" s="150" t="s">
        <v>65</v>
      </c>
      <c r="B13" s="99" t="s">
        <v>66</v>
      </c>
      <c r="C13" s="99" t="s">
        <v>43</v>
      </c>
    </row>
    <row r="14" spans="1:4">
      <c r="A14" s="250" t="s">
        <v>67</v>
      </c>
      <c r="B14" s="16" t="s">
        <v>68</v>
      </c>
      <c r="C14" s="16" t="s">
        <v>43</v>
      </c>
    </row>
    <row r="15" spans="1:4">
      <c r="A15" s="99"/>
    </row>
    <row r="16" spans="1:4">
      <c r="A16" s="99"/>
    </row>
    <row r="17" spans="1:1">
      <c r="A17" s="99"/>
    </row>
    <row r="18" spans="1:1">
      <c r="A18" s="99"/>
    </row>
    <row r="19" spans="1:1">
      <c r="A19" s="17"/>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zoomScaleNormal="100" workbookViewId="0">
      <selection activeCell="A22" sqref="A22"/>
    </sheetView>
  </sheetViews>
  <sheetFormatPr defaultColWidth="9.140625" defaultRowHeight="14.25"/>
  <cols>
    <col min="1" max="1" width="30.5703125" style="16" customWidth="1"/>
    <col min="2" max="2" width="45.85546875" style="16" customWidth="1"/>
    <col min="3" max="16384" width="9.140625" style="16"/>
  </cols>
  <sheetData>
    <row r="1" spans="1:3" ht="15">
      <c r="A1" s="66" t="s">
        <v>38</v>
      </c>
      <c r="B1" s="66" t="s">
        <v>69</v>
      </c>
      <c r="C1" s="99"/>
    </row>
    <row r="2" spans="1:3">
      <c r="A2" s="99" t="s">
        <v>70</v>
      </c>
      <c r="B2" s="99" t="s">
        <v>71</v>
      </c>
      <c r="C2" s="99"/>
    </row>
    <row r="3" spans="1:3">
      <c r="A3" s="99" t="s">
        <v>72</v>
      </c>
      <c r="B3" s="99" t="s">
        <v>73</v>
      </c>
      <c r="C3" s="99"/>
    </row>
    <row r="4" spans="1:3">
      <c r="A4" s="99" t="s">
        <v>74</v>
      </c>
      <c r="B4" s="99" t="s">
        <v>75</v>
      </c>
      <c r="C4" s="99"/>
    </row>
    <row r="5" spans="1:3">
      <c r="A5" s="99" t="s">
        <v>76</v>
      </c>
      <c r="B5" s="99" t="s">
        <v>77</v>
      </c>
      <c r="C5" s="99"/>
    </row>
    <row r="6" spans="1:3">
      <c r="A6" s="99" t="s">
        <v>78</v>
      </c>
      <c r="B6" s="99" t="s">
        <v>73</v>
      </c>
      <c r="C6" s="99"/>
    </row>
    <row r="7" spans="1:3">
      <c r="A7" s="99" t="s">
        <v>79</v>
      </c>
      <c r="B7" s="99" t="s">
        <v>73</v>
      </c>
      <c r="C7" s="99"/>
    </row>
    <row r="8" spans="1:3" ht="28.5">
      <c r="A8" s="116" t="s">
        <v>80</v>
      </c>
      <c r="B8" s="99" t="s">
        <v>73</v>
      </c>
      <c r="C8" s="99"/>
    </row>
    <row r="9" spans="1:3">
      <c r="A9" s="116" t="s">
        <v>81</v>
      </c>
      <c r="B9" s="99" t="s">
        <v>82</v>
      </c>
      <c r="C9" s="99"/>
    </row>
    <row r="10" spans="1:3">
      <c r="A10" s="116" t="s">
        <v>83</v>
      </c>
      <c r="B10" s="99" t="s">
        <v>82</v>
      </c>
      <c r="C10" s="99"/>
    </row>
    <row r="11" spans="1:3">
      <c r="A11" s="99" t="s">
        <v>84</v>
      </c>
      <c r="B11" s="99" t="s">
        <v>82</v>
      </c>
      <c r="C11" s="99"/>
    </row>
    <row r="12" spans="1:3">
      <c r="B12" s="99"/>
      <c r="C12" s="99"/>
    </row>
    <row r="13" spans="1:3">
      <c r="A13" s="151" t="s">
        <v>85</v>
      </c>
      <c r="B13" s="99"/>
      <c r="C13" s="99"/>
    </row>
    <row r="14" spans="1:3">
      <c r="A14" s="150" t="s">
        <v>86</v>
      </c>
      <c r="B14" s="99"/>
      <c r="C14" s="99"/>
    </row>
    <row r="15" spans="1:3">
      <c r="A15" s="99"/>
      <c r="B15" s="99"/>
    </row>
    <row r="16" spans="1:3">
      <c r="A16" s="99"/>
      <c r="B16" s="99"/>
    </row>
    <row r="17" spans="1:2">
      <c r="A17" s="99"/>
      <c r="B17" s="99"/>
    </row>
    <row r="18" spans="1:2">
      <c r="A18" s="99"/>
    </row>
    <row r="19" spans="1:2">
      <c r="A19" s="99"/>
    </row>
    <row r="20" spans="1:2">
      <c r="A20" s="99"/>
    </row>
    <row r="21" spans="1:2">
      <c r="A21" s="17"/>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A3" zoomScale="115" zoomScaleNormal="115" workbookViewId="0">
      <selection activeCell="C18" sqref="C18:H18"/>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1">
      <c r="A1" s="22"/>
      <c r="B1" t="s">
        <v>87</v>
      </c>
      <c r="C1" s="23"/>
      <c r="D1" t="s">
        <v>88</v>
      </c>
      <c r="F1" s="258"/>
      <c r="G1" s="258"/>
      <c r="H1" t="s">
        <v>89</v>
      </c>
      <c r="J1" s="24"/>
      <c r="K1" t="s">
        <v>90</v>
      </c>
    </row>
    <row r="2" spans="1:11">
      <c r="A2" s="1" t="s">
        <v>91</v>
      </c>
      <c r="B2" s="1"/>
      <c r="C2" s="1"/>
      <c r="F2" s="241"/>
      <c r="G2" s="241"/>
    </row>
    <row r="3" spans="1:11" ht="15.75">
      <c r="A3" s="257" t="s">
        <v>92</v>
      </c>
      <c r="B3" s="257"/>
      <c r="C3" s="257"/>
      <c r="D3" s="257"/>
      <c r="E3" s="1"/>
      <c r="F3" s="1"/>
      <c r="G3" s="1"/>
      <c r="H3" s="2"/>
      <c r="I3" s="2"/>
      <c r="J3" s="2"/>
      <c r="K3" s="2"/>
    </row>
    <row r="4" spans="1:11" ht="15.75">
      <c r="A4" s="269" t="s">
        <v>93</v>
      </c>
      <c r="B4" s="269"/>
      <c r="C4" s="269"/>
      <c r="D4" s="2"/>
      <c r="E4" s="222"/>
      <c r="F4" s="222"/>
      <c r="G4" s="222"/>
      <c r="H4" s="2"/>
      <c r="I4" s="262" t="s">
        <v>94</v>
      </c>
      <c r="J4" s="262"/>
      <c r="K4" s="262"/>
    </row>
    <row r="5" spans="1:11">
      <c r="A5" s="31" t="s">
        <v>95</v>
      </c>
      <c r="B5" s="28"/>
      <c r="C5" s="28"/>
      <c r="D5" s="29"/>
      <c r="E5" s="28"/>
      <c r="F5" s="28"/>
      <c r="G5" s="28"/>
      <c r="H5" s="29"/>
      <c r="I5" s="30"/>
      <c r="J5" s="30"/>
      <c r="K5" s="155" t="s">
        <v>93</v>
      </c>
    </row>
    <row r="6" spans="1:11" ht="105" customHeight="1">
      <c r="A6" s="259" t="s">
        <v>96</v>
      </c>
      <c r="B6" s="260"/>
      <c r="C6" s="260"/>
      <c r="D6" s="260"/>
      <c r="E6" s="260"/>
      <c r="F6" s="260"/>
      <c r="G6" s="260"/>
      <c r="H6" s="260"/>
      <c r="I6" s="260"/>
      <c r="J6" s="260"/>
      <c r="K6" s="261"/>
    </row>
    <row r="7" spans="1:11">
      <c r="A7" s="267" t="s">
        <v>97</v>
      </c>
      <c r="B7" s="268"/>
      <c r="C7" s="265"/>
      <c r="D7" s="266"/>
      <c r="E7" s="266"/>
      <c r="F7" s="266"/>
      <c r="G7" s="224"/>
      <c r="H7" s="27"/>
      <c r="I7" s="263" t="s">
        <v>98</v>
      </c>
      <c r="J7" s="264"/>
      <c r="K7" s="25" t="s">
        <v>99</v>
      </c>
    </row>
    <row r="8" spans="1:11">
      <c r="A8" s="267" t="s">
        <v>100</v>
      </c>
      <c r="B8" s="268"/>
      <c r="C8" s="270"/>
      <c r="D8" s="271"/>
      <c r="E8" s="271"/>
      <c r="F8" s="271"/>
      <c r="G8" s="271"/>
      <c r="H8" s="272"/>
      <c r="I8" s="263" t="s">
        <v>101</v>
      </c>
      <c r="J8" s="264"/>
      <c r="K8" s="26"/>
    </row>
    <row r="9" spans="1:11">
      <c r="A9" s="3"/>
      <c r="B9" s="3"/>
      <c r="C9" s="3"/>
      <c r="D9" s="3"/>
      <c r="E9" s="3"/>
      <c r="F9" s="3"/>
      <c r="G9" s="3"/>
      <c r="H9" s="3"/>
      <c r="I9" s="18"/>
      <c r="J9" s="18"/>
      <c r="K9" s="3"/>
    </row>
    <row r="10" spans="1:11">
      <c r="A10" s="3"/>
      <c r="B10" s="95" t="s">
        <v>102</v>
      </c>
      <c r="C10" s="3"/>
      <c r="D10" s="3"/>
      <c r="E10" s="3"/>
      <c r="F10" s="3"/>
      <c r="G10" s="3"/>
      <c r="H10" s="3"/>
      <c r="I10" s="18"/>
      <c r="J10" s="18"/>
      <c r="K10" s="3"/>
    </row>
    <row r="11" spans="1:11">
      <c r="A11" s="3"/>
      <c r="B11" s="3"/>
      <c r="C11" s="3"/>
      <c r="D11" s="3"/>
      <c r="E11" s="3"/>
      <c r="F11" s="3"/>
      <c r="G11" s="3"/>
      <c r="H11" s="3"/>
      <c r="I11" s="18"/>
      <c r="J11" s="18"/>
      <c r="K11" s="3"/>
    </row>
    <row r="12" spans="1:11">
      <c r="A12" s="3"/>
      <c r="B12" s="3"/>
      <c r="C12" s="3"/>
      <c r="D12" s="3"/>
      <c r="E12" s="3"/>
      <c r="F12" s="3"/>
      <c r="G12" s="3"/>
      <c r="H12" s="3"/>
      <c r="I12" s="18"/>
      <c r="J12" s="18"/>
      <c r="K12" s="3"/>
    </row>
    <row r="13" spans="1:11">
      <c r="A13" s="1" t="s">
        <v>91</v>
      </c>
      <c r="B13" s="1"/>
      <c r="C13" s="1"/>
      <c r="F13" s="241"/>
      <c r="G13" s="241"/>
    </row>
    <row r="14" spans="1:11" ht="15.75">
      <c r="A14" s="257" t="s">
        <v>92</v>
      </c>
      <c r="B14" s="257"/>
      <c r="C14" s="257"/>
      <c r="D14" s="257"/>
      <c r="E14" s="1"/>
      <c r="F14" s="1"/>
      <c r="G14" s="1"/>
      <c r="H14" s="2"/>
      <c r="I14" s="2"/>
      <c r="J14" s="2"/>
      <c r="K14" s="2"/>
    </row>
    <row r="15" spans="1:11" ht="15.75">
      <c r="A15" s="269" t="s">
        <v>93</v>
      </c>
      <c r="B15" s="269"/>
      <c r="C15" s="269"/>
      <c r="D15" s="2"/>
      <c r="E15" s="222"/>
      <c r="F15" s="222"/>
      <c r="G15" s="222"/>
      <c r="H15" s="2"/>
      <c r="I15" s="262" t="s">
        <v>94</v>
      </c>
      <c r="J15" s="262"/>
      <c r="K15" s="262"/>
    </row>
    <row r="16" spans="1:11">
      <c r="A16" s="31" t="s">
        <v>95</v>
      </c>
      <c r="B16" s="28"/>
      <c r="C16" s="28"/>
      <c r="D16" s="29"/>
      <c r="E16" s="28"/>
      <c r="F16" s="28"/>
      <c r="G16" s="28"/>
      <c r="H16" s="29"/>
      <c r="I16" s="30"/>
      <c r="J16" s="30"/>
      <c r="K16" s="155" t="s">
        <v>93</v>
      </c>
    </row>
    <row r="17" spans="1:11">
      <c r="A17" s="267" t="s">
        <v>97</v>
      </c>
      <c r="B17" s="268"/>
      <c r="C17" s="265"/>
      <c r="D17" s="266"/>
      <c r="E17" s="266"/>
      <c r="F17" s="266"/>
      <c r="G17" s="152"/>
      <c r="H17" s="153"/>
      <c r="I17" s="263" t="s">
        <v>98</v>
      </c>
      <c r="J17" s="264"/>
      <c r="K17" s="25" t="s">
        <v>99</v>
      </c>
    </row>
    <row r="18" spans="1:11">
      <c r="A18" s="267" t="s">
        <v>100</v>
      </c>
      <c r="B18" s="268"/>
      <c r="C18" s="273" t="s">
        <v>103</v>
      </c>
      <c r="D18" s="274"/>
      <c r="E18" s="274"/>
      <c r="F18" s="274"/>
      <c r="G18" s="274"/>
      <c r="H18" s="275"/>
      <c r="I18" s="263" t="s">
        <v>101</v>
      </c>
      <c r="J18" s="264"/>
      <c r="K18" s="34"/>
    </row>
    <row r="19" spans="1:11">
      <c r="A19" s="14"/>
      <c r="B19" s="3"/>
      <c r="C19" s="3"/>
      <c r="D19" s="3"/>
      <c r="E19" s="3"/>
      <c r="F19" s="3"/>
      <c r="G19" s="14"/>
      <c r="H19" s="3"/>
      <c r="I19" s="3"/>
      <c r="J19" s="5"/>
      <c r="K19" s="5"/>
    </row>
    <row r="20" spans="1:11">
      <c r="A20" s="14"/>
      <c r="B20" s="3"/>
      <c r="C20" s="3"/>
      <c r="D20" s="3"/>
      <c r="E20" s="3"/>
      <c r="F20" s="3"/>
      <c r="G20" s="14"/>
      <c r="H20" s="3"/>
      <c r="I20" s="3"/>
      <c r="J20" s="5"/>
      <c r="K20" s="5"/>
    </row>
    <row r="21" spans="1:11">
      <c r="A21" s="14"/>
      <c r="B21" s="3"/>
      <c r="C21" s="3"/>
      <c r="D21" s="3"/>
      <c r="E21" s="3"/>
      <c r="F21" s="3"/>
      <c r="G21" s="14"/>
      <c r="H21" s="3"/>
      <c r="I21" s="3"/>
      <c r="J21" s="5"/>
      <c r="K21" s="5"/>
    </row>
    <row r="22" spans="1:11">
      <c r="A22" s="14"/>
      <c r="B22" s="3"/>
      <c r="C22" s="3"/>
      <c r="D22" s="3"/>
      <c r="E22" s="3"/>
      <c r="F22" s="3"/>
      <c r="G22" s="14"/>
      <c r="H22" s="3"/>
      <c r="I22" s="3"/>
      <c r="J22" s="5"/>
      <c r="K22" s="5"/>
    </row>
    <row r="23" spans="1:11">
      <c r="A23" s="14"/>
      <c r="B23" s="95"/>
      <c r="C23" s="3"/>
      <c r="D23" s="3"/>
      <c r="E23" s="3"/>
      <c r="F23" s="3"/>
      <c r="G23" s="14"/>
      <c r="H23" s="3"/>
      <c r="I23" s="3"/>
      <c r="J23" s="5"/>
      <c r="K23" s="5"/>
    </row>
    <row r="24" spans="1:11">
      <c r="A24" s="3"/>
      <c r="B24" s="3"/>
      <c r="C24" s="3"/>
      <c r="D24" s="3"/>
      <c r="E24" s="3"/>
      <c r="F24" s="3"/>
      <c r="G24" s="3"/>
      <c r="H24" s="3"/>
      <c r="I24" s="3"/>
      <c r="J24" s="3"/>
      <c r="K24" s="3"/>
    </row>
    <row r="25" spans="1:11">
      <c r="A25" s="3"/>
      <c r="B25" s="3"/>
      <c r="C25" s="3"/>
      <c r="D25" s="3"/>
      <c r="E25" s="3"/>
      <c r="F25" s="3"/>
      <c r="G25" s="3"/>
      <c r="H25" s="3"/>
      <c r="I25" s="3"/>
      <c r="J25" s="3"/>
      <c r="K25" s="3"/>
    </row>
    <row r="26" spans="1:11">
      <c r="A26" s="3"/>
      <c r="B26" s="3"/>
      <c r="C26" s="3"/>
      <c r="D26" s="3"/>
      <c r="E26" s="3"/>
      <c r="F26" s="3"/>
      <c r="G26" s="3"/>
      <c r="H26" s="3"/>
      <c r="I26" s="3"/>
      <c r="J26" s="3"/>
      <c r="K26" s="3"/>
    </row>
    <row r="27" spans="1:11">
      <c r="A27" s="3"/>
      <c r="B27" s="3"/>
      <c r="C27" s="3"/>
      <c r="D27" s="3"/>
      <c r="E27" s="3"/>
      <c r="F27" s="3"/>
      <c r="G27" s="3"/>
      <c r="H27" s="3"/>
      <c r="I27" s="3"/>
      <c r="J27" s="3"/>
      <c r="K27" s="3"/>
    </row>
    <row r="28" spans="1:11">
      <c r="A28" s="3"/>
      <c r="B28" s="3"/>
      <c r="C28" s="3"/>
      <c r="D28" s="3"/>
      <c r="E28" s="3"/>
      <c r="F28" s="3"/>
      <c r="G28" s="3"/>
      <c r="H28" s="3"/>
      <c r="I28" s="3"/>
      <c r="J28" s="3"/>
      <c r="K28" s="3"/>
    </row>
    <row r="29" spans="1:11">
      <c r="A29" s="3"/>
      <c r="B29" s="3"/>
      <c r="C29" s="3"/>
      <c r="D29" s="3"/>
      <c r="E29" s="3"/>
      <c r="F29" s="3"/>
      <c r="G29" s="3"/>
      <c r="H29" s="3"/>
      <c r="I29" s="3"/>
      <c r="J29" s="3"/>
      <c r="K29" s="3"/>
    </row>
  </sheetData>
  <mergeCells count="20">
    <mergeCell ref="A18:B18"/>
    <mergeCell ref="I18:J18"/>
    <mergeCell ref="A15:C15"/>
    <mergeCell ref="I15:K15"/>
    <mergeCell ref="A17:B17"/>
    <mergeCell ref="C17:F17"/>
    <mergeCell ref="I17:J17"/>
    <mergeCell ref="C18:H18"/>
    <mergeCell ref="A14:D14"/>
    <mergeCell ref="F1:G1"/>
    <mergeCell ref="A6:K6"/>
    <mergeCell ref="I4:K4"/>
    <mergeCell ref="I7:J7"/>
    <mergeCell ref="I8:J8"/>
    <mergeCell ref="C7:F7"/>
    <mergeCell ref="A7:B7"/>
    <mergeCell ref="A8:B8"/>
    <mergeCell ref="A4:C4"/>
    <mergeCell ref="A3:D3"/>
    <mergeCell ref="C8:H8"/>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8561-3632-4113-AE38-916AD070B2BE}">
  <dimension ref="A1:K28"/>
  <sheetViews>
    <sheetView topLeftCell="A4" zoomScale="115" zoomScaleNormal="115" workbookViewId="0">
      <selection activeCell="F23" sqref="F23"/>
    </sheetView>
  </sheetViews>
  <sheetFormatPr defaultColWidth="8.85546875"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1">
      <c r="A1" s="22"/>
      <c r="B1" t="s">
        <v>87</v>
      </c>
      <c r="C1" s="23"/>
      <c r="D1" t="s">
        <v>88</v>
      </c>
      <c r="F1" s="258"/>
      <c r="G1" s="258"/>
      <c r="H1" t="s">
        <v>89</v>
      </c>
      <c r="J1" s="24"/>
      <c r="K1" t="s">
        <v>90</v>
      </c>
    </row>
    <row r="2" spans="1:11">
      <c r="A2" s="1" t="s">
        <v>91</v>
      </c>
      <c r="B2" s="1"/>
      <c r="C2" s="1"/>
      <c r="F2" s="241"/>
      <c r="G2" s="241"/>
    </row>
    <row r="3" spans="1:11" ht="15.75">
      <c r="A3" s="257" t="s">
        <v>92</v>
      </c>
      <c r="B3" s="257"/>
      <c r="C3" s="257"/>
      <c r="D3" s="257"/>
      <c r="E3" s="1"/>
      <c r="F3" s="1"/>
      <c r="G3" s="1"/>
      <c r="H3" s="2"/>
      <c r="I3" s="2"/>
      <c r="J3" s="2"/>
      <c r="K3" s="2"/>
    </row>
    <row r="4" spans="1:11" ht="15.75">
      <c r="A4" s="269" t="s">
        <v>104</v>
      </c>
      <c r="B4" s="269"/>
      <c r="C4" s="269"/>
      <c r="D4" s="2"/>
      <c r="E4" s="222"/>
      <c r="F4" s="222"/>
      <c r="G4" s="222"/>
      <c r="H4" s="2"/>
      <c r="I4" s="262" t="s">
        <v>94</v>
      </c>
      <c r="J4" s="262"/>
      <c r="K4" s="262"/>
    </row>
    <row r="5" spans="1:11">
      <c r="A5" s="31" t="s">
        <v>95</v>
      </c>
      <c r="B5" s="28"/>
      <c r="C5" s="28"/>
      <c r="D5" s="29"/>
      <c r="E5" s="28"/>
      <c r="F5" s="28"/>
      <c r="G5" s="28"/>
      <c r="H5" s="29"/>
      <c r="I5" s="30"/>
      <c r="J5" s="30"/>
      <c r="K5" s="155" t="s">
        <v>105</v>
      </c>
    </row>
    <row r="6" spans="1:11" ht="111" customHeight="1">
      <c r="A6" s="259" t="s">
        <v>106</v>
      </c>
      <c r="B6" s="260"/>
      <c r="C6" s="260"/>
      <c r="D6" s="260"/>
      <c r="E6" s="260"/>
      <c r="F6" s="260"/>
      <c r="G6" s="260"/>
      <c r="H6" s="260"/>
      <c r="I6" s="260"/>
      <c r="J6" s="260"/>
      <c r="K6" s="261"/>
    </row>
    <row r="7" spans="1:11">
      <c r="A7" s="267" t="s">
        <v>97</v>
      </c>
      <c r="B7" s="268"/>
      <c r="C7" s="265"/>
      <c r="D7" s="266"/>
      <c r="E7" s="266"/>
      <c r="F7" s="266"/>
      <c r="G7" s="224"/>
      <c r="H7" s="27"/>
      <c r="I7" s="263" t="s">
        <v>98</v>
      </c>
      <c r="J7" s="264"/>
      <c r="K7" s="25" t="s">
        <v>99</v>
      </c>
    </row>
    <row r="8" spans="1:11">
      <c r="A8" s="267" t="s">
        <v>100</v>
      </c>
      <c r="B8" s="268"/>
      <c r="C8" s="270"/>
      <c r="D8" s="271"/>
      <c r="E8" s="271"/>
      <c r="F8" s="271"/>
      <c r="G8" s="271"/>
      <c r="H8" s="272"/>
      <c r="I8" s="263" t="s">
        <v>101</v>
      </c>
      <c r="J8" s="264"/>
      <c r="K8" s="26"/>
    </row>
    <row r="9" spans="1:11">
      <c r="A9" s="3"/>
      <c r="B9" s="3"/>
      <c r="C9" s="3"/>
      <c r="D9" s="3"/>
      <c r="E9" s="3"/>
      <c r="F9" s="3"/>
      <c r="G9" s="3"/>
      <c r="H9" s="3"/>
      <c r="I9" s="18"/>
      <c r="J9" s="18"/>
      <c r="K9" s="3"/>
    </row>
    <row r="10" spans="1:11">
      <c r="A10" s="3"/>
      <c r="B10" s="95" t="s">
        <v>102</v>
      </c>
      <c r="C10" s="3"/>
      <c r="D10" s="3"/>
      <c r="E10" s="3"/>
      <c r="F10" s="3"/>
      <c r="G10" s="3"/>
      <c r="H10" s="3"/>
      <c r="I10" s="18"/>
      <c r="J10" s="18"/>
      <c r="K10" s="3"/>
    </row>
    <row r="11" spans="1:11">
      <c r="A11" s="3"/>
      <c r="B11" s="3"/>
      <c r="C11" s="3"/>
      <c r="D11" s="3"/>
      <c r="E11" s="3"/>
      <c r="F11" s="3"/>
      <c r="G11" s="3"/>
      <c r="H11" s="3"/>
      <c r="I11" s="18"/>
      <c r="J11" s="18"/>
      <c r="K11" s="3"/>
    </row>
    <row r="12" spans="1:11">
      <c r="A12" s="3"/>
      <c r="B12" s="3"/>
      <c r="C12" s="3"/>
      <c r="D12" s="3"/>
      <c r="E12" s="3"/>
      <c r="F12" s="3"/>
      <c r="G12" s="3"/>
      <c r="H12" s="3"/>
      <c r="I12" s="18"/>
      <c r="J12" s="18"/>
      <c r="K12" s="3"/>
    </row>
    <row r="13" spans="1:11">
      <c r="A13" s="1" t="s">
        <v>91</v>
      </c>
      <c r="B13" s="1"/>
      <c r="C13" s="1"/>
      <c r="F13" s="241"/>
      <c r="G13" s="241"/>
    </row>
    <row r="14" spans="1:11" ht="15.75">
      <c r="A14" s="257" t="s">
        <v>92</v>
      </c>
      <c r="B14" s="257"/>
      <c r="C14" s="257"/>
      <c r="D14" s="257"/>
      <c r="E14" s="1"/>
      <c r="F14" s="1"/>
      <c r="G14" s="1"/>
      <c r="H14" s="2"/>
      <c r="I14" s="2"/>
      <c r="J14" s="2"/>
      <c r="K14" s="2"/>
    </row>
    <row r="15" spans="1:11" ht="15.75">
      <c r="A15" s="269" t="s">
        <v>104</v>
      </c>
      <c r="B15" s="269"/>
      <c r="C15" s="269"/>
      <c r="D15" s="2"/>
      <c r="E15" s="222"/>
      <c r="F15" s="222"/>
      <c r="G15" s="222"/>
      <c r="H15" s="2"/>
      <c r="I15" s="262" t="s">
        <v>94</v>
      </c>
      <c r="J15" s="262"/>
      <c r="K15" s="262"/>
    </row>
    <row r="16" spans="1:11">
      <c r="A16" s="31" t="s">
        <v>95</v>
      </c>
      <c r="B16" s="28"/>
      <c r="C16" s="28"/>
      <c r="D16" s="29"/>
      <c r="E16" s="28"/>
      <c r="F16" s="28"/>
      <c r="G16" s="28"/>
      <c r="H16" s="29"/>
      <c r="I16" s="30"/>
      <c r="J16" s="30"/>
      <c r="K16" s="155" t="s">
        <v>105</v>
      </c>
    </row>
    <row r="17" spans="1:11">
      <c r="A17" s="267" t="s">
        <v>97</v>
      </c>
      <c r="B17" s="268"/>
      <c r="C17" s="265"/>
      <c r="D17" s="266"/>
      <c r="E17" s="266"/>
      <c r="F17" s="266"/>
      <c r="G17" s="152"/>
      <c r="H17" s="153"/>
      <c r="I17" s="263" t="s">
        <v>98</v>
      </c>
      <c r="J17" s="264"/>
      <c r="K17" s="25" t="s">
        <v>99</v>
      </c>
    </row>
    <row r="18" spans="1:11">
      <c r="A18" s="267" t="s">
        <v>100</v>
      </c>
      <c r="B18" s="268"/>
      <c r="C18" s="273" t="s">
        <v>103</v>
      </c>
      <c r="D18" s="274"/>
      <c r="E18" s="274"/>
      <c r="F18" s="274"/>
      <c r="G18" s="274"/>
      <c r="H18" s="275"/>
      <c r="I18" s="263" t="s">
        <v>101</v>
      </c>
      <c r="J18" s="264"/>
      <c r="K18" s="34"/>
    </row>
    <row r="19" spans="1:11">
      <c r="A19" s="14"/>
      <c r="B19" s="3"/>
      <c r="C19" s="3"/>
      <c r="D19" s="3"/>
      <c r="E19" s="3"/>
      <c r="F19" s="3"/>
      <c r="G19" s="14"/>
      <c r="H19" s="3"/>
      <c r="I19" s="3"/>
      <c r="J19" s="5"/>
      <c r="K19" s="5"/>
    </row>
    <row r="20" spans="1:11">
      <c r="A20" s="14"/>
      <c r="B20" s="3"/>
      <c r="C20" s="3"/>
      <c r="D20" s="3"/>
      <c r="E20" s="3"/>
      <c r="F20" s="3"/>
      <c r="G20" s="14"/>
      <c r="H20" s="3"/>
      <c r="I20" s="3"/>
      <c r="J20" s="5"/>
      <c r="K20" s="5"/>
    </row>
    <row r="21" spans="1:11">
      <c r="A21" s="14"/>
      <c r="B21" s="3"/>
      <c r="C21" s="3"/>
      <c r="D21" s="3"/>
      <c r="E21" s="3"/>
      <c r="F21" s="3"/>
      <c r="G21" s="14"/>
      <c r="H21" s="3"/>
      <c r="I21" s="3"/>
      <c r="J21" s="5"/>
      <c r="K21" s="5"/>
    </row>
    <row r="22" spans="1:11">
      <c r="A22" s="14"/>
      <c r="B22" s="3"/>
      <c r="C22" s="3"/>
      <c r="D22" s="3"/>
      <c r="E22" s="3"/>
      <c r="F22" s="3"/>
      <c r="G22" s="14"/>
      <c r="H22" s="3"/>
      <c r="I22" s="3"/>
      <c r="J22" s="5"/>
      <c r="K22" s="5"/>
    </row>
    <row r="23" spans="1:11">
      <c r="A23" s="3"/>
      <c r="B23" s="3"/>
      <c r="C23" s="3"/>
      <c r="D23" s="3"/>
      <c r="E23" s="3"/>
      <c r="F23" s="3"/>
      <c r="G23" s="3"/>
      <c r="H23" s="3"/>
      <c r="I23" s="3"/>
      <c r="J23" s="3"/>
      <c r="K23" s="3"/>
    </row>
    <row r="24" spans="1:11">
      <c r="A24" s="3"/>
      <c r="B24" s="3"/>
      <c r="C24" s="3"/>
      <c r="D24" s="3"/>
      <c r="E24" s="3"/>
      <c r="F24" s="3"/>
      <c r="G24" s="3"/>
      <c r="H24" s="3"/>
      <c r="I24" s="3"/>
      <c r="J24" s="3"/>
      <c r="K24" s="3"/>
    </row>
    <row r="25" spans="1:11">
      <c r="A25" s="3"/>
      <c r="B25" s="3"/>
      <c r="C25" s="3"/>
      <c r="D25" s="3"/>
      <c r="E25" s="3"/>
      <c r="F25" s="3"/>
      <c r="G25" s="3"/>
      <c r="H25" s="3"/>
      <c r="I25" s="3"/>
      <c r="J25" s="3"/>
      <c r="K25" s="3"/>
    </row>
    <row r="26" spans="1:11">
      <c r="A26" s="3"/>
      <c r="B26" s="3"/>
      <c r="C26" s="3"/>
      <c r="D26" s="3"/>
      <c r="E26" s="3"/>
      <c r="F26" s="3"/>
      <c r="G26" s="3"/>
      <c r="H26" s="3"/>
      <c r="I26" s="3"/>
      <c r="J26" s="3"/>
      <c r="K26" s="3"/>
    </row>
    <row r="27" spans="1:11">
      <c r="A27" s="3"/>
      <c r="B27" s="3"/>
      <c r="C27" s="3"/>
      <c r="D27" s="3"/>
      <c r="E27" s="3"/>
      <c r="F27" s="3"/>
      <c r="G27" s="3"/>
      <c r="H27" s="3"/>
      <c r="I27" s="3"/>
      <c r="J27" s="3"/>
      <c r="K27" s="3"/>
    </row>
    <row r="28" spans="1:11">
      <c r="A28" s="3"/>
      <c r="B28" s="3"/>
      <c r="C28" s="3"/>
      <c r="D28" s="3"/>
      <c r="E28" s="3"/>
      <c r="F28" s="3"/>
      <c r="G28" s="3"/>
      <c r="H28" s="3"/>
      <c r="I28" s="3"/>
      <c r="J28" s="3"/>
      <c r="K28" s="3"/>
    </row>
  </sheetData>
  <mergeCells count="20">
    <mergeCell ref="A7:B7"/>
    <mergeCell ref="C7:F7"/>
    <mergeCell ref="I7:J7"/>
    <mergeCell ref="F1:G1"/>
    <mergeCell ref="A3:D3"/>
    <mergeCell ref="A4:C4"/>
    <mergeCell ref="I4:K4"/>
    <mergeCell ref="A6:K6"/>
    <mergeCell ref="A8:B8"/>
    <mergeCell ref="I8:J8"/>
    <mergeCell ref="A14:D14"/>
    <mergeCell ref="A15:C15"/>
    <mergeCell ref="I15:K15"/>
    <mergeCell ref="C8:H8"/>
    <mergeCell ref="A17:B17"/>
    <mergeCell ref="C17:F17"/>
    <mergeCell ref="I17:J17"/>
    <mergeCell ref="A18:B18"/>
    <mergeCell ref="I18:J18"/>
    <mergeCell ref="C18:H1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723EF-64FF-46FB-95F6-4E108A994399}">
  <dimension ref="A1:L9"/>
  <sheetViews>
    <sheetView zoomScale="60" zoomScaleNormal="60" workbookViewId="0">
      <selection activeCell="I25" sqref="I25"/>
    </sheetView>
  </sheetViews>
  <sheetFormatPr defaultColWidth="8.85546875" defaultRowHeight="15"/>
  <cols>
    <col min="2" max="2" width="10.42578125" customWidth="1"/>
    <col min="5" max="5" width="7.85546875" customWidth="1"/>
    <col min="6" max="6" width="10.140625" customWidth="1"/>
    <col min="8" max="8" width="9.5703125" customWidth="1"/>
    <col min="11" max="11" width="10.42578125" customWidth="1"/>
  </cols>
  <sheetData>
    <row r="1" spans="1:12">
      <c r="A1" s="22"/>
      <c r="B1" t="s">
        <v>87</v>
      </c>
      <c r="C1" s="23"/>
      <c r="D1" t="s">
        <v>88</v>
      </c>
      <c r="F1" s="223"/>
      <c r="G1" t="s">
        <v>89</v>
      </c>
      <c r="I1" s="24"/>
      <c r="J1" t="s">
        <v>90</v>
      </c>
    </row>
    <row r="4" spans="1:12">
      <c r="A4" s="95" t="s">
        <v>107</v>
      </c>
      <c r="B4" s="3"/>
      <c r="C4" s="3"/>
      <c r="D4" s="3"/>
      <c r="E4" s="3"/>
      <c r="F4" s="14"/>
      <c r="G4" s="3"/>
      <c r="H4" s="3"/>
      <c r="I4" s="5"/>
      <c r="J4" s="5"/>
    </row>
    <row r="5" spans="1:12">
      <c r="A5" s="95"/>
      <c r="B5" s="3"/>
      <c r="C5" s="3"/>
      <c r="D5" s="3"/>
      <c r="E5" s="3"/>
      <c r="F5" s="14"/>
      <c r="G5" s="3"/>
      <c r="H5" s="3"/>
      <c r="I5" s="5"/>
      <c r="J5" s="5"/>
    </row>
    <row r="6" spans="1:12">
      <c r="A6" s="276" t="s">
        <v>108</v>
      </c>
      <c r="B6" s="276"/>
      <c r="C6" s="23"/>
      <c r="D6" s="276" t="s">
        <v>109</v>
      </c>
      <c r="E6" s="276"/>
      <c r="F6" s="276"/>
      <c r="G6" s="23"/>
      <c r="I6" s="276" t="s">
        <v>110</v>
      </c>
      <c r="J6" s="276"/>
      <c r="K6" s="23"/>
    </row>
    <row r="7" spans="1:12">
      <c r="A7" s="95"/>
      <c r="B7" s="3"/>
      <c r="E7" s="276" t="s">
        <v>111</v>
      </c>
      <c r="F7" s="276"/>
      <c r="G7" s="23"/>
      <c r="I7" s="276" t="s">
        <v>112</v>
      </c>
      <c r="J7" s="276"/>
      <c r="K7" s="23"/>
    </row>
    <row r="8" spans="1:12">
      <c r="A8" s="95"/>
      <c r="B8" s="3"/>
      <c r="C8" s="3"/>
      <c r="D8" s="3"/>
      <c r="E8" s="277" t="s">
        <v>113</v>
      </c>
      <c r="F8" s="277"/>
      <c r="G8" s="23"/>
      <c r="H8" s="3"/>
      <c r="I8" s="277" t="s">
        <v>114</v>
      </c>
      <c r="J8" s="277"/>
      <c r="K8" s="23"/>
    </row>
    <row r="9" spans="1:12">
      <c r="A9" s="184" t="s">
        <v>115</v>
      </c>
      <c r="B9" s="185"/>
      <c r="C9" s="185"/>
      <c r="D9" s="185"/>
      <c r="E9" s="185"/>
      <c r="F9" s="185"/>
      <c r="G9" s="185"/>
      <c r="H9" s="185"/>
      <c r="I9" s="3"/>
      <c r="J9" s="3"/>
      <c r="K9" s="3"/>
      <c r="L9" s="3"/>
    </row>
  </sheetData>
  <mergeCells count="7">
    <mergeCell ref="D6:F6"/>
    <mergeCell ref="E8:F8"/>
    <mergeCell ref="I8:J8"/>
    <mergeCell ref="A6:B6"/>
    <mergeCell ref="I6:J6"/>
    <mergeCell ref="E7:F7"/>
    <mergeCell ref="I7:J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28319-284B-447F-84E5-32ABDF33FDF1}">
  <dimension ref="A1:K9"/>
  <sheetViews>
    <sheetView workbookViewId="0">
      <selection activeCell="E14" sqref="E14"/>
    </sheetView>
  </sheetViews>
  <sheetFormatPr defaultRowHeight="15"/>
  <sheetData>
    <row r="1" spans="1:11">
      <c r="A1" s="22"/>
      <c r="B1" t="s">
        <v>87</v>
      </c>
      <c r="C1" s="23"/>
      <c r="D1" t="s">
        <v>88</v>
      </c>
      <c r="F1" s="223"/>
      <c r="G1" t="s">
        <v>89</v>
      </c>
      <c r="I1" s="24"/>
      <c r="J1" t="s">
        <v>90</v>
      </c>
    </row>
    <row r="4" spans="1:11">
      <c r="A4" s="95" t="s">
        <v>107</v>
      </c>
      <c r="B4" s="3"/>
      <c r="C4" s="3"/>
      <c r="D4" s="3"/>
      <c r="E4" s="3"/>
      <c r="F4" s="14"/>
      <c r="G4" s="3"/>
      <c r="H4" s="3"/>
      <c r="I4" s="5"/>
      <c r="J4" s="5"/>
    </row>
    <row r="5" spans="1:11">
      <c r="A5" s="95"/>
      <c r="B5" s="3"/>
      <c r="C5" s="3"/>
      <c r="D5" s="3"/>
      <c r="E5" s="3"/>
      <c r="F5" s="14"/>
      <c r="G5" s="3"/>
      <c r="H5" s="3"/>
      <c r="I5" s="5"/>
      <c r="J5" s="5"/>
    </row>
    <row r="6" spans="1:11">
      <c r="A6" s="276" t="s">
        <v>108</v>
      </c>
      <c r="B6" s="276"/>
      <c r="C6" s="23"/>
      <c r="D6" s="276" t="s">
        <v>109</v>
      </c>
      <c r="E6" s="276"/>
      <c r="F6" s="276"/>
      <c r="G6" s="23"/>
      <c r="I6" s="276" t="s">
        <v>110</v>
      </c>
      <c r="J6" s="276"/>
      <c r="K6" s="23"/>
    </row>
    <row r="7" spans="1:11">
      <c r="A7" s="95"/>
      <c r="B7" s="3"/>
      <c r="E7" s="276" t="s">
        <v>111</v>
      </c>
      <c r="F7" s="276"/>
      <c r="G7" s="23"/>
      <c r="I7" s="276" t="s">
        <v>112</v>
      </c>
      <c r="J7" s="276"/>
      <c r="K7" s="23"/>
    </row>
    <row r="8" spans="1:11">
      <c r="A8" s="95"/>
      <c r="B8" s="3"/>
      <c r="C8" s="3"/>
      <c r="D8" s="3"/>
      <c r="E8" s="277" t="s">
        <v>113</v>
      </c>
      <c r="F8" s="277"/>
      <c r="G8" s="23"/>
      <c r="H8" s="3"/>
      <c r="I8" s="277" t="s">
        <v>114</v>
      </c>
      <c r="J8" s="277"/>
      <c r="K8" s="23"/>
    </row>
    <row r="9" spans="1:11">
      <c r="A9" s="184" t="s">
        <v>116</v>
      </c>
      <c r="B9" s="185"/>
      <c r="C9" s="185"/>
      <c r="D9" s="185"/>
      <c r="E9" s="185"/>
      <c r="F9" s="185"/>
      <c r="G9" s="185"/>
      <c r="H9" s="185"/>
      <c r="I9" s="3"/>
      <c r="J9" s="3"/>
      <c r="K9" s="3"/>
    </row>
  </sheetData>
  <mergeCells count="7">
    <mergeCell ref="E8:F8"/>
    <mergeCell ref="I8:J8"/>
    <mergeCell ref="A6:B6"/>
    <mergeCell ref="D6:F6"/>
    <mergeCell ref="I6:J6"/>
    <mergeCell ref="E7:F7"/>
    <mergeCell ref="I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51"/>
  <sheetViews>
    <sheetView zoomScale="85" zoomScaleNormal="85" workbookViewId="0">
      <selection activeCell="N53" sqref="N53"/>
    </sheetView>
  </sheetViews>
  <sheetFormatPr defaultRowHeight="15"/>
  <cols>
    <col min="1" max="2" width="4.5703125" customWidth="1"/>
    <col min="3" max="5" width="10.5703125" customWidth="1"/>
    <col min="6" max="6" width="5" customWidth="1"/>
    <col min="7" max="7" width="18.42578125" customWidth="1"/>
    <col min="8" max="9" width="4.5703125" customWidth="1"/>
    <col min="10" max="10" width="16.42578125" customWidth="1"/>
    <col min="11" max="11" width="3.5703125" customWidth="1"/>
    <col min="12" max="12" width="38.5703125" customWidth="1"/>
  </cols>
  <sheetData>
    <row r="1" spans="1:31">
      <c r="C1" s="22"/>
      <c r="D1" t="s">
        <v>87</v>
      </c>
      <c r="E1" s="23"/>
      <c r="F1" t="s">
        <v>88</v>
      </c>
      <c r="H1" s="258"/>
      <c r="I1" s="258"/>
      <c r="J1" t="s">
        <v>89</v>
      </c>
      <c r="L1" s="24"/>
      <c r="M1" t="s">
        <v>90</v>
      </c>
    </row>
    <row r="2" spans="1:31">
      <c r="A2" s="3"/>
      <c r="B2" s="3"/>
      <c r="C2" s="3"/>
      <c r="D2" s="3"/>
      <c r="E2" s="3"/>
      <c r="F2" s="3"/>
      <c r="G2" s="3"/>
      <c r="H2" s="3"/>
      <c r="I2" s="3"/>
      <c r="J2" s="3"/>
      <c r="K2" s="3"/>
      <c r="L2" s="3"/>
    </row>
    <row r="3" spans="1:31" ht="15" customHeight="1">
      <c r="A3" s="304" t="s">
        <v>117</v>
      </c>
      <c r="B3" s="305"/>
      <c r="C3" s="305"/>
      <c r="D3" s="305"/>
      <c r="E3" s="305"/>
      <c r="F3" s="305"/>
      <c r="G3" s="305"/>
      <c r="H3" s="305"/>
      <c r="I3" s="305"/>
      <c r="J3" s="305"/>
      <c r="K3" s="305"/>
      <c r="L3" s="306"/>
    </row>
    <row r="4" spans="1:31">
      <c r="A4" s="69" t="s">
        <v>118</v>
      </c>
      <c r="B4" s="298" t="s">
        <v>119</v>
      </c>
      <c r="C4" s="299"/>
      <c r="D4" s="299"/>
      <c r="E4" s="301"/>
      <c r="F4" s="302"/>
      <c r="G4" s="303"/>
      <c r="H4" s="117" t="s">
        <v>120</v>
      </c>
      <c r="I4" s="225" t="s">
        <v>121</v>
      </c>
      <c r="J4" s="226"/>
      <c r="K4" s="300" t="s">
        <v>122</v>
      </c>
      <c r="L4" s="300"/>
      <c r="M4" s="68"/>
    </row>
    <row r="5" spans="1:31">
      <c r="A5" s="69" t="s">
        <v>123</v>
      </c>
      <c r="B5" s="298" t="s">
        <v>124</v>
      </c>
      <c r="C5" s="299"/>
      <c r="D5" s="299"/>
      <c r="E5" s="307" t="s">
        <v>125</v>
      </c>
      <c r="F5" s="308"/>
      <c r="G5" s="309"/>
      <c r="H5" s="117" t="s">
        <v>126</v>
      </c>
      <c r="I5" s="225" t="s">
        <v>127</v>
      </c>
      <c r="J5" s="226"/>
      <c r="K5" s="300" t="s">
        <v>125</v>
      </c>
      <c r="L5" s="300"/>
    </row>
    <row r="6" spans="1:31" ht="59.45" customHeight="1">
      <c r="A6" s="70" t="s">
        <v>128</v>
      </c>
      <c r="B6" s="316" t="s">
        <v>129</v>
      </c>
      <c r="C6" s="317"/>
      <c r="D6" s="317"/>
      <c r="E6" s="310" t="s">
        <v>130</v>
      </c>
      <c r="F6" s="311"/>
      <c r="G6" s="312"/>
      <c r="H6" s="117" t="s">
        <v>131</v>
      </c>
      <c r="I6" s="225" t="s">
        <v>132</v>
      </c>
      <c r="J6" s="226"/>
      <c r="K6" s="300" t="s">
        <v>125</v>
      </c>
      <c r="L6" s="300"/>
    </row>
    <row r="7" spans="1:31" ht="36.75" customHeight="1">
      <c r="A7" s="313" t="s">
        <v>133</v>
      </c>
      <c r="B7" s="314"/>
      <c r="C7" s="314"/>
      <c r="D7" s="314"/>
      <c r="E7" s="314"/>
      <c r="F7" s="314"/>
      <c r="G7" s="314"/>
      <c r="H7" s="314"/>
      <c r="I7" s="314"/>
      <c r="J7" s="314"/>
      <c r="K7" s="314"/>
      <c r="L7" s="315"/>
    </row>
    <row r="8" spans="1:31" ht="48" customHeight="1">
      <c r="A8" s="289" t="s">
        <v>134</v>
      </c>
      <c r="B8" s="289"/>
      <c r="C8" s="289"/>
      <c r="D8" s="289"/>
      <c r="E8" s="289"/>
      <c r="F8" s="289"/>
      <c r="G8" s="289"/>
      <c r="H8" s="289"/>
      <c r="I8" s="289"/>
      <c r="J8" s="289"/>
      <c r="K8" s="289"/>
      <c r="L8" s="289"/>
    </row>
    <row r="9" spans="1:31">
      <c r="A9" s="14"/>
      <c r="B9" s="14"/>
      <c r="C9" s="3"/>
      <c r="D9" s="3"/>
      <c r="E9" s="3"/>
      <c r="F9" s="3"/>
      <c r="G9" s="3"/>
      <c r="H9" s="14"/>
      <c r="I9" s="3"/>
      <c r="J9" s="3"/>
      <c r="K9" s="5"/>
      <c r="L9" s="5"/>
    </row>
    <row r="10" spans="1:31">
      <c r="A10" s="3"/>
      <c r="B10" s="3"/>
      <c r="C10" s="3"/>
      <c r="D10" s="3"/>
      <c r="E10" s="283" t="s">
        <v>135</v>
      </c>
      <c r="F10" s="283"/>
      <c r="G10" s="283"/>
      <c r="H10" s="95"/>
      <c r="I10" s="95"/>
      <c r="J10" s="95"/>
      <c r="K10" s="283" t="s">
        <v>136</v>
      </c>
      <c r="L10" s="283"/>
    </row>
    <row r="11" spans="1:31">
      <c r="A11" s="3"/>
      <c r="B11" s="3"/>
      <c r="D11" s="3"/>
      <c r="E11" s="278">
        <v>1</v>
      </c>
      <c r="F11" s="278"/>
      <c r="G11" s="278"/>
      <c r="H11" s="95"/>
      <c r="I11" s="95"/>
      <c r="J11" s="95"/>
      <c r="K11" s="286" t="s">
        <v>137</v>
      </c>
      <c r="L11" s="287"/>
      <c r="M11" s="118" t="s">
        <v>138</v>
      </c>
      <c r="N11" s="118"/>
      <c r="O11" s="118"/>
      <c r="P11" s="118"/>
      <c r="Q11" s="118"/>
      <c r="R11" s="118"/>
      <c r="S11" s="118"/>
      <c r="T11" s="118"/>
      <c r="U11" s="118"/>
      <c r="V11" s="118"/>
      <c r="W11" s="118"/>
      <c r="X11" s="118"/>
      <c r="Y11" s="118"/>
      <c r="Z11" s="118"/>
      <c r="AA11" s="118"/>
      <c r="AB11" s="118"/>
      <c r="AC11" s="118"/>
      <c r="AD11" s="118"/>
      <c r="AE11" s="118"/>
    </row>
    <row r="12" spans="1:31">
      <c r="A12" s="3"/>
      <c r="B12" s="3"/>
      <c r="D12" s="3"/>
      <c r="E12" s="278">
        <v>2</v>
      </c>
      <c r="F12" s="278"/>
      <c r="G12" s="278"/>
      <c r="H12" s="95"/>
      <c r="I12" s="95"/>
      <c r="J12" s="95"/>
      <c r="K12" s="286" t="s">
        <v>139</v>
      </c>
      <c r="L12" s="287"/>
      <c r="M12" s="318" t="s">
        <v>140</v>
      </c>
      <c r="N12" s="319"/>
      <c r="O12" s="319"/>
      <c r="P12" s="319"/>
      <c r="Q12" s="319"/>
      <c r="R12" s="319"/>
      <c r="S12" s="319"/>
      <c r="T12" s="319"/>
      <c r="U12" s="319"/>
      <c r="V12" s="319"/>
      <c r="W12" s="319"/>
      <c r="X12" s="319"/>
      <c r="Y12" s="319"/>
      <c r="Z12" s="319"/>
      <c r="AA12" s="319"/>
      <c r="AB12" s="319"/>
      <c r="AC12" s="319"/>
      <c r="AD12" s="319"/>
      <c r="AE12" s="319"/>
    </row>
    <row r="13" spans="1:31">
      <c r="A13" s="3"/>
      <c r="B13" s="3"/>
      <c r="D13" s="3"/>
      <c r="E13" s="278">
        <v>3</v>
      </c>
      <c r="F13" s="278"/>
      <c r="G13" s="278"/>
      <c r="H13" s="95"/>
      <c r="I13" s="95"/>
      <c r="J13" s="95"/>
      <c r="K13" s="286" t="s">
        <v>141</v>
      </c>
      <c r="L13" s="287"/>
      <c r="M13" s="118" t="s">
        <v>138</v>
      </c>
      <c r="N13" s="118"/>
      <c r="O13" s="118"/>
      <c r="P13" s="118"/>
      <c r="Q13" s="118"/>
      <c r="R13" s="118"/>
      <c r="S13" s="118"/>
      <c r="T13" s="118"/>
      <c r="U13" s="118"/>
      <c r="V13" s="118"/>
      <c r="W13" s="118"/>
      <c r="X13" s="118"/>
      <c r="Y13" s="118"/>
      <c r="Z13" s="118"/>
      <c r="AA13" s="118"/>
      <c r="AB13" s="118"/>
      <c r="AC13" s="118"/>
      <c r="AD13" s="118"/>
      <c r="AE13" s="118"/>
    </row>
    <row r="14" spans="1:31">
      <c r="A14" s="3"/>
      <c r="B14" s="3"/>
      <c r="C14" s="3"/>
      <c r="D14" s="3"/>
      <c r="E14" s="278">
        <v>4</v>
      </c>
      <c r="F14" s="278"/>
      <c r="G14" s="278"/>
      <c r="H14" s="95"/>
      <c r="I14" s="95"/>
      <c r="K14" s="286" t="s">
        <v>142</v>
      </c>
      <c r="L14" s="287"/>
      <c r="M14" s="118" t="s">
        <v>138</v>
      </c>
      <c r="N14" s="118"/>
      <c r="O14" s="118"/>
      <c r="P14" s="118"/>
      <c r="Q14" s="118"/>
      <c r="R14" s="118"/>
      <c r="S14" s="118"/>
      <c r="T14" s="118"/>
      <c r="U14" s="118"/>
      <c r="V14" s="118"/>
      <c r="W14" s="118"/>
      <c r="X14" s="118"/>
      <c r="Y14" s="118"/>
      <c r="Z14" s="118"/>
      <c r="AA14" s="118"/>
      <c r="AB14" s="118"/>
      <c r="AC14" s="118"/>
      <c r="AD14" s="118"/>
      <c r="AE14" s="118"/>
    </row>
    <row r="15" spans="1:31">
      <c r="A15" s="3"/>
      <c r="B15" s="3"/>
      <c r="C15" s="3"/>
      <c r="D15" s="3"/>
      <c r="E15" s="278">
        <v>5</v>
      </c>
      <c r="F15" s="278"/>
      <c r="G15" s="278"/>
      <c r="H15" s="95"/>
      <c r="I15" s="95"/>
      <c r="J15" s="95"/>
      <c r="K15" s="286" t="s">
        <v>143</v>
      </c>
      <c r="L15" s="287"/>
      <c r="M15" s="118" t="s">
        <v>138</v>
      </c>
      <c r="N15" s="118"/>
      <c r="O15" s="131"/>
      <c r="P15" s="118"/>
      <c r="Q15" s="118"/>
      <c r="R15" s="118"/>
      <c r="S15" s="118"/>
      <c r="T15" s="118"/>
      <c r="U15" s="118"/>
      <c r="V15" s="118"/>
      <c r="W15" s="118"/>
      <c r="X15" s="118"/>
      <c r="Y15" s="118"/>
      <c r="Z15" s="118"/>
      <c r="AA15" s="118"/>
      <c r="AB15" s="118"/>
      <c r="AC15" s="118"/>
      <c r="AD15" s="118"/>
      <c r="AE15" s="118"/>
    </row>
    <row r="16" spans="1:31">
      <c r="A16" s="3"/>
      <c r="B16" s="3"/>
      <c r="D16" s="3"/>
      <c r="E16" s="278">
        <v>6</v>
      </c>
      <c r="F16" s="278"/>
      <c r="G16" s="278"/>
      <c r="H16" s="95"/>
      <c r="I16" s="95"/>
      <c r="J16" s="95"/>
      <c r="K16" s="286" t="s">
        <v>144</v>
      </c>
      <c r="L16" s="287"/>
      <c r="M16" s="118" t="s">
        <v>138</v>
      </c>
      <c r="N16" s="118"/>
      <c r="O16" s="118"/>
      <c r="P16" s="118"/>
      <c r="Q16" s="118"/>
      <c r="R16" s="131"/>
      <c r="S16" s="118"/>
      <c r="T16" s="118"/>
      <c r="U16" s="118"/>
      <c r="V16" s="118"/>
      <c r="W16" s="118"/>
      <c r="X16" s="118"/>
      <c r="Y16" s="118"/>
      <c r="Z16" s="118"/>
      <c r="AA16" s="118"/>
      <c r="AB16" s="118"/>
      <c r="AC16" s="118"/>
      <c r="AD16" s="118"/>
      <c r="AE16" s="118"/>
    </row>
    <row r="17" spans="1:31">
      <c r="A17" s="3"/>
      <c r="B17" s="3"/>
      <c r="D17" s="3"/>
      <c r="E17" s="278">
        <v>7</v>
      </c>
      <c r="F17" s="278"/>
      <c r="G17" s="278"/>
      <c r="H17" s="95"/>
      <c r="I17" s="95"/>
      <c r="J17" s="95"/>
      <c r="K17" s="286" t="s">
        <v>145</v>
      </c>
      <c r="L17" s="287"/>
      <c r="M17" s="118" t="s">
        <v>138</v>
      </c>
      <c r="N17" s="118"/>
      <c r="O17" s="118"/>
      <c r="P17" s="118"/>
      <c r="Q17" s="118"/>
      <c r="R17" s="118"/>
      <c r="S17" s="118"/>
      <c r="T17" s="118"/>
      <c r="U17" s="118"/>
      <c r="V17" s="118"/>
      <c r="W17" s="118"/>
      <c r="X17" s="118"/>
      <c r="Y17" s="118"/>
      <c r="Z17" s="118"/>
      <c r="AA17" s="118"/>
      <c r="AB17" s="118"/>
      <c r="AC17" s="118"/>
      <c r="AD17" s="118"/>
      <c r="AE17" s="118"/>
    </row>
    <row r="18" spans="1:31">
      <c r="A18" s="3"/>
      <c r="B18" s="3"/>
      <c r="D18" s="3"/>
      <c r="E18" s="278">
        <v>8</v>
      </c>
      <c r="F18" s="278"/>
      <c r="G18" s="278"/>
      <c r="H18" s="95"/>
      <c r="I18" s="95"/>
      <c r="J18" s="3"/>
      <c r="K18" s="286" t="s">
        <v>146</v>
      </c>
      <c r="L18" s="287"/>
      <c r="M18" s="118" t="s">
        <v>138</v>
      </c>
      <c r="N18" s="118"/>
      <c r="O18" s="131"/>
      <c r="P18" s="118"/>
      <c r="Q18" s="118"/>
      <c r="R18" s="131"/>
      <c r="S18" s="118"/>
      <c r="T18" s="118"/>
      <c r="U18" s="118"/>
      <c r="V18" s="118"/>
      <c r="W18" s="118"/>
      <c r="X18" s="118"/>
      <c r="Y18" s="118"/>
      <c r="Z18" s="118"/>
      <c r="AA18" s="118"/>
      <c r="AB18" s="118"/>
      <c r="AC18" s="118"/>
      <c r="AD18" s="118"/>
      <c r="AE18" s="118"/>
    </row>
    <row r="19" spans="1:31">
      <c r="A19" s="3"/>
      <c r="B19" s="3"/>
      <c r="C19" s="3"/>
      <c r="D19" s="3"/>
      <c r="E19" s="288">
        <v>9</v>
      </c>
      <c r="F19" s="288"/>
      <c r="G19" s="288"/>
      <c r="H19" s="3"/>
      <c r="I19" s="3"/>
      <c r="J19" s="3"/>
      <c r="K19" s="286" t="s">
        <v>147</v>
      </c>
      <c r="L19" s="287"/>
      <c r="M19" s="118" t="s">
        <v>138</v>
      </c>
      <c r="N19" s="118"/>
      <c r="O19" s="118"/>
      <c r="P19" s="118"/>
      <c r="Q19" s="118"/>
      <c r="R19" s="118"/>
      <c r="S19" s="118"/>
      <c r="T19" s="118"/>
      <c r="U19" s="118"/>
      <c r="V19" s="118"/>
      <c r="W19" s="118"/>
      <c r="X19" s="118"/>
      <c r="Y19" s="118"/>
      <c r="Z19" s="118"/>
      <c r="AA19" s="118"/>
      <c r="AB19" s="118"/>
      <c r="AC19" s="118"/>
      <c r="AD19" s="118"/>
      <c r="AE19" s="118"/>
    </row>
    <row r="20" spans="1:31">
      <c r="A20" s="3"/>
      <c r="B20" s="3"/>
      <c r="C20" s="3"/>
      <c r="D20" s="3"/>
      <c r="E20" s="288">
        <v>10</v>
      </c>
      <c r="F20" s="288"/>
      <c r="G20" s="288"/>
      <c r="H20" s="3"/>
      <c r="I20" s="3"/>
      <c r="J20" s="3"/>
      <c r="K20" s="292" t="s">
        <v>148</v>
      </c>
      <c r="L20" s="292"/>
      <c r="M20" s="118" t="s">
        <v>138</v>
      </c>
      <c r="N20" s="118"/>
      <c r="O20" s="131"/>
      <c r="P20" s="118"/>
      <c r="Q20" s="118"/>
      <c r="R20" s="131"/>
      <c r="S20" s="118"/>
      <c r="T20" s="118"/>
      <c r="U20" s="118"/>
      <c r="V20" s="118"/>
      <c r="W20" s="118"/>
      <c r="X20" s="118"/>
      <c r="Y20" s="118"/>
      <c r="Z20" s="118"/>
      <c r="AA20" s="118"/>
      <c r="AB20" s="118"/>
      <c r="AC20" s="118"/>
      <c r="AD20" s="118"/>
      <c r="AE20" s="118"/>
    </row>
    <row r="21" spans="1:31">
      <c r="A21" s="3"/>
      <c r="B21" s="3"/>
      <c r="C21" s="3"/>
      <c r="D21" s="3"/>
      <c r="E21" s="288">
        <v>11</v>
      </c>
      <c r="F21" s="288"/>
      <c r="G21" s="288"/>
      <c r="H21" s="3"/>
      <c r="I21" s="3"/>
      <c r="J21" s="3"/>
      <c r="K21" s="290" t="s">
        <v>149</v>
      </c>
      <c r="L21" s="291"/>
      <c r="M21" s="118" t="s">
        <v>138</v>
      </c>
      <c r="N21" s="118"/>
      <c r="O21" s="131"/>
      <c r="P21" s="118"/>
      <c r="Q21" s="118"/>
      <c r="R21" s="131"/>
      <c r="S21" s="118"/>
      <c r="T21" s="118"/>
      <c r="U21" s="118"/>
      <c r="V21" s="118"/>
      <c r="W21" s="118"/>
      <c r="X21" s="118"/>
      <c r="Y21" s="118"/>
      <c r="Z21" s="118"/>
      <c r="AA21" s="118"/>
      <c r="AB21" s="118"/>
      <c r="AC21" s="118"/>
      <c r="AD21" s="118"/>
      <c r="AE21" s="118"/>
    </row>
    <row r="22" spans="1:31">
      <c r="A22" s="3"/>
      <c r="B22" s="3"/>
      <c r="C22" s="3"/>
      <c r="D22" s="3"/>
      <c r="E22" s="288">
        <v>12</v>
      </c>
      <c r="F22" s="288"/>
      <c r="G22" s="288"/>
      <c r="H22" s="3"/>
      <c r="I22" s="3"/>
      <c r="J22" s="3"/>
      <c r="K22" s="286" t="s">
        <v>150</v>
      </c>
      <c r="L22" s="287"/>
      <c r="M22" s="118" t="s">
        <v>138</v>
      </c>
      <c r="N22" s="118"/>
      <c r="O22" s="118"/>
      <c r="P22" s="118"/>
      <c r="Q22" s="118"/>
      <c r="R22" s="131"/>
      <c r="S22" s="118"/>
      <c r="T22" s="118"/>
      <c r="U22" s="118"/>
      <c r="V22" s="118"/>
      <c r="W22" s="118"/>
      <c r="X22" s="118"/>
      <c r="Y22" s="118"/>
      <c r="Z22" s="118"/>
      <c r="AA22" s="118"/>
      <c r="AB22" s="118"/>
      <c r="AC22" s="118"/>
      <c r="AD22" s="118"/>
      <c r="AE22" s="118"/>
    </row>
    <row r="23" spans="1:31">
      <c r="A23" s="3"/>
      <c r="B23" s="3"/>
      <c r="C23" s="3"/>
      <c r="D23" s="3"/>
      <c r="E23" s="288">
        <v>13</v>
      </c>
      <c r="F23" s="288"/>
      <c r="G23" s="288"/>
      <c r="H23" s="3"/>
      <c r="I23" s="3"/>
      <c r="J23" s="3"/>
      <c r="K23" s="286" t="s">
        <v>151</v>
      </c>
      <c r="L23" s="287"/>
      <c r="M23" s="118" t="s">
        <v>138</v>
      </c>
      <c r="N23" s="118"/>
      <c r="O23" s="131"/>
      <c r="P23" s="118"/>
      <c r="Q23" s="118"/>
      <c r="R23" s="131"/>
      <c r="S23" s="118"/>
      <c r="T23" s="118"/>
      <c r="U23" s="118"/>
      <c r="V23" s="118"/>
      <c r="W23" s="118"/>
      <c r="X23" s="118"/>
      <c r="Y23" s="118"/>
      <c r="Z23" s="118"/>
      <c r="AA23" s="118"/>
      <c r="AB23" s="118"/>
      <c r="AC23" s="118"/>
      <c r="AD23" s="118"/>
      <c r="AE23" s="118"/>
    </row>
    <row r="24" spans="1:31">
      <c r="A24" s="3"/>
      <c r="B24" s="3"/>
      <c r="C24" s="3"/>
      <c r="D24" s="3"/>
      <c r="E24" s="288">
        <v>14</v>
      </c>
      <c r="F24" s="288"/>
      <c r="G24" s="288"/>
      <c r="H24" s="3"/>
      <c r="I24" s="3"/>
      <c r="J24" s="3"/>
      <c r="K24" s="286" t="s">
        <v>152</v>
      </c>
      <c r="L24" s="287"/>
      <c r="M24" s="118" t="s">
        <v>138</v>
      </c>
      <c r="N24" s="118"/>
      <c r="O24" s="131"/>
      <c r="P24" s="118"/>
      <c r="Q24" s="118"/>
      <c r="R24" s="131"/>
      <c r="S24" s="118"/>
      <c r="T24" s="118"/>
      <c r="U24" s="118"/>
      <c r="V24" s="118"/>
      <c r="W24" s="118"/>
      <c r="X24" s="118"/>
      <c r="Y24" s="118"/>
      <c r="Z24" s="118"/>
      <c r="AA24" s="118"/>
      <c r="AB24" s="118"/>
      <c r="AC24" s="118"/>
      <c r="AD24" s="118"/>
      <c r="AE24" s="118"/>
    </row>
    <row r="25" spans="1:31">
      <c r="A25" s="3"/>
      <c r="B25" s="3"/>
      <c r="C25" s="3"/>
      <c r="D25" s="3"/>
      <c r="E25" s="288">
        <v>15</v>
      </c>
      <c r="F25" s="288"/>
      <c r="G25" s="288"/>
      <c r="H25" s="3"/>
      <c r="I25" s="3"/>
      <c r="J25" s="3"/>
      <c r="K25" s="290" t="s">
        <v>153</v>
      </c>
      <c r="L25" s="291"/>
      <c r="M25" s="118" t="s">
        <v>138</v>
      </c>
      <c r="N25" s="118"/>
      <c r="O25" s="131"/>
      <c r="P25" s="118"/>
      <c r="Q25" s="118"/>
      <c r="R25" s="131"/>
      <c r="S25" s="118"/>
      <c r="T25" s="118"/>
      <c r="U25" s="118"/>
      <c r="V25" s="118"/>
      <c r="W25" s="118"/>
      <c r="X25" s="118"/>
      <c r="Y25" s="118"/>
      <c r="Z25" s="118"/>
      <c r="AA25" s="118"/>
      <c r="AB25" s="118"/>
      <c r="AC25" s="118"/>
      <c r="AD25" s="118"/>
      <c r="AE25" s="118"/>
    </row>
    <row r="26" spans="1:31">
      <c r="A26" s="3"/>
      <c r="B26" s="3"/>
      <c r="C26" s="3"/>
      <c r="D26" s="3"/>
      <c r="E26" s="288">
        <v>16</v>
      </c>
      <c r="F26" s="288"/>
      <c r="G26" s="288"/>
      <c r="H26" s="3"/>
      <c r="I26" s="3"/>
      <c r="M26" s="118"/>
      <c r="N26" s="118"/>
      <c r="O26" s="131"/>
      <c r="P26" s="118"/>
      <c r="Q26" s="118"/>
      <c r="R26" s="131"/>
      <c r="S26" s="118"/>
      <c r="T26" s="118"/>
      <c r="U26" s="118"/>
      <c r="V26" s="118"/>
      <c r="W26" s="118"/>
      <c r="X26" s="118"/>
      <c r="Y26" s="118"/>
      <c r="Z26" s="118"/>
      <c r="AA26" s="118"/>
      <c r="AB26" s="118"/>
      <c r="AC26" s="118"/>
      <c r="AD26" s="118"/>
      <c r="AE26" s="118"/>
    </row>
    <row r="27" spans="1:31">
      <c r="K27" s="279" t="s">
        <v>154</v>
      </c>
      <c r="L27" s="280"/>
      <c r="M27" s="118"/>
      <c r="N27" s="118"/>
      <c r="O27" s="131"/>
      <c r="P27" s="118"/>
      <c r="Q27" s="118"/>
      <c r="R27" s="131"/>
      <c r="S27" s="118"/>
      <c r="T27" s="118"/>
      <c r="U27" s="118"/>
      <c r="V27" s="118"/>
      <c r="W27" s="118"/>
      <c r="X27" s="118"/>
      <c r="Y27" s="118"/>
      <c r="Z27" s="118"/>
      <c r="AA27" s="118"/>
      <c r="AB27" s="118"/>
      <c r="AC27" s="118"/>
      <c r="AD27" s="118"/>
      <c r="AE27" s="118"/>
    </row>
    <row r="28" spans="1:31" ht="15" customHeight="1">
      <c r="K28" s="279" t="s">
        <v>155</v>
      </c>
      <c r="L28" s="280"/>
      <c r="M28" s="118"/>
      <c r="N28" s="118"/>
      <c r="O28" s="118"/>
      <c r="P28" s="118"/>
      <c r="Q28" s="118"/>
      <c r="R28" s="131"/>
      <c r="S28" s="118"/>
      <c r="T28" s="118"/>
      <c r="U28" s="118"/>
      <c r="V28" s="118"/>
      <c r="W28" s="118"/>
      <c r="X28" s="118"/>
      <c r="Y28" s="118"/>
      <c r="Z28" s="118"/>
      <c r="AA28" s="118"/>
      <c r="AB28" s="118"/>
      <c r="AC28" s="118"/>
      <c r="AD28" s="118"/>
      <c r="AE28" s="118"/>
    </row>
    <row r="29" spans="1:31" ht="15" customHeight="1">
      <c r="K29" s="279" t="s">
        <v>156</v>
      </c>
      <c r="L29" s="280"/>
      <c r="M29" s="118"/>
      <c r="N29" s="118"/>
      <c r="O29" s="118"/>
      <c r="P29" s="118"/>
      <c r="Q29" s="118"/>
      <c r="R29" s="118"/>
      <c r="S29" s="118"/>
      <c r="T29" s="118"/>
      <c r="U29" s="118"/>
      <c r="V29" s="118"/>
      <c r="W29" s="118"/>
      <c r="X29" s="118"/>
      <c r="Y29" s="118"/>
      <c r="Z29" s="118"/>
      <c r="AA29" s="118"/>
      <c r="AB29" s="118"/>
      <c r="AC29" s="118"/>
      <c r="AD29" s="118"/>
      <c r="AE29" s="118"/>
    </row>
    <row r="30" spans="1:31" ht="15" customHeight="1">
      <c r="K30" s="296" t="s">
        <v>157</v>
      </c>
      <c r="L30" s="297"/>
      <c r="M30" s="118"/>
      <c r="N30" s="118"/>
      <c r="O30" s="118"/>
      <c r="P30" s="118"/>
      <c r="Q30" s="118"/>
      <c r="R30" s="118"/>
      <c r="S30" s="118"/>
      <c r="T30" s="118"/>
      <c r="U30" s="118"/>
      <c r="V30" s="118"/>
      <c r="W30" s="118"/>
      <c r="X30" s="118"/>
      <c r="Y30" s="118"/>
      <c r="Z30" s="118"/>
      <c r="AA30" s="118"/>
      <c r="AB30" s="118"/>
      <c r="AC30" s="118"/>
      <c r="AD30" s="118"/>
      <c r="AE30" s="118"/>
    </row>
    <row r="31" spans="1:31" ht="15" customHeight="1">
      <c r="K31" s="281" t="s">
        <v>158</v>
      </c>
      <c r="L31" s="282"/>
      <c r="M31" s="118"/>
      <c r="N31" s="118"/>
      <c r="O31" s="118"/>
      <c r="P31" s="118"/>
      <c r="Q31" s="118"/>
      <c r="R31" s="118"/>
      <c r="S31" s="118"/>
      <c r="T31" s="118"/>
      <c r="U31" s="118"/>
      <c r="V31" s="118"/>
      <c r="W31" s="118"/>
      <c r="X31" s="118"/>
      <c r="Y31" s="118"/>
      <c r="Z31" s="118"/>
      <c r="AA31" s="118"/>
      <c r="AB31" s="118"/>
      <c r="AC31" s="118"/>
      <c r="AD31" s="118"/>
      <c r="AE31" s="118"/>
    </row>
    <row r="32" spans="1:31" ht="15" customHeight="1">
      <c r="K32" s="281" t="s">
        <v>159</v>
      </c>
      <c r="L32" s="282"/>
      <c r="M32" s="118"/>
      <c r="N32" s="118"/>
      <c r="O32" s="118"/>
      <c r="P32" s="118"/>
      <c r="Q32" s="118"/>
      <c r="R32" s="118"/>
      <c r="S32" s="118"/>
      <c r="T32" s="118"/>
      <c r="U32" s="118"/>
      <c r="V32" s="118"/>
      <c r="W32" s="118"/>
      <c r="X32" s="118"/>
      <c r="Y32" s="118"/>
      <c r="Z32" s="118"/>
      <c r="AA32" s="118"/>
      <c r="AB32" s="118"/>
      <c r="AC32" s="118"/>
      <c r="AD32" s="118"/>
      <c r="AE32" s="118"/>
    </row>
    <row r="33" spans="11:31">
      <c r="K33" s="281" t="s">
        <v>160</v>
      </c>
      <c r="L33" s="282"/>
      <c r="M33" s="118"/>
      <c r="N33" s="118"/>
      <c r="O33" s="118"/>
      <c r="P33" s="118"/>
      <c r="Q33" s="118"/>
      <c r="R33" s="118"/>
      <c r="S33" s="118"/>
      <c r="T33" s="118"/>
      <c r="U33" s="118"/>
      <c r="V33" s="118"/>
      <c r="W33" s="118"/>
      <c r="X33" s="118"/>
      <c r="Y33" s="118"/>
      <c r="Z33" s="118"/>
      <c r="AA33" s="118"/>
      <c r="AB33" s="118"/>
      <c r="AC33" s="118"/>
      <c r="AD33" s="118"/>
      <c r="AE33" s="118"/>
    </row>
    <row r="34" spans="11:31">
      <c r="K34" s="281" t="s">
        <v>161</v>
      </c>
      <c r="L34" s="282"/>
      <c r="M34" s="118"/>
      <c r="N34" s="118"/>
      <c r="O34" s="118"/>
      <c r="P34" s="118"/>
      <c r="Q34" s="118"/>
      <c r="R34" s="118"/>
      <c r="S34" s="118"/>
      <c r="T34" s="118"/>
      <c r="U34" s="118"/>
      <c r="V34" s="118"/>
      <c r="W34" s="118"/>
      <c r="X34" s="118"/>
      <c r="Y34" s="118"/>
      <c r="Z34" s="118"/>
      <c r="AA34" s="118"/>
      <c r="AB34" s="118"/>
      <c r="AC34" s="118"/>
      <c r="AD34" s="118"/>
      <c r="AE34" s="118"/>
    </row>
    <row r="35" spans="11:31">
      <c r="K35" s="279" t="s">
        <v>162</v>
      </c>
      <c r="L35" s="280"/>
      <c r="M35" s="118"/>
      <c r="N35" s="118"/>
      <c r="O35" s="118"/>
      <c r="P35" s="118"/>
      <c r="Q35" s="118"/>
      <c r="R35" s="118"/>
      <c r="S35" s="118"/>
      <c r="T35" s="118"/>
      <c r="U35" s="118"/>
      <c r="V35" s="118"/>
      <c r="W35" s="118"/>
      <c r="X35" s="118"/>
      <c r="Y35" s="118"/>
      <c r="Z35" s="118"/>
      <c r="AA35" s="118"/>
      <c r="AB35" s="118"/>
      <c r="AC35" s="118"/>
      <c r="AD35" s="118"/>
      <c r="AE35" s="118"/>
    </row>
    <row r="36" spans="11:31">
      <c r="K36" s="294" t="s">
        <v>163</v>
      </c>
      <c r="L36" s="295"/>
      <c r="M36" s="118" t="s">
        <v>164</v>
      </c>
      <c r="N36" s="118"/>
      <c r="O36" s="118"/>
      <c r="P36" s="118"/>
      <c r="Q36" s="118"/>
      <c r="R36" s="118"/>
      <c r="S36" s="118"/>
      <c r="T36" s="118"/>
      <c r="U36" s="118"/>
      <c r="V36" s="118"/>
      <c r="W36" s="118"/>
      <c r="X36" s="118"/>
      <c r="Y36" s="118"/>
      <c r="Z36" s="118"/>
      <c r="AA36" s="118"/>
      <c r="AB36" s="118"/>
      <c r="AC36" s="118"/>
      <c r="AD36" s="118"/>
      <c r="AE36" s="118"/>
    </row>
    <row r="37" spans="11:31">
      <c r="K37" s="286" t="s">
        <v>165</v>
      </c>
      <c r="L37" s="287"/>
      <c r="M37" s="118" t="s">
        <v>166</v>
      </c>
      <c r="N37" s="118"/>
      <c r="O37" s="118"/>
      <c r="P37" s="118"/>
      <c r="Q37" s="118"/>
      <c r="R37" s="118"/>
      <c r="S37" s="118"/>
      <c r="T37" s="118"/>
      <c r="U37" s="118"/>
      <c r="V37" s="118"/>
      <c r="W37" s="118"/>
      <c r="X37" s="118"/>
      <c r="Y37" s="118"/>
      <c r="Z37" s="118"/>
      <c r="AA37" s="118"/>
      <c r="AB37" s="118"/>
      <c r="AC37" s="118"/>
      <c r="AD37" s="118"/>
      <c r="AE37" s="118"/>
    </row>
    <row r="38" spans="11:31">
      <c r="K38" s="284"/>
      <c r="L38" s="285"/>
      <c r="M38" s="118"/>
      <c r="N38" s="118"/>
      <c r="O38" s="118"/>
      <c r="P38" s="118"/>
      <c r="Q38" s="118"/>
      <c r="R38" s="118"/>
      <c r="S38" s="118"/>
      <c r="T38" s="118"/>
      <c r="U38" s="118"/>
      <c r="V38" s="118"/>
      <c r="W38" s="118"/>
      <c r="X38" s="118"/>
      <c r="Y38" s="118"/>
      <c r="Z38" s="118"/>
      <c r="AA38" s="118"/>
      <c r="AB38" s="118"/>
      <c r="AC38" s="118"/>
      <c r="AD38" s="118"/>
      <c r="AE38" s="118"/>
    </row>
    <row r="39" spans="11:31">
      <c r="M39" s="118"/>
      <c r="N39" s="118"/>
      <c r="O39" s="118"/>
      <c r="P39" s="118"/>
      <c r="Q39" s="118"/>
      <c r="R39" s="118"/>
      <c r="S39" s="118"/>
      <c r="T39" s="118"/>
      <c r="U39" s="118"/>
      <c r="V39" s="118"/>
      <c r="W39" s="118"/>
      <c r="X39" s="118"/>
      <c r="Y39" s="118"/>
      <c r="Z39" s="118"/>
      <c r="AA39" s="118"/>
      <c r="AB39" s="118"/>
      <c r="AC39" s="118"/>
      <c r="AD39" s="118"/>
      <c r="AE39" s="118"/>
    </row>
    <row r="40" spans="11:31">
      <c r="M40" s="118"/>
      <c r="N40" s="118"/>
      <c r="O40" s="118"/>
      <c r="P40" s="118"/>
      <c r="Q40" s="118"/>
      <c r="R40" s="118"/>
      <c r="S40" s="118"/>
      <c r="T40" s="118"/>
      <c r="U40" s="118"/>
      <c r="V40" s="118"/>
      <c r="W40" s="118"/>
      <c r="X40" s="118"/>
      <c r="Y40" s="118"/>
      <c r="Z40" s="118"/>
      <c r="AA40" s="118"/>
      <c r="AB40" s="118"/>
      <c r="AC40" s="118"/>
      <c r="AD40" s="118"/>
      <c r="AE40" s="118"/>
    </row>
    <row r="41" spans="11:31">
      <c r="K41" s="283" t="s">
        <v>167</v>
      </c>
      <c r="L41" s="283"/>
      <c r="M41" s="118"/>
      <c r="N41" s="118"/>
      <c r="O41" s="118"/>
      <c r="P41" s="118"/>
      <c r="Q41" s="118"/>
      <c r="R41" s="118"/>
      <c r="S41" s="118"/>
      <c r="T41" s="118"/>
      <c r="U41" s="118"/>
      <c r="V41" s="118"/>
      <c r="W41" s="118"/>
      <c r="X41" s="118"/>
      <c r="Y41" s="118"/>
      <c r="Z41" s="118"/>
      <c r="AA41" s="118"/>
      <c r="AB41" s="118"/>
      <c r="AC41" s="118"/>
      <c r="AD41" s="118"/>
      <c r="AE41" s="118"/>
    </row>
    <row r="42" spans="11:31">
      <c r="K42" s="278" t="s">
        <v>168</v>
      </c>
      <c r="L42" s="278"/>
      <c r="M42" s="118"/>
      <c r="N42" s="118"/>
      <c r="O42" s="118"/>
      <c r="P42" s="118"/>
      <c r="Q42" s="118"/>
      <c r="R42" s="118"/>
      <c r="S42" s="118"/>
      <c r="T42" s="118"/>
      <c r="U42" s="118"/>
      <c r="V42" s="118"/>
      <c r="W42" s="118"/>
      <c r="X42" s="118"/>
      <c r="Y42" s="118"/>
      <c r="Z42" s="118"/>
      <c r="AA42" s="118"/>
    </row>
    <row r="43" spans="11:31" ht="15.75">
      <c r="K43" s="286" t="s">
        <v>169</v>
      </c>
      <c r="L43" s="287"/>
      <c r="M43" s="118" t="s">
        <v>170</v>
      </c>
      <c r="N43" s="118"/>
      <c r="O43" s="118"/>
      <c r="P43" s="118"/>
      <c r="Q43" s="118"/>
      <c r="R43" s="118"/>
      <c r="S43" s="118"/>
      <c r="T43" s="118"/>
      <c r="U43" s="118"/>
      <c r="V43" s="118"/>
      <c r="W43" s="118"/>
      <c r="X43" s="118"/>
      <c r="Y43" s="118"/>
      <c r="Z43" s="118"/>
      <c r="AA43" s="118"/>
    </row>
    <row r="44" spans="11:31" ht="15" customHeight="1">
      <c r="K44" s="278" t="s">
        <v>171</v>
      </c>
      <c r="L44" s="278"/>
    </row>
    <row r="45" spans="11:31" ht="15.75">
      <c r="K45" s="278" t="s">
        <v>172</v>
      </c>
      <c r="L45" s="278"/>
    </row>
    <row r="46" spans="11:31">
      <c r="K46" s="293" t="s">
        <v>173</v>
      </c>
      <c r="L46" s="293"/>
    </row>
    <row r="48" spans="11:31">
      <c r="K48" s="283" t="s">
        <v>174</v>
      </c>
      <c r="L48" s="283"/>
    </row>
    <row r="49" spans="11:12">
      <c r="K49" s="278" t="s">
        <v>175</v>
      </c>
      <c r="L49" s="278"/>
    </row>
    <row r="50" spans="11:12">
      <c r="K50" s="278" t="s">
        <v>176</v>
      </c>
      <c r="L50" s="278"/>
    </row>
    <row r="51" spans="11:12">
      <c r="K51" s="278" t="s">
        <v>177</v>
      </c>
      <c r="L51" s="278"/>
    </row>
  </sheetData>
  <mergeCells count="69">
    <mergeCell ref="A7:L7"/>
    <mergeCell ref="B6:D6"/>
    <mergeCell ref="M12:AE12"/>
    <mergeCell ref="E19:G19"/>
    <mergeCell ref="E15:G15"/>
    <mergeCell ref="K12:L12"/>
    <mergeCell ref="E16:G16"/>
    <mergeCell ref="E13:G13"/>
    <mergeCell ref="E14:G14"/>
    <mergeCell ref="K13:L13"/>
    <mergeCell ref="K14:L14"/>
    <mergeCell ref="K15:L15"/>
    <mergeCell ref="K16:L16"/>
    <mergeCell ref="K17:L17"/>
    <mergeCell ref="K18:L18"/>
    <mergeCell ref="K19:L19"/>
    <mergeCell ref="K6:L6"/>
    <mergeCell ref="B5:D5"/>
    <mergeCell ref="K5:L5"/>
    <mergeCell ref="E5:G5"/>
    <mergeCell ref="E6:G6"/>
    <mergeCell ref="H1:I1"/>
    <mergeCell ref="B4:D4"/>
    <mergeCell ref="K4:L4"/>
    <mergeCell ref="E4:G4"/>
    <mergeCell ref="A3:L3"/>
    <mergeCell ref="K35:L35"/>
    <mergeCell ref="K22:L22"/>
    <mergeCell ref="K23:L23"/>
    <mergeCell ref="K24:L24"/>
    <mergeCell ref="K46:L46"/>
    <mergeCell ref="K36:L36"/>
    <mergeCell ref="K30:L30"/>
    <mergeCell ref="K32:L32"/>
    <mergeCell ref="E26:G26"/>
    <mergeCell ref="K27:L27"/>
    <mergeCell ref="E21:G21"/>
    <mergeCell ref="E22:G22"/>
    <mergeCell ref="E23:G23"/>
    <mergeCell ref="E24:G24"/>
    <mergeCell ref="E20:G20"/>
    <mergeCell ref="E25:G25"/>
    <mergeCell ref="E12:G12"/>
    <mergeCell ref="A8:L8"/>
    <mergeCell ref="E17:G17"/>
    <mergeCell ref="E18:G18"/>
    <mergeCell ref="K10:L10"/>
    <mergeCell ref="K11:L11"/>
    <mergeCell ref="E10:G10"/>
    <mergeCell ref="E11:G11"/>
    <mergeCell ref="K25:L25"/>
    <mergeCell ref="K20:L20"/>
    <mergeCell ref="K21:L21"/>
    <mergeCell ref="K51:L51"/>
    <mergeCell ref="K28:L28"/>
    <mergeCell ref="K33:L33"/>
    <mergeCell ref="K34:L34"/>
    <mergeCell ref="K45:L45"/>
    <mergeCell ref="K41:L41"/>
    <mergeCell ref="K42:L42"/>
    <mergeCell ref="K44:L44"/>
    <mergeCell ref="K38:L38"/>
    <mergeCell ref="K37:L37"/>
    <mergeCell ref="K43:L43"/>
    <mergeCell ref="K49:L49"/>
    <mergeCell ref="K50:L50"/>
    <mergeCell ref="K31:L31"/>
    <mergeCell ref="K48:L48"/>
    <mergeCell ref="K29:L29"/>
  </mergeCells>
  <phoneticPr fontId="50" type="noConversion"/>
  <pageMargins left="0.5" right="0.5" top="0.75" bottom="0.75" header="0.3" footer="0.3"/>
  <pageSetup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DBA7-5CED-4461-A688-E6025DFB0BD3}">
  <dimension ref="A1:AE38"/>
  <sheetViews>
    <sheetView zoomScale="70" zoomScaleNormal="70" workbookViewId="0">
      <selection activeCell="L24" sqref="L24"/>
    </sheetView>
  </sheetViews>
  <sheetFormatPr defaultColWidth="8.85546875" defaultRowHeight="15"/>
  <cols>
    <col min="1" max="2" width="4.5703125" customWidth="1"/>
    <col min="3" max="5" width="10.5703125" customWidth="1"/>
    <col min="6" max="6" width="5" customWidth="1"/>
    <col min="7" max="7" width="18.42578125" customWidth="1"/>
    <col min="8" max="9" width="4.5703125" customWidth="1"/>
    <col min="10" max="10" width="16.42578125" customWidth="1"/>
    <col min="11" max="11" width="3.5703125" customWidth="1"/>
    <col min="12" max="12" width="38.5703125" customWidth="1"/>
  </cols>
  <sheetData>
    <row r="1" spans="1:31">
      <c r="C1" s="22"/>
      <c r="D1" t="s">
        <v>87</v>
      </c>
      <c r="E1" s="23"/>
      <c r="F1" t="s">
        <v>88</v>
      </c>
      <c r="H1" s="258"/>
      <c r="I1" s="258"/>
      <c r="J1" t="s">
        <v>89</v>
      </c>
      <c r="L1" s="24"/>
      <c r="M1" t="s">
        <v>90</v>
      </c>
    </row>
    <row r="2" spans="1:31">
      <c r="A2" s="3"/>
      <c r="B2" s="3"/>
      <c r="C2" s="3"/>
      <c r="D2" s="3"/>
      <c r="E2" s="3"/>
      <c r="F2" s="3"/>
      <c r="G2" s="3"/>
      <c r="H2" s="3"/>
      <c r="I2" s="3"/>
      <c r="J2" s="3"/>
      <c r="K2" s="3"/>
      <c r="L2" s="3"/>
    </row>
    <row r="3" spans="1:31" ht="15" customHeight="1">
      <c r="A3" s="304" t="s">
        <v>117</v>
      </c>
      <c r="B3" s="305"/>
      <c r="C3" s="305"/>
      <c r="D3" s="305"/>
      <c r="E3" s="305"/>
      <c r="F3" s="305"/>
      <c r="G3" s="305"/>
      <c r="H3" s="305"/>
      <c r="I3" s="305"/>
      <c r="J3" s="305"/>
      <c r="K3" s="305"/>
      <c r="L3" s="306"/>
    </row>
    <row r="4" spans="1:31">
      <c r="A4" s="69" t="s">
        <v>118</v>
      </c>
      <c r="B4" s="298" t="s">
        <v>119</v>
      </c>
      <c r="C4" s="299"/>
      <c r="D4" s="299"/>
      <c r="E4" s="301"/>
      <c r="F4" s="302"/>
      <c r="G4" s="303"/>
      <c r="H4" s="69" t="s">
        <v>120</v>
      </c>
      <c r="I4" s="298" t="s">
        <v>121</v>
      </c>
      <c r="J4" s="299"/>
      <c r="K4" s="300" t="s">
        <v>122</v>
      </c>
      <c r="L4" s="300"/>
      <c r="M4" s="68"/>
    </row>
    <row r="5" spans="1:31">
      <c r="A5" s="69" t="s">
        <v>123</v>
      </c>
      <c r="B5" s="298" t="s">
        <v>124</v>
      </c>
      <c r="C5" s="299"/>
      <c r="D5" s="299"/>
      <c r="E5" s="307" t="s">
        <v>125</v>
      </c>
      <c r="F5" s="308"/>
      <c r="G5" s="309"/>
      <c r="H5" s="69" t="s">
        <v>126</v>
      </c>
      <c r="I5" s="298" t="s">
        <v>127</v>
      </c>
      <c r="J5" s="299"/>
      <c r="K5" s="300" t="s">
        <v>125</v>
      </c>
      <c r="L5" s="300"/>
    </row>
    <row r="6" spans="1:31" ht="59.45" customHeight="1">
      <c r="A6" s="70" t="s">
        <v>128</v>
      </c>
      <c r="B6" s="328" t="s">
        <v>178</v>
      </c>
      <c r="C6" s="329"/>
      <c r="D6" s="330"/>
      <c r="E6" s="310" t="s">
        <v>130</v>
      </c>
      <c r="F6" s="311"/>
      <c r="G6" s="312"/>
      <c r="H6" s="69" t="s">
        <v>131</v>
      </c>
      <c r="I6" s="324" t="s">
        <v>132</v>
      </c>
      <c r="J6" s="325"/>
      <c r="K6" s="326" t="s">
        <v>125</v>
      </c>
      <c r="L6" s="327"/>
    </row>
    <row r="7" spans="1:31" ht="36.75" customHeight="1">
      <c r="A7" s="313" t="s">
        <v>179</v>
      </c>
      <c r="B7" s="314"/>
      <c r="C7" s="314"/>
      <c r="D7" s="314"/>
      <c r="E7" s="314"/>
      <c r="F7" s="314"/>
      <c r="G7" s="314"/>
      <c r="H7" s="314"/>
      <c r="I7" s="314"/>
      <c r="J7" s="314"/>
      <c r="K7" s="314"/>
      <c r="L7" s="315"/>
    </row>
    <row r="8" spans="1:31">
      <c r="A8" s="14"/>
      <c r="B8" s="14"/>
      <c r="C8" s="3"/>
      <c r="D8" s="3"/>
      <c r="E8" s="3"/>
      <c r="F8" s="3"/>
      <c r="G8" s="3"/>
      <c r="H8" s="14"/>
      <c r="I8" s="3"/>
      <c r="J8" s="3"/>
      <c r="K8" s="5"/>
      <c r="L8" s="5"/>
    </row>
    <row r="9" spans="1:31">
      <c r="A9" s="3"/>
      <c r="B9" s="3"/>
      <c r="C9" s="3"/>
      <c r="D9" s="3"/>
      <c r="E9" s="283" t="s">
        <v>135</v>
      </c>
      <c r="F9" s="283"/>
      <c r="G9" s="283"/>
      <c r="H9" s="95"/>
      <c r="I9" s="95"/>
      <c r="J9" s="95"/>
      <c r="K9" s="320" t="s">
        <v>136</v>
      </c>
      <c r="L9" s="321"/>
      <c r="M9" s="118"/>
      <c r="N9" s="118"/>
      <c r="O9" s="118"/>
      <c r="P9" s="118"/>
      <c r="Q9" s="118"/>
      <c r="R9" s="118"/>
      <c r="S9" s="118"/>
      <c r="T9" s="118"/>
      <c r="U9" s="118"/>
      <c r="V9" s="118"/>
      <c r="W9" s="118"/>
      <c r="X9" s="118"/>
      <c r="Y9" s="118"/>
      <c r="Z9" s="118"/>
      <c r="AA9" s="118"/>
      <c r="AB9" s="118"/>
      <c r="AC9" s="118"/>
      <c r="AD9" s="118"/>
      <c r="AE9" s="118"/>
    </row>
    <row r="10" spans="1:31">
      <c r="A10" s="3"/>
      <c r="B10" s="3"/>
      <c r="D10" s="3"/>
      <c r="E10" s="278">
        <v>1</v>
      </c>
      <c r="F10" s="278"/>
      <c r="G10" s="278"/>
      <c r="H10" s="95"/>
      <c r="I10" s="95"/>
      <c r="J10" s="95"/>
      <c r="K10" s="286" t="s">
        <v>180</v>
      </c>
      <c r="L10" s="287"/>
      <c r="M10" s="318" t="s">
        <v>181</v>
      </c>
      <c r="N10" s="319"/>
      <c r="O10" s="319"/>
      <c r="P10" s="319"/>
      <c r="Q10" s="319"/>
      <c r="R10" s="319"/>
      <c r="S10" s="319"/>
      <c r="T10" s="319"/>
      <c r="U10" s="319"/>
      <c r="V10" s="319"/>
      <c r="W10" s="319"/>
      <c r="X10" s="319"/>
      <c r="Y10" s="319"/>
      <c r="Z10" s="319"/>
      <c r="AA10" s="319"/>
      <c r="AB10" s="319"/>
      <c r="AC10" s="319"/>
      <c r="AD10" s="319"/>
      <c r="AE10" s="319"/>
    </row>
    <row r="11" spans="1:31">
      <c r="A11" s="3"/>
      <c r="B11" s="3"/>
      <c r="D11" s="3"/>
      <c r="E11" s="278">
        <v>2</v>
      </c>
      <c r="F11" s="278"/>
      <c r="G11" s="278"/>
      <c r="H11" s="95"/>
      <c r="I11" s="95"/>
      <c r="J11" s="95"/>
      <c r="K11" s="286" t="s">
        <v>182</v>
      </c>
      <c r="L11" s="287"/>
      <c r="M11" s="118" t="s">
        <v>183</v>
      </c>
      <c r="N11" s="118"/>
      <c r="O11" s="118"/>
      <c r="P11" s="118"/>
      <c r="Q11" s="118"/>
      <c r="R11" s="118"/>
      <c r="S11" s="118"/>
      <c r="T11" s="118"/>
      <c r="U11" s="118"/>
      <c r="V11" s="118"/>
      <c r="W11" s="118"/>
      <c r="X11" s="118"/>
      <c r="Y11" s="118"/>
      <c r="Z11" s="118"/>
      <c r="AA11" s="118"/>
      <c r="AB11" s="118"/>
      <c r="AC11" s="118"/>
      <c r="AD11" s="118"/>
      <c r="AE11" s="118"/>
    </row>
    <row r="12" spans="1:31">
      <c r="A12" s="3"/>
      <c r="B12" s="3"/>
      <c r="D12" s="3"/>
      <c r="E12" s="278">
        <v>3</v>
      </c>
      <c r="F12" s="278"/>
      <c r="G12" s="278"/>
      <c r="H12" s="95"/>
      <c r="I12" s="95"/>
      <c r="J12" s="95"/>
      <c r="K12" s="286" t="s">
        <v>184</v>
      </c>
      <c r="L12" s="287"/>
      <c r="M12" s="118" t="s">
        <v>183</v>
      </c>
      <c r="N12" s="118"/>
      <c r="O12" s="118"/>
      <c r="P12" s="118"/>
      <c r="Q12" s="118"/>
      <c r="R12" s="118"/>
      <c r="S12" s="118"/>
      <c r="T12" s="118"/>
      <c r="U12" s="118"/>
      <c r="V12" s="118"/>
      <c r="W12" s="118"/>
      <c r="X12" s="118"/>
      <c r="Y12" s="118"/>
      <c r="Z12" s="118"/>
      <c r="AA12" s="118"/>
      <c r="AB12" s="118"/>
      <c r="AC12" s="118"/>
      <c r="AD12" s="118"/>
      <c r="AE12" s="118"/>
    </row>
    <row r="13" spans="1:31">
      <c r="A13" s="3"/>
      <c r="B13" s="3"/>
      <c r="C13" s="3"/>
      <c r="D13" s="3"/>
      <c r="E13" s="278">
        <v>4</v>
      </c>
      <c r="F13" s="278"/>
      <c r="G13" s="278"/>
      <c r="H13" s="95"/>
      <c r="I13" s="95"/>
      <c r="K13" s="95"/>
      <c r="L13" s="95"/>
      <c r="M13" s="19"/>
      <c r="N13" s="19"/>
      <c r="O13" s="19"/>
      <c r="P13" s="19"/>
      <c r="Q13" s="19"/>
      <c r="R13" s="19"/>
      <c r="S13" s="19"/>
      <c r="T13" s="19"/>
      <c r="U13" s="19"/>
      <c r="V13" s="19"/>
      <c r="W13" s="19"/>
      <c r="X13" s="19"/>
      <c r="Y13" s="19"/>
    </row>
    <row r="14" spans="1:31">
      <c r="A14" s="3"/>
      <c r="B14" s="3"/>
      <c r="C14" s="3"/>
      <c r="D14" s="3"/>
      <c r="E14" s="278">
        <v>5</v>
      </c>
      <c r="F14" s="278"/>
      <c r="G14" s="278"/>
      <c r="H14" s="95"/>
      <c r="I14" s="95"/>
      <c r="J14" s="95"/>
      <c r="K14" s="320" t="s">
        <v>167</v>
      </c>
      <c r="L14" s="321"/>
      <c r="M14" s="19"/>
      <c r="N14" s="19"/>
      <c r="O14" s="140"/>
      <c r="P14" s="19"/>
      <c r="Q14" s="19"/>
      <c r="R14" s="19"/>
      <c r="S14" s="19"/>
      <c r="T14" s="19"/>
      <c r="U14" s="19"/>
      <c r="V14" s="19"/>
      <c r="W14" s="19"/>
      <c r="X14" s="19"/>
      <c r="Y14" s="19"/>
    </row>
    <row r="15" spans="1:31">
      <c r="A15" s="3"/>
      <c r="B15" s="3"/>
      <c r="D15" s="3"/>
      <c r="E15" s="278">
        <v>6</v>
      </c>
      <c r="F15" s="278"/>
      <c r="G15" s="278"/>
      <c r="H15" s="95"/>
      <c r="I15" s="95"/>
      <c r="J15" s="95"/>
      <c r="K15" s="286" t="s">
        <v>168</v>
      </c>
      <c r="L15" s="287"/>
      <c r="M15" s="19"/>
      <c r="N15" s="19"/>
      <c r="O15" s="19"/>
      <c r="P15" s="19"/>
      <c r="Q15" s="19"/>
      <c r="R15" s="140"/>
      <c r="S15" s="19"/>
      <c r="T15" s="19"/>
      <c r="U15" s="19"/>
      <c r="V15" s="19"/>
      <c r="W15" s="19"/>
      <c r="X15" s="19"/>
      <c r="Y15" s="19"/>
    </row>
    <row r="16" spans="1:31" ht="15.75">
      <c r="A16" s="3"/>
      <c r="B16" s="3"/>
      <c r="D16" s="3"/>
      <c r="E16" s="278">
        <v>7</v>
      </c>
      <c r="F16" s="278"/>
      <c r="G16" s="278"/>
      <c r="H16" s="95"/>
      <c r="I16" s="95"/>
      <c r="J16" s="95"/>
      <c r="K16" s="286" t="s">
        <v>169</v>
      </c>
      <c r="L16" s="287"/>
      <c r="M16" s="19"/>
      <c r="N16" s="19"/>
      <c r="O16" s="19"/>
      <c r="P16" s="19"/>
      <c r="Q16" s="19"/>
      <c r="R16" s="19"/>
      <c r="S16" s="19"/>
      <c r="T16" s="19"/>
      <c r="U16" s="19"/>
      <c r="V16" s="19"/>
      <c r="W16" s="19"/>
      <c r="X16" s="19"/>
      <c r="Y16" s="19"/>
    </row>
    <row r="17" spans="1:25" ht="15.75">
      <c r="A17" s="3"/>
      <c r="B17" s="3"/>
      <c r="D17" s="3"/>
      <c r="E17" s="278">
        <v>8</v>
      </c>
      <c r="F17" s="278"/>
      <c r="G17" s="278"/>
      <c r="H17" s="95"/>
      <c r="I17" s="95"/>
      <c r="J17" s="3"/>
      <c r="K17" s="286" t="s">
        <v>185</v>
      </c>
      <c r="L17" s="287"/>
      <c r="M17" s="19"/>
      <c r="N17" s="19"/>
      <c r="O17" s="140"/>
      <c r="P17" s="19"/>
      <c r="Q17" s="19"/>
      <c r="R17" s="140"/>
      <c r="S17" s="19"/>
      <c r="T17" s="19"/>
      <c r="U17" s="19"/>
      <c r="V17" s="19"/>
      <c r="W17" s="19"/>
      <c r="X17" s="19"/>
      <c r="Y17" s="19"/>
    </row>
    <row r="18" spans="1:25" ht="15.75">
      <c r="A18" s="3"/>
      <c r="B18" s="3"/>
      <c r="C18" s="3"/>
      <c r="D18" s="3"/>
      <c r="E18" s="288">
        <v>9</v>
      </c>
      <c r="F18" s="288"/>
      <c r="G18" s="288"/>
      <c r="H18" s="3"/>
      <c r="I18" s="3"/>
      <c r="J18" s="3"/>
      <c r="K18" s="286" t="s">
        <v>186</v>
      </c>
      <c r="L18" s="287"/>
      <c r="M18" s="19"/>
      <c r="N18" s="19"/>
      <c r="O18" s="19"/>
      <c r="P18" s="19"/>
      <c r="Q18" s="19"/>
      <c r="R18" s="19"/>
      <c r="S18" s="19"/>
      <c r="T18" s="19"/>
      <c r="U18" s="19"/>
      <c r="V18" s="19"/>
      <c r="W18" s="19"/>
      <c r="X18" s="19"/>
      <c r="Y18" s="19"/>
    </row>
    <row r="19" spans="1:25" ht="15" customHeight="1">
      <c r="A19" s="3"/>
      <c r="B19" s="3"/>
      <c r="C19" s="3"/>
      <c r="D19" s="3"/>
      <c r="E19" s="288">
        <v>10</v>
      </c>
      <c r="F19" s="288"/>
      <c r="G19" s="288"/>
      <c r="H19" s="3"/>
      <c r="I19" s="3"/>
      <c r="J19" s="3"/>
      <c r="K19" s="322" t="s">
        <v>173</v>
      </c>
      <c r="L19" s="323"/>
      <c r="M19" s="19"/>
      <c r="N19" s="19"/>
      <c r="O19" s="140"/>
      <c r="P19" s="19"/>
      <c r="Q19" s="19"/>
      <c r="R19" s="140"/>
      <c r="S19" s="19"/>
      <c r="T19" s="19"/>
      <c r="U19" s="19"/>
      <c r="V19" s="19"/>
      <c r="W19" s="19"/>
      <c r="X19" s="19"/>
      <c r="Y19" s="19"/>
    </row>
    <row r="20" spans="1:25">
      <c r="A20" s="3"/>
      <c r="B20" s="3"/>
      <c r="C20" s="3"/>
      <c r="D20" s="3"/>
      <c r="E20" s="288">
        <v>11</v>
      </c>
      <c r="F20" s="288"/>
      <c r="G20" s="288"/>
      <c r="H20" s="3"/>
      <c r="I20" s="3"/>
      <c r="J20" s="3"/>
      <c r="M20" s="19"/>
      <c r="N20" s="19"/>
      <c r="O20" s="140"/>
      <c r="P20" s="19"/>
      <c r="Q20" s="19"/>
      <c r="R20" s="140"/>
      <c r="S20" s="19"/>
      <c r="T20" s="19"/>
      <c r="U20" s="19"/>
      <c r="V20" s="19"/>
      <c r="W20" s="19"/>
      <c r="X20" s="19"/>
      <c r="Y20" s="19"/>
    </row>
    <row r="21" spans="1:25">
      <c r="A21" s="3"/>
      <c r="B21" s="3"/>
      <c r="C21" s="3"/>
      <c r="D21" s="3"/>
      <c r="E21" s="288">
        <v>12</v>
      </c>
      <c r="F21" s="288"/>
      <c r="G21" s="288"/>
      <c r="H21" s="3"/>
      <c r="I21" s="3"/>
      <c r="J21" s="3"/>
      <c r="K21" s="320" t="s">
        <v>174</v>
      </c>
      <c r="L21" s="321"/>
      <c r="M21" s="19"/>
      <c r="N21" s="19"/>
      <c r="O21" s="19"/>
      <c r="P21" s="19"/>
      <c r="Q21" s="19"/>
      <c r="R21" s="140"/>
      <c r="S21" s="19"/>
      <c r="T21" s="19"/>
      <c r="U21" s="19"/>
      <c r="V21" s="19"/>
      <c r="W21" s="19"/>
      <c r="X21" s="19"/>
      <c r="Y21" s="19"/>
    </row>
    <row r="22" spans="1:25">
      <c r="A22" s="3"/>
      <c r="B22" s="3"/>
      <c r="C22" s="3"/>
      <c r="D22" s="3"/>
      <c r="E22" s="288">
        <v>13</v>
      </c>
      <c r="F22" s="288"/>
      <c r="G22" s="288"/>
      <c r="H22" s="3"/>
      <c r="I22" s="3"/>
      <c r="J22" s="3"/>
      <c r="K22" s="286" t="s">
        <v>175</v>
      </c>
      <c r="L22" s="287"/>
      <c r="M22" s="19"/>
      <c r="N22" s="19"/>
      <c r="O22" s="140"/>
      <c r="P22" s="19"/>
      <c r="Q22" s="19"/>
      <c r="R22" s="140"/>
      <c r="S22" s="19"/>
      <c r="T22" s="19"/>
      <c r="U22" s="19"/>
      <c r="V22" s="19"/>
      <c r="W22" s="19"/>
      <c r="X22" s="19"/>
      <c r="Y22" s="19"/>
    </row>
    <row r="23" spans="1:25">
      <c r="A23" s="3"/>
      <c r="B23" s="3"/>
      <c r="C23" s="3"/>
      <c r="D23" s="3"/>
      <c r="E23" s="288">
        <v>14</v>
      </c>
      <c r="F23" s="288"/>
      <c r="G23" s="288"/>
      <c r="H23" s="3"/>
      <c r="I23" s="3"/>
      <c r="J23" s="3"/>
      <c r="K23" s="134"/>
      <c r="L23" s="134"/>
      <c r="M23" s="19"/>
      <c r="N23" s="19"/>
      <c r="O23" s="140"/>
      <c r="P23" s="19"/>
      <c r="Q23" s="19"/>
      <c r="R23" s="140"/>
      <c r="S23" s="19"/>
      <c r="T23" s="19"/>
      <c r="U23" s="19"/>
      <c r="V23" s="19"/>
      <c r="W23" s="19"/>
      <c r="X23" s="19"/>
      <c r="Y23" s="19"/>
    </row>
    <row r="24" spans="1:25">
      <c r="A24" s="3"/>
      <c r="B24" s="3"/>
      <c r="C24" s="3"/>
      <c r="D24" s="3"/>
      <c r="E24" s="288">
        <v>15</v>
      </c>
      <c r="F24" s="288"/>
      <c r="G24" s="288"/>
      <c r="H24" s="3"/>
      <c r="I24" s="3"/>
      <c r="J24" s="3"/>
      <c r="K24" s="134"/>
      <c r="L24" s="134"/>
      <c r="M24" s="19"/>
      <c r="N24" s="19"/>
      <c r="O24" s="140"/>
      <c r="P24" s="19"/>
      <c r="Q24" s="19"/>
      <c r="R24" s="140"/>
      <c r="S24" s="19"/>
      <c r="T24" s="19"/>
      <c r="U24" s="19"/>
      <c r="V24" s="19"/>
      <c r="W24" s="19"/>
      <c r="X24" s="19"/>
      <c r="Y24" s="19"/>
    </row>
    <row r="25" spans="1:25">
      <c r="A25" s="3"/>
      <c r="B25" s="3"/>
      <c r="C25" s="3"/>
      <c r="D25" s="3"/>
      <c r="E25" s="288">
        <v>16</v>
      </c>
      <c r="F25" s="288"/>
      <c r="G25" s="288"/>
      <c r="H25" s="3"/>
      <c r="I25" s="3"/>
      <c r="K25" s="134"/>
      <c r="L25" s="134"/>
      <c r="M25" s="19"/>
      <c r="N25" s="19"/>
      <c r="O25" s="19"/>
      <c r="P25" s="19"/>
      <c r="Q25" s="19"/>
      <c r="R25" s="140"/>
      <c r="S25" s="19"/>
      <c r="T25" s="19"/>
      <c r="U25" s="19"/>
      <c r="V25" s="19"/>
      <c r="W25" s="19"/>
      <c r="X25" s="19"/>
      <c r="Y25" s="19"/>
    </row>
    <row r="26" spans="1:25">
      <c r="K26" s="134"/>
      <c r="L26" s="134"/>
      <c r="M26" s="19"/>
      <c r="N26" s="19"/>
      <c r="O26" s="19"/>
      <c r="P26" s="19"/>
      <c r="Q26" s="19"/>
      <c r="R26" s="19"/>
      <c r="S26" s="19"/>
      <c r="T26" s="19"/>
      <c r="U26" s="19"/>
      <c r="V26" s="19"/>
      <c r="W26" s="19"/>
      <c r="X26" s="19"/>
      <c r="Y26" s="19"/>
    </row>
    <row r="27" spans="1:25">
      <c r="K27" s="134"/>
      <c r="L27" s="134"/>
      <c r="M27" s="19"/>
      <c r="N27" s="19"/>
      <c r="O27" s="19"/>
      <c r="P27" s="19"/>
      <c r="Q27" s="19"/>
      <c r="R27" s="19"/>
      <c r="S27" s="19"/>
      <c r="T27" s="19"/>
      <c r="U27" s="19"/>
      <c r="V27" s="19"/>
      <c r="W27" s="19"/>
      <c r="X27" s="19"/>
      <c r="Y27" s="19"/>
    </row>
    <row r="28" spans="1:25">
      <c r="K28" s="134"/>
      <c r="L28" s="134"/>
      <c r="M28" s="19"/>
      <c r="N28" s="19"/>
      <c r="O28" s="19"/>
      <c r="P28" s="19"/>
      <c r="Q28" s="19"/>
      <c r="R28" s="19"/>
      <c r="S28" s="19"/>
      <c r="T28" s="19"/>
      <c r="U28" s="19"/>
      <c r="V28" s="19"/>
      <c r="W28" s="19"/>
      <c r="X28" s="19"/>
      <c r="Y28" s="19"/>
    </row>
    <row r="29" spans="1:25">
      <c r="K29" s="134"/>
      <c r="L29" s="134"/>
      <c r="M29" s="19"/>
      <c r="N29" s="19"/>
      <c r="O29" s="19"/>
      <c r="P29" s="19"/>
      <c r="Q29" s="19"/>
      <c r="R29" s="19"/>
      <c r="S29" s="19"/>
      <c r="T29" s="19"/>
      <c r="U29" s="19"/>
      <c r="V29" s="19"/>
      <c r="W29" s="19"/>
      <c r="X29" s="19"/>
      <c r="Y29" s="19"/>
    </row>
    <row r="30" spans="1:25">
      <c r="K30" s="145"/>
      <c r="L30" s="145"/>
      <c r="M30" s="19"/>
      <c r="N30" s="19"/>
      <c r="O30" s="19"/>
      <c r="P30" s="19"/>
      <c r="Q30" s="19"/>
      <c r="R30" s="19"/>
      <c r="S30" s="19"/>
      <c r="T30" s="19"/>
      <c r="U30" s="19"/>
      <c r="V30" s="19"/>
      <c r="W30" s="19"/>
      <c r="X30" s="19"/>
      <c r="Y30" s="19"/>
    </row>
    <row r="31" spans="1:25">
      <c r="K31" s="141"/>
      <c r="L31" s="141"/>
      <c r="M31" s="19"/>
      <c r="N31" s="19"/>
      <c r="O31" s="19"/>
      <c r="P31" s="19"/>
      <c r="Q31" s="19"/>
      <c r="R31" s="19"/>
      <c r="S31" s="19"/>
      <c r="T31" s="19"/>
      <c r="U31" s="19"/>
      <c r="V31" s="19"/>
      <c r="W31" s="19"/>
      <c r="X31" s="19"/>
      <c r="Y31" s="19"/>
    </row>
    <row r="32" spans="1:25">
      <c r="K32" s="141"/>
      <c r="L32" s="141"/>
      <c r="M32" s="19"/>
      <c r="N32" s="19"/>
      <c r="O32" s="19"/>
      <c r="P32" s="19"/>
      <c r="Q32" s="19"/>
      <c r="R32" s="19"/>
      <c r="S32" s="19"/>
      <c r="T32" s="19"/>
      <c r="U32" s="19"/>
      <c r="V32" s="19"/>
      <c r="W32" s="19"/>
      <c r="X32" s="19"/>
      <c r="Y32" s="19"/>
    </row>
    <row r="33" spans="11:25">
      <c r="K33" s="141"/>
      <c r="L33" s="141"/>
      <c r="M33" s="19"/>
      <c r="N33" s="19"/>
      <c r="O33" s="19"/>
      <c r="P33" s="19"/>
      <c r="Q33" s="19"/>
      <c r="R33" s="19"/>
      <c r="S33" s="19"/>
      <c r="T33" s="19"/>
      <c r="U33" s="19"/>
      <c r="V33" s="19"/>
      <c r="W33" s="19"/>
      <c r="X33" s="19"/>
      <c r="Y33" s="19"/>
    </row>
    <row r="34" spans="11:25">
      <c r="K34" s="141"/>
      <c r="L34" s="141"/>
      <c r="M34" s="19"/>
      <c r="N34" s="19"/>
      <c r="O34" s="19"/>
      <c r="P34" s="19"/>
      <c r="Q34" s="19"/>
      <c r="R34" s="19"/>
      <c r="S34" s="19"/>
      <c r="T34" s="19"/>
      <c r="U34" s="19"/>
      <c r="V34" s="19"/>
      <c r="W34" s="19"/>
      <c r="X34" s="19"/>
      <c r="Y34" s="19"/>
    </row>
    <row r="35" spans="11:25">
      <c r="K35" s="142"/>
      <c r="L35" s="142"/>
    </row>
    <row r="36" spans="11:25">
      <c r="K36" s="95"/>
      <c r="L36" s="95"/>
    </row>
    <row r="37" spans="11:25">
      <c r="K37" s="95"/>
      <c r="L37" s="95"/>
    </row>
    <row r="38" spans="11:25">
      <c r="K38" s="143"/>
      <c r="L38" s="144"/>
    </row>
  </sheetData>
  <mergeCells count="45">
    <mergeCell ref="M10:AE10"/>
    <mergeCell ref="H1:I1"/>
    <mergeCell ref="A3:L3"/>
    <mergeCell ref="B4:D4"/>
    <mergeCell ref="E4:G4"/>
    <mergeCell ref="I4:J4"/>
    <mergeCell ref="K4:L4"/>
    <mergeCell ref="B5:D5"/>
    <mergeCell ref="E5:G5"/>
    <mergeCell ref="I5:J5"/>
    <mergeCell ref="K5:L5"/>
    <mergeCell ref="E6:G6"/>
    <mergeCell ref="I6:J6"/>
    <mergeCell ref="K6:L6"/>
    <mergeCell ref="E10:G10"/>
    <mergeCell ref="B6:D6"/>
    <mergeCell ref="E11:G11"/>
    <mergeCell ref="E12:G12"/>
    <mergeCell ref="A7:L7"/>
    <mergeCell ref="E9:G9"/>
    <mergeCell ref="K9:L9"/>
    <mergeCell ref="K11:L11"/>
    <mergeCell ref="K12:L12"/>
    <mergeCell ref="K10:L10"/>
    <mergeCell ref="E25:G25"/>
    <mergeCell ref="E22:G22"/>
    <mergeCell ref="E23:G23"/>
    <mergeCell ref="E24:G24"/>
    <mergeCell ref="E19:G19"/>
    <mergeCell ref="E20:G20"/>
    <mergeCell ref="E21:G21"/>
    <mergeCell ref="K22:L22"/>
    <mergeCell ref="K14:L14"/>
    <mergeCell ref="K15:L15"/>
    <mergeCell ref="K16:L16"/>
    <mergeCell ref="K17:L17"/>
    <mergeCell ref="K18:L18"/>
    <mergeCell ref="K21:L21"/>
    <mergeCell ref="K19:L19"/>
    <mergeCell ref="E16:G16"/>
    <mergeCell ref="E17:G17"/>
    <mergeCell ref="E18:G18"/>
    <mergeCell ref="E13:G13"/>
    <mergeCell ref="E14:G14"/>
    <mergeCell ref="E15:G15"/>
  </mergeCells>
  <pageMargins left="0.5" right="0.5" top="0.75" bottom="0.75" header="0.3" footer="0.3"/>
  <pageSetup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53"/>
  <sheetViews>
    <sheetView topLeftCell="A32" zoomScaleNormal="100" workbookViewId="0">
      <selection activeCell="D27" sqref="D27:I27"/>
    </sheetView>
  </sheetViews>
  <sheetFormatPr defaultRowHeight="15"/>
  <cols>
    <col min="1" max="1" width="4.5703125" customWidth="1"/>
    <col min="2" max="2" width="18" customWidth="1"/>
    <col min="3" max="3" width="16.42578125" customWidth="1"/>
    <col min="4" max="4" width="17" customWidth="1"/>
    <col min="5" max="5" width="11.5703125" customWidth="1"/>
    <col min="6" max="6" width="10.5703125" customWidth="1"/>
    <col min="7" max="7" width="21.42578125" customWidth="1"/>
    <col min="8" max="8" width="11" customWidth="1"/>
    <col min="9" max="9" width="31.42578125" customWidth="1"/>
  </cols>
  <sheetData>
    <row r="1" spans="1:20">
      <c r="B1" s="22"/>
      <c r="C1" t="s">
        <v>87</v>
      </c>
      <c r="D1" s="23"/>
      <c r="E1" t="s">
        <v>88</v>
      </c>
      <c r="G1" s="258"/>
      <c r="H1" s="258"/>
      <c r="I1" t="s">
        <v>89</v>
      </c>
      <c r="K1" s="24"/>
      <c r="L1" t="s">
        <v>90</v>
      </c>
    </row>
    <row r="2" spans="1:20">
      <c r="A2" s="3"/>
      <c r="B2" s="3"/>
      <c r="C2" s="3"/>
      <c r="D2" s="3"/>
      <c r="E2" s="3"/>
      <c r="F2" s="3"/>
      <c r="G2" s="3"/>
      <c r="H2" s="3"/>
      <c r="I2" s="3"/>
    </row>
    <row r="3" spans="1:20" ht="15" customHeight="1">
      <c r="A3" s="365" t="s">
        <v>187</v>
      </c>
      <c r="B3" s="366"/>
      <c r="C3" s="366"/>
      <c r="D3" s="366"/>
      <c r="E3" s="366"/>
      <c r="F3" s="366"/>
      <c r="G3" s="366"/>
      <c r="H3" s="366"/>
      <c r="I3" s="367"/>
    </row>
    <row r="4" spans="1:20" ht="18.600000000000001" customHeight="1">
      <c r="A4" s="368" t="s">
        <v>188</v>
      </c>
      <c r="B4" s="369"/>
      <c r="C4" s="369"/>
      <c r="D4" s="369"/>
      <c r="E4" s="369"/>
      <c r="F4" s="369"/>
      <c r="G4" s="369"/>
      <c r="H4" s="369"/>
      <c r="I4" s="370"/>
      <c r="J4" s="19"/>
    </row>
    <row r="5" spans="1:20" ht="18.600000000000001" customHeight="1">
      <c r="A5" s="230"/>
      <c r="B5" s="230"/>
      <c r="C5" s="230"/>
      <c r="D5" s="230"/>
      <c r="E5" s="230"/>
      <c r="F5" s="230"/>
      <c r="G5" s="230"/>
      <c r="H5" s="230"/>
      <c r="I5" s="231"/>
      <c r="J5" s="19"/>
    </row>
    <row r="6" spans="1:20" ht="16.5" customHeight="1">
      <c r="A6" s="343" t="s">
        <v>189</v>
      </c>
      <c r="B6" s="343"/>
      <c r="C6" s="343"/>
      <c r="D6" s="343"/>
      <c r="E6" s="343"/>
      <c r="F6" s="343"/>
      <c r="G6" s="343"/>
      <c r="H6" s="343"/>
      <c r="I6" s="344"/>
      <c r="J6" s="19"/>
    </row>
    <row r="7" spans="1:20" ht="18" customHeight="1">
      <c r="A7" s="374" t="s">
        <v>118</v>
      </c>
      <c r="B7" s="375"/>
      <c r="C7" s="375"/>
      <c r="D7" s="375"/>
      <c r="E7" s="375"/>
      <c r="F7" s="375"/>
      <c r="G7" s="375"/>
      <c r="H7" s="375"/>
      <c r="I7" s="376"/>
    </row>
    <row r="8" spans="1:20">
      <c r="A8" s="59" t="s">
        <v>190</v>
      </c>
      <c r="B8" s="371" t="s">
        <v>191</v>
      </c>
      <c r="C8" s="372"/>
      <c r="D8" s="373" t="s">
        <v>192</v>
      </c>
      <c r="E8" s="371"/>
      <c r="F8" s="371"/>
      <c r="G8" s="371"/>
      <c r="H8" s="371"/>
      <c r="I8" s="372"/>
      <c r="J8" s="156" t="s">
        <v>193</v>
      </c>
      <c r="K8" s="118"/>
      <c r="L8" s="118"/>
      <c r="M8" s="118"/>
      <c r="N8" s="118"/>
      <c r="O8" s="118"/>
      <c r="P8" s="118"/>
      <c r="Q8" s="118"/>
      <c r="R8" s="118"/>
      <c r="S8" s="118"/>
      <c r="T8" s="118"/>
    </row>
    <row r="9" spans="1:20" ht="30" customHeight="1">
      <c r="A9" s="59" t="s">
        <v>190</v>
      </c>
      <c r="B9" s="377" t="s">
        <v>194</v>
      </c>
      <c r="C9" s="372"/>
      <c r="D9" s="379" t="s">
        <v>195</v>
      </c>
      <c r="E9" s="380"/>
      <c r="F9" s="380"/>
      <c r="G9" s="380"/>
      <c r="H9" s="380"/>
      <c r="I9" s="381"/>
      <c r="J9" s="179" t="s">
        <v>196</v>
      </c>
      <c r="K9" s="157"/>
      <c r="L9" s="157"/>
      <c r="M9" s="157"/>
      <c r="N9" s="157"/>
      <c r="O9" s="157"/>
      <c r="P9" s="157"/>
      <c r="Q9" s="157"/>
      <c r="R9" s="157"/>
      <c r="S9" s="157"/>
      <c r="T9" s="157"/>
    </row>
    <row r="10" spans="1:20" ht="28.5" customHeight="1">
      <c r="A10" s="59" t="s">
        <v>190</v>
      </c>
      <c r="B10" s="359" t="s">
        <v>197</v>
      </c>
      <c r="C10" s="382"/>
      <c r="D10" s="333" t="s">
        <v>198</v>
      </c>
      <c r="E10" s="334"/>
      <c r="F10" s="334"/>
      <c r="G10" s="334"/>
      <c r="H10" s="334"/>
      <c r="I10" s="335"/>
      <c r="J10" s="179" t="s">
        <v>199</v>
      </c>
      <c r="K10" s="157"/>
      <c r="L10" s="157"/>
      <c r="M10" s="157"/>
      <c r="N10" s="157"/>
      <c r="O10" s="157"/>
      <c r="P10" s="157"/>
      <c r="Q10" s="157"/>
      <c r="R10" s="157"/>
      <c r="S10" s="157"/>
      <c r="T10" s="157"/>
    </row>
    <row r="11" spans="1:20" ht="42.75" customHeight="1">
      <c r="A11" s="59" t="s">
        <v>190</v>
      </c>
      <c r="B11" s="359" t="s">
        <v>200</v>
      </c>
      <c r="C11" s="360"/>
      <c r="D11" s="361" t="s">
        <v>201</v>
      </c>
      <c r="E11" s="362"/>
      <c r="F11" s="362"/>
      <c r="G11" s="362"/>
      <c r="H11" s="362"/>
      <c r="I11" s="363"/>
      <c r="J11" s="157" t="s">
        <v>202</v>
      </c>
      <c r="K11" s="131"/>
      <c r="L11" s="131"/>
      <c r="M11" s="131"/>
      <c r="N11" s="131"/>
      <c r="O11" s="131"/>
      <c r="P11" s="131"/>
      <c r="Q11" s="131"/>
      <c r="R11" s="131"/>
      <c r="S11" s="131"/>
      <c r="T11" s="131"/>
    </row>
    <row r="12" spans="1:20" ht="39.6" customHeight="1">
      <c r="A12" s="154" t="s">
        <v>190</v>
      </c>
      <c r="B12" s="359" t="s">
        <v>203</v>
      </c>
      <c r="C12" s="360"/>
      <c r="D12" s="361" t="s">
        <v>204</v>
      </c>
      <c r="E12" s="362"/>
      <c r="F12" s="362"/>
      <c r="G12" s="362"/>
      <c r="H12" s="378"/>
      <c r="I12" s="378"/>
      <c r="J12" s="353" t="s">
        <v>205</v>
      </c>
      <c r="K12" s="354"/>
      <c r="L12" s="354"/>
      <c r="M12" s="354"/>
      <c r="N12" s="354"/>
      <c r="O12" s="118"/>
      <c r="P12" s="118"/>
      <c r="Q12" s="118"/>
      <c r="R12" s="118"/>
      <c r="S12" s="118"/>
      <c r="T12" s="118"/>
    </row>
    <row r="13" spans="1:20" ht="39.6" customHeight="1">
      <c r="A13" s="158" t="s">
        <v>190</v>
      </c>
      <c r="B13" s="359" t="s">
        <v>206</v>
      </c>
      <c r="C13" s="360"/>
      <c r="D13" s="361" t="s">
        <v>207</v>
      </c>
      <c r="E13" s="362"/>
      <c r="F13" s="362"/>
      <c r="G13" s="362"/>
      <c r="H13" s="362"/>
      <c r="I13" s="363"/>
      <c r="J13" s="353" t="s">
        <v>205</v>
      </c>
      <c r="K13" s="354"/>
      <c r="L13" s="354"/>
      <c r="M13" s="354"/>
      <c r="N13" s="354"/>
      <c r="O13" s="118"/>
      <c r="P13" s="118"/>
      <c r="Q13" s="118"/>
      <c r="R13" s="118"/>
      <c r="S13" s="118"/>
      <c r="T13" s="118"/>
    </row>
    <row r="14" spans="1:20" ht="39.6" customHeight="1">
      <c r="A14" s="158" t="s">
        <v>190</v>
      </c>
      <c r="B14" s="359" t="s">
        <v>208</v>
      </c>
      <c r="C14" s="360"/>
      <c r="D14" s="361" t="s">
        <v>209</v>
      </c>
      <c r="E14" s="362"/>
      <c r="F14" s="362"/>
      <c r="G14" s="362"/>
      <c r="H14" s="362"/>
      <c r="I14" s="363"/>
      <c r="J14" s="353" t="s">
        <v>205</v>
      </c>
      <c r="K14" s="354"/>
      <c r="L14" s="354"/>
      <c r="M14" s="354"/>
      <c r="N14" s="354"/>
      <c r="O14" s="118"/>
      <c r="P14" s="118"/>
      <c r="Q14" s="118"/>
      <c r="R14" s="118"/>
      <c r="S14" s="118"/>
      <c r="T14" s="118"/>
    </row>
    <row r="15" spans="1:20" ht="15.75">
      <c r="A15" s="364" t="s">
        <v>210</v>
      </c>
      <c r="B15" s="364"/>
      <c r="C15" s="364"/>
      <c r="D15" s="364"/>
      <c r="E15" s="364"/>
      <c r="F15" s="364"/>
      <c r="G15" s="364"/>
      <c r="H15" s="364"/>
      <c r="I15" s="364"/>
    </row>
    <row r="16" spans="1:20">
      <c r="A16" s="3"/>
      <c r="B16" s="3"/>
      <c r="C16" s="3"/>
      <c r="D16" s="3"/>
      <c r="E16" s="3"/>
      <c r="F16" s="3"/>
      <c r="G16" s="78"/>
      <c r="H16" s="3"/>
      <c r="I16" s="3"/>
    </row>
    <row r="17" spans="1:18">
      <c r="A17" s="3"/>
      <c r="B17" s="3"/>
      <c r="C17" s="3"/>
      <c r="D17" s="3"/>
      <c r="E17" s="3"/>
      <c r="F17" s="3"/>
      <c r="G17" s="3"/>
      <c r="H17" s="3"/>
      <c r="I17" s="3"/>
    </row>
    <row r="18" spans="1:18">
      <c r="A18" s="3"/>
      <c r="B18" s="3"/>
      <c r="C18" s="3"/>
      <c r="D18" s="3"/>
      <c r="E18" s="3"/>
      <c r="F18" s="3"/>
      <c r="G18" s="3"/>
      <c r="H18" s="3"/>
      <c r="I18" s="3"/>
    </row>
    <row r="22" spans="1:18" ht="16.5" customHeight="1">
      <c r="A22" s="331" t="s">
        <v>211</v>
      </c>
      <c r="B22" s="331"/>
      <c r="C22" s="331"/>
      <c r="D22" s="331"/>
      <c r="E22" s="331"/>
      <c r="F22" s="331"/>
      <c r="G22" s="331"/>
      <c r="H22" s="331"/>
      <c r="I22" s="332"/>
      <c r="J22" s="19"/>
    </row>
    <row r="23" spans="1:18" ht="18" customHeight="1">
      <c r="A23" s="345" t="s">
        <v>118</v>
      </c>
      <c r="B23" s="346"/>
      <c r="C23" s="346"/>
      <c r="D23" s="346"/>
      <c r="E23" s="346"/>
      <c r="F23" s="346"/>
      <c r="G23" s="346"/>
      <c r="H23" s="346"/>
      <c r="I23" s="347"/>
    </row>
    <row r="24" spans="1:18" ht="30.6" customHeight="1">
      <c r="A24" s="154" t="s">
        <v>190</v>
      </c>
      <c r="B24" s="341" t="s">
        <v>212</v>
      </c>
      <c r="C24" s="342"/>
      <c r="D24" s="340" t="s">
        <v>213</v>
      </c>
      <c r="E24" s="341"/>
      <c r="F24" s="341"/>
      <c r="G24" s="341"/>
      <c r="H24" s="341"/>
      <c r="I24" s="342"/>
      <c r="J24" s="36"/>
      <c r="K24" s="118"/>
    </row>
    <row r="25" spans="1:18" ht="30" customHeight="1">
      <c r="A25" s="158" t="s">
        <v>190</v>
      </c>
      <c r="B25" s="341" t="s">
        <v>214</v>
      </c>
      <c r="C25" s="355"/>
      <c r="D25" s="356" t="s">
        <v>215</v>
      </c>
      <c r="E25" s="357"/>
      <c r="F25" s="357"/>
      <c r="G25" s="357"/>
      <c r="H25" s="357"/>
      <c r="I25" s="358"/>
      <c r="J25" s="156" t="s">
        <v>216</v>
      </c>
      <c r="K25" s="118"/>
      <c r="L25" s="118"/>
      <c r="M25" s="118"/>
      <c r="N25" s="118"/>
    </row>
    <row r="26" spans="1:18" ht="30" customHeight="1">
      <c r="A26" s="218" t="s">
        <v>190</v>
      </c>
      <c r="B26" s="341" t="s">
        <v>217</v>
      </c>
      <c r="C26" s="355"/>
      <c r="D26" s="337" t="s">
        <v>218</v>
      </c>
      <c r="E26" s="338"/>
      <c r="F26" s="338"/>
      <c r="G26" s="338"/>
      <c r="H26" s="338"/>
      <c r="I26" s="339"/>
      <c r="J26" s="156" t="s">
        <v>216</v>
      </c>
      <c r="K26" s="118"/>
      <c r="L26" s="118"/>
      <c r="M26" s="118"/>
      <c r="N26" s="118"/>
      <c r="O26" s="19"/>
      <c r="P26" s="19"/>
      <c r="Q26" s="19"/>
      <c r="R26" s="19"/>
    </row>
    <row r="27" spans="1:18" ht="30" customHeight="1">
      <c r="A27" s="158" t="s">
        <v>190</v>
      </c>
      <c r="B27" s="341" t="s">
        <v>219</v>
      </c>
      <c r="C27" s="355"/>
      <c r="D27" s="356" t="s">
        <v>220</v>
      </c>
      <c r="E27" s="357"/>
      <c r="F27" s="357"/>
      <c r="G27" s="357"/>
      <c r="H27" s="357"/>
      <c r="I27" s="358"/>
      <c r="J27" s="156" t="s">
        <v>216</v>
      </c>
      <c r="K27" s="118"/>
      <c r="L27" s="118"/>
      <c r="M27" s="118"/>
      <c r="N27" s="118"/>
    </row>
    <row r="28" spans="1:18" ht="30" customHeight="1">
      <c r="A28" s="154" t="s">
        <v>190</v>
      </c>
      <c r="B28" s="341" t="s">
        <v>221</v>
      </c>
      <c r="C28" s="355"/>
      <c r="D28" s="356" t="s">
        <v>222</v>
      </c>
      <c r="E28" s="357"/>
      <c r="F28" s="357"/>
      <c r="G28" s="357"/>
      <c r="H28" s="357"/>
      <c r="I28" s="358"/>
      <c r="J28" s="156" t="s">
        <v>216</v>
      </c>
      <c r="K28" s="118"/>
      <c r="L28" s="118"/>
      <c r="M28" s="118"/>
      <c r="N28" s="118"/>
    </row>
    <row r="29" spans="1:18" ht="59.1" customHeight="1">
      <c r="A29" s="247" t="s">
        <v>190</v>
      </c>
      <c r="B29" s="334" t="s">
        <v>223</v>
      </c>
      <c r="C29" s="336"/>
      <c r="D29" s="337" t="s">
        <v>224</v>
      </c>
      <c r="E29" s="338"/>
      <c r="F29" s="338"/>
      <c r="G29" s="338"/>
      <c r="H29" s="338"/>
      <c r="I29" s="339"/>
      <c r="J29" s="156" t="s">
        <v>216</v>
      </c>
      <c r="K29" s="118"/>
      <c r="L29" s="118"/>
      <c r="M29" s="118"/>
      <c r="N29" s="118"/>
    </row>
    <row r="30" spans="1:18" ht="39" customHeight="1">
      <c r="A30" s="248" t="s">
        <v>190</v>
      </c>
      <c r="B30" s="316" t="s">
        <v>225</v>
      </c>
      <c r="C30" s="334"/>
      <c r="D30" s="334"/>
      <c r="E30" s="334"/>
      <c r="F30" s="334"/>
      <c r="G30" s="334"/>
      <c r="H30" s="334"/>
      <c r="I30" s="335"/>
      <c r="J30" s="156" t="s">
        <v>216</v>
      </c>
      <c r="K30" s="118"/>
      <c r="L30" s="118"/>
      <c r="M30" s="118"/>
      <c r="N30" s="118"/>
    </row>
    <row r="31" spans="1:18" ht="41.1" customHeight="1">
      <c r="A31" s="247" t="s">
        <v>190</v>
      </c>
      <c r="B31" s="348" t="s">
        <v>226</v>
      </c>
      <c r="C31" s="349"/>
      <c r="D31" s="350" t="s">
        <v>227</v>
      </c>
      <c r="E31" s="351"/>
      <c r="F31" s="351"/>
      <c r="G31" s="351"/>
      <c r="H31" s="351"/>
      <c r="I31" s="352"/>
      <c r="J31" s="156" t="s">
        <v>216</v>
      </c>
    </row>
    <row r="38" spans="1:11" ht="16.5" customHeight="1">
      <c r="A38" s="343" t="s">
        <v>228</v>
      </c>
      <c r="B38" s="343"/>
      <c r="C38" s="343"/>
      <c r="D38" s="343"/>
      <c r="E38" s="343"/>
      <c r="F38" s="343"/>
      <c r="G38" s="343"/>
      <c r="H38" s="343"/>
      <c r="I38" s="344"/>
      <c r="J38" s="19"/>
    </row>
    <row r="39" spans="1:11" ht="18" customHeight="1">
      <c r="A39" s="345" t="s">
        <v>118</v>
      </c>
      <c r="B39" s="346"/>
      <c r="C39" s="346"/>
      <c r="D39" s="346"/>
      <c r="E39" s="346"/>
      <c r="F39" s="346"/>
      <c r="G39" s="346"/>
      <c r="H39" s="346"/>
      <c r="I39" s="347"/>
    </row>
    <row r="40" spans="1:11" ht="57.6" customHeight="1">
      <c r="A40" s="154" t="s">
        <v>190</v>
      </c>
      <c r="B40" s="333" t="s">
        <v>229</v>
      </c>
      <c r="C40" s="334"/>
      <c r="D40" s="334"/>
      <c r="E40" s="334"/>
      <c r="F40" s="334"/>
      <c r="G40" s="334"/>
      <c r="H40" s="334"/>
      <c r="I40" s="335"/>
      <c r="J40" s="156" t="s">
        <v>230</v>
      </c>
      <c r="K40" s="118"/>
    </row>
    <row r="53" spans="8:8">
      <c r="H53" t="s">
        <v>231</v>
      </c>
    </row>
  </sheetData>
  <mergeCells count="44">
    <mergeCell ref="B9:C9"/>
    <mergeCell ref="B13:C13"/>
    <mergeCell ref="B12:C12"/>
    <mergeCell ref="D12:G12"/>
    <mergeCell ref="H12:I12"/>
    <mergeCell ref="D9:I9"/>
    <mergeCell ref="B10:C10"/>
    <mergeCell ref="D10:I10"/>
    <mergeCell ref="B11:C11"/>
    <mergeCell ref="D13:I13"/>
    <mergeCell ref="D11:I11"/>
    <mergeCell ref="G1:H1"/>
    <mergeCell ref="A3:I3"/>
    <mergeCell ref="A4:I4"/>
    <mergeCell ref="B8:C8"/>
    <mergeCell ref="D8:I8"/>
    <mergeCell ref="A7:I7"/>
    <mergeCell ref="A6:I6"/>
    <mergeCell ref="J12:N12"/>
    <mergeCell ref="J13:N13"/>
    <mergeCell ref="J14:N14"/>
    <mergeCell ref="B28:C28"/>
    <mergeCell ref="D28:I28"/>
    <mergeCell ref="B25:C25"/>
    <mergeCell ref="D25:I25"/>
    <mergeCell ref="B26:C26"/>
    <mergeCell ref="D26:I26"/>
    <mergeCell ref="B27:C27"/>
    <mergeCell ref="D27:I27"/>
    <mergeCell ref="B14:C14"/>
    <mergeCell ref="D14:I14"/>
    <mergeCell ref="A23:I23"/>
    <mergeCell ref="B24:C24"/>
    <mergeCell ref="A15:I15"/>
    <mergeCell ref="A22:I22"/>
    <mergeCell ref="B40:I40"/>
    <mergeCell ref="B29:C29"/>
    <mergeCell ref="D29:I29"/>
    <mergeCell ref="B30:I30"/>
    <mergeCell ref="D24:I24"/>
    <mergeCell ref="A38:I38"/>
    <mergeCell ref="A39:I39"/>
    <mergeCell ref="B31:C31"/>
    <mergeCell ref="D31:I31"/>
  </mergeCells>
  <pageMargins left="0.5" right="0.5" top="0.75" bottom="0.75" header="0.3" footer="0.3"/>
  <pageSetup scale="90"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CEEF-8F75-4456-A16E-6D40184BC822}">
  <sheetPr>
    <pageSetUpPr fitToPage="1"/>
  </sheetPr>
  <dimension ref="A1:T49"/>
  <sheetViews>
    <sheetView topLeftCell="A11" zoomScaleNormal="100" workbookViewId="0">
      <selection activeCell="D24" sqref="D24:I24"/>
    </sheetView>
  </sheetViews>
  <sheetFormatPr defaultColWidth="8.85546875" defaultRowHeight="15"/>
  <cols>
    <col min="1" max="1" width="4.5703125" customWidth="1"/>
    <col min="2" max="2" width="18" customWidth="1"/>
    <col min="3" max="3" width="16.42578125" customWidth="1"/>
    <col min="4" max="4" width="17" customWidth="1"/>
    <col min="5" max="5" width="11.5703125" customWidth="1"/>
    <col min="6" max="6" width="10.5703125" customWidth="1"/>
    <col min="7" max="7" width="21.42578125" customWidth="1"/>
    <col min="8" max="8" width="11" customWidth="1"/>
    <col min="9" max="9" width="31.42578125" customWidth="1"/>
  </cols>
  <sheetData>
    <row r="1" spans="1:20">
      <c r="B1" s="22"/>
      <c r="C1" t="s">
        <v>87</v>
      </c>
      <c r="D1" s="23"/>
      <c r="E1" t="s">
        <v>88</v>
      </c>
      <c r="G1" s="258"/>
      <c r="H1" s="258"/>
      <c r="I1" t="s">
        <v>89</v>
      </c>
      <c r="K1" s="24"/>
      <c r="L1" t="s">
        <v>90</v>
      </c>
    </row>
    <row r="2" spans="1:20">
      <c r="A2" s="3"/>
      <c r="B2" s="3"/>
      <c r="C2" s="3"/>
      <c r="D2" s="3"/>
      <c r="E2" s="3"/>
      <c r="F2" s="3"/>
      <c r="G2" s="3"/>
      <c r="H2" s="3"/>
      <c r="I2" s="3"/>
    </row>
    <row r="3" spans="1:20" ht="15" customHeight="1">
      <c r="A3" s="365" t="s">
        <v>187</v>
      </c>
      <c r="B3" s="366"/>
      <c r="C3" s="366"/>
      <c r="D3" s="366"/>
      <c r="E3" s="366"/>
      <c r="F3" s="366"/>
      <c r="G3" s="366"/>
      <c r="H3" s="366"/>
      <c r="I3" s="367"/>
    </row>
    <row r="4" spans="1:20" ht="18.600000000000001" customHeight="1">
      <c r="A4" s="368" t="s">
        <v>232</v>
      </c>
      <c r="B4" s="369"/>
      <c r="C4" s="369"/>
      <c r="D4" s="369"/>
      <c r="E4" s="369"/>
      <c r="F4" s="369"/>
      <c r="G4" s="369"/>
      <c r="H4" s="369"/>
      <c r="I4" s="370"/>
      <c r="J4" s="19"/>
    </row>
    <row r="5" spans="1:20" ht="18.600000000000001" customHeight="1">
      <c r="A5" s="230"/>
      <c r="B5" s="230"/>
      <c r="C5" s="230"/>
      <c r="D5" s="230"/>
      <c r="E5" s="230"/>
      <c r="F5" s="230"/>
      <c r="G5" s="230"/>
      <c r="H5" s="230"/>
      <c r="I5" s="231"/>
      <c r="J5" s="19"/>
    </row>
    <row r="6" spans="1:20" ht="16.5" customHeight="1">
      <c r="A6" s="383" t="s">
        <v>189</v>
      </c>
      <c r="B6" s="383"/>
      <c r="C6" s="383"/>
      <c r="D6" s="383"/>
      <c r="E6" s="383"/>
      <c r="F6" s="383"/>
      <c r="G6" s="383"/>
      <c r="H6" s="383"/>
      <c r="I6" s="384"/>
      <c r="J6" s="118"/>
      <c r="K6" s="118"/>
      <c r="L6" s="118"/>
      <c r="M6" s="118"/>
      <c r="N6" s="118"/>
    </row>
    <row r="7" spans="1:20" ht="18" customHeight="1">
      <c r="A7" s="387" t="s">
        <v>118</v>
      </c>
      <c r="B7" s="388"/>
      <c r="C7" s="388"/>
      <c r="D7" s="388"/>
      <c r="E7" s="388"/>
      <c r="F7" s="388"/>
      <c r="G7" s="388"/>
      <c r="H7" s="388"/>
      <c r="I7" s="389"/>
      <c r="J7" s="118"/>
      <c r="K7" s="118"/>
      <c r="L7" s="118"/>
      <c r="M7" s="118"/>
      <c r="N7" s="118"/>
    </row>
    <row r="8" spans="1:20">
      <c r="A8" s="59" t="s">
        <v>190</v>
      </c>
      <c r="B8" s="371" t="s">
        <v>191</v>
      </c>
      <c r="C8" s="372"/>
      <c r="D8" s="373" t="s">
        <v>192</v>
      </c>
      <c r="E8" s="371"/>
      <c r="F8" s="371"/>
      <c r="G8" s="371"/>
      <c r="H8" s="371"/>
      <c r="I8" s="372"/>
      <c r="J8" s="156" t="s">
        <v>193</v>
      </c>
      <c r="K8" s="118"/>
      <c r="L8" s="118"/>
      <c r="M8" s="118"/>
      <c r="N8" s="118"/>
    </row>
    <row r="9" spans="1:20" ht="42.75" customHeight="1">
      <c r="A9" s="59" t="s">
        <v>190</v>
      </c>
      <c r="B9" s="377" t="s">
        <v>200</v>
      </c>
      <c r="C9" s="386"/>
      <c r="D9" s="361" t="s">
        <v>201</v>
      </c>
      <c r="E9" s="362"/>
      <c r="F9" s="362"/>
      <c r="G9" s="362"/>
      <c r="H9" s="362"/>
      <c r="I9" s="363"/>
      <c r="J9" s="157" t="s">
        <v>202</v>
      </c>
      <c r="K9" s="131"/>
      <c r="L9" s="131"/>
      <c r="M9" s="131"/>
      <c r="N9" s="131"/>
      <c r="O9" s="46"/>
      <c r="P9" s="46"/>
      <c r="Q9" s="46"/>
      <c r="R9" s="46"/>
      <c r="S9" s="46"/>
      <c r="T9" s="46"/>
    </row>
    <row r="10" spans="1:20" ht="39.6" customHeight="1">
      <c r="A10" s="154" t="s">
        <v>190</v>
      </c>
      <c r="B10" s="359" t="s">
        <v>203</v>
      </c>
      <c r="C10" s="360"/>
      <c r="D10" s="361" t="s">
        <v>204</v>
      </c>
      <c r="E10" s="362"/>
      <c r="F10" s="362"/>
      <c r="G10" s="362"/>
      <c r="H10" s="378"/>
      <c r="I10" s="378"/>
      <c r="J10" s="353" t="s">
        <v>205</v>
      </c>
      <c r="K10" s="354"/>
      <c r="L10" s="354"/>
      <c r="M10" s="354"/>
      <c r="N10" s="354"/>
    </row>
    <row r="11" spans="1:20" ht="39.6" customHeight="1">
      <c r="A11" s="158" t="s">
        <v>190</v>
      </c>
      <c r="B11" s="359" t="s">
        <v>206</v>
      </c>
      <c r="C11" s="360"/>
      <c r="D11" s="361" t="s">
        <v>207</v>
      </c>
      <c r="E11" s="362"/>
      <c r="F11" s="362"/>
      <c r="G11" s="362"/>
      <c r="H11" s="362"/>
      <c r="I11" s="363"/>
      <c r="J11" s="353" t="s">
        <v>205</v>
      </c>
      <c r="K11" s="354"/>
      <c r="L11" s="354"/>
      <c r="M11" s="354"/>
      <c r="N11" s="354"/>
    </row>
    <row r="12" spans="1:20" ht="15.75">
      <c r="A12" s="364" t="s">
        <v>210</v>
      </c>
      <c r="B12" s="364"/>
      <c r="C12" s="364"/>
      <c r="D12" s="364"/>
      <c r="E12" s="364"/>
      <c r="F12" s="364"/>
      <c r="G12" s="364"/>
      <c r="H12" s="364"/>
      <c r="I12" s="364"/>
    </row>
    <row r="13" spans="1:20">
      <c r="A13" s="3"/>
      <c r="B13" s="3"/>
      <c r="C13" s="3"/>
      <c r="D13" s="3"/>
      <c r="E13" s="3"/>
      <c r="F13" s="3"/>
      <c r="G13" s="78"/>
      <c r="H13" s="3"/>
      <c r="I13" s="3"/>
    </row>
    <row r="14" spans="1:20">
      <c r="A14" s="3"/>
      <c r="B14" s="3"/>
      <c r="C14" s="3"/>
      <c r="D14" s="3"/>
      <c r="E14" s="3"/>
      <c r="F14" s="3"/>
      <c r="G14" s="3"/>
      <c r="H14" s="3"/>
      <c r="I14" s="3"/>
    </row>
    <row r="15" spans="1:20">
      <c r="A15" s="3"/>
      <c r="B15" s="3"/>
      <c r="C15" s="3"/>
      <c r="D15" s="3"/>
      <c r="E15" s="3"/>
      <c r="F15" s="3"/>
      <c r="G15" s="3"/>
      <c r="H15" s="3"/>
      <c r="I15" s="3"/>
    </row>
    <row r="19" spans="1:13" ht="16.5" customHeight="1">
      <c r="A19" s="383" t="s">
        <v>233</v>
      </c>
      <c r="B19" s="383"/>
      <c r="C19" s="383"/>
      <c r="D19" s="383"/>
      <c r="E19" s="383"/>
      <c r="F19" s="383"/>
      <c r="G19" s="383"/>
      <c r="H19" s="383"/>
      <c r="I19" s="384"/>
      <c r="J19" s="19"/>
    </row>
    <row r="20" spans="1:13" ht="18" customHeight="1">
      <c r="A20" s="345" t="s">
        <v>118</v>
      </c>
      <c r="B20" s="346"/>
      <c r="C20" s="346"/>
      <c r="D20" s="346"/>
      <c r="E20" s="346"/>
      <c r="F20" s="346"/>
      <c r="G20" s="346"/>
      <c r="H20" s="346"/>
      <c r="I20" s="347"/>
    </row>
    <row r="21" spans="1:13" ht="30.6" customHeight="1">
      <c r="A21" s="158" t="s">
        <v>190</v>
      </c>
      <c r="B21" s="359" t="s">
        <v>234</v>
      </c>
      <c r="C21" s="360"/>
      <c r="D21" s="385" t="s">
        <v>235</v>
      </c>
      <c r="E21" s="359"/>
      <c r="F21" s="359"/>
      <c r="G21" s="359"/>
      <c r="H21" s="359"/>
      <c r="I21" s="360"/>
      <c r="J21" s="119"/>
      <c r="K21" s="118"/>
    </row>
    <row r="22" spans="1:13" ht="30" customHeight="1">
      <c r="A22" s="158" t="s">
        <v>190</v>
      </c>
      <c r="B22" s="334" t="s">
        <v>236</v>
      </c>
      <c r="C22" s="336"/>
      <c r="D22" s="337" t="s">
        <v>237</v>
      </c>
      <c r="E22" s="338"/>
      <c r="F22" s="338"/>
      <c r="G22" s="338"/>
      <c r="H22" s="338"/>
      <c r="I22" s="339"/>
      <c r="J22" s="156" t="s">
        <v>216</v>
      </c>
      <c r="K22" s="118"/>
    </row>
    <row r="23" spans="1:13" ht="30" customHeight="1">
      <c r="A23" s="158" t="s">
        <v>190</v>
      </c>
      <c r="B23" s="359" t="s">
        <v>219</v>
      </c>
      <c r="C23" s="382"/>
      <c r="D23" s="361" t="s">
        <v>220</v>
      </c>
      <c r="E23" s="362"/>
      <c r="F23" s="362"/>
      <c r="G23" s="362"/>
      <c r="H23" s="362"/>
      <c r="I23" s="363"/>
      <c r="J23" s="156" t="s">
        <v>216</v>
      </c>
      <c r="K23" s="118"/>
    </row>
    <row r="24" spans="1:13" ht="30" customHeight="1">
      <c r="A24" s="154" t="s">
        <v>190</v>
      </c>
      <c r="B24" s="359" t="s">
        <v>221</v>
      </c>
      <c r="C24" s="382"/>
      <c r="D24" s="361" t="s">
        <v>222</v>
      </c>
      <c r="E24" s="362"/>
      <c r="F24" s="362"/>
      <c r="G24" s="362"/>
      <c r="H24" s="362"/>
      <c r="I24" s="363"/>
      <c r="J24" s="156" t="s">
        <v>216</v>
      </c>
      <c r="K24" s="118"/>
    </row>
    <row r="25" spans="1:13" ht="39" customHeight="1">
      <c r="A25" s="221" t="s">
        <v>190</v>
      </c>
      <c r="B25" s="316" t="s">
        <v>225</v>
      </c>
      <c r="C25" s="334"/>
      <c r="D25" s="334"/>
      <c r="E25" s="334"/>
      <c r="F25" s="334"/>
      <c r="G25" s="334"/>
      <c r="H25" s="334"/>
      <c r="I25" s="335"/>
      <c r="J25" s="156" t="s">
        <v>216</v>
      </c>
      <c r="K25" s="149"/>
      <c r="L25" s="149"/>
      <c r="M25" s="149"/>
    </row>
    <row r="34" spans="1:11" ht="16.5" customHeight="1">
      <c r="A34" s="383" t="s">
        <v>228</v>
      </c>
      <c r="B34" s="383"/>
      <c r="C34" s="383"/>
      <c r="D34" s="383"/>
      <c r="E34" s="383"/>
      <c r="F34" s="383"/>
      <c r="G34" s="383"/>
      <c r="H34" s="383"/>
      <c r="I34" s="384"/>
      <c r="J34" s="19"/>
    </row>
    <row r="35" spans="1:11" ht="18" customHeight="1">
      <c r="A35" s="345" t="s">
        <v>118</v>
      </c>
      <c r="B35" s="346"/>
      <c r="C35" s="346"/>
      <c r="D35" s="346"/>
      <c r="E35" s="346"/>
      <c r="F35" s="346"/>
      <c r="G35" s="346"/>
      <c r="H35" s="346"/>
      <c r="I35" s="347"/>
    </row>
    <row r="36" spans="1:11" ht="30.6" customHeight="1">
      <c r="A36" s="154" t="s">
        <v>190</v>
      </c>
      <c r="B36" s="333" t="s">
        <v>238</v>
      </c>
      <c r="C36" s="334"/>
      <c r="D36" s="334"/>
      <c r="E36" s="334"/>
      <c r="F36" s="334"/>
      <c r="G36" s="334"/>
      <c r="H36" s="334"/>
      <c r="I36" s="335"/>
      <c r="J36" s="156" t="s">
        <v>230</v>
      </c>
      <c r="K36" s="118"/>
    </row>
    <row r="49" spans="8:8">
      <c r="H49" t="s">
        <v>231</v>
      </c>
    </row>
  </sheetData>
  <mergeCells count="31">
    <mergeCell ref="A7:I7"/>
    <mergeCell ref="G1:H1"/>
    <mergeCell ref="A3:I3"/>
    <mergeCell ref="A4:I4"/>
    <mergeCell ref="A6:I6"/>
    <mergeCell ref="J10:N10"/>
    <mergeCell ref="B8:C8"/>
    <mergeCell ref="D8:I8"/>
    <mergeCell ref="B9:C9"/>
    <mergeCell ref="D9:I9"/>
    <mergeCell ref="B10:C10"/>
    <mergeCell ref="D10:G10"/>
    <mergeCell ref="H10:I10"/>
    <mergeCell ref="B11:C11"/>
    <mergeCell ref="D11:I11"/>
    <mergeCell ref="J11:N11"/>
    <mergeCell ref="A19:I19"/>
    <mergeCell ref="A20:I20"/>
    <mergeCell ref="B21:C21"/>
    <mergeCell ref="D21:I21"/>
    <mergeCell ref="A12:I12"/>
    <mergeCell ref="B22:C22"/>
    <mergeCell ref="D22:I22"/>
    <mergeCell ref="A35:I35"/>
    <mergeCell ref="B36:I36"/>
    <mergeCell ref="B25:I25"/>
    <mergeCell ref="B23:C23"/>
    <mergeCell ref="D23:I23"/>
    <mergeCell ref="B24:C24"/>
    <mergeCell ref="D24:I24"/>
    <mergeCell ref="A34:I34"/>
  </mergeCells>
  <pageMargins left="0.5" right="0.5" top="0.75" bottom="0.75" header="0.3" footer="0.3"/>
  <pageSetup scale="90"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6"/>
  <sheetViews>
    <sheetView zoomScale="115" zoomScaleNormal="115" workbookViewId="0">
      <selection activeCell="E10" sqref="E10"/>
    </sheetView>
  </sheetViews>
  <sheetFormatPr defaultColWidth="9.140625" defaultRowHeight="12.75"/>
  <cols>
    <col min="1" max="1" width="11" style="6" customWidth="1"/>
    <col min="2" max="2" width="3.5703125" style="6" customWidth="1"/>
    <col min="3" max="3" width="11" style="6" customWidth="1"/>
    <col min="4" max="4" width="4" style="6" customWidth="1"/>
    <col min="5" max="5" width="11" style="6" customWidth="1"/>
    <col min="6" max="6" width="3.5703125" style="6" customWidth="1"/>
    <col min="7" max="7" width="11" style="6" customWidth="1"/>
    <col min="8" max="8" width="4" style="6" customWidth="1"/>
    <col min="9" max="9" width="11.42578125" style="6" customWidth="1"/>
    <col min="10" max="10" width="4" style="6" customWidth="1"/>
    <col min="11" max="11" width="13.5703125" style="6" customWidth="1"/>
    <col min="12" max="12" width="4.42578125" style="6" customWidth="1"/>
    <col min="13" max="13" width="18.5703125" style="6" customWidth="1"/>
    <col min="14" max="14" width="17.140625" style="6" customWidth="1"/>
    <col min="15" max="15" width="21.5703125" style="6" customWidth="1"/>
    <col min="16" max="16384" width="9.140625" style="6"/>
  </cols>
  <sheetData>
    <row r="1" spans="1:16" customFormat="1" ht="15">
      <c r="A1" s="22"/>
      <c r="B1" s="22"/>
      <c r="C1" t="s">
        <v>87</v>
      </c>
      <c r="E1" s="23"/>
      <c r="F1" s="23"/>
      <c r="G1" t="s">
        <v>88</v>
      </c>
      <c r="K1" s="223"/>
      <c r="L1" s="223"/>
      <c r="M1" t="s">
        <v>89</v>
      </c>
      <c r="O1" s="24"/>
      <c r="P1" t="s">
        <v>90</v>
      </c>
    </row>
    <row r="3" spans="1:16" s="9" customFormat="1" ht="15.95" customHeight="1">
      <c r="A3" s="251"/>
      <c r="B3" s="251"/>
      <c r="C3" s="251"/>
      <c r="D3" s="251"/>
      <c r="E3" s="251"/>
      <c r="F3" s="251"/>
      <c r="G3" s="251"/>
      <c r="H3" s="251"/>
      <c r="I3" s="251"/>
      <c r="J3" s="251"/>
      <c r="K3" s="251"/>
      <c r="L3" s="251"/>
      <c r="M3" s="251"/>
      <c r="N3" s="13"/>
      <c r="O3" s="252"/>
    </row>
    <row r="4" spans="1:16" ht="17.100000000000001" customHeight="1">
      <c r="A4" s="390" t="s">
        <v>239</v>
      </c>
      <c r="B4" s="390"/>
      <c r="C4" s="390"/>
      <c r="D4" s="390"/>
      <c r="E4" s="390"/>
      <c r="F4" s="390"/>
      <c r="G4" s="390"/>
      <c r="H4" s="390"/>
      <c r="I4" s="390"/>
      <c r="J4" s="390"/>
      <c r="K4" s="390"/>
      <c r="L4" s="390"/>
      <c r="M4" s="390"/>
      <c r="N4" s="390"/>
      <c r="O4" s="390"/>
    </row>
    <row r="5" spans="1:16" ht="37.5" customHeight="1">
      <c r="A5" s="391" t="s">
        <v>240</v>
      </c>
      <c r="B5" s="391"/>
      <c r="C5" s="391"/>
      <c r="D5" s="391"/>
      <c r="E5" s="391"/>
      <c r="F5" s="391"/>
      <c r="G5" s="391"/>
      <c r="H5" s="391"/>
      <c r="I5" s="391"/>
      <c r="J5" s="391"/>
      <c r="K5" s="391"/>
      <c r="L5" s="391"/>
      <c r="M5" s="391"/>
      <c r="N5" s="391"/>
      <c r="O5" s="391"/>
    </row>
    <row r="6" spans="1:16" ht="15.95" customHeight="1">
      <c r="A6" s="395" t="s">
        <v>53</v>
      </c>
      <c r="B6" s="395"/>
      <c r="C6" s="395"/>
      <c r="D6" s="399" t="s">
        <v>241</v>
      </c>
      <c r="E6" s="395" t="s">
        <v>242</v>
      </c>
      <c r="F6" s="395"/>
      <c r="G6" s="395"/>
      <c r="H6" s="399" t="s">
        <v>241</v>
      </c>
      <c r="I6" s="395" t="s">
        <v>243</v>
      </c>
      <c r="J6" s="395"/>
      <c r="K6" s="395"/>
      <c r="L6" s="399" t="s">
        <v>241</v>
      </c>
      <c r="M6" s="395" t="s">
        <v>244</v>
      </c>
      <c r="N6" s="395"/>
      <c r="O6" s="229" t="s">
        <v>47</v>
      </c>
    </row>
    <row r="7" spans="1:16" ht="15.95" customHeight="1">
      <c r="A7" s="96" t="s">
        <v>118</v>
      </c>
      <c r="B7" s="402" t="s">
        <v>245</v>
      </c>
      <c r="C7" s="96" t="s">
        <v>123</v>
      </c>
      <c r="D7" s="400"/>
      <c r="E7" s="96" t="s">
        <v>128</v>
      </c>
      <c r="F7" s="402" t="s">
        <v>245</v>
      </c>
      <c r="G7" s="96" t="s">
        <v>120</v>
      </c>
      <c r="H7" s="400"/>
      <c r="I7" s="96" t="s">
        <v>126</v>
      </c>
      <c r="J7" s="402" t="s">
        <v>245</v>
      </c>
      <c r="K7" s="96" t="s">
        <v>131</v>
      </c>
      <c r="L7" s="400"/>
      <c r="M7" s="97" t="s">
        <v>246</v>
      </c>
      <c r="N7" s="97" t="s">
        <v>247</v>
      </c>
      <c r="O7" s="97" t="s">
        <v>248</v>
      </c>
    </row>
    <row r="8" spans="1:16" s="10" customFormat="1" ht="64.5" customHeight="1">
      <c r="A8" s="98" t="s">
        <v>249</v>
      </c>
      <c r="B8" s="403"/>
      <c r="C8" s="98" t="s">
        <v>250</v>
      </c>
      <c r="D8" s="400"/>
      <c r="E8" s="98" t="s">
        <v>251</v>
      </c>
      <c r="F8" s="403"/>
      <c r="G8" s="98" t="s">
        <v>252</v>
      </c>
      <c r="H8" s="400"/>
      <c r="I8" s="98" t="s">
        <v>253</v>
      </c>
      <c r="J8" s="403"/>
      <c r="K8" s="98" t="s">
        <v>254</v>
      </c>
      <c r="L8" s="400"/>
      <c r="M8" s="98" t="s">
        <v>255</v>
      </c>
      <c r="N8" s="98" t="s">
        <v>256</v>
      </c>
      <c r="O8" s="396" t="s">
        <v>257</v>
      </c>
    </row>
    <row r="9" spans="1:16" s="10" customFormat="1" ht="15.75" customHeight="1">
      <c r="A9" s="392" t="s">
        <v>258</v>
      </c>
      <c r="B9" s="393"/>
      <c r="C9" s="394"/>
      <c r="D9" s="401"/>
      <c r="E9" s="392" t="s">
        <v>259</v>
      </c>
      <c r="F9" s="393"/>
      <c r="G9" s="394"/>
      <c r="H9" s="401"/>
      <c r="I9" s="392" t="s">
        <v>260</v>
      </c>
      <c r="J9" s="393"/>
      <c r="K9" s="394"/>
      <c r="L9" s="401"/>
      <c r="M9" s="392" t="s">
        <v>261</v>
      </c>
      <c r="N9" s="394"/>
      <c r="O9" s="397"/>
    </row>
    <row r="10" spans="1:16" s="9" customFormat="1" ht="93.75" customHeight="1">
      <c r="A10" s="120">
        <f>'F. Allocated Zone'!O9</f>
        <v>0</v>
      </c>
      <c r="B10" s="85" t="s">
        <v>245</v>
      </c>
      <c r="C10" s="120" t="str">
        <f>'F. Allocated Zone'!N15</f>
        <v>sum of column 18 for subareas that say "COMPLIES" in column 19</v>
      </c>
      <c r="D10" s="71" t="s">
        <v>241</v>
      </c>
      <c r="E10" s="249"/>
      <c r="F10" s="85" t="s">
        <v>245</v>
      </c>
      <c r="G10" s="120"/>
      <c r="H10" s="71" t="s">
        <v>241</v>
      </c>
      <c r="I10" s="120"/>
      <c r="J10" s="85" t="s">
        <v>245</v>
      </c>
      <c r="K10" s="120" t="s">
        <v>262</v>
      </c>
      <c r="L10" s="71" t="s">
        <v>241</v>
      </c>
      <c r="M10" s="120" t="s">
        <v>263</v>
      </c>
      <c r="N10" s="121" t="s">
        <v>264</v>
      </c>
      <c r="O10" s="398"/>
    </row>
    <row r="11" spans="1:16" ht="33.75" customHeight="1">
      <c r="A11" s="404"/>
      <c r="B11" s="405"/>
      <c r="C11" s="406"/>
      <c r="D11" s="407" t="s">
        <v>265</v>
      </c>
      <c r="E11" s="407"/>
      <c r="F11" s="407"/>
      <c r="G11" s="407"/>
      <c r="H11" s="407"/>
      <c r="I11" s="407"/>
      <c r="J11" s="407"/>
      <c r="K11" s="407"/>
      <c r="L11" s="407"/>
      <c r="M11" s="407"/>
      <c r="N11" s="407"/>
      <c r="O11" s="72" t="s">
        <v>266</v>
      </c>
    </row>
    <row r="12" spans="1:16" ht="26.25" customHeight="1">
      <c r="A12" s="408" t="s">
        <v>267</v>
      </c>
      <c r="B12" s="409"/>
      <c r="C12" s="409"/>
      <c r="D12" s="409"/>
      <c r="E12" s="409"/>
      <c r="F12" s="409"/>
      <c r="G12" s="409"/>
      <c r="H12" s="409"/>
      <c r="I12" s="409"/>
      <c r="J12" s="409"/>
      <c r="K12" s="409"/>
      <c r="L12" s="409"/>
      <c r="M12" s="409"/>
      <c r="N12" s="410"/>
      <c r="O12" s="164" t="s">
        <v>266</v>
      </c>
    </row>
    <row r="13" spans="1:16">
      <c r="A13" s="8"/>
      <c r="B13" s="8"/>
      <c r="C13" s="8"/>
      <c r="D13" s="8"/>
      <c r="E13" s="8"/>
      <c r="F13" s="8"/>
      <c r="G13" s="8"/>
      <c r="H13" s="8"/>
      <c r="I13" s="8"/>
      <c r="J13" s="8"/>
      <c r="K13" s="8"/>
      <c r="L13" s="8"/>
      <c r="M13" s="8"/>
      <c r="N13" s="8"/>
      <c r="O13" s="8"/>
    </row>
    <row r="14" spans="1:16">
      <c r="A14" s="8"/>
      <c r="B14" s="8"/>
      <c r="C14" s="8"/>
      <c r="D14" s="8"/>
      <c r="E14" s="8"/>
      <c r="F14" s="8"/>
      <c r="G14" s="8"/>
      <c r="H14" s="8"/>
      <c r="I14" s="8"/>
      <c r="J14" s="8"/>
      <c r="K14" s="8"/>
      <c r="L14" s="8"/>
      <c r="M14" s="147"/>
      <c r="N14" s="147"/>
      <c r="O14" s="8"/>
    </row>
    <row r="15" spans="1:16">
      <c r="A15" s="8"/>
      <c r="B15" s="8"/>
      <c r="C15" s="8"/>
      <c r="D15" s="8"/>
      <c r="E15" s="8"/>
      <c r="F15" s="8"/>
      <c r="G15" s="8"/>
      <c r="H15" s="8"/>
      <c r="I15" s="8"/>
      <c r="J15" s="8"/>
      <c r="K15" s="8"/>
      <c r="L15" s="8"/>
      <c r="M15" s="8"/>
      <c r="N15" s="8"/>
      <c r="O15" s="8"/>
    </row>
    <row r="16" spans="1:16" ht="15.75">
      <c r="A16" s="7"/>
      <c r="B16" s="7"/>
    </row>
  </sheetData>
  <mergeCells count="20">
    <mergeCell ref="J7:J8"/>
    <mergeCell ref="A11:C11"/>
    <mergeCell ref="D11:N11"/>
    <mergeCell ref="A12:N12"/>
    <mergeCell ref="A4:O4"/>
    <mergeCell ref="A5:O5"/>
    <mergeCell ref="A9:C9"/>
    <mergeCell ref="A6:C6"/>
    <mergeCell ref="O8:O10"/>
    <mergeCell ref="E6:G6"/>
    <mergeCell ref="E9:G9"/>
    <mergeCell ref="I6:K6"/>
    <mergeCell ref="I9:K9"/>
    <mergeCell ref="M6:N6"/>
    <mergeCell ref="M9:N9"/>
    <mergeCell ref="D6:D9"/>
    <mergeCell ref="H6:H9"/>
    <mergeCell ref="L6:L9"/>
    <mergeCell ref="B7:B8"/>
    <mergeCell ref="F7:F8"/>
  </mergeCells>
  <pageMargins left="0.25" right="0.25" top="0.75" bottom="0.75" header="0.3" footer="0.3"/>
  <pageSetup scale="89" fitToHeight="0"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zoomScaleNormal="100" workbookViewId="0">
      <selection activeCell="E20" sqref="E20"/>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2"/>
      <c r="B1" t="s">
        <v>87</v>
      </c>
      <c r="D1" s="23"/>
      <c r="E1" t="s">
        <v>88</v>
      </c>
      <c r="G1" s="258"/>
      <c r="H1" s="258"/>
      <c r="I1" t="s">
        <v>89</v>
      </c>
      <c r="L1" s="24"/>
      <c r="M1" t="s">
        <v>90</v>
      </c>
    </row>
    <row r="2" spans="1:13">
      <c r="A2" s="3"/>
      <c r="B2" s="3"/>
      <c r="C2" s="3"/>
      <c r="D2" s="3"/>
      <c r="E2" s="3"/>
      <c r="F2" s="3"/>
      <c r="G2" s="3"/>
      <c r="H2" s="3"/>
      <c r="I2" s="3"/>
      <c r="J2" s="3"/>
      <c r="K2" s="3"/>
    </row>
    <row r="3" spans="1:13" ht="15" customHeight="1">
      <c r="A3" s="365" t="s">
        <v>268</v>
      </c>
      <c r="B3" s="366"/>
      <c r="C3" s="366"/>
      <c r="D3" s="366"/>
      <c r="E3" s="366"/>
      <c r="F3" s="366"/>
      <c r="G3" s="366"/>
      <c r="H3" s="366"/>
      <c r="I3" s="366"/>
      <c r="J3" s="366"/>
      <c r="K3" s="367"/>
    </row>
    <row r="4" spans="1:13" ht="15" customHeight="1">
      <c r="A4" s="418" t="s">
        <v>269</v>
      </c>
      <c r="B4" s="419"/>
      <c r="C4" s="419"/>
      <c r="D4" s="419"/>
      <c r="E4" s="419"/>
      <c r="F4" s="419"/>
      <c r="G4" s="419"/>
      <c r="H4" s="419"/>
      <c r="I4" s="419"/>
      <c r="J4" s="419"/>
      <c r="K4" s="420"/>
    </row>
    <row r="5" spans="1:13" ht="15" customHeight="1">
      <c r="A5" s="412"/>
      <c r="B5" s="413"/>
      <c r="C5" s="413"/>
      <c r="D5" s="413"/>
      <c r="E5" s="413"/>
      <c r="F5" s="413"/>
      <c r="G5" s="413"/>
      <c r="H5" s="413"/>
      <c r="I5" s="413"/>
      <c r="J5" s="413"/>
      <c r="K5" s="414"/>
    </row>
    <row r="6" spans="1:13">
      <c r="A6" s="415"/>
      <c r="B6" s="416"/>
      <c r="C6" s="416"/>
      <c r="D6" s="416"/>
      <c r="E6" s="416"/>
      <c r="F6" s="416"/>
      <c r="G6" s="416"/>
      <c r="H6" s="416"/>
      <c r="I6" s="416"/>
      <c r="J6" s="416"/>
      <c r="K6" s="417"/>
    </row>
    <row r="7" spans="1:13">
      <c r="A7" s="3"/>
      <c r="B7" s="3"/>
      <c r="C7" s="3"/>
      <c r="D7" s="3"/>
      <c r="E7" s="3"/>
      <c r="F7" s="3"/>
      <c r="G7" s="3"/>
      <c r="H7" s="3"/>
      <c r="I7" s="3"/>
      <c r="J7" s="3"/>
      <c r="K7" s="3"/>
    </row>
    <row r="8" spans="1:13">
      <c r="A8" s="3"/>
      <c r="B8" s="113" t="s">
        <v>270</v>
      </c>
      <c r="C8" s="3"/>
      <c r="D8" s="3"/>
      <c r="E8" s="3"/>
      <c r="F8" s="3"/>
      <c r="G8" s="3"/>
      <c r="H8" s="3"/>
      <c r="I8" s="3"/>
      <c r="J8" s="3"/>
      <c r="K8" s="3"/>
    </row>
    <row r="9" spans="1:13">
      <c r="A9" s="3">
        <v>1</v>
      </c>
      <c r="B9" s="411" t="s">
        <v>271</v>
      </c>
      <c r="C9" s="411"/>
      <c r="D9" s="411"/>
      <c r="E9" s="411"/>
      <c r="F9" s="411"/>
      <c r="G9" s="411"/>
      <c r="H9" s="411"/>
      <c r="I9" s="411"/>
      <c r="J9" s="411"/>
      <c r="K9" s="411"/>
    </row>
    <row r="10" spans="1:13">
      <c r="A10" s="3">
        <v>2</v>
      </c>
      <c r="B10" s="411" t="s">
        <v>272</v>
      </c>
      <c r="C10" s="411"/>
      <c r="D10" s="411"/>
      <c r="E10" s="411"/>
      <c r="F10" s="411"/>
      <c r="G10" s="411"/>
      <c r="H10" s="411"/>
      <c r="I10" s="411"/>
      <c r="J10" s="411"/>
      <c r="K10" s="411"/>
    </row>
    <row r="11" spans="1:13">
      <c r="A11" s="3">
        <v>3</v>
      </c>
      <c r="B11" s="421" t="s">
        <v>273</v>
      </c>
      <c r="C11" s="421"/>
      <c r="D11" s="421"/>
      <c r="E11" s="421"/>
      <c r="F11" s="421"/>
      <c r="G11" s="421"/>
      <c r="H11" s="421"/>
      <c r="I11" s="421"/>
      <c r="J11" s="421"/>
      <c r="K11" s="421"/>
    </row>
    <row r="12" spans="1:13">
      <c r="A12" s="3">
        <v>4</v>
      </c>
      <c r="B12" s="411" t="s">
        <v>274</v>
      </c>
      <c r="C12" s="411"/>
      <c r="D12" s="411"/>
      <c r="E12" s="411"/>
      <c r="F12" s="411"/>
      <c r="G12" s="411"/>
      <c r="H12" s="411"/>
      <c r="I12" s="411"/>
      <c r="J12" s="411"/>
      <c r="K12" s="411"/>
    </row>
    <row r="13" spans="1:13">
      <c r="A13" s="3">
        <v>5</v>
      </c>
      <c r="B13" s="411" t="s">
        <v>275</v>
      </c>
      <c r="C13" s="411"/>
      <c r="D13" s="411"/>
      <c r="E13" s="411"/>
      <c r="F13" s="411"/>
      <c r="G13" s="411"/>
      <c r="H13" s="411"/>
      <c r="I13" s="411"/>
      <c r="J13" s="411"/>
      <c r="K13" s="411"/>
    </row>
    <row r="24" spans="2:2">
      <c r="B24" s="95"/>
    </row>
  </sheetData>
  <mergeCells count="9">
    <mergeCell ref="B13:K13"/>
    <mergeCell ref="A3:K3"/>
    <mergeCell ref="A5:K6"/>
    <mergeCell ref="A4:K4"/>
    <mergeCell ref="G1:H1"/>
    <mergeCell ref="B9:K9"/>
    <mergeCell ref="B10:K10"/>
    <mergeCell ref="B11:K11"/>
    <mergeCell ref="B12:K12"/>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H21" sqref="H21"/>
    </sheetView>
  </sheetViews>
  <sheetFormatPr defaultRowHeight="15"/>
  <cols>
    <col min="1" max="1" width="4.5703125" customWidth="1"/>
    <col min="2" max="4" width="10.5703125" customWidth="1"/>
    <col min="5"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2"/>
      <c r="B1" t="s">
        <v>87</v>
      </c>
      <c r="D1" s="23"/>
      <c r="E1" t="s">
        <v>88</v>
      </c>
      <c r="G1" s="258"/>
      <c r="H1" s="258"/>
      <c r="I1" t="s">
        <v>89</v>
      </c>
      <c r="L1" s="24"/>
      <c r="M1" t="s">
        <v>90</v>
      </c>
    </row>
    <row r="2" spans="1:13">
      <c r="A2" s="3"/>
      <c r="B2" s="3"/>
      <c r="C2" s="3"/>
      <c r="D2" s="3"/>
      <c r="E2" s="3"/>
      <c r="F2" s="3"/>
      <c r="G2" s="3"/>
      <c r="H2" s="3"/>
      <c r="I2" s="3"/>
      <c r="J2" s="3"/>
      <c r="K2" s="3"/>
    </row>
    <row r="3" spans="1:13">
      <c r="A3" s="3"/>
      <c r="B3" s="3"/>
      <c r="C3" s="3"/>
      <c r="D3" s="3"/>
      <c r="E3" s="3"/>
      <c r="F3" s="3"/>
      <c r="G3" s="3"/>
      <c r="H3" s="3"/>
      <c r="I3" s="3"/>
      <c r="J3" s="3"/>
      <c r="K3" s="3"/>
    </row>
    <row r="4" spans="1:13" ht="15" customHeight="1">
      <c r="A4" s="365" t="s">
        <v>276</v>
      </c>
      <c r="B4" s="366"/>
      <c r="C4" s="366"/>
      <c r="D4" s="366"/>
      <c r="E4" s="366"/>
      <c r="F4" s="366"/>
      <c r="G4" s="366"/>
      <c r="H4" s="366"/>
      <c r="I4" s="366"/>
      <c r="J4" s="366"/>
      <c r="K4" s="367"/>
    </row>
    <row r="5" spans="1:13" ht="15" customHeight="1">
      <c r="A5" s="418" t="s">
        <v>277</v>
      </c>
      <c r="B5" s="419"/>
      <c r="C5" s="419"/>
      <c r="D5" s="419"/>
      <c r="E5" s="419"/>
      <c r="F5" s="419"/>
      <c r="G5" s="419"/>
      <c r="H5" s="419"/>
      <c r="I5" s="419"/>
      <c r="J5" s="419"/>
      <c r="K5" s="420"/>
    </row>
    <row r="6" spans="1:13" ht="15" customHeight="1">
      <c r="A6" s="422"/>
      <c r="B6" s="423"/>
      <c r="C6" s="423"/>
      <c r="D6" s="423"/>
      <c r="E6" s="423"/>
      <c r="F6" s="423"/>
      <c r="G6" s="423"/>
      <c r="H6" s="423"/>
      <c r="I6" s="423"/>
      <c r="J6" s="423"/>
      <c r="K6" s="424"/>
    </row>
    <row r="7" spans="1:13">
      <c r="A7" s="425"/>
      <c r="B7" s="426"/>
      <c r="C7" s="426"/>
      <c r="D7" s="426"/>
      <c r="E7" s="426"/>
      <c r="F7" s="426"/>
      <c r="G7" s="426"/>
      <c r="H7" s="426"/>
      <c r="I7" s="426"/>
      <c r="J7" s="426"/>
      <c r="K7" s="427"/>
    </row>
    <row r="8" spans="1:13">
      <c r="A8" s="3"/>
      <c r="B8" s="3"/>
      <c r="C8" s="3"/>
      <c r="D8" s="3"/>
      <c r="E8" s="3"/>
      <c r="F8" s="3"/>
      <c r="G8" s="3"/>
      <c r="H8" s="3"/>
      <c r="I8" s="3"/>
      <c r="J8" s="3"/>
      <c r="K8" s="3"/>
    </row>
    <row r="9" spans="1:13">
      <c r="A9" s="3"/>
      <c r="B9" s="3"/>
      <c r="C9" s="3"/>
      <c r="D9" s="3"/>
      <c r="E9" s="3"/>
      <c r="F9" s="3"/>
      <c r="G9" s="3"/>
      <c r="H9" s="3"/>
      <c r="I9" s="3"/>
      <c r="J9" s="3"/>
      <c r="K9" s="3"/>
    </row>
    <row r="10" spans="1:13">
      <c r="A10" s="3"/>
      <c r="B10" s="3" t="s">
        <v>278</v>
      </c>
      <c r="C10" s="3"/>
      <c r="D10" s="3"/>
      <c r="E10" s="3"/>
      <c r="F10" s="3"/>
      <c r="G10" s="3"/>
      <c r="H10" s="3"/>
      <c r="I10" s="3"/>
      <c r="J10" s="3"/>
      <c r="K10" s="3"/>
    </row>
    <row r="11" spans="1:13">
      <c r="A11" s="3"/>
      <c r="B11" s="95" t="s">
        <v>279</v>
      </c>
      <c r="C11" s="3"/>
      <c r="D11" s="3"/>
      <c r="E11" s="3"/>
      <c r="F11" s="3"/>
      <c r="G11" s="3"/>
      <c r="H11" s="3"/>
      <c r="I11" s="3"/>
      <c r="J11" s="3"/>
      <c r="K11" s="3"/>
    </row>
    <row r="12" spans="1:13">
      <c r="A12" s="3"/>
      <c r="B12" s="3"/>
      <c r="C12" s="3"/>
      <c r="D12" s="3"/>
      <c r="E12" s="3"/>
      <c r="F12" s="3"/>
      <c r="G12" s="3"/>
      <c r="H12" s="3"/>
      <c r="I12" s="3"/>
      <c r="J12" s="3"/>
      <c r="K12" s="3"/>
    </row>
    <row r="13" spans="1:13">
      <c r="A13" s="3"/>
      <c r="B13" s="3"/>
      <c r="C13" s="3"/>
      <c r="D13" s="3"/>
      <c r="E13" s="3"/>
      <c r="F13" s="3"/>
      <c r="G13" s="3"/>
      <c r="H13" s="3"/>
      <c r="I13" s="3"/>
      <c r="J13" s="3"/>
      <c r="K13" s="3"/>
    </row>
    <row r="14" spans="1:13">
      <c r="A14" s="3"/>
      <c r="B14" s="3"/>
      <c r="C14" s="3"/>
      <c r="D14" s="3"/>
      <c r="E14" s="3"/>
      <c r="F14" s="3"/>
      <c r="G14" s="3"/>
      <c r="H14" s="3"/>
      <c r="I14" s="3"/>
      <c r="J14" s="3"/>
      <c r="K14" s="3"/>
    </row>
  </sheetData>
  <mergeCells count="4">
    <mergeCell ref="A4:K4"/>
    <mergeCell ref="A6:K7"/>
    <mergeCell ref="A5:K5"/>
    <mergeCell ref="G1:H1"/>
  </mergeCells>
  <pageMargins left="0.5" right="0.5" top="0.75" bottom="0.75" header="0.3" footer="0.3"/>
  <pageSetup orientation="landscape"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3"/>
  <sheetViews>
    <sheetView zoomScaleNormal="100" workbookViewId="0">
      <selection activeCell="H34" sqref="H34"/>
    </sheetView>
  </sheetViews>
  <sheetFormatPr defaultColWidth="9.140625" defaultRowHeight="12.75"/>
  <cols>
    <col min="1" max="1" width="26.5703125" style="12" customWidth="1"/>
    <col min="2" max="2" width="17" style="12" customWidth="1"/>
    <col min="3" max="3" width="17.5703125" style="12" customWidth="1"/>
    <col min="4" max="4" width="8.140625" style="12" customWidth="1"/>
    <col min="5" max="5" width="30.42578125" style="12" customWidth="1"/>
    <col min="6" max="6" width="35.42578125" style="12" customWidth="1"/>
    <col min="7" max="7" width="1.85546875" style="12" customWidth="1"/>
    <col min="8" max="8" width="17.5703125" style="12" customWidth="1"/>
    <col min="9" max="9" width="3.85546875" style="12" customWidth="1"/>
    <col min="10" max="10" width="13.85546875" style="12" customWidth="1"/>
    <col min="11" max="11" width="16.5703125" style="12" customWidth="1"/>
    <col min="12" max="12" width="20.42578125" style="12" customWidth="1"/>
    <col min="13" max="13" width="16" style="12" customWidth="1"/>
    <col min="14" max="14" width="15" style="12" customWidth="1"/>
    <col min="15" max="15" width="15.140625" style="11" customWidth="1"/>
    <col min="16" max="16384" width="9.140625" style="11"/>
  </cols>
  <sheetData>
    <row r="1" spans="1:21" customFormat="1" ht="15">
      <c r="A1" s="22"/>
      <c r="B1" t="s">
        <v>87</v>
      </c>
      <c r="D1" s="23"/>
      <c r="E1" t="s">
        <v>88</v>
      </c>
      <c r="G1" s="258"/>
      <c r="H1" s="258"/>
      <c r="I1" t="s">
        <v>89</v>
      </c>
      <c r="M1" s="24"/>
      <c r="N1" t="s">
        <v>90</v>
      </c>
    </row>
    <row r="3" spans="1:21" ht="19.5" customHeight="1">
      <c r="A3" s="464" t="s">
        <v>280</v>
      </c>
      <c r="B3" s="464"/>
      <c r="C3" s="464"/>
      <c r="D3" s="464"/>
      <c r="E3" s="464"/>
      <c r="F3" s="464"/>
      <c r="G3" s="464"/>
      <c r="H3" s="464"/>
      <c r="I3" s="464"/>
      <c r="J3" s="464"/>
      <c r="K3" s="464"/>
      <c r="L3" s="464"/>
      <c r="M3" s="464"/>
      <c r="N3" s="464"/>
      <c r="O3" s="464"/>
    </row>
    <row r="4" spans="1:21" ht="51.6" customHeight="1">
      <c r="A4" s="463" t="s">
        <v>281</v>
      </c>
      <c r="B4" s="463"/>
      <c r="C4" s="463"/>
      <c r="D4" s="463"/>
      <c r="E4" s="463"/>
      <c r="F4" s="463"/>
      <c r="G4" s="463"/>
      <c r="H4" s="463"/>
      <c r="I4" s="463"/>
      <c r="J4" s="463"/>
      <c r="K4" s="463"/>
      <c r="L4" s="463"/>
      <c r="M4" s="463"/>
      <c r="N4" s="463"/>
      <c r="O4" s="463"/>
    </row>
    <row r="5" spans="1:21" ht="18.75" customHeight="1">
      <c r="A5" s="468" t="s">
        <v>282</v>
      </c>
      <c r="B5" s="468"/>
      <c r="C5" s="468"/>
      <c r="D5" s="468"/>
      <c r="E5" s="468"/>
      <c r="F5" s="468"/>
      <c r="G5" s="468"/>
      <c r="H5" s="468"/>
      <c r="I5" s="468"/>
      <c r="J5" s="468"/>
      <c r="K5" s="468"/>
      <c r="L5" s="468"/>
      <c r="M5" s="468"/>
      <c r="N5" s="468"/>
      <c r="O5" s="468"/>
    </row>
    <row r="6" spans="1:21" ht="15" customHeight="1">
      <c r="A6" s="232" t="s">
        <v>118</v>
      </c>
      <c r="B6" s="232" t="s">
        <v>123</v>
      </c>
      <c r="C6" s="232" t="s">
        <v>128</v>
      </c>
      <c r="D6" s="433" t="s">
        <v>120</v>
      </c>
      <c r="E6" s="453"/>
      <c r="F6" s="435" t="s">
        <v>126</v>
      </c>
      <c r="G6" s="435"/>
      <c r="H6" s="435"/>
      <c r="I6" s="435" t="s">
        <v>131</v>
      </c>
      <c r="J6" s="435"/>
      <c r="K6" s="435"/>
      <c r="L6" s="435"/>
      <c r="M6" s="435" t="s">
        <v>246</v>
      </c>
      <c r="N6" s="435"/>
      <c r="O6" s="232" t="s">
        <v>247</v>
      </c>
    </row>
    <row r="7" spans="1:21" ht="19.5" customHeight="1">
      <c r="A7" s="452" t="s">
        <v>283</v>
      </c>
      <c r="B7" s="452" t="s">
        <v>284</v>
      </c>
      <c r="C7" s="452" t="s">
        <v>285</v>
      </c>
      <c r="D7" s="455" t="s">
        <v>286</v>
      </c>
      <c r="E7" s="456"/>
      <c r="F7" s="436" t="s">
        <v>287</v>
      </c>
      <c r="G7" s="436"/>
      <c r="H7" s="436"/>
      <c r="I7" s="438" t="s">
        <v>288</v>
      </c>
      <c r="J7" s="438"/>
      <c r="K7" s="438"/>
      <c r="L7" s="438"/>
      <c r="M7" s="436" t="s">
        <v>289</v>
      </c>
      <c r="N7" s="436"/>
      <c r="O7" s="428" t="s">
        <v>290</v>
      </c>
      <c r="P7" s="38"/>
      <c r="Q7" s="38"/>
    </row>
    <row r="8" spans="1:21" ht="62.25" customHeight="1">
      <c r="A8" s="452"/>
      <c r="B8" s="452"/>
      <c r="C8" s="452"/>
      <c r="D8" s="457"/>
      <c r="E8" s="458"/>
      <c r="F8" s="436"/>
      <c r="G8" s="436"/>
      <c r="H8" s="436"/>
      <c r="I8" s="430" t="s">
        <v>291</v>
      </c>
      <c r="J8" s="430"/>
      <c r="K8" s="233" t="s">
        <v>292</v>
      </c>
      <c r="L8" s="233" t="s">
        <v>293</v>
      </c>
      <c r="M8" s="436"/>
      <c r="N8" s="436"/>
      <c r="O8" s="429"/>
    </row>
    <row r="9" spans="1:21" ht="15">
      <c r="A9" s="168" t="s">
        <v>294</v>
      </c>
      <c r="B9" s="125"/>
      <c r="C9" s="125"/>
      <c r="D9" s="454">
        <f>0.15*(B9-C9)</f>
        <v>0</v>
      </c>
      <c r="E9" s="454"/>
      <c r="F9" s="465" t="s">
        <v>295</v>
      </c>
      <c r="G9" s="466"/>
      <c r="H9" s="467"/>
      <c r="I9" s="431"/>
      <c r="J9" s="431"/>
      <c r="K9" s="81"/>
      <c r="L9" s="123">
        <f>I9+K9</f>
        <v>0</v>
      </c>
      <c r="M9" s="437">
        <f>0.5*L9</f>
        <v>0</v>
      </c>
      <c r="N9" s="437"/>
      <c r="O9" s="124"/>
      <c r="P9" s="37"/>
      <c r="Q9" s="37"/>
      <c r="R9" s="37"/>
      <c r="S9" s="37"/>
    </row>
    <row r="10" spans="1:21" ht="16.5" customHeight="1">
      <c r="A10" s="432" t="s">
        <v>296</v>
      </c>
      <c r="B10" s="432"/>
      <c r="C10" s="432"/>
      <c r="D10" s="432"/>
      <c r="E10" s="432"/>
      <c r="F10" s="432"/>
      <c r="G10" s="432"/>
      <c r="H10" s="432"/>
      <c r="I10" s="432"/>
      <c r="J10" s="432"/>
      <c r="K10" s="432"/>
      <c r="L10" s="432"/>
      <c r="M10" s="432"/>
      <c r="N10" s="432"/>
      <c r="O10" s="432"/>
    </row>
    <row r="11" spans="1:21" ht="12.75" customHeight="1">
      <c r="A11" s="232" t="s">
        <v>248</v>
      </c>
      <c r="B11" s="232" t="s">
        <v>297</v>
      </c>
      <c r="C11" s="433" t="s">
        <v>298</v>
      </c>
      <c r="D11" s="434"/>
      <c r="E11" s="232" t="s">
        <v>299</v>
      </c>
      <c r="F11" s="232" t="s">
        <v>300</v>
      </c>
      <c r="G11" s="435" t="s">
        <v>301</v>
      </c>
      <c r="H11" s="435"/>
      <c r="I11" s="435"/>
      <c r="J11" s="435" t="s">
        <v>302</v>
      </c>
      <c r="K11" s="435"/>
      <c r="L11" s="232" t="s">
        <v>303</v>
      </c>
      <c r="M11" s="232" t="s">
        <v>304</v>
      </c>
      <c r="N11" s="232" t="s">
        <v>305</v>
      </c>
      <c r="O11" s="232" t="s">
        <v>306</v>
      </c>
    </row>
    <row r="12" spans="1:21" s="63" customFormat="1" ht="15.75" customHeight="1">
      <c r="A12" s="452" t="s">
        <v>307</v>
      </c>
      <c r="B12" s="452" t="s">
        <v>308</v>
      </c>
      <c r="C12" s="455" t="s">
        <v>309</v>
      </c>
      <c r="D12" s="470"/>
      <c r="E12" s="452" t="s">
        <v>310</v>
      </c>
      <c r="F12" s="428" t="s">
        <v>311</v>
      </c>
      <c r="G12" s="436" t="s">
        <v>312</v>
      </c>
      <c r="H12" s="436"/>
      <c r="I12" s="436"/>
      <c r="J12" s="436" t="s">
        <v>313</v>
      </c>
      <c r="K12" s="436"/>
      <c r="L12" s="436" t="s">
        <v>314</v>
      </c>
      <c r="M12" s="436" t="s">
        <v>315</v>
      </c>
      <c r="N12" s="439" t="s">
        <v>316</v>
      </c>
      <c r="O12" s="439" t="s">
        <v>317</v>
      </c>
      <c r="P12" s="62"/>
      <c r="Q12" s="62"/>
      <c r="R12" s="62"/>
      <c r="S12" s="62"/>
      <c r="T12" s="62"/>
      <c r="U12" s="62"/>
    </row>
    <row r="13" spans="1:21" s="63" customFormat="1" ht="39.75" customHeight="1">
      <c r="A13" s="452"/>
      <c r="B13" s="452"/>
      <c r="C13" s="457"/>
      <c r="D13" s="471"/>
      <c r="E13" s="452"/>
      <c r="F13" s="429"/>
      <c r="G13" s="436"/>
      <c r="H13" s="436"/>
      <c r="I13" s="436"/>
      <c r="J13" s="436"/>
      <c r="K13" s="436"/>
      <c r="L13" s="436"/>
      <c r="M13" s="436"/>
      <c r="N13" s="440"/>
      <c r="O13" s="440"/>
      <c r="P13" s="64"/>
      <c r="Q13" s="64"/>
      <c r="R13" s="64"/>
      <c r="S13" s="64"/>
      <c r="T13" s="64"/>
      <c r="U13" s="64"/>
    </row>
    <row r="14" spans="1:21" s="63" customFormat="1" ht="15.75">
      <c r="A14" s="79"/>
      <c r="B14" s="79"/>
      <c r="C14" s="448" t="s">
        <v>294</v>
      </c>
      <c r="D14" s="449"/>
      <c r="E14" s="168" t="s">
        <v>294</v>
      </c>
      <c r="F14" s="168" t="s">
        <v>294</v>
      </c>
      <c r="G14" s="469" t="s">
        <v>294</v>
      </c>
      <c r="H14" s="469"/>
      <c r="I14" s="469"/>
      <c r="J14" s="442" t="s">
        <v>294</v>
      </c>
      <c r="K14" s="443"/>
      <c r="L14" s="168" t="s">
        <v>294</v>
      </c>
      <c r="M14" s="84"/>
      <c r="N14" s="79"/>
      <c r="O14" s="115"/>
      <c r="P14" s="65"/>
      <c r="Q14" s="65"/>
      <c r="R14" s="65"/>
      <c r="S14" s="65"/>
      <c r="T14" s="65"/>
      <c r="U14" s="65"/>
    </row>
    <row r="15" spans="1:21" ht="53.25" customHeight="1">
      <c r="A15" s="445" t="s">
        <v>318</v>
      </c>
      <c r="B15" s="446"/>
      <c r="C15" s="446"/>
      <c r="D15" s="446"/>
      <c r="E15" s="446"/>
      <c r="F15" s="446"/>
      <c r="G15" s="446"/>
      <c r="H15" s="446"/>
      <c r="I15" s="446"/>
      <c r="J15" s="446"/>
      <c r="K15" s="446"/>
      <c r="L15" s="446"/>
      <c r="M15" s="446"/>
      <c r="N15" s="122" t="s">
        <v>319</v>
      </c>
      <c r="O15" s="94"/>
      <c r="P15" s="39"/>
    </row>
    <row r="16" spans="1:21" ht="15" customHeight="1">
      <c r="M16" s="11"/>
      <c r="N16" s="93" t="s">
        <v>320</v>
      </c>
      <c r="O16" s="83" t="s">
        <v>321</v>
      </c>
    </row>
    <row r="17" spans="1:19" ht="15" customHeight="1">
      <c r="A17" s="432" t="s">
        <v>322</v>
      </c>
      <c r="B17" s="432"/>
      <c r="C17" s="432"/>
      <c r="D17" s="432"/>
      <c r="E17" s="432"/>
      <c r="F17" s="432"/>
      <c r="G17" s="432"/>
      <c r="H17" s="432"/>
      <c r="I17" s="432"/>
      <c r="J17" s="432"/>
      <c r="K17" s="432"/>
      <c r="L17" s="432"/>
      <c r="M17" s="432"/>
      <c r="N17" s="432"/>
      <c r="O17" s="432"/>
    </row>
    <row r="18" spans="1:19" ht="15" customHeight="1">
      <c r="A18" s="450" t="s">
        <v>265</v>
      </c>
      <c r="B18" s="450"/>
      <c r="C18" s="450"/>
      <c r="D18" s="450"/>
      <c r="E18" s="450"/>
      <c r="F18" s="450"/>
      <c r="G18" s="450"/>
      <c r="H18" s="450"/>
      <c r="I18" s="450"/>
      <c r="J18" s="450"/>
      <c r="K18" s="451"/>
      <c r="L18" s="451"/>
      <c r="M18" s="451"/>
      <c r="N18" s="451"/>
      <c r="O18" s="451"/>
    </row>
    <row r="19" spans="1:19" ht="30.75" customHeight="1">
      <c r="A19" s="447" t="s">
        <v>323</v>
      </c>
      <c r="B19" s="447"/>
      <c r="C19" s="447"/>
      <c r="D19" s="447"/>
      <c r="E19" s="447"/>
      <c r="F19" s="447"/>
      <c r="G19" s="447"/>
      <c r="H19" s="447"/>
      <c r="I19" s="447"/>
      <c r="J19" s="447"/>
      <c r="K19" s="447"/>
      <c r="L19" s="447"/>
      <c r="M19" s="447"/>
      <c r="N19" s="447"/>
      <c r="O19" s="447"/>
    </row>
    <row r="20" spans="1:19">
      <c r="A20" s="11"/>
      <c r="B20" s="11"/>
      <c r="C20" s="11"/>
      <c r="D20" s="11"/>
      <c r="E20" s="11"/>
      <c r="F20" s="11"/>
      <c r="G20" s="11"/>
      <c r="H20" s="11"/>
      <c r="I20" s="11"/>
      <c r="J20" s="11"/>
      <c r="K20" s="11"/>
      <c r="L20" s="11"/>
      <c r="M20" s="11"/>
    </row>
    <row r="21" spans="1:19" ht="12.75" customHeight="1">
      <c r="A21" s="65"/>
      <c r="B21" s="65"/>
      <c r="C21" s="65"/>
      <c r="D21" s="65"/>
      <c r="E21" s="65"/>
      <c r="F21" s="65"/>
      <c r="G21" s="65"/>
      <c r="H21" s="65"/>
      <c r="I21" s="65"/>
      <c r="J21" s="65"/>
      <c r="K21" s="65"/>
      <c r="L21" s="65"/>
      <c r="M21" s="65"/>
      <c r="N21" s="65"/>
      <c r="O21" s="62"/>
    </row>
    <row r="22" spans="1:19" ht="23.25" customHeight="1">
      <c r="A22" s="92" t="s">
        <v>324</v>
      </c>
      <c r="B22" s="82"/>
      <c r="C22" s="459" t="s">
        <v>325</v>
      </c>
      <c r="D22" s="460"/>
      <c r="E22" s="92" t="s">
        <v>326</v>
      </c>
      <c r="F22" s="92" t="s">
        <v>327</v>
      </c>
      <c r="G22" s="444" t="s">
        <v>328</v>
      </c>
      <c r="H22" s="444"/>
      <c r="I22" s="444"/>
      <c r="J22" s="444" t="s">
        <v>329</v>
      </c>
      <c r="K22" s="444"/>
      <c r="L22" s="92" t="s">
        <v>330</v>
      </c>
      <c r="M22" s="82"/>
      <c r="N22" s="82"/>
      <c r="O22" s="64"/>
    </row>
    <row r="23" spans="1:19" ht="15.75">
      <c r="A23" s="234" t="s">
        <v>331</v>
      </c>
      <c r="B23" s="82"/>
      <c r="C23" s="461" t="s">
        <v>332</v>
      </c>
      <c r="D23" s="462"/>
      <c r="E23" s="234" t="s">
        <v>333</v>
      </c>
      <c r="F23" s="234" t="s">
        <v>333</v>
      </c>
      <c r="G23" s="441" t="s">
        <v>333</v>
      </c>
      <c r="H23" s="441"/>
      <c r="I23" s="441"/>
      <c r="J23" s="441" t="s">
        <v>333</v>
      </c>
      <c r="K23" s="441"/>
      <c r="L23" s="234" t="s">
        <v>333</v>
      </c>
      <c r="M23" s="82"/>
      <c r="N23" s="82"/>
      <c r="O23" s="65"/>
    </row>
    <row r="24" spans="1:19">
      <c r="A24" s="234" t="s">
        <v>334</v>
      </c>
      <c r="C24" s="441" t="s">
        <v>335</v>
      </c>
      <c r="D24" s="441"/>
      <c r="E24" s="234" t="s">
        <v>336</v>
      </c>
      <c r="F24" s="234" t="s">
        <v>336</v>
      </c>
      <c r="G24" s="441" t="s">
        <v>336</v>
      </c>
      <c r="H24" s="441"/>
      <c r="I24" s="441"/>
      <c r="J24" s="441" t="s">
        <v>336</v>
      </c>
      <c r="K24" s="441"/>
      <c r="L24" s="234" t="s">
        <v>336</v>
      </c>
      <c r="N24" s="60"/>
      <c r="O24" s="39"/>
      <c r="P24" s="12"/>
      <c r="Q24" s="12"/>
      <c r="R24" s="12"/>
      <c r="S24" s="12"/>
    </row>
    <row r="25" spans="1:19">
      <c r="A25" s="80"/>
      <c r="B25" s="80"/>
      <c r="E25" s="239"/>
      <c r="L25" s="80"/>
      <c r="M25" s="80"/>
      <c r="P25" s="12"/>
      <c r="Q25" s="12"/>
      <c r="R25" s="12"/>
      <c r="S25" s="12"/>
    </row>
    <row r="26" spans="1:19">
      <c r="A26" s="11"/>
      <c r="B26" s="11"/>
      <c r="C26" s="11"/>
      <c r="D26" s="11"/>
      <c r="E26" s="11"/>
      <c r="F26" s="11"/>
      <c r="G26" s="11"/>
      <c r="H26" s="11"/>
      <c r="I26" s="11"/>
      <c r="J26" s="11"/>
      <c r="K26" s="11"/>
      <c r="L26" s="11"/>
      <c r="M26" s="11"/>
    </row>
    <row r="27" spans="1:19">
      <c r="F27" s="239"/>
      <c r="K27" s="239"/>
      <c r="N27" s="239"/>
    </row>
    <row r="28" spans="1:19">
      <c r="F28" s="239"/>
      <c r="K28" s="239"/>
      <c r="N28" s="239"/>
      <c r="O28" s="12"/>
    </row>
    <row r="29" spans="1:19">
      <c r="F29" s="239"/>
      <c r="K29" s="239"/>
      <c r="N29" s="239"/>
      <c r="O29" s="12"/>
    </row>
    <row r="32" spans="1:19">
      <c r="B32" s="11"/>
      <c r="O32" s="12"/>
    </row>
    <row r="33" spans="1:14" ht="15">
      <c r="A33" s="11"/>
      <c r="B33" s="11"/>
      <c r="N33" s="61"/>
    </row>
  </sheetData>
  <mergeCells count="53">
    <mergeCell ref="G14:I14"/>
    <mergeCell ref="B12:B13"/>
    <mergeCell ref="C12:D13"/>
    <mergeCell ref="E12:E13"/>
    <mergeCell ref="F12:F13"/>
    <mergeCell ref="G1:H1"/>
    <mergeCell ref="C24:D24"/>
    <mergeCell ref="G24:I24"/>
    <mergeCell ref="C22:D22"/>
    <mergeCell ref="C23:D23"/>
    <mergeCell ref="G22:I22"/>
    <mergeCell ref="G23:I23"/>
    <mergeCell ref="G12:I13"/>
    <mergeCell ref="A4:O4"/>
    <mergeCell ref="A3:O3"/>
    <mergeCell ref="F6:H6"/>
    <mergeCell ref="F7:H8"/>
    <mergeCell ref="F9:H9"/>
    <mergeCell ref="A5:O5"/>
    <mergeCell ref="M6:N6"/>
    <mergeCell ref="I6:L6"/>
    <mergeCell ref="D6:E6"/>
    <mergeCell ref="B7:B8"/>
    <mergeCell ref="D9:E9"/>
    <mergeCell ref="A7:A8"/>
    <mergeCell ref="C7:C8"/>
    <mergeCell ref="D7:E8"/>
    <mergeCell ref="O12:O13"/>
    <mergeCell ref="L12:L13"/>
    <mergeCell ref="M12:M13"/>
    <mergeCell ref="N12:N13"/>
    <mergeCell ref="J24:K24"/>
    <mergeCell ref="J12:K13"/>
    <mergeCell ref="J14:K14"/>
    <mergeCell ref="J22:K22"/>
    <mergeCell ref="J23:K23"/>
    <mergeCell ref="A15:M15"/>
    <mergeCell ref="A19:O19"/>
    <mergeCell ref="C14:D14"/>
    <mergeCell ref="A17:O17"/>
    <mergeCell ref="A18:J18"/>
    <mergeCell ref="K18:O18"/>
    <mergeCell ref="A12:A13"/>
    <mergeCell ref="O7:O8"/>
    <mergeCell ref="I8:J8"/>
    <mergeCell ref="I9:J9"/>
    <mergeCell ref="A10:O10"/>
    <mergeCell ref="C11:D11"/>
    <mergeCell ref="J11:K11"/>
    <mergeCell ref="M7:N8"/>
    <mergeCell ref="M9:N9"/>
    <mergeCell ref="I7:L7"/>
    <mergeCell ref="G11:I11"/>
  </mergeCells>
  <pageMargins left="0.5" right="0.5" top="0.75" bottom="0.75" header="0.3" footer="0.3"/>
  <pageSetup orientation="landscape" horizontalDpi="1200" verticalDpi="120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2"/>
  <sheetViews>
    <sheetView zoomScale="80" zoomScaleNormal="80" workbookViewId="0">
      <selection activeCell="D6" sqref="D6:D7"/>
    </sheetView>
  </sheetViews>
  <sheetFormatPr defaultColWidth="9.140625" defaultRowHeight="15"/>
  <cols>
    <col min="1" max="1" width="14" customWidth="1"/>
    <col min="2" max="2" width="16.42578125" customWidth="1"/>
    <col min="3" max="3" width="17.140625" customWidth="1"/>
    <col min="4" max="4" width="33.140625" customWidth="1"/>
    <col min="5" max="5" width="9.5703125" customWidth="1"/>
    <col min="6" max="6" width="9.85546875" customWidth="1"/>
    <col min="7" max="7" width="10.85546875" customWidth="1"/>
    <col min="8" max="10" width="5.5703125" customWidth="1"/>
    <col min="11" max="14" width="4.5703125" customWidth="1"/>
    <col min="15" max="15" width="4.140625" customWidth="1"/>
    <col min="16" max="16" width="4.5703125" customWidth="1"/>
    <col min="17" max="17" width="5.5703125" customWidth="1"/>
    <col min="18" max="18" width="11.5703125" customWidth="1"/>
  </cols>
  <sheetData>
    <row r="1" spans="1:22">
      <c r="A1" s="22"/>
      <c r="B1" t="s">
        <v>87</v>
      </c>
      <c r="C1" s="23"/>
      <c r="D1" t="s">
        <v>88</v>
      </c>
      <c r="E1" s="73"/>
      <c r="F1" t="s">
        <v>89</v>
      </c>
      <c r="H1" s="24"/>
      <c r="I1" t="s">
        <v>90</v>
      </c>
    </row>
    <row r="2" spans="1:22">
      <c r="A2" s="21"/>
      <c r="B2" s="21"/>
      <c r="C2" s="21"/>
      <c r="D2" s="21"/>
      <c r="E2" s="20"/>
      <c r="F2" s="20"/>
      <c r="G2" s="20"/>
      <c r="H2" s="20"/>
      <c r="L2" s="20"/>
      <c r="M2" s="20"/>
      <c r="N2" s="20"/>
      <c r="O2" s="20"/>
      <c r="P2" s="20"/>
    </row>
    <row r="3" spans="1:22" ht="15" customHeight="1">
      <c r="A3" s="472" t="s">
        <v>337</v>
      </c>
      <c r="B3" s="473"/>
      <c r="C3" s="473"/>
      <c r="D3" s="473"/>
      <c r="E3" s="473"/>
      <c r="F3" s="474"/>
      <c r="G3" s="53"/>
      <c r="H3" s="53"/>
      <c r="I3" s="53"/>
      <c r="J3" s="53"/>
      <c r="K3" s="53"/>
      <c r="L3" s="53"/>
      <c r="M3" s="53"/>
      <c r="N3" s="53"/>
      <c r="O3" s="53"/>
      <c r="P3" s="53"/>
      <c r="Q3" s="53"/>
      <c r="R3" s="53"/>
    </row>
    <row r="4" spans="1:22">
      <c r="A4" s="479" t="s">
        <v>338</v>
      </c>
      <c r="B4" s="480"/>
      <c r="C4" s="480"/>
      <c r="D4" s="480"/>
      <c r="E4" s="480"/>
      <c r="F4" s="481"/>
      <c r="G4" s="3"/>
      <c r="H4" s="3"/>
      <c r="I4" s="3"/>
      <c r="J4" s="3"/>
      <c r="K4" s="3"/>
      <c r="L4" s="3"/>
      <c r="M4" s="3"/>
      <c r="N4" s="3"/>
      <c r="O4" s="3"/>
      <c r="P4" s="3"/>
      <c r="Q4" s="3"/>
      <c r="R4" s="3"/>
    </row>
    <row r="5" spans="1:22" ht="15" customHeight="1">
      <c r="A5" s="240" t="s">
        <v>118</v>
      </c>
      <c r="B5" s="240" t="s">
        <v>123</v>
      </c>
      <c r="C5" s="69" t="s">
        <v>128</v>
      </c>
      <c r="D5" s="69" t="s">
        <v>120</v>
      </c>
      <c r="E5" s="475" t="s">
        <v>126</v>
      </c>
      <c r="F5" s="476"/>
      <c r="G5" s="54"/>
      <c r="H5" s="54"/>
      <c r="I5" s="54"/>
      <c r="J5" s="54"/>
      <c r="K5" s="54"/>
      <c r="L5" s="54"/>
      <c r="M5" s="54"/>
      <c r="N5" s="54"/>
      <c r="O5" s="54"/>
      <c r="P5" s="54"/>
      <c r="Q5" s="54"/>
    </row>
    <row r="6" spans="1:22" ht="16.5" customHeight="1">
      <c r="A6" s="482" t="s">
        <v>339</v>
      </c>
      <c r="B6" s="482" t="s">
        <v>251</v>
      </c>
      <c r="C6" s="483" t="s">
        <v>340</v>
      </c>
      <c r="D6" s="483" t="s">
        <v>341</v>
      </c>
      <c r="E6" s="477" t="s">
        <v>342</v>
      </c>
      <c r="F6" s="478"/>
      <c r="G6" s="40"/>
      <c r="H6" s="40"/>
      <c r="I6" s="40"/>
      <c r="J6" s="40"/>
      <c r="K6" s="40"/>
      <c r="L6" s="40"/>
      <c r="M6" s="40"/>
      <c r="N6" s="40"/>
      <c r="O6" s="40"/>
      <c r="P6" s="40"/>
      <c r="Q6" s="40"/>
      <c r="R6" s="33"/>
      <c r="S6" s="171"/>
      <c r="T6" s="171"/>
      <c r="U6" s="171"/>
      <c r="V6" s="171"/>
    </row>
    <row r="7" spans="1:22" ht="27.75" customHeight="1">
      <c r="A7" s="482"/>
      <c r="B7" s="482"/>
      <c r="C7" s="483"/>
      <c r="D7" s="483"/>
      <c r="E7" s="88" t="s">
        <v>343</v>
      </c>
      <c r="F7" s="88" t="s">
        <v>344</v>
      </c>
      <c r="G7" s="41"/>
      <c r="H7" s="41"/>
      <c r="I7" s="41"/>
      <c r="J7" s="41"/>
      <c r="K7" s="41"/>
      <c r="L7" s="41"/>
      <c r="M7" s="41"/>
      <c r="N7" s="41"/>
      <c r="O7" s="41"/>
      <c r="P7" s="41"/>
      <c r="Q7" s="41"/>
      <c r="R7" s="42"/>
      <c r="S7" s="171"/>
      <c r="T7" s="171"/>
      <c r="U7" s="171"/>
      <c r="V7" s="171"/>
    </row>
    <row r="8" spans="1:22" ht="26.25" customHeight="1">
      <c r="A8" s="74"/>
      <c r="B8" s="126">
        <f>A8</f>
        <v>0</v>
      </c>
      <c r="C8" s="127" t="s">
        <v>345</v>
      </c>
      <c r="D8" s="48"/>
      <c r="E8" s="55" t="s">
        <v>346</v>
      </c>
      <c r="F8" s="55" t="s">
        <v>346</v>
      </c>
      <c r="G8" s="43"/>
      <c r="H8" s="43"/>
      <c r="I8" s="43"/>
      <c r="J8" s="43"/>
      <c r="K8" s="43"/>
      <c r="L8" s="43"/>
      <c r="M8" s="43"/>
      <c r="N8" s="43"/>
      <c r="O8" s="43"/>
      <c r="P8" s="43"/>
      <c r="Q8" s="43"/>
      <c r="R8" s="42"/>
      <c r="S8" s="171"/>
      <c r="T8" s="171"/>
      <c r="U8" s="171"/>
      <c r="V8" s="171"/>
    </row>
    <row r="9" spans="1:22" ht="15.75">
      <c r="A9" s="110" t="s">
        <v>347</v>
      </c>
      <c r="E9" s="227"/>
      <c r="F9" s="43"/>
      <c r="G9" s="43"/>
      <c r="H9" s="44"/>
      <c r="J9" s="40"/>
      <c r="K9" s="43"/>
      <c r="L9" s="43"/>
      <c r="M9" s="227"/>
      <c r="N9" s="45"/>
      <c r="O9" s="45"/>
      <c r="P9" s="4"/>
      <c r="Q9" s="45"/>
      <c r="R9" s="42"/>
    </row>
    <row r="10" spans="1:22" ht="24.75" customHeight="1">
      <c r="D10" s="46"/>
      <c r="E10" s="41"/>
      <c r="F10" s="41"/>
      <c r="G10" s="41"/>
      <c r="H10" s="41"/>
      <c r="I10" s="41"/>
      <c r="J10" s="41"/>
      <c r="K10" s="40"/>
      <c r="L10" s="40"/>
      <c r="M10" s="32"/>
      <c r="N10" s="40"/>
      <c r="O10" s="40"/>
      <c r="P10" s="33"/>
      <c r="Q10" s="40"/>
      <c r="R10" s="42"/>
    </row>
    <row r="11" spans="1:22" ht="15.75" customHeight="1">
      <c r="D11" s="46"/>
      <c r="E11" s="43"/>
      <c r="F11" s="43"/>
      <c r="G11" s="43"/>
      <c r="H11" s="43"/>
      <c r="I11" s="43"/>
      <c r="J11" s="41"/>
      <c r="K11" s="43"/>
      <c r="L11" s="43"/>
      <c r="M11" s="227"/>
      <c r="N11" s="41"/>
      <c r="O11" s="41"/>
      <c r="P11" s="4"/>
      <c r="Q11" s="45"/>
      <c r="R11" s="42"/>
    </row>
    <row r="12" spans="1:22" ht="24.95" customHeight="1">
      <c r="E12" s="41"/>
      <c r="F12" s="41"/>
      <c r="G12" s="41"/>
      <c r="H12" s="41"/>
      <c r="I12" s="41"/>
      <c r="J12" s="41"/>
      <c r="K12" s="40"/>
      <c r="L12" s="40"/>
      <c r="M12" s="40"/>
      <c r="N12" s="40"/>
      <c r="O12" s="40"/>
      <c r="P12" s="40"/>
      <c r="Q12" s="40"/>
      <c r="R12" s="42"/>
    </row>
  </sheetData>
  <mergeCells count="8">
    <mergeCell ref="A3:F3"/>
    <mergeCell ref="E5:F5"/>
    <mergeCell ref="E6:F6"/>
    <mergeCell ref="A4:F4"/>
    <mergeCell ref="A6:A7"/>
    <mergeCell ref="B6:B7"/>
    <mergeCell ref="C6:C7"/>
    <mergeCell ref="D6:D7"/>
  </mergeCells>
  <pageMargins left="0.25" right="0.25" top="0.75" bottom="0.75" header="0.3" footer="0.3"/>
  <pageSetup scale="84" fitToHeight="0"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22"/>
  <sheetViews>
    <sheetView zoomScaleNormal="100" workbookViewId="0">
      <selection activeCell="M62" sqref="M62"/>
    </sheetView>
  </sheetViews>
  <sheetFormatPr defaultColWidth="9.140625" defaultRowHeight="15"/>
  <cols>
    <col min="1" max="1" width="5" customWidth="1"/>
    <col min="2" max="2" width="16.42578125" customWidth="1"/>
    <col min="3" max="3" width="15.5703125" customWidth="1"/>
    <col min="4" max="7" width="13" customWidth="1"/>
    <col min="8" max="8" width="16.42578125" customWidth="1"/>
    <col min="9" max="9" width="17.140625" customWidth="1"/>
    <col min="10" max="10" width="15.42578125" customWidth="1"/>
    <col min="11" max="11" width="14.42578125" customWidth="1"/>
    <col min="12" max="12" width="9.5703125" customWidth="1"/>
    <col min="13" max="13" width="9.85546875" customWidth="1"/>
    <col min="14" max="14" width="10.85546875" customWidth="1"/>
    <col min="15" max="17" width="5.5703125" customWidth="1"/>
    <col min="18" max="21" width="4.5703125" customWidth="1"/>
    <col min="22" max="22" width="4.140625" customWidth="1"/>
    <col min="23" max="23" width="4.5703125" customWidth="1"/>
    <col min="24" max="24" width="5.5703125" customWidth="1"/>
    <col min="25" max="25" width="11.5703125" customWidth="1"/>
  </cols>
  <sheetData>
    <row r="1" spans="1:29">
      <c r="A1" s="22"/>
      <c r="B1" s="22"/>
      <c r="C1" t="s">
        <v>87</v>
      </c>
      <c r="D1" s="23"/>
      <c r="E1" t="s">
        <v>88</v>
      </c>
      <c r="F1" s="73"/>
      <c r="G1" t="s">
        <v>89</v>
      </c>
      <c r="I1" s="24"/>
      <c r="J1" t="s">
        <v>90</v>
      </c>
    </row>
    <row r="2" spans="1:29">
      <c r="A2" s="21"/>
      <c r="B2" s="21"/>
      <c r="C2" s="21"/>
      <c r="D2" s="21"/>
      <c r="E2" s="21"/>
      <c r="F2" s="21"/>
      <c r="G2" s="21"/>
      <c r="H2" s="21"/>
      <c r="I2" s="21"/>
      <c r="J2" s="21"/>
      <c r="K2" s="77"/>
      <c r="L2" s="20"/>
      <c r="M2" s="20"/>
      <c r="N2" s="20"/>
      <c r="O2" s="20"/>
      <c r="S2" s="20"/>
      <c r="T2" s="20"/>
      <c r="U2" s="20"/>
      <c r="V2" s="20"/>
      <c r="W2" s="20"/>
    </row>
    <row r="3" spans="1:29" ht="15" customHeight="1">
      <c r="A3" s="51" t="s">
        <v>348</v>
      </c>
      <c r="B3" s="52"/>
      <c r="C3" s="52"/>
      <c r="D3" s="52"/>
      <c r="E3" s="52"/>
      <c r="F3" s="52"/>
      <c r="G3" s="52"/>
      <c r="H3" s="52"/>
      <c r="I3" s="52"/>
      <c r="J3" s="52"/>
      <c r="K3" s="52"/>
      <c r="L3" s="49"/>
      <c r="M3" s="50"/>
      <c r="N3" s="53"/>
      <c r="O3" s="53"/>
      <c r="P3" s="53"/>
      <c r="Q3" s="53"/>
      <c r="R3" s="53"/>
      <c r="S3" s="53"/>
      <c r="T3" s="53"/>
      <c r="U3" s="53"/>
      <c r="V3" s="53"/>
      <c r="W3" s="53"/>
      <c r="X3" s="53"/>
      <c r="Y3" s="53"/>
    </row>
    <row r="4" spans="1:29" ht="15.75" customHeight="1">
      <c r="A4" s="484" t="s">
        <v>349</v>
      </c>
      <c r="B4" s="485"/>
      <c r="C4" s="485"/>
      <c r="D4" s="485"/>
      <c r="E4" s="485"/>
      <c r="F4" s="485"/>
      <c r="G4" s="485"/>
      <c r="H4" s="485"/>
      <c r="I4" s="485"/>
      <c r="J4" s="485"/>
      <c r="K4" s="485"/>
      <c r="L4" s="485"/>
      <c r="M4" s="486"/>
      <c r="N4" s="3"/>
      <c r="O4" s="3"/>
      <c r="P4" s="3"/>
      <c r="Q4" s="3"/>
      <c r="R4" s="3"/>
      <c r="S4" s="3"/>
      <c r="T4" s="3"/>
      <c r="U4" s="3"/>
      <c r="V4" s="3"/>
      <c r="W4" s="3"/>
      <c r="X4" s="3"/>
      <c r="Y4" s="3"/>
    </row>
    <row r="5" spans="1:29" ht="15.75" customHeight="1">
      <c r="A5" s="56" t="s">
        <v>190</v>
      </c>
      <c r="B5" s="377" t="s">
        <v>350</v>
      </c>
      <c r="C5" s="377"/>
      <c r="D5" s="491" t="s">
        <v>351</v>
      </c>
      <c r="E5" s="377"/>
      <c r="F5" s="377"/>
      <c r="G5" s="377"/>
      <c r="H5" s="377"/>
      <c r="I5" s="377"/>
      <c r="J5" s="377"/>
      <c r="K5" s="89" t="s">
        <v>352</v>
      </c>
      <c r="L5" s="489"/>
      <c r="M5" s="489"/>
      <c r="N5" s="3"/>
      <c r="O5" s="3"/>
      <c r="P5" s="3"/>
      <c r="Q5" s="3"/>
      <c r="R5" s="3"/>
      <c r="S5" s="3"/>
      <c r="T5" s="3"/>
      <c r="U5" s="3"/>
      <c r="V5" s="3"/>
      <c r="W5" s="3"/>
      <c r="X5" s="3"/>
      <c r="Y5" s="3"/>
    </row>
    <row r="6" spans="1:29" ht="30" customHeight="1">
      <c r="A6" s="56" t="s">
        <v>190</v>
      </c>
      <c r="B6" s="377" t="s">
        <v>353</v>
      </c>
      <c r="C6" s="377"/>
      <c r="D6" s="385" t="s">
        <v>354</v>
      </c>
      <c r="E6" s="359"/>
      <c r="F6" s="359"/>
      <c r="G6" s="359"/>
      <c r="H6" s="359"/>
      <c r="I6" s="359"/>
      <c r="J6" s="359"/>
      <c r="K6" s="90" t="s">
        <v>352</v>
      </c>
      <c r="L6" s="490"/>
      <c r="M6" s="490"/>
      <c r="N6" s="3"/>
      <c r="O6" s="3"/>
      <c r="P6" s="3"/>
      <c r="Q6" s="3"/>
      <c r="R6" s="3"/>
      <c r="S6" s="3"/>
      <c r="T6" s="3"/>
      <c r="U6" s="3"/>
      <c r="V6" s="3"/>
      <c r="W6" s="3"/>
      <c r="X6" s="3"/>
      <c r="Y6" s="3"/>
    </row>
    <row r="7" spans="1:29" ht="15" customHeight="1">
      <c r="A7" s="487" t="s">
        <v>118</v>
      </c>
      <c r="B7" s="488"/>
      <c r="C7" s="240" t="s">
        <v>123</v>
      </c>
      <c r="D7" s="240" t="s">
        <v>128</v>
      </c>
      <c r="E7" s="240" t="s">
        <v>120</v>
      </c>
      <c r="F7" s="240" t="s">
        <v>126</v>
      </c>
      <c r="G7" s="240" t="s">
        <v>131</v>
      </c>
      <c r="H7" s="240" t="s">
        <v>246</v>
      </c>
      <c r="I7" s="69" t="s">
        <v>247</v>
      </c>
      <c r="J7" s="69" t="s">
        <v>248</v>
      </c>
      <c r="K7" s="237" t="s">
        <v>297</v>
      </c>
      <c r="L7" s="475" t="s">
        <v>298</v>
      </c>
      <c r="M7" s="476"/>
      <c r="N7" s="54"/>
      <c r="O7" s="54"/>
      <c r="P7" s="54"/>
      <c r="Q7" s="54"/>
      <c r="R7" s="54"/>
      <c r="S7" s="54"/>
      <c r="T7" s="54"/>
      <c r="U7" s="54"/>
      <c r="V7" s="54"/>
      <c r="W7" s="54"/>
      <c r="X7" s="54"/>
    </row>
    <row r="8" spans="1:29" ht="16.5" customHeight="1">
      <c r="A8" s="500" t="s">
        <v>355</v>
      </c>
      <c r="B8" s="501"/>
      <c r="C8" s="493" t="s">
        <v>356</v>
      </c>
      <c r="D8" s="493" t="s">
        <v>357</v>
      </c>
      <c r="E8" s="495" t="s">
        <v>358</v>
      </c>
      <c r="F8" s="496"/>
      <c r="G8" s="493" t="s">
        <v>359</v>
      </c>
      <c r="H8" s="482" t="s">
        <v>360</v>
      </c>
      <c r="I8" s="483" t="s">
        <v>361</v>
      </c>
      <c r="J8" s="483" t="s">
        <v>362</v>
      </c>
      <c r="K8" s="498" t="s">
        <v>363</v>
      </c>
      <c r="L8" s="477" t="s">
        <v>342</v>
      </c>
      <c r="M8" s="478"/>
      <c r="N8" s="40"/>
      <c r="O8" s="40"/>
      <c r="P8" s="40"/>
      <c r="Q8" s="40"/>
      <c r="R8" s="40"/>
      <c r="S8" s="40"/>
      <c r="T8" s="40"/>
      <c r="U8" s="40"/>
      <c r="V8" s="40"/>
      <c r="W8" s="40"/>
      <c r="X8" s="40"/>
      <c r="Y8" s="33"/>
      <c r="Z8" s="492"/>
      <c r="AA8" s="492"/>
      <c r="AB8" s="492"/>
      <c r="AC8" s="492"/>
    </row>
    <row r="9" spans="1:29" ht="27.75" customHeight="1">
      <c r="A9" s="502"/>
      <c r="B9" s="503"/>
      <c r="C9" s="494"/>
      <c r="D9" s="494"/>
      <c r="E9" s="238" t="s">
        <v>364</v>
      </c>
      <c r="F9" s="238" t="s">
        <v>365</v>
      </c>
      <c r="G9" s="494"/>
      <c r="H9" s="482"/>
      <c r="I9" s="483"/>
      <c r="J9" s="483"/>
      <c r="K9" s="499"/>
      <c r="L9" s="88" t="s">
        <v>343</v>
      </c>
      <c r="M9" s="88" t="s">
        <v>344</v>
      </c>
      <c r="N9" s="41"/>
      <c r="O9" s="41"/>
      <c r="P9" s="41"/>
      <c r="Q9" s="41"/>
      <c r="R9" s="41"/>
      <c r="S9" s="41"/>
      <c r="T9" s="41"/>
      <c r="U9" s="41"/>
      <c r="V9" s="41"/>
      <c r="W9" s="41"/>
      <c r="X9" s="41"/>
      <c r="Y9" s="42"/>
      <c r="Z9" s="492"/>
      <c r="AA9" s="492"/>
      <c r="AB9" s="492"/>
      <c r="AC9" s="492"/>
    </row>
    <row r="10" spans="1:29" ht="26.25" customHeight="1">
      <c r="A10" s="504" t="s">
        <v>366</v>
      </c>
      <c r="B10" s="505"/>
      <c r="C10" s="76" t="s">
        <v>366</v>
      </c>
      <c r="D10" s="74"/>
      <c r="E10" s="74"/>
      <c r="F10" s="74"/>
      <c r="G10" s="74"/>
      <c r="H10" s="74"/>
      <c r="I10" s="47"/>
      <c r="J10" s="75"/>
      <c r="K10" s="48"/>
      <c r="L10" s="55" t="s">
        <v>346</v>
      </c>
      <c r="M10" s="55" t="s">
        <v>346</v>
      </c>
      <c r="N10" s="43"/>
      <c r="O10" s="43"/>
      <c r="P10" s="43"/>
      <c r="Q10" s="43"/>
      <c r="R10" s="43"/>
      <c r="S10" s="43"/>
      <c r="T10" s="43"/>
      <c r="U10" s="43"/>
      <c r="V10" s="43"/>
      <c r="W10" s="43"/>
      <c r="X10" s="43"/>
      <c r="Y10" s="42"/>
      <c r="Z10" s="492"/>
      <c r="AA10" s="492"/>
      <c r="AB10" s="492"/>
      <c r="AC10" s="492"/>
    </row>
    <row r="11" spans="1:29">
      <c r="L11" s="227"/>
      <c r="M11" s="43"/>
      <c r="N11" s="43"/>
      <c r="O11" s="44"/>
      <c r="Q11" s="40"/>
      <c r="R11" s="43"/>
      <c r="S11" s="43"/>
      <c r="T11" s="227"/>
      <c r="U11" s="45"/>
      <c r="V11" s="45"/>
      <c r="W11" s="4"/>
      <c r="X11" s="45"/>
      <c r="Y11" s="42"/>
    </row>
    <row r="12" spans="1:29" ht="15.75" customHeight="1">
      <c r="A12" s="459" t="s">
        <v>367</v>
      </c>
      <c r="B12" s="460"/>
      <c r="C12" s="444" t="s">
        <v>368</v>
      </c>
      <c r="J12" s="46"/>
      <c r="K12" s="46"/>
      <c r="L12" s="43"/>
      <c r="M12" s="43"/>
      <c r="N12" s="43"/>
      <c r="O12" s="43"/>
      <c r="P12" s="43"/>
      <c r="Q12" s="41"/>
      <c r="R12" s="43"/>
      <c r="S12" s="43"/>
      <c r="T12" s="227"/>
      <c r="U12" s="41"/>
      <c r="V12" s="41"/>
      <c r="W12" s="4"/>
      <c r="X12" s="45"/>
      <c r="Y12" s="42"/>
    </row>
    <row r="13" spans="1:29" ht="24.95" customHeight="1">
      <c r="A13" s="506"/>
      <c r="B13" s="507"/>
      <c r="C13" s="444"/>
      <c r="L13" s="41"/>
      <c r="M13" s="41"/>
      <c r="N13" s="41"/>
      <c r="O13" s="41"/>
      <c r="P13" s="41"/>
      <c r="Q13" s="41"/>
      <c r="R13" s="40"/>
      <c r="S13" s="40"/>
      <c r="T13" s="40"/>
      <c r="U13" s="40"/>
      <c r="V13" s="40"/>
      <c r="W13" s="40"/>
      <c r="X13" s="40"/>
      <c r="Y13" s="42"/>
    </row>
    <row r="14" spans="1:29">
      <c r="A14" s="508" t="s">
        <v>369</v>
      </c>
      <c r="B14" s="508"/>
      <c r="C14" s="86" t="s">
        <v>370</v>
      </c>
    </row>
    <row r="15" spans="1:29">
      <c r="A15" s="508"/>
      <c r="B15" s="508"/>
      <c r="C15" s="86" t="s">
        <v>371</v>
      </c>
    </row>
    <row r="16" spans="1:29">
      <c r="A16" s="497"/>
      <c r="B16" s="497"/>
      <c r="C16" s="87" t="s">
        <v>372</v>
      </c>
    </row>
    <row r="17" spans="1:7">
      <c r="A17" s="239"/>
      <c r="B17" s="239"/>
      <c r="C17" s="239"/>
    </row>
    <row r="18" spans="1:7">
      <c r="A18" s="239"/>
      <c r="B18" s="239"/>
      <c r="C18" s="239"/>
    </row>
    <row r="21" spans="1:7">
      <c r="A21" s="67" t="s">
        <v>278</v>
      </c>
      <c r="B21" s="67"/>
      <c r="C21" s="67"/>
      <c r="D21" s="67"/>
      <c r="E21" s="67"/>
      <c r="F21" s="67"/>
      <c r="G21" s="67"/>
    </row>
    <row r="22" spans="1:7">
      <c r="A22" t="s">
        <v>373</v>
      </c>
    </row>
  </sheetData>
  <mergeCells count="25">
    <mergeCell ref="A16:B16"/>
    <mergeCell ref="B5:C5"/>
    <mergeCell ref="B6:C6"/>
    <mergeCell ref="K8:K9"/>
    <mergeCell ref="C12:C13"/>
    <mergeCell ref="A8:B9"/>
    <mergeCell ref="A10:B10"/>
    <mergeCell ref="A12:B13"/>
    <mergeCell ref="A14:B15"/>
    <mergeCell ref="Z8:AC10"/>
    <mergeCell ref="C8:C9"/>
    <mergeCell ref="D8:D9"/>
    <mergeCell ref="E8:F8"/>
    <mergeCell ref="G8:G9"/>
    <mergeCell ref="A4:M4"/>
    <mergeCell ref="L7:M7"/>
    <mergeCell ref="H8:H9"/>
    <mergeCell ref="I8:I9"/>
    <mergeCell ref="J8:J9"/>
    <mergeCell ref="L8:M8"/>
    <mergeCell ref="A7:B7"/>
    <mergeCell ref="L5:M5"/>
    <mergeCell ref="L6:M6"/>
    <mergeCell ref="D5:J5"/>
    <mergeCell ref="D6:J6"/>
  </mergeCells>
  <pageMargins left="0.25" right="0.25" top="0.75" bottom="0.75" header="0.3" footer="0.3"/>
  <pageSetup scale="84" fitToHeight="0" orientation="landscape"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16"/>
  <sheetViews>
    <sheetView zoomScale="115" zoomScaleNormal="115" workbookViewId="0">
      <selection activeCell="A4" sqref="A4:G4"/>
    </sheetView>
  </sheetViews>
  <sheetFormatPr defaultColWidth="9.140625" defaultRowHeight="15"/>
  <cols>
    <col min="1" max="1" width="5" customWidth="1"/>
    <col min="2" max="2" width="12.5703125" customWidth="1"/>
    <col min="3" max="3" width="19.42578125" customWidth="1"/>
    <col min="4" max="4" width="22.5703125" customWidth="1"/>
    <col min="5" max="5" width="21.42578125" customWidth="1"/>
    <col min="6" max="6" width="13" customWidth="1"/>
    <col min="7" max="7" width="13.140625" customWidth="1"/>
    <col min="8" max="8" width="13" customWidth="1"/>
    <col min="9" max="9" width="16.42578125" customWidth="1"/>
    <col min="10" max="10" width="17.140625" customWidth="1"/>
    <col min="11" max="11" width="15.42578125" customWidth="1"/>
    <col min="12" max="12" width="14.42578125" customWidth="1"/>
    <col min="13" max="13" width="9.5703125" customWidth="1"/>
    <col min="14" max="14" width="9.85546875" customWidth="1"/>
    <col min="15" max="15" width="10.85546875" customWidth="1"/>
    <col min="16" max="18" width="5.5703125" customWidth="1"/>
    <col min="19" max="22" width="4.5703125" customWidth="1"/>
    <col min="23" max="23" width="4.140625" customWidth="1"/>
    <col min="24" max="24" width="4.5703125" customWidth="1"/>
    <col min="25" max="25" width="5.5703125" customWidth="1"/>
    <col min="26" max="26" width="11.5703125" customWidth="1"/>
  </cols>
  <sheetData>
    <row r="1" spans="1:30">
      <c r="A1" s="22"/>
      <c r="B1" s="22"/>
      <c r="C1" s="22"/>
      <c r="D1" t="s">
        <v>87</v>
      </c>
      <c r="E1" s="23"/>
      <c r="F1" t="s">
        <v>88</v>
      </c>
      <c r="G1" s="73"/>
      <c r="H1" t="s">
        <v>89</v>
      </c>
      <c r="J1" s="24"/>
      <c r="K1" t="s">
        <v>90</v>
      </c>
    </row>
    <row r="2" spans="1:30">
      <c r="A2" s="21"/>
      <c r="B2" s="21"/>
      <c r="C2" s="21"/>
      <c r="D2" s="21"/>
      <c r="E2" s="21"/>
      <c r="F2" s="21"/>
      <c r="G2" s="21"/>
      <c r="H2" s="77"/>
      <c r="I2" s="77"/>
      <c r="J2" s="77"/>
      <c r="K2" s="77"/>
      <c r="L2" s="77"/>
      <c r="M2" s="20"/>
      <c r="N2" s="20"/>
      <c r="O2" s="20"/>
      <c r="P2" s="20"/>
      <c r="T2" s="20"/>
      <c r="U2" s="20"/>
      <c r="V2" s="20"/>
      <c r="W2" s="20"/>
      <c r="X2" s="20"/>
    </row>
    <row r="3" spans="1:30" ht="15" customHeight="1">
      <c r="A3" s="514" t="s">
        <v>348</v>
      </c>
      <c r="B3" s="514"/>
      <c r="C3" s="514"/>
      <c r="D3" s="514"/>
      <c r="E3" s="514"/>
      <c r="F3" s="514"/>
      <c r="G3" s="514"/>
      <c r="H3" s="109"/>
      <c r="I3" s="109"/>
      <c r="J3" s="109"/>
      <c r="K3" s="109"/>
      <c r="L3" s="109"/>
      <c r="M3" s="53"/>
      <c r="N3" s="53"/>
      <c r="O3" s="53"/>
      <c r="P3" s="53"/>
      <c r="Q3" s="53"/>
      <c r="R3" s="53"/>
      <c r="S3" s="53"/>
      <c r="T3" s="53"/>
      <c r="U3" s="53"/>
      <c r="V3" s="53"/>
      <c r="W3" s="53"/>
      <c r="X3" s="53"/>
      <c r="Y3" s="53"/>
      <c r="Z3" s="53"/>
    </row>
    <row r="4" spans="1:30" ht="33" customHeight="1">
      <c r="A4" s="519" t="s">
        <v>374</v>
      </c>
      <c r="B4" s="519"/>
      <c r="C4" s="519"/>
      <c r="D4" s="519"/>
      <c r="E4" s="519"/>
      <c r="F4" s="519"/>
      <c r="G4" s="519"/>
      <c r="H4" s="104"/>
      <c r="I4" s="104"/>
      <c r="J4" s="104"/>
      <c r="K4" s="104"/>
      <c r="L4" s="104"/>
      <c r="M4" s="104"/>
      <c r="N4" s="104"/>
      <c r="O4" s="3"/>
      <c r="P4" s="3"/>
      <c r="Q4" s="3"/>
      <c r="R4" s="3"/>
      <c r="S4" s="3"/>
      <c r="T4" s="3"/>
      <c r="U4" s="3"/>
      <c r="V4" s="3"/>
      <c r="W4" s="3"/>
      <c r="X4" s="3"/>
      <c r="Y4" s="3"/>
      <c r="Z4" s="3"/>
    </row>
    <row r="5" spans="1:30" ht="57.75" customHeight="1">
      <c r="A5" s="167" t="s">
        <v>375</v>
      </c>
      <c r="B5" s="517" t="s">
        <v>350</v>
      </c>
      <c r="C5" s="517"/>
      <c r="D5" s="517"/>
      <c r="E5" s="517" t="s">
        <v>376</v>
      </c>
      <c r="F5" s="517"/>
      <c r="G5" s="517"/>
      <c r="H5" s="105"/>
      <c r="I5" s="106"/>
      <c r="J5" s="105"/>
      <c r="K5" s="105"/>
      <c r="O5" s="3"/>
      <c r="P5" s="3"/>
      <c r="Q5" s="3"/>
      <c r="R5" s="3"/>
      <c r="S5" s="3"/>
      <c r="T5" s="3"/>
      <c r="U5" s="3"/>
      <c r="V5" s="3"/>
      <c r="W5" s="3"/>
      <c r="X5" s="3"/>
      <c r="Y5" s="3"/>
      <c r="Z5" s="3"/>
    </row>
    <row r="6" spans="1:30" ht="63.75" customHeight="1">
      <c r="A6" s="59" t="s">
        <v>190</v>
      </c>
      <c r="B6" s="517" t="s">
        <v>377</v>
      </c>
      <c r="C6" s="517"/>
      <c r="D6" s="517"/>
      <c r="E6" s="522" t="s">
        <v>378</v>
      </c>
      <c r="F6" s="522"/>
      <c r="G6" s="522"/>
      <c r="H6" s="107"/>
      <c r="I6" s="108"/>
      <c r="J6" s="107"/>
      <c r="K6" s="107"/>
      <c r="O6" s="3"/>
      <c r="P6" s="3"/>
      <c r="Q6" s="3"/>
      <c r="R6" s="3"/>
      <c r="S6" s="3"/>
      <c r="T6" s="3"/>
      <c r="U6" s="3"/>
      <c r="V6" s="3"/>
      <c r="W6" s="3"/>
      <c r="X6" s="3"/>
      <c r="Y6" s="3"/>
      <c r="Z6" s="3"/>
    </row>
    <row r="7" spans="1:30" ht="15" customHeight="1">
      <c r="A7" s="510" t="s">
        <v>118</v>
      </c>
      <c r="B7" s="510"/>
      <c r="C7" s="240" t="s">
        <v>123</v>
      </c>
      <c r="D7" s="240" t="s">
        <v>128</v>
      </c>
      <c r="E7" s="240" t="s">
        <v>120</v>
      </c>
      <c r="F7" s="516" t="s">
        <v>126</v>
      </c>
      <c r="G7" s="516"/>
      <c r="H7" s="100"/>
      <c r="I7" s="100"/>
      <c r="J7" s="101"/>
      <c r="K7" s="101"/>
      <c r="L7" s="101"/>
      <c r="M7" s="170"/>
      <c r="N7" s="170"/>
      <c r="O7" s="54"/>
      <c r="P7" s="54"/>
      <c r="Q7" s="54"/>
      <c r="R7" s="54"/>
      <c r="S7" s="54"/>
      <c r="T7" s="54"/>
      <c r="U7" s="54"/>
      <c r="V7" s="54"/>
      <c r="W7" s="54"/>
      <c r="X7" s="54"/>
      <c r="Y7" s="54"/>
    </row>
    <row r="8" spans="1:30" ht="16.5" customHeight="1">
      <c r="A8" s="511" t="s">
        <v>379</v>
      </c>
      <c r="B8" s="511"/>
      <c r="C8" s="512" t="s">
        <v>380</v>
      </c>
      <c r="D8" s="483" t="s">
        <v>362</v>
      </c>
      <c r="E8" s="483" t="s">
        <v>381</v>
      </c>
      <c r="F8" s="518" t="s">
        <v>342</v>
      </c>
      <c r="G8" s="518"/>
      <c r="H8" s="40"/>
      <c r="I8" s="40"/>
      <c r="J8" s="169"/>
      <c r="O8" s="40"/>
      <c r="P8" s="40"/>
      <c r="Q8" s="40"/>
      <c r="R8" s="40"/>
      <c r="S8" s="40"/>
      <c r="T8" s="40"/>
      <c r="U8" s="40"/>
      <c r="V8" s="40"/>
      <c r="W8" s="40"/>
      <c r="X8" s="40"/>
      <c r="Y8" s="40"/>
      <c r="Z8" s="33"/>
      <c r="AA8" s="492"/>
      <c r="AB8" s="492"/>
      <c r="AC8" s="492"/>
      <c r="AD8" s="492"/>
    </row>
    <row r="9" spans="1:30" ht="19.5" customHeight="1">
      <c r="A9" s="511"/>
      <c r="B9" s="511"/>
      <c r="C9" s="513"/>
      <c r="D9" s="483"/>
      <c r="E9" s="483"/>
      <c r="F9" s="88" t="s">
        <v>343</v>
      </c>
      <c r="G9" s="88" t="s">
        <v>344</v>
      </c>
      <c r="H9" s="40"/>
      <c r="I9" s="40"/>
      <c r="J9" s="169"/>
      <c r="O9" s="41"/>
      <c r="P9" s="41"/>
      <c r="Q9" s="41"/>
      <c r="R9" s="41"/>
      <c r="S9" s="41"/>
      <c r="T9" s="41"/>
      <c r="U9" s="41"/>
      <c r="V9" s="41"/>
      <c r="W9" s="41"/>
      <c r="X9" s="41"/>
      <c r="Y9" s="41"/>
      <c r="Z9" s="42"/>
      <c r="AA9" s="492"/>
      <c r="AB9" s="492"/>
      <c r="AC9" s="492"/>
      <c r="AD9" s="492"/>
    </row>
    <row r="10" spans="1:30" ht="26.25" customHeight="1">
      <c r="A10" s="509" t="s">
        <v>366</v>
      </c>
      <c r="B10" s="509"/>
      <c r="C10" s="128"/>
      <c r="D10" s="129"/>
      <c r="E10" s="130" t="s">
        <v>366</v>
      </c>
      <c r="F10" s="55" t="s">
        <v>346</v>
      </c>
      <c r="G10" s="55" t="s">
        <v>346</v>
      </c>
      <c r="H10" s="102"/>
      <c r="I10" s="102"/>
      <c r="J10" s="103"/>
      <c r="L10" s="241"/>
      <c r="O10" s="43"/>
      <c r="P10" s="43"/>
      <c r="Q10" s="43"/>
      <c r="R10" s="43"/>
      <c r="S10" s="43"/>
      <c r="T10" s="43"/>
      <c r="U10" s="43"/>
      <c r="V10" s="43"/>
      <c r="W10" s="43"/>
      <c r="X10" s="43"/>
      <c r="Y10" s="43"/>
      <c r="Z10" s="42"/>
      <c r="AA10" s="492"/>
      <c r="AB10" s="492"/>
      <c r="AC10" s="492"/>
      <c r="AD10" s="492"/>
    </row>
    <row r="11" spans="1:30" ht="46.5" customHeight="1">
      <c r="A11" s="515" t="s">
        <v>382</v>
      </c>
      <c r="B11" s="515"/>
      <c r="C11" s="515"/>
      <c r="D11" s="515"/>
      <c r="E11" s="515"/>
      <c r="F11" s="515"/>
      <c r="G11" s="515"/>
      <c r="M11" s="227"/>
      <c r="N11" s="43"/>
      <c r="O11" s="43"/>
      <c r="P11" s="44"/>
      <c r="R11" s="40"/>
      <c r="S11" s="43"/>
      <c r="T11" s="43"/>
      <c r="U11" s="227"/>
      <c r="V11" s="45"/>
      <c r="W11" s="45"/>
      <c r="X11" s="4"/>
      <c r="Y11" s="45"/>
      <c r="Z11" s="42"/>
    </row>
    <row r="12" spans="1:30" ht="14.45" customHeight="1">
      <c r="A12" s="243"/>
      <c r="B12" s="243"/>
      <c r="C12" s="243"/>
      <c r="D12" s="243"/>
      <c r="E12" s="114"/>
      <c r="F12" s="243"/>
      <c r="G12" s="243"/>
      <c r="M12" s="227"/>
      <c r="N12" s="43"/>
      <c r="O12" s="43"/>
      <c r="P12" s="44"/>
      <c r="R12" s="40"/>
      <c r="S12" s="43"/>
      <c r="T12" s="43"/>
      <c r="U12" s="227"/>
      <c r="V12" s="45"/>
      <c r="W12" s="45"/>
      <c r="X12" s="4"/>
      <c r="Y12" s="45"/>
      <c r="Z12" s="42"/>
    </row>
    <row r="13" spans="1:30" ht="28.35" customHeight="1">
      <c r="A13" s="521" t="s">
        <v>383</v>
      </c>
      <c r="B13" s="521"/>
      <c r="C13" s="239"/>
      <c r="D13" s="239"/>
      <c r="E13" s="111" t="s">
        <v>384</v>
      </c>
    </row>
    <row r="14" spans="1:30">
      <c r="A14" s="520" t="s">
        <v>352</v>
      </c>
      <c r="B14" s="520"/>
      <c r="E14" s="112" t="s">
        <v>333</v>
      </c>
    </row>
    <row r="15" spans="1:30">
      <c r="A15" s="520" t="s">
        <v>385</v>
      </c>
      <c r="B15" s="520"/>
      <c r="E15" s="4"/>
    </row>
    <row r="16" spans="1:30">
      <c r="G16" s="166"/>
    </row>
  </sheetData>
  <mergeCells count="19">
    <mergeCell ref="A15:B15"/>
    <mergeCell ref="A14:B14"/>
    <mergeCell ref="A13:B13"/>
    <mergeCell ref="B6:D6"/>
    <mergeCell ref="E6:G6"/>
    <mergeCell ref="A3:G3"/>
    <mergeCell ref="A11:G11"/>
    <mergeCell ref="F7:G7"/>
    <mergeCell ref="E5:G5"/>
    <mergeCell ref="F8:G8"/>
    <mergeCell ref="B5:D5"/>
    <mergeCell ref="A4:G4"/>
    <mergeCell ref="AA8:AD10"/>
    <mergeCell ref="A10:B10"/>
    <mergeCell ref="A7:B7"/>
    <mergeCell ref="A8:B9"/>
    <mergeCell ref="E8:E9"/>
    <mergeCell ref="D8:D9"/>
    <mergeCell ref="C8:C9"/>
  </mergeCells>
  <pageMargins left="0.25" right="0.25" top="0.75" bottom="0.75" header="0.3" footer="0.3"/>
  <pageSetup scale="84" fitToHeight="0"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9"/>
  <sheetViews>
    <sheetView zoomScale="115" zoomScaleNormal="115" workbookViewId="0">
      <selection activeCell="D15" sqref="D15:I15"/>
    </sheetView>
  </sheetViews>
  <sheetFormatPr defaultRowHeight="15"/>
  <cols>
    <col min="1" max="1" width="5.42578125" customWidth="1"/>
    <col min="2" max="2" width="15.140625" customWidth="1"/>
    <col min="3" max="4" width="15.85546875" customWidth="1"/>
    <col min="5" max="5" width="13.5703125" customWidth="1"/>
    <col min="6" max="6" width="13.42578125" customWidth="1"/>
    <col min="7" max="7" width="10.5703125" customWidth="1"/>
    <col min="8" max="8" width="13.85546875" customWidth="1"/>
    <col min="9" max="9" width="43.5703125" customWidth="1"/>
    <col min="10" max="10" width="14.5703125" customWidth="1"/>
    <col min="11" max="11" width="13.140625" customWidth="1"/>
  </cols>
  <sheetData>
    <row r="1" spans="1:12">
      <c r="B1" s="22"/>
      <c r="C1" t="s">
        <v>87</v>
      </c>
      <c r="D1" s="23"/>
      <c r="E1" t="s">
        <v>88</v>
      </c>
      <c r="G1" s="258"/>
      <c r="H1" s="258"/>
      <c r="I1" t="s">
        <v>89</v>
      </c>
      <c r="K1" s="24"/>
      <c r="L1" t="s">
        <v>90</v>
      </c>
    </row>
    <row r="2" spans="1:12">
      <c r="A2" s="3"/>
      <c r="B2" s="3"/>
      <c r="C2" s="3"/>
      <c r="D2" s="3"/>
      <c r="E2" s="3"/>
      <c r="F2" s="3"/>
      <c r="G2" s="3"/>
      <c r="H2" s="3"/>
      <c r="I2" s="3"/>
    </row>
    <row r="3" spans="1:12" ht="15" customHeight="1">
      <c r="A3" s="523" t="s">
        <v>386</v>
      </c>
      <c r="B3" s="331"/>
      <c r="C3" s="331"/>
      <c r="D3" s="331"/>
      <c r="E3" s="331"/>
      <c r="F3" s="331"/>
      <c r="G3" s="331"/>
      <c r="H3" s="331"/>
      <c r="I3" s="332"/>
    </row>
    <row r="4" spans="1:12" ht="39.6" customHeight="1">
      <c r="A4" s="368" t="s">
        <v>387</v>
      </c>
      <c r="B4" s="524"/>
      <c r="C4" s="524"/>
      <c r="D4" s="524"/>
      <c r="E4" s="524"/>
      <c r="F4" s="524"/>
      <c r="G4" s="524"/>
      <c r="H4" s="524"/>
      <c r="I4" s="525"/>
      <c r="J4" s="19"/>
    </row>
    <row r="5" spans="1:12" ht="20.25" customHeight="1">
      <c r="A5" s="387" t="s">
        <v>118</v>
      </c>
      <c r="B5" s="388"/>
      <c r="C5" s="388"/>
      <c r="D5" s="388"/>
      <c r="E5" s="388"/>
      <c r="F5" s="388"/>
      <c r="G5" s="388"/>
      <c r="H5" s="388"/>
      <c r="I5" s="389"/>
      <c r="J5" s="19"/>
    </row>
    <row r="6" spans="1:12" ht="20.25" customHeight="1">
      <c r="A6" s="529" t="s">
        <v>388</v>
      </c>
      <c r="B6" s="530"/>
      <c r="C6" s="530"/>
      <c r="D6" s="530"/>
      <c r="E6" s="530"/>
      <c r="F6" s="530"/>
      <c r="G6" s="530"/>
      <c r="H6" s="530"/>
      <c r="I6" s="531"/>
      <c r="J6" s="19"/>
    </row>
    <row r="7" spans="1:12">
      <c r="A7" s="35" t="s">
        <v>190</v>
      </c>
      <c r="B7" s="380" t="s">
        <v>389</v>
      </c>
      <c r="C7" s="380"/>
      <c r="D7" s="380"/>
      <c r="E7" s="380"/>
      <c r="F7" s="380"/>
      <c r="G7" s="380"/>
      <c r="H7" s="380"/>
      <c r="I7" s="381"/>
      <c r="J7" s="19"/>
    </row>
    <row r="8" spans="1:12" ht="20.25" customHeight="1">
      <c r="A8" s="91" t="s">
        <v>390</v>
      </c>
      <c r="B8" s="228"/>
      <c r="C8" s="228"/>
      <c r="D8" s="527"/>
      <c r="E8" s="527"/>
      <c r="F8" s="527"/>
      <c r="G8" s="527"/>
      <c r="H8" s="527"/>
      <c r="I8" s="528"/>
      <c r="J8" s="19"/>
    </row>
    <row r="9" spans="1:12" ht="18" customHeight="1">
      <c r="A9" s="387" t="s">
        <v>123</v>
      </c>
      <c r="B9" s="388"/>
      <c r="C9" s="388"/>
      <c r="D9" s="388"/>
      <c r="E9" s="388"/>
      <c r="F9" s="388"/>
      <c r="G9" s="388"/>
      <c r="H9" s="388"/>
      <c r="I9" s="389"/>
    </row>
    <row r="10" spans="1:12" ht="18" customHeight="1">
      <c r="A10" s="530" t="s">
        <v>391</v>
      </c>
      <c r="B10" s="530"/>
      <c r="C10" s="530"/>
      <c r="D10" s="530"/>
      <c r="E10" s="530"/>
      <c r="F10" s="530"/>
      <c r="G10" s="530"/>
      <c r="H10" s="530"/>
      <c r="I10" s="531"/>
    </row>
    <row r="11" spans="1:12" ht="15" customHeight="1">
      <c r="A11" s="325" t="s">
        <v>392</v>
      </c>
      <c r="B11" s="325"/>
      <c r="C11" s="325"/>
      <c r="D11" s="325"/>
      <c r="E11" s="325"/>
      <c r="F11" s="325"/>
      <c r="G11" s="325"/>
      <c r="H11" s="325"/>
      <c r="I11" s="526"/>
    </row>
    <row r="12" spans="1:12" ht="30" customHeight="1">
      <c r="A12" s="56" t="s">
        <v>190</v>
      </c>
      <c r="B12" s="371" t="s">
        <v>393</v>
      </c>
      <c r="C12" s="372"/>
      <c r="D12" s="491" t="s">
        <v>394</v>
      </c>
      <c r="E12" s="377"/>
      <c r="F12" s="377"/>
      <c r="G12" s="377"/>
      <c r="H12" s="377"/>
      <c r="I12" s="386"/>
      <c r="J12" s="36"/>
    </row>
    <row r="13" spans="1:12" ht="30" customHeight="1">
      <c r="A13" s="35" t="s">
        <v>190</v>
      </c>
      <c r="B13" s="371" t="s">
        <v>395</v>
      </c>
      <c r="C13" s="372"/>
      <c r="D13" s="379" t="s">
        <v>396</v>
      </c>
      <c r="E13" s="380"/>
      <c r="F13" s="380"/>
      <c r="G13" s="380"/>
      <c r="H13" s="380"/>
      <c r="I13" s="381"/>
      <c r="J13" s="36"/>
    </row>
    <row r="14" spans="1:12" ht="40.5" customHeight="1">
      <c r="A14" s="56" t="s">
        <v>190</v>
      </c>
      <c r="B14" s="371" t="s">
        <v>397</v>
      </c>
      <c r="C14" s="372"/>
      <c r="D14" s="491" t="s">
        <v>398</v>
      </c>
      <c r="E14" s="377"/>
      <c r="F14" s="377"/>
      <c r="G14" s="377"/>
      <c r="H14" s="377"/>
      <c r="I14" s="386"/>
      <c r="J14" s="36"/>
    </row>
    <row r="15" spans="1:12" ht="30.75" customHeight="1">
      <c r="A15" s="35" t="s">
        <v>190</v>
      </c>
      <c r="B15" s="377" t="s">
        <v>399</v>
      </c>
      <c r="C15" s="386"/>
      <c r="D15" s="379" t="s">
        <v>400</v>
      </c>
      <c r="E15" s="380"/>
      <c r="F15" s="380"/>
      <c r="G15" s="380"/>
      <c r="H15" s="380"/>
      <c r="I15" s="381"/>
      <c r="J15" s="36"/>
    </row>
    <row r="16" spans="1:12" ht="23.25" customHeight="1">
      <c r="A16" s="35" t="s">
        <v>190</v>
      </c>
      <c r="B16" s="377" t="s">
        <v>401</v>
      </c>
      <c r="C16" s="386"/>
      <c r="D16" s="379" t="s">
        <v>402</v>
      </c>
      <c r="E16" s="380"/>
      <c r="F16" s="380"/>
      <c r="G16" s="380"/>
      <c r="H16" s="380"/>
      <c r="I16" s="381"/>
      <c r="J16" s="36"/>
    </row>
    <row r="17" spans="1:10" ht="20.25" customHeight="1">
      <c r="A17" s="91" t="s">
        <v>390</v>
      </c>
      <c r="B17" s="228"/>
      <c r="C17" s="228"/>
      <c r="D17" s="527"/>
      <c r="E17" s="527"/>
      <c r="F17" s="527"/>
      <c r="G17" s="527"/>
      <c r="H17" s="527"/>
      <c r="I17" s="528"/>
      <c r="J17" s="19"/>
    </row>
    <row r="18" spans="1:10" ht="24" customHeight="1">
      <c r="A18" s="3"/>
      <c r="B18" s="3"/>
      <c r="C18" s="3"/>
      <c r="F18" s="5"/>
      <c r="G18" s="5"/>
      <c r="H18" s="5"/>
      <c r="I18" s="3"/>
    </row>
    <row r="19" spans="1:10">
      <c r="A19" s="3"/>
      <c r="B19" s="3"/>
      <c r="C19" s="3"/>
      <c r="D19" s="3"/>
      <c r="E19" s="3"/>
      <c r="F19" s="3"/>
      <c r="G19" s="3"/>
      <c r="H19" s="3"/>
      <c r="I19" s="3"/>
    </row>
  </sheetData>
  <mergeCells count="21">
    <mergeCell ref="D17:I17"/>
    <mergeCell ref="B12:C12"/>
    <mergeCell ref="D12:I12"/>
    <mergeCell ref="B13:C13"/>
    <mergeCell ref="D13:I13"/>
    <mergeCell ref="B14:C14"/>
    <mergeCell ref="D14:I14"/>
    <mergeCell ref="B16:C16"/>
    <mergeCell ref="D16:I16"/>
    <mergeCell ref="B15:C15"/>
    <mergeCell ref="D15:I15"/>
    <mergeCell ref="G1:H1"/>
    <mergeCell ref="A3:I3"/>
    <mergeCell ref="A4:I4"/>
    <mergeCell ref="A11:I11"/>
    <mergeCell ref="A9:I9"/>
    <mergeCell ref="B7:I7"/>
    <mergeCell ref="A5:I5"/>
    <mergeCell ref="D8:I8"/>
    <mergeCell ref="A6:I6"/>
    <mergeCell ref="A10:I10"/>
  </mergeCells>
  <pageMargins left="0.5" right="0.5" top="0.75" bottom="0.75" header="0.3" footer="0.3"/>
  <pageSetup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6249-D00A-4BC9-9887-EE33E90D9967}">
  <dimension ref="A1:R55"/>
  <sheetViews>
    <sheetView zoomScale="80" zoomScaleNormal="80" workbookViewId="0">
      <selection activeCell="A3" sqref="A3:H3"/>
    </sheetView>
  </sheetViews>
  <sheetFormatPr defaultColWidth="8.85546875" defaultRowHeight="15"/>
  <cols>
    <col min="1" max="1" width="22.5703125" customWidth="1"/>
    <col min="2" max="2" width="49.85546875" customWidth="1"/>
    <col min="3" max="3" width="12.140625" customWidth="1"/>
    <col min="4" max="4" width="25.5703125" customWidth="1"/>
    <col min="5" max="5" width="16.85546875" customWidth="1"/>
    <col min="6" max="6" width="15.85546875" customWidth="1"/>
    <col min="7" max="7" width="13.85546875" customWidth="1"/>
    <col min="8" max="8" width="13.140625" customWidth="1"/>
    <col min="9" max="9" width="14" customWidth="1"/>
    <col min="10" max="10" width="13.85546875" customWidth="1"/>
  </cols>
  <sheetData>
    <row r="1" spans="1:14">
      <c r="B1" s="22"/>
      <c r="C1" t="s">
        <v>87</v>
      </c>
      <c r="D1" s="23"/>
      <c r="E1" t="s">
        <v>88</v>
      </c>
      <c r="G1" s="258"/>
      <c r="H1" s="258"/>
      <c r="I1" t="s">
        <v>89</v>
      </c>
      <c r="K1" s="24"/>
      <c r="L1" t="s">
        <v>90</v>
      </c>
    </row>
    <row r="3" spans="1:14" ht="15" customHeight="1">
      <c r="A3" s="542" t="s">
        <v>403</v>
      </c>
      <c r="B3" s="542"/>
      <c r="C3" s="542"/>
      <c r="D3" s="542"/>
      <c r="E3" s="542"/>
      <c r="F3" s="542"/>
      <c r="G3" s="542"/>
      <c r="H3" s="542"/>
      <c r="I3" s="58"/>
      <c r="J3" s="58"/>
      <c r="K3" s="319"/>
      <c r="L3" s="319"/>
      <c r="M3" s="319"/>
      <c r="N3" s="319"/>
    </row>
    <row r="4" spans="1:14" ht="53.25" customHeight="1">
      <c r="A4" s="541" t="s">
        <v>404</v>
      </c>
      <c r="B4" s="541"/>
      <c r="C4" s="541"/>
      <c r="D4" s="541"/>
      <c r="E4" s="541"/>
      <c r="F4" s="541"/>
      <c r="G4" s="541"/>
      <c r="H4" s="541"/>
      <c r="I4" s="137"/>
      <c r="J4" s="137"/>
      <c r="M4" s="118" t="s">
        <v>405</v>
      </c>
    </row>
    <row r="5" spans="1:14" ht="20.25" customHeight="1">
      <c r="A5" s="540" t="s">
        <v>406</v>
      </c>
      <c r="B5" s="540"/>
      <c r="C5" s="540"/>
      <c r="D5" s="540"/>
      <c r="E5" s="540"/>
      <c r="F5" s="540"/>
      <c r="G5" s="540"/>
      <c r="H5" s="540"/>
      <c r="I5" s="138"/>
      <c r="J5" s="138"/>
    </row>
    <row r="6" spans="1:14" ht="20.25" customHeight="1">
      <c r="A6" s="538" t="s">
        <v>407</v>
      </c>
      <c r="B6" s="538"/>
      <c r="C6" s="538"/>
      <c r="D6" s="538"/>
      <c r="I6" s="138"/>
      <c r="J6" s="138"/>
    </row>
    <row r="7" spans="1:14">
      <c r="A7" s="232" t="s">
        <v>118</v>
      </c>
      <c r="B7" s="195" t="s">
        <v>123</v>
      </c>
      <c r="C7" s="232" t="s">
        <v>128</v>
      </c>
      <c r="D7" s="198" t="s">
        <v>120</v>
      </c>
    </row>
    <row r="8" spans="1:14" ht="40.5">
      <c r="A8" s="196" t="s">
        <v>408</v>
      </c>
      <c r="B8" s="189" t="s">
        <v>409</v>
      </c>
      <c r="C8" s="236" t="s">
        <v>410</v>
      </c>
      <c r="D8" s="189" t="s">
        <v>411</v>
      </c>
    </row>
    <row r="9" spans="1:14" ht="32.450000000000003" customHeight="1">
      <c r="A9" s="161" t="s">
        <v>412</v>
      </c>
      <c r="B9" s="161" t="s">
        <v>413</v>
      </c>
      <c r="C9" s="125"/>
      <c r="D9" s="200"/>
    </row>
    <row r="10" spans="1:14" ht="18">
      <c r="C10" s="135" t="s">
        <v>414</v>
      </c>
      <c r="D10" s="201"/>
    </row>
    <row r="11" spans="1:14" ht="44.45" customHeight="1">
      <c r="D11" s="202" t="s">
        <v>415</v>
      </c>
      <c r="E11" s="203" t="s">
        <v>321</v>
      </c>
      <c r="G11" s="135"/>
    </row>
    <row r="12" spans="1:14" ht="38.450000000000003" customHeight="1">
      <c r="A12" s="539" t="s">
        <v>416</v>
      </c>
      <c r="B12" s="539"/>
      <c r="C12" s="539"/>
      <c r="D12" s="539"/>
      <c r="E12" s="539"/>
      <c r="F12" s="539"/>
      <c r="I12" s="139"/>
      <c r="J12" s="139"/>
    </row>
    <row r="13" spans="1:14">
      <c r="A13" s="533" t="s">
        <v>417</v>
      </c>
      <c r="B13" s="533"/>
      <c r="C13" s="533"/>
      <c r="D13" s="533"/>
      <c r="E13" s="533"/>
      <c r="F13" s="533"/>
      <c r="G13" s="533"/>
      <c r="H13" s="533"/>
      <c r="I13" s="533"/>
      <c r="J13" s="533"/>
    </row>
    <row r="14" spans="1:14">
      <c r="A14" s="533" t="s">
        <v>418</v>
      </c>
      <c r="B14" s="533"/>
      <c r="C14" s="533"/>
      <c r="D14" s="533"/>
      <c r="E14" s="533"/>
      <c r="F14" s="533"/>
      <c r="G14" s="533"/>
      <c r="H14" s="533"/>
      <c r="I14" s="533"/>
      <c r="J14" s="533"/>
    </row>
    <row r="15" spans="1:14">
      <c r="A15" s="242"/>
      <c r="B15" s="242"/>
      <c r="C15" s="242"/>
      <c r="D15" s="242"/>
      <c r="E15" s="242"/>
      <c r="F15" s="242"/>
      <c r="G15" s="242"/>
      <c r="H15" s="242"/>
      <c r="I15" s="242"/>
      <c r="J15" s="242"/>
    </row>
    <row r="16" spans="1:14">
      <c r="A16" s="538" t="s">
        <v>419</v>
      </c>
      <c r="B16" s="538"/>
      <c r="C16" s="538"/>
      <c r="D16" s="538"/>
      <c r="E16" s="538"/>
      <c r="F16" s="538"/>
      <c r="G16" s="538"/>
      <c r="H16" s="538"/>
      <c r="I16" s="242"/>
      <c r="J16" s="242"/>
    </row>
    <row r="17" spans="1:18">
      <c r="A17" s="198" t="s">
        <v>118</v>
      </c>
      <c r="B17" s="188" t="s">
        <v>123</v>
      </c>
      <c r="C17" s="232" t="s">
        <v>128</v>
      </c>
      <c r="D17" s="232" t="s">
        <v>120</v>
      </c>
      <c r="E17" s="232" t="s">
        <v>126</v>
      </c>
      <c r="F17" s="232" t="s">
        <v>131</v>
      </c>
      <c r="G17" s="232" t="s">
        <v>246</v>
      </c>
      <c r="H17" s="232" t="s">
        <v>247</v>
      </c>
      <c r="I17" s="242"/>
      <c r="J17" s="242"/>
      <c r="K17" s="242"/>
      <c r="N17" s="532" t="s">
        <v>420</v>
      </c>
      <c r="O17" s="532"/>
      <c r="P17" s="532"/>
      <c r="Q17" s="532"/>
    </row>
    <row r="18" spans="1:18" ht="165" customHeight="1">
      <c r="A18" s="197" t="s">
        <v>421</v>
      </c>
      <c r="B18" s="189" t="s">
        <v>422</v>
      </c>
      <c r="C18" s="235" t="s">
        <v>423</v>
      </c>
      <c r="D18" s="235" t="s">
        <v>424</v>
      </c>
      <c r="E18" s="235" t="s">
        <v>425</v>
      </c>
      <c r="F18" s="235" t="s">
        <v>426</v>
      </c>
      <c r="G18" s="235" t="s">
        <v>427</v>
      </c>
      <c r="H18" s="235" t="s">
        <v>514</v>
      </c>
      <c r="I18" s="139"/>
      <c r="J18" s="139"/>
      <c r="K18" s="139"/>
      <c r="O18" s="118"/>
    </row>
    <row r="19" spans="1:18" ht="27" customHeight="1">
      <c r="A19" s="125"/>
      <c r="B19" s="191"/>
      <c r="C19" s="125"/>
      <c r="D19" s="125" t="s">
        <v>429</v>
      </c>
      <c r="E19" s="125"/>
      <c r="F19" s="125" t="s">
        <v>429</v>
      </c>
      <c r="G19" s="159" t="s">
        <v>430</v>
      </c>
      <c r="H19" s="192" t="s">
        <v>231</v>
      </c>
      <c r="I19" s="139"/>
      <c r="J19" s="139"/>
      <c r="K19" s="139"/>
      <c r="O19" s="118"/>
    </row>
    <row r="20" spans="1:18" ht="27" customHeight="1">
      <c r="A20" s="139"/>
      <c r="B20" s="139"/>
      <c r="C20" s="139"/>
      <c r="E20" s="205" t="s">
        <v>231</v>
      </c>
      <c r="F20" s="205"/>
      <c r="G20" s="206" t="s">
        <v>431</v>
      </c>
      <c r="H20" s="132"/>
      <c r="I20" s="139"/>
      <c r="J20" s="139"/>
      <c r="N20" s="118"/>
    </row>
    <row r="21" spans="1:18" ht="27" customHeight="1">
      <c r="A21" s="139"/>
      <c r="B21" s="139"/>
      <c r="C21" s="139"/>
      <c r="E21" s="205"/>
      <c r="F21" s="205"/>
      <c r="G21" s="206" t="s">
        <v>432</v>
      </c>
      <c r="H21" s="204"/>
      <c r="I21" s="139"/>
      <c r="J21" s="139"/>
      <c r="N21" s="118"/>
    </row>
    <row r="22" spans="1:18" ht="27" customHeight="1">
      <c r="A22" s="139"/>
      <c r="B22" s="139"/>
      <c r="C22" s="139"/>
      <c r="G22" s="135" t="s">
        <v>433</v>
      </c>
      <c r="H22" s="136"/>
      <c r="I22" s="139"/>
      <c r="J22" s="139"/>
      <c r="N22" s="118"/>
    </row>
    <row r="23" spans="1:18" ht="27" customHeight="1">
      <c r="A23" s="139"/>
      <c r="B23" s="139"/>
      <c r="C23" s="139"/>
      <c r="D23" s="139"/>
      <c r="E23" s="139"/>
      <c r="F23" s="139"/>
      <c r="G23" s="139"/>
      <c r="H23" s="139"/>
      <c r="I23" s="139"/>
      <c r="J23" s="139"/>
      <c r="N23" s="118"/>
    </row>
    <row r="24" spans="1:18" ht="27" customHeight="1">
      <c r="A24" s="139"/>
      <c r="C24" s="139"/>
      <c r="D24" s="139"/>
      <c r="E24" s="139"/>
      <c r="F24" s="139"/>
      <c r="G24" s="199" t="s">
        <v>434</v>
      </c>
      <c r="H24" s="146" t="s">
        <v>321</v>
      </c>
      <c r="I24" s="139"/>
      <c r="J24" s="139"/>
      <c r="N24" s="118"/>
    </row>
    <row r="25" spans="1:18" ht="27" customHeight="1">
      <c r="A25" s="139"/>
      <c r="B25" s="190" t="s">
        <v>435</v>
      </c>
      <c r="C25" s="139"/>
      <c r="D25" s="139"/>
      <c r="E25" s="139"/>
      <c r="F25" s="139"/>
      <c r="G25" s="139"/>
      <c r="H25" s="139"/>
      <c r="I25" s="139"/>
      <c r="J25" s="139"/>
      <c r="N25" s="118"/>
    </row>
    <row r="26" spans="1:18" ht="36" customHeight="1">
      <c r="A26" s="139"/>
      <c r="B26" s="193" t="s">
        <v>436</v>
      </c>
      <c r="C26" s="139"/>
      <c r="D26" s="139"/>
      <c r="E26" s="139"/>
      <c r="F26" s="139"/>
      <c r="G26" s="139"/>
      <c r="H26" s="139"/>
      <c r="I26" s="139"/>
      <c r="J26" s="139"/>
      <c r="N26" s="118"/>
    </row>
    <row r="27" spans="1:18" ht="30" customHeight="1">
      <c r="A27" s="243"/>
      <c r="B27" s="193" t="s">
        <v>437</v>
      </c>
      <c r="C27" s="243"/>
      <c r="D27" s="243"/>
      <c r="E27" s="243"/>
      <c r="F27" s="243"/>
      <c r="G27" s="243"/>
      <c r="H27" s="243"/>
      <c r="I27" s="243"/>
      <c r="J27" s="243"/>
    </row>
    <row r="28" spans="1:18" ht="30" customHeight="1">
      <c r="A28" s="194" t="s">
        <v>438</v>
      </c>
      <c r="B28" s="193" t="s">
        <v>439</v>
      </c>
      <c r="D28" s="243"/>
      <c r="E28" s="243"/>
      <c r="F28" s="243"/>
      <c r="G28" s="243"/>
      <c r="H28" s="243"/>
      <c r="I28" s="243"/>
      <c r="J28" s="243"/>
    </row>
    <row r="29" spans="1:18">
      <c r="A29" s="172" t="s">
        <v>141</v>
      </c>
      <c r="B29" s="193" t="s">
        <v>440</v>
      </c>
      <c r="D29" s="243"/>
      <c r="E29" s="243"/>
      <c r="F29" s="243"/>
      <c r="G29" s="243"/>
      <c r="H29" s="243"/>
      <c r="I29" s="243"/>
      <c r="J29" s="243"/>
      <c r="N29" s="532"/>
      <c r="O29" s="532"/>
      <c r="P29" s="532"/>
      <c r="Q29" s="532"/>
      <c r="R29" s="532"/>
    </row>
    <row r="30" spans="1:18">
      <c r="A30" s="172" t="s">
        <v>441</v>
      </c>
      <c r="B30" s="193" t="s">
        <v>442</v>
      </c>
      <c r="D30" s="243"/>
      <c r="E30" s="243"/>
      <c r="F30" s="243"/>
      <c r="G30" s="243"/>
      <c r="H30" s="243"/>
      <c r="I30" s="243"/>
      <c r="J30" s="243"/>
    </row>
    <row r="31" spans="1:18">
      <c r="A31" s="172" t="s">
        <v>143</v>
      </c>
      <c r="B31" s="193" t="s">
        <v>443</v>
      </c>
      <c r="C31" s="243"/>
      <c r="D31" s="243"/>
      <c r="E31" s="243"/>
      <c r="F31" s="243"/>
      <c r="G31" s="243"/>
      <c r="H31" s="243"/>
      <c r="I31" s="243"/>
      <c r="J31" s="243"/>
    </row>
    <row r="32" spans="1:18">
      <c r="A32" s="172" t="s">
        <v>444</v>
      </c>
      <c r="C32" s="243"/>
      <c r="D32" s="243"/>
      <c r="E32" s="243"/>
      <c r="F32" s="243"/>
      <c r="G32" s="243"/>
      <c r="H32" s="243"/>
      <c r="I32" s="243"/>
      <c r="J32" s="243"/>
    </row>
    <row r="33" spans="1:13" ht="25.5">
      <c r="A33" s="172" t="s">
        <v>445</v>
      </c>
      <c r="C33" s="243"/>
      <c r="D33" s="243"/>
      <c r="E33" s="243"/>
      <c r="F33" s="243"/>
      <c r="G33" s="243"/>
      <c r="H33" s="243"/>
      <c r="I33" s="243"/>
      <c r="J33" s="243"/>
    </row>
    <row r="34" spans="1:13">
      <c r="A34" s="172" t="s">
        <v>145</v>
      </c>
      <c r="C34" s="243"/>
      <c r="D34" s="243"/>
      <c r="E34" s="243"/>
      <c r="F34" s="243"/>
      <c r="G34" s="243"/>
      <c r="H34" s="243"/>
      <c r="I34" s="243"/>
      <c r="J34" s="243"/>
    </row>
    <row r="35" spans="1:13">
      <c r="A35" s="172" t="s">
        <v>446</v>
      </c>
      <c r="B35" s="190" t="s">
        <v>447</v>
      </c>
      <c r="C35" s="243"/>
      <c r="D35" s="243"/>
      <c r="E35" s="243"/>
      <c r="F35" s="243"/>
      <c r="G35" s="243"/>
      <c r="H35" s="243"/>
      <c r="I35" s="243"/>
      <c r="J35" s="243"/>
    </row>
    <row r="36" spans="1:13">
      <c r="A36" s="172" t="s">
        <v>448</v>
      </c>
      <c r="B36" s="193" t="s">
        <v>449</v>
      </c>
      <c r="C36" s="243"/>
      <c r="D36" s="243"/>
      <c r="E36" s="243"/>
      <c r="F36" s="243"/>
      <c r="G36" s="243"/>
      <c r="H36" s="243"/>
      <c r="I36" s="243"/>
      <c r="J36" s="243"/>
    </row>
    <row r="37" spans="1:13" ht="25.5">
      <c r="A37" s="187" t="s">
        <v>450</v>
      </c>
      <c r="B37" s="193" t="s">
        <v>451</v>
      </c>
      <c r="C37" s="243"/>
      <c r="D37" s="243"/>
      <c r="E37" s="243"/>
      <c r="F37" s="243"/>
      <c r="G37" s="243"/>
      <c r="H37" s="243"/>
      <c r="I37" s="243"/>
      <c r="J37" s="243"/>
    </row>
    <row r="38" spans="1:13" ht="25.5">
      <c r="A38" s="186" t="s">
        <v>452</v>
      </c>
      <c r="B38" s="243"/>
      <c r="C38" s="243"/>
      <c r="D38" s="243"/>
      <c r="E38" s="243"/>
      <c r="F38" s="243"/>
      <c r="G38" s="243"/>
      <c r="H38" s="243"/>
      <c r="I38" s="243"/>
      <c r="J38" s="243"/>
    </row>
    <row r="39" spans="1:13">
      <c r="A39" s="172" t="s">
        <v>137</v>
      </c>
      <c r="M39" s="133"/>
    </row>
    <row r="40" spans="1:13">
      <c r="A40" s="172" t="s">
        <v>150</v>
      </c>
      <c r="M40" s="133"/>
    </row>
    <row r="41" spans="1:13">
      <c r="A41" s="172" t="s">
        <v>453</v>
      </c>
      <c r="M41" s="133"/>
    </row>
    <row r="42" spans="1:13">
      <c r="A42" s="172" t="s">
        <v>152</v>
      </c>
      <c r="M42" s="133"/>
    </row>
    <row r="43" spans="1:13">
      <c r="A43" s="187" t="s">
        <v>454</v>
      </c>
      <c r="M43" s="133"/>
    </row>
    <row r="44" spans="1:13">
      <c r="A44" s="243"/>
      <c r="M44" s="133"/>
    </row>
    <row r="45" spans="1:13">
      <c r="M45" s="133"/>
    </row>
    <row r="46" spans="1:13" ht="20.25" customHeight="1">
      <c r="A46" s="536" t="s">
        <v>520</v>
      </c>
      <c r="B46" s="536"/>
      <c r="C46" s="536"/>
      <c r="D46" s="536"/>
      <c r="E46" s="536"/>
      <c r="F46" s="173"/>
      <c r="G46" s="174"/>
      <c r="H46" s="174"/>
      <c r="I46" s="174"/>
      <c r="J46" s="174"/>
      <c r="K46" s="174"/>
      <c r="L46" s="174"/>
    </row>
    <row r="47" spans="1:13" ht="27" customHeight="1">
      <c r="A47" s="537" t="s">
        <v>455</v>
      </c>
      <c r="B47" s="537"/>
      <c r="C47" s="537"/>
      <c r="D47" s="537"/>
      <c r="E47" s="537"/>
      <c r="F47" s="175"/>
      <c r="G47" s="174"/>
      <c r="H47" s="174"/>
      <c r="I47" s="174"/>
      <c r="J47" s="174"/>
      <c r="K47" s="174"/>
      <c r="L47" s="174"/>
    </row>
    <row r="48" spans="1:13">
      <c r="A48" s="232" t="s">
        <v>118</v>
      </c>
      <c r="B48" s="232" t="s">
        <v>123</v>
      </c>
      <c r="C48" s="232" t="s">
        <v>128</v>
      </c>
      <c r="D48" s="232" t="s">
        <v>120</v>
      </c>
      <c r="E48" s="232" t="s">
        <v>126</v>
      </c>
      <c r="F48" s="175"/>
      <c r="G48" s="174"/>
      <c r="H48" s="174"/>
      <c r="I48" s="174"/>
      <c r="J48" s="174"/>
      <c r="K48" s="174"/>
      <c r="L48" s="174"/>
    </row>
    <row r="49" spans="1:12" ht="78.75">
      <c r="A49" s="196" t="s">
        <v>408</v>
      </c>
      <c r="B49" s="235" t="s">
        <v>456</v>
      </c>
      <c r="C49" s="235" t="s">
        <v>457</v>
      </c>
      <c r="D49" s="235" t="s">
        <v>458</v>
      </c>
      <c r="E49" s="235" t="s">
        <v>459</v>
      </c>
    </row>
    <row r="50" spans="1:12" ht="60" customHeight="1">
      <c r="A50" s="245" t="s">
        <v>460</v>
      </c>
      <c r="B50" s="245" t="s">
        <v>461</v>
      </c>
      <c r="C50" s="125"/>
      <c r="D50" s="207" t="s">
        <v>462</v>
      </c>
      <c r="E50" s="208" t="s">
        <v>463</v>
      </c>
    </row>
    <row r="51" spans="1:12" ht="24.75">
      <c r="A51" s="534" t="s">
        <v>464</v>
      </c>
      <c r="B51" s="534"/>
      <c r="C51" s="535"/>
      <c r="D51" s="160" t="s">
        <v>465</v>
      </c>
      <c r="E51" s="160" t="s">
        <v>466</v>
      </c>
    </row>
    <row r="52" spans="1:12">
      <c r="A52" s="534" t="s">
        <v>467</v>
      </c>
      <c r="B52" s="534"/>
      <c r="C52" s="535"/>
      <c r="D52" s="79"/>
      <c r="E52" s="79"/>
    </row>
    <row r="54" spans="1:12" ht="15.75">
      <c r="A54" s="110" t="s">
        <v>468</v>
      </c>
    </row>
    <row r="55" spans="1:12">
      <c r="L55" s="19"/>
    </row>
  </sheetData>
  <mergeCells count="16">
    <mergeCell ref="A12:F12"/>
    <mergeCell ref="G1:H1"/>
    <mergeCell ref="K3:N3"/>
    <mergeCell ref="A5:H5"/>
    <mergeCell ref="A4:H4"/>
    <mergeCell ref="A3:H3"/>
    <mergeCell ref="A6:D6"/>
    <mergeCell ref="N29:R29"/>
    <mergeCell ref="A13:J13"/>
    <mergeCell ref="A51:C51"/>
    <mergeCell ref="A52:C52"/>
    <mergeCell ref="A46:E46"/>
    <mergeCell ref="A47:E47"/>
    <mergeCell ref="A14:J14"/>
    <mergeCell ref="N17:Q17"/>
    <mergeCell ref="A16:H16"/>
  </mergeCells>
  <pageMargins left="0.7" right="0.7" top="0.75" bottom="0.75" header="0.3" footer="0.3"/>
  <pageSetup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B2E-7E95-4987-938D-C795EC07A9EC}">
  <dimension ref="A1:N23"/>
  <sheetViews>
    <sheetView zoomScale="90" zoomScaleNormal="90" workbookViewId="0">
      <selection activeCell="A7" sqref="A7"/>
    </sheetView>
  </sheetViews>
  <sheetFormatPr defaultRowHeight="15"/>
  <cols>
    <col min="1" max="1" width="17.85546875" customWidth="1"/>
    <col min="2" max="2" width="13.85546875" customWidth="1"/>
    <col min="3" max="3" width="24.85546875" customWidth="1"/>
    <col min="4" max="4" width="15.5703125" customWidth="1"/>
    <col min="5" max="5" width="14.85546875" customWidth="1"/>
    <col min="6" max="6" width="15.85546875" customWidth="1"/>
    <col min="7" max="7" width="13.85546875" customWidth="1"/>
    <col min="8" max="8" width="13.140625" customWidth="1"/>
    <col min="9" max="9" width="14" customWidth="1"/>
    <col min="10" max="10" width="13.85546875" customWidth="1"/>
    <col min="11" max="11" width="11.85546875" customWidth="1"/>
  </cols>
  <sheetData>
    <row r="1" spans="1:14">
      <c r="B1" s="22"/>
      <c r="C1" t="s">
        <v>87</v>
      </c>
      <c r="D1" s="23"/>
      <c r="E1" t="s">
        <v>88</v>
      </c>
      <c r="G1" s="258"/>
      <c r="H1" s="258"/>
      <c r="I1" t="s">
        <v>89</v>
      </c>
      <c r="K1" s="24"/>
      <c r="L1" t="s">
        <v>90</v>
      </c>
    </row>
    <row r="3" spans="1:14" ht="15" customHeight="1">
      <c r="A3" s="464" t="s">
        <v>469</v>
      </c>
      <c r="B3" s="464"/>
      <c r="C3" s="464"/>
      <c r="D3" s="464"/>
      <c r="E3" s="464"/>
      <c r="F3" s="464"/>
      <c r="G3" s="464"/>
      <c r="H3" s="464"/>
      <c r="I3" s="464"/>
      <c r="J3" s="464"/>
      <c r="K3" s="464"/>
      <c r="L3" s="118"/>
      <c r="M3" s="118"/>
      <c r="N3" s="118"/>
    </row>
    <row r="4" spans="1:14" ht="32.1" customHeight="1">
      <c r="A4" s="541" t="s">
        <v>470</v>
      </c>
      <c r="B4" s="541"/>
      <c r="C4" s="541"/>
      <c r="D4" s="541"/>
      <c r="E4" s="541"/>
      <c r="F4" s="541"/>
      <c r="G4" s="541"/>
      <c r="H4" s="541"/>
      <c r="I4" s="541"/>
      <c r="J4" s="541"/>
      <c r="K4" s="541"/>
      <c r="M4" s="118" t="s">
        <v>471</v>
      </c>
    </row>
    <row r="5" spans="1:14" ht="20.25" customHeight="1">
      <c r="A5" s="540" t="s">
        <v>406</v>
      </c>
      <c r="B5" s="540"/>
      <c r="C5" s="540"/>
      <c r="D5" s="540"/>
      <c r="E5" s="540"/>
      <c r="F5" s="540"/>
      <c r="G5" s="540"/>
      <c r="H5" s="540"/>
      <c r="I5" s="540"/>
      <c r="J5" s="540"/>
      <c r="K5" s="540"/>
    </row>
    <row r="6" spans="1:14">
      <c r="A6" s="188" t="s">
        <v>118</v>
      </c>
      <c r="B6" s="188" t="s">
        <v>472</v>
      </c>
      <c r="C6" s="188" t="s">
        <v>473</v>
      </c>
      <c r="D6" s="188" t="s">
        <v>474</v>
      </c>
      <c r="E6" s="188" t="s">
        <v>475</v>
      </c>
      <c r="F6" s="188" t="s">
        <v>476</v>
      </c>
      <c r="G6" s="214" t="s">
        <v>131</v>
      </c>
      <c r="H6" s="216" t="s">
        <v>246</v>
      </c>
      <c r="I6" s="216" t="s">
        <v>247</v>
      </c>
      <c r="J6" s="216" t="s">
        <v>248</v>
      </c>
      <c r="K6" s="216" t="s">
        <v>297</v>
      </c>
    </row>
    <row r="7" spans="1:14" ht="66.599999999999994" customHeight="1">
      <c r="A7" s="189" t="s">
        <v>422</v>
      </c>
      <c r="B7" s="196" t="s">
        <v>477</v>
      </c>
      <c r="C7" s="235" t="s">
        <v>424</v>
      </c>
      <c r="D7" s="235" t="s">
        <v>425</v>
      </c>
      <c r="E7" s="235" t="s">
        <v>426</v>
      </c>
      <c r="F7" s="235" t="s">
        <v>427</v>
      </c>
      <c r="G7" s="213" t="s">
        <v>478</v>
      </c>
      <c r="H7" s="235" t="s">
        <v>479</v>
      </c>
      <c r="I7" s="235" t="s">
        <v>480</v>
      </c>
      <c r="J7" s="235" t="s">
        <v>428</v>
      </c>
      <c r="K7" s="235" t="s">
        <v>481</v>
      </c>
    </row>
    <row r="8" spans="1:14" ht="30">
      <c r="A8" s="161"/>
      <c r="B8" s="79"/>
      <c r="C8" s="125" t="s">
        <v>429</v>
      </c>
      <c r="D8" s="125"/>
      <c r="E8" s="125" t="s">
        <v>429</v>
      </c>
      <c r="F8" s="215" t="s">
        <v>482</v>
      </c>
      <c r="G8" s="212"/>
      <c r="H8" s="125"/>
      <c r="I8" s="125" t="s">
        <v>429</v>
      </c>
      <c r="J8" s="192"/>
      <c r="K8" s="79"/>
    </row>
    <row r="9" spans="1:14" ht="18">
      <c r="E9" s="246"/>
      <c r="F9" s="246"/>
      <c r="G9" s="205"/>
      <c r="H9" s="205"/>
      <c r="I9" s="206" t="s">
        <v>431</v>
      </c>
      <c r="J9" s="204"/>
    </row>
    <row r="10" spans="1:14" ht="28.5" customHeight="1">
      <c r="J10" s="211" t="s">
        <v>434</v>
      </c>
      <c r="K10" s="211" t="s">
        <v>321</v>
      </c>
    </row>
    <row r="15" spans="1:14" ht="30" customHeight="1">
      <c r="A15" s="539" t="s">
        <v>416</v>
      </c>
      <c r="B15" s="539"/>
      <c r="C15" s="539"/>
      <c r="D15" s="539"/>
      <c r="E15" s="539"/>
      <c r="F15" s="539"/>
      <c r="G15" s="539"/>
      <c r="H15" s="539"/>
      <c r="I15" s="539"/>
      <c r="J15" s="539"/>
    </row>
    <row r="16" spans="1:14">
      <c r="A16" s="533" t="s">
        <v>417</v>
      </c>
      <c r="B16" s="533"/>
      <c r="C16" s="533"/>
      <c r="D16" s="533"/>
      <c r="E16" s="533"/>
      <c r="F16" s="533"/>
      <c r="G16" s="533"/>
      <c r="H16" s="533"/>
      <c r="I16" s="533"/>
      <c r="J16" s="533"/>
    </row>
    <row r="17" spans="1:13">
      <c r="A17" s="533" t="s">
        <v>418</v>
      </c>
      <c r="B17" s="533"/>
      <c r="C17" s="533"/>
      <c r="D17" s="533"/>
      <c r="E17" s="533"/>
      <c r="F17" s="533"/>
      <c r="G17" s="533"/>
      <c r="H17" s="533"/>
      <c r="I17" s="533"/>
      <c r="J17" s="533"/>
    </row>
    <row r="18" spans="1:13" ht="30" customHeight="1">
      <c r="A18" s="543" t="s">
        <v>483</v>
      </c>
      <c r="B18" s="543"/>
      <c r="C18" s="543"/>
      <c r="D18" s="543"/>
      <c r="E18" s="543"/>
      <c r="F18" s="543"/>
      <c r="G18" s="543"/>
      <c r="H18" s="543"/>
      <c r="I18" s="543"/>
      <c r="J18" s="543"/>
    </row>
    <row r="19" spans="1:13">
      <c r="M19" s="156" t="s">
        <v>484</v>
      </c>
    </row>
    <row r="20" spans="1:13">
      <c r="A20" s="190" t="s">
        <v>447</v>
      </c>
    </row>
    <row r="21" spans="1:13">
      <c r="A21" s="193" t="s">
        <v>449</v>
      </c>
      <c r="B21" s="165"/>
      <c r="C21" s="165"/>
      <c r="D21" s="165"/>
      <c r="E21" s="165"/>
      <c r="F21" s="165"/>
      <c r="G21" s="165"/>
      <c r="M21" s="118" t="s">
        <v>485</v>
      </c>
    </row>
    <row r="22" spans="1:13">
      <c r="A22" s="193" t="s">
        <v>486</v>
      </c>
      <c r="B22" s="165"/>
      <c r="C22" s="165"/>
      <c r="D22" s="165"/>
      <c r="E22" s="165"/>
      <c r="F22" s="165"/>
      <c r="G22" s="165"/>
    </row>
    <row r="23" spans="1:13">
      <c r="B23" s="165"/>
      <c r="C23" s="165"/>
      <c r="D23" s="165"/>
      <c r="E23" s="165"/>
      <c r="F23" s="165"/>
      <c r="G23" s="165"/>
    </row>
  </sheetData>
  <mergeCells count="8">
    <mergeCell ref="A16:J16"/>
    <mergeCell ref="A18:J18"/>
    <mergeCell ref="G1:H1"/>
    <mergeCell ref="A15:J15"/>
    <mergeCell ref="A17:J17"/>
    <mergeCell ref="A3:K3"/>
    <mergeCell ref="A4:K4"/>
    <mergeCell ref="A5:K5"/>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
  <sheetViews>
    <sheetView tabSelected="1" zoomScaleNormal="100" workbookViewId="0">
      <selection activeCell="C8" sqref="C8"/>
    </sheetView>
  </sheetViews>
  <sheetFormatPr defaultColWidth="9.140625" defaultRowHeight="15"/>
  <cols>
    <col min="1" max="1" width="10.85546875" customWidth="1"/>
    <col min="2"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2"/>
      <c r="B1" t="s">
        <v>87</v>
      </c>
      <c r="D1" s="23"/>
      <c r="E1" t="s">
        <v>88</v>
      </c>
      <c r="G1" s="258"/>
      <c r="H1" s="258"/>
      <c r="I1" t="s">
        <v>89</v>
      </c>
      <c r="L1" s="24"/>
      <c r="M1" t="s">
        <v>90</v>
      </c>
    </row>
    <row r="2" spans="1:13">
      <c r="A2" s="3"/>
      <c r="B2" s="3"/>
      <c r="C2" s="3"/>
      <c r="D2" s="3"/>
      <c r="E2" s="3"/>
      <c r="F2" s="3"/>
      <c r="G2" s="3"/>
      <c r="H2" s="3"/>
      <c r="I2" s="3"/>
      <c r="J2" s="3"/>
      <c r="K2" s="3"/>
    </row>
    <row r="3" spans="1:13" ht="15" customHeight="1">
      <c r="A3" s="523" t="s">
        <v>487</v>
      </c>
      <c r="B3" s="331"/>
      <c r="C3" s="331"/>
      <c r="D3" s="331"/>
      <c r="E3" s="332"/>
      <c r="F3" s="58"/>
      <c r="G3" s="58"/>
      <c r="H3" s="58"/>
      <c r="I3" s="58"/>
      <c r="J3" s="58"/>
      <c r="K3" s="58"/>
    </row>
    <row r="4" spans="1:13" ht="30.95" customHeight="1">
      <c r="A4" s="368" t="s">
        <v>488</v>
      </c>
      <c r="B4" s="369"/>
      <c r="C4" s="369"/>
      <c r="D4" s="369"/>
      <c r="E4" s="370"/>
      <c r="F4" s="57"/>
      <c r="G4" s="57"/>
      <c r="H4" s="57"/>
      <c r="I4" s="57"/>
      <c r="J4" s="57"/>
      <c r="K4" s="57"/>
    </row>
    <row r="5" spans="1:13">
      <c r="A5" s="544" t="s">
        <v>489</v>
      </c>
      <c r="B5" s="544" t="s">
        <v>490</v>
      </c>
      <c r="C5" s="544" t="s">
        <v>491</v>
      </c>
      <c r="D5" s="544" t="s">
        <v>342</v>
      </c>
      <c r="E5" s="544"/>
      <c r="F5" s="3"/>
      <c r="G5" s="3"/>
      <c r="H5" s="3"/>
      <c r="I5" s="3"/>
      <c r="J5" s="3"/>
      <c r="K5" s="3"/>
    </row>
    <row r="6" spans="1:13">
      <c r="A6" s="544"/>
      <c r="B6" s="544"/>
      <c r="C6" s="544"/>
      <c r="D6" s="244" t="s">
        <v>343</v>
      </c>
      <c r="E6" s="244" t="s">
        <v>344</v>
      </c>
      <c r="F6" s="3"/>
      <c r="G6" s="3"/>
      <c r="H6" s="3"/>
      <c r="I6" s="3"/>
      <c r="J6" s="3"/>
      <c r="K6" s="3"/>
    </row>
    <row r="7" spans="1:13" ht="39.75" customHeight="1">
      <c r="A7" s="176" t="s">
        <v>492</v>
      </c>
      <c r="B7" s="163"/>
      <c r="C7" s="162" t="s">
        <v>493</v>
      </c>
      <c r="D7" s="177" t="s">
        <v>346</v>
      </c>
      <c r="E7" s="177" t="s">
        <v>346</v>
      </c>
      <c r="F7" s="3"/>
      <c r="G7" s="3"/>
      <c r="H7" s="3"/>
      <c r="I7" s="3"/>
      <c r="J7" s="3"/>
      <c r="K7" s="3"/>
    </row>
    <row r="8" spans="1:13" ht="25.5">
      <c r="A8" s="177" t="s">
        <v>494</v>
      </c>
      <c r="B8" s="178" t="s">
        <v>492</v>
      </c>
      <c r="C8" s="162" t="s">
        <v>495</v>
      </c>
      <c r="D8" s="177" t="s">
        <v>346</v>
      </c>
      <c r="E8" s="177" t="s">
        <v>346</v>
      </c>
      <c r="F8" s="3"/>
      <c r="G8" s="3"/>
      <c r="H8" s="3"/>
      <c r="I8" s="3"/>
      <c r="J8" s="3"/>
      <c r="K8" s="3"/>
    </row>
    <row r="9" spans="1:13">
      <c r="A9" s="3"/>
      <c r="B9" s="3"/>
      <c r="C9" s="3"/>
      <c r="D9" s="3"/>
      <c r="E9" s="3"/>
      <c r="F9" s="3"/>
      <c r="G9" s="3"/>
      <c r="H9" s="3"/>
      <c r="I9" s="3"/>
      <c r="J9" s="3"/>
      <c r="K9" s="3"/>
    </row>
    <row r="15" spans="1:13">
      <c r="B15" s="14"/>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E834-5599-4E69-86E7-9475DA1B5121}">
  <dimension ref="A1:M14"/>
  <sheetViews>
    <sheetView zoomScale="115" zoomScaleNormal="115" workbookViewId="0">
      <selection activeCell="F7" sqref="F7"/>
    </sheetView>
  </sheetViews>
  <sheetFormatPr defaultColWidth="9.140625" defaultRowHeight="15"/>
  <cols>
    <col min="1" max="1" width="10.85546875" customWidth="1"/>
    <col min="2"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2"/>
      <c r="B1" t="s">
        <v>87</v>
      </c>
      <c r="D1" s="23"/>
      <c r="E1" t="s">
        <v>88</v>
      </c>
      <c r="G1" s="258"/>
      <c r="H1" s="258"/>
      <c r="I1" t="s">
        <v>89</v>
      </c>
      <c r="L1" s="24"/>
      <c r="M1" t="s">
        <v>90</v>
      </c>
    </row>
    <row r="2" spans="1:13">
      <c r="A2" s="3"/>
      <c r="B2" s="3"/>
      <c r="C2" s="3"/>
      <c r="D2" s="3"/>
      <c r="E2" s="3"/>
      <c r="F2" s="3"/>
      <c r="G2" s="3"/>
      <c r="H2" s="3"/>
      <c r="I2" s="3"/>
      <c r="J2" s="3"/>
      <c r="K2" s="3"/>
    </row>
    <row r="3" spans="1:13" ht="15" customHeight="1">
      <c r="A3" s="523" t="s">
        <v>487</v>
      </c>
      <c r="B3" s="331"/>
      <c r="C3" s="331"/>
      <c r="D3" s="331"/>
      <c r="E3" s="332"/>
      <c r="F3" s="58"/>
      <c r="G3" s="58"/>
      <c r="H3" s="58"/>
      <c r="I3" s="58"/>
      <c r="J3" s="58"/>
      <c r="K3" s="58"/>
    </row>
    <row r="4" spans="1:13" ht="30.6" customHeight="1">
      <c r="A4" s="368" t="s">
        <v>488</v>
      </c>
      <c r="B4" s="369"/>
      <c r="C4" s="369"/>
      <c r="D4" s="369"/>
      <c r="E4" s="370"/>
      <c r="F4" s="57"/>
      <c r="G4" s="57"/>
      <c r="H4" s="57"/>
      <c r="I4" s="57"/>
      <c r="J4" s="57"/>
      <c r="K4" s="57"/>
    </row>
    <row r="5" spans="1:13">
      <c r="A5" s="544" t="s">
        <v>489</v>
      </c>
      <c r="B5" s="544" t="s">
        <v>490</v>
      </c>
      <c r="C5" s="544" t="s">
        <v>491</v>
      </c>
      <c r="D5" s="544" t="s">
        <v>342</v>
      </c>
      <c r="E5" s="544"/>
      <c r="F5" s="3"/>
      <c r="G5" s="3"/>
      <c r="H5" s="3"/>
      <c r="I5" s="3"/>
      <c r="J5" s="3"/>
      <c r="K5" s="3"/>
    </row>
    <row r="6" spans="1:13">
      <c r="A6" s="544"/>
      <c r="B6" s="544"/>
      <c r="C6" s="544"/>
      <c r="D6" s="244" t="s">
        <v>343</v>
      </c>
      <c r="E6" s="244" t="s">
        <v>344</v>
      </c>
      <c r="F6" s="3"/>
      <c r="G6" s="3"/>
      <c r="H6" s="3"/>
      <c r="I6" s="3"/>
      <c r="J6" s="3"/>
      <c r="K6" s="3"/>
    </row>
    <row r="7" spans="1:13" ht="39.75" customHeight="1">
      <c r="A7" s="176" t="s">
        <v>492</v>
      </c>
      <c r="B7" s="163"/>
      <c r="C7" s="162" t="s">
        <v>496</v>
      </c>
      <c r="D7" s="177" t="s">
        <v>346</v>
      </c>
      <c r="E7" s="177" t="s">
        <v>346</v>
      </c>
      <c r="F7" s="3"/>
      <c r="G7" s="3"/>
      <c r="H7" s="3"/>
      <c r="I7" s="3"/>
      <c r="J7" s="3"/>
      <c r="K7" s="3"/>
    </row>
    <row r="8" spans="1:13" ht="25.5">
      <c r="A8" s="177" t="s">
        <v>494</v>
      </c>
      <c r="B8" s="178" t="s">
        <v>492</v>
      </c>
      <c r="C8" s="162" t="s">
        <v>495</v>
      </c>
      <c r="D8" s="177" t="s">
        <v>346</v>
      </c>
      <c r="E8" s="177" t="s">
        <v>346</v>
      </c>
      <c r="F8" s="3"/>
      <c r="G8" s="3"/>
      <c r="H8" s="3"/>
      <c r="I8" s="3"/>
      <c r="J8" s="3"/>
      <c r="K8" s="3"/>
    </row>
    <row r="14" spans="1:13">
      <c r="B14" s="14"/>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
  <sheetViews>
    <sheetView zoomScale="80" zoomScaleNormal="80" workbookViewId="0">
      <selection activeCell="C17" sqref="C17"/>
    </sheetView>
  </sheetViews>
  <sheetFormatPr defaultColWidth="9.140625" defaultRowHeight="15"/>
  <cols>
    <col min="1" max="1" width="10.85546875" customWidth="1"/>
    <col min="2" max="2" width="10.5703125" customWidth="1"/>
    <col min="3" max="3" width="77" customWidth="1"/>
    <col min="4" max="4" width="10.5703125" customWidth="1"/>
    <col min="5" max="5" width="11" customWidth="1"/>
    <col min="6" max="6" width="12.5703125" customWidth="1"/>
    <col min="7" max="7" width="4.5703125" customWidth="1"/>
    <col min="8" max="8" width="3.5703125" customWidth="1"/>
    <col min="9" max="9" width="25.5703125" customWidth="1"/>
    <col min="10" max="10" width="3.5703125" customWidth="1"/>
    <col min="11" max="11" width="24.5703125" customWidth="1"/>
  </cols>
  <sheetData>
    <row r="1" spans="1:13">
      <c r="A1" s="22"/>
      <c r="B1" t="s">
        <v>87</v>
      </c>
      <c r="D1" s="23"/>
      <c r="E1" t="s">
        <v>88</v>
      </c>
      <c r="G1" s="258"/>
      <c r="H1" s="258"/>
      <c r="I1" t="s">
        <v>89</v>
      </c>
      <c r="L1" s="24"/>
      <c r="M1" t="s">
        <v>90</v>
      </c>
    </row>
    <row r="2" spans="1:13">
      <c r="A2" s="3"/>
      <c r="B2" s="3"/>
      <c r="C2" s="3"/>
      <c r="D2" s="3"/>
      <c r="E2" s="3"/>
      <c r="F2" s="3"/>
      <c r="G2" s="3"/>
      <c r="H2" s="3"/>
      <c r="I2" s="3"/>
      <c r="J2" s="3"/>
      <c r="K2" s="3"/>
    </row>
    <row r="3" spans="1:13" ht="15" customHeight="1">
      <c r="A3" s="523" t="s">
        <v>497</v>
      </c>
      <c r="B3" s="331"/>
      <c r="C3" s="331"/>
      <c r="D3" s="331"/>
      <c r="E3" s="332"/>
      <c r="F3" s="58"/>
      <c r="G3" s="58"/>
      <c r="H3" s="58"/>
      <c r="I3" s="58"/>
      <c r="J3" s="58"/>
      <c r="K3" s="58"/>
    </row>
    <row r="4" spans="1:13" ht="18" customHeight="1">
      <c r="A4" s="259" t="s">
        <v>498</v>
      </c>
      <c r="B4" s="260"/>
      <c r="C4" s="260"/>
      <c r="D4" s="260"/>
      <c r="E4" s="261"/>
      <c r="F4" s="57"/>
      <c r="G4" s="57"/>
      <c r="H4" s="57"/>
      <c r="I4" s="57"/>
      <c r="J4" s="57"/>
      <c r="K4" s="57"/>
    </row>
    <row r="5" spans="1:13">
      <c r="A5" s="3"/>
      <c r="B5" s="3"/>
      <c r="C5" s="3"/>
      <c r="D5" s="3"/>
      <c r="E5" s="3"/>
      <c r="F5" s="3"/>
      <c r="G5" s="3"/>
      <c r="H5" s="3"/>
      <c r="I5" s="3"/>
      <c r="J5" s="3"/>
      <c r="K5" s="3"/>
    </row>
  </sheetData>
  <mergeCells count="3">
    <mergeCell ref="G1:H1"/>
    <mergeCell ref="A3:E3"/>
    <mergeCell ref="A4:E4"/>
  </mergeCells>
  <pageMargins left="0.5" right="0.5" top="0.75" bottom="0.75" header="0.3" footer="0.3"/>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2D4F-C336-4CF9-8907-44E2DB90234A}">
  <dimension ref="A1:D11"/>
  <sheetViews>
    <sheetView zoomScale="70" zoomScaleNormal="70" workbookViewId="0">
      <selection activeCell="C16" sqref="C16"/>
    </sheetView>
  </sheetViews>
  <sheetFormatPr defaultRowHeight="15"/>
  <cols>
    <col min="1" max="1" width="22.28515625" customWidth="1"/>
    <col min="2" max="2" width="30.85546875" customWidth="1"/>
    <col min="3" max="3" width="28.7109375" customWidth="1"/>
    <col min="4" max="4" width="42.42578125" customWidth="1"/>
  </cols>
  <sheetData>
    <row r="1" spans="1:4">
      <c r="A1" s="545" t="s">
        <v>499</v>
      </c>
      <c r="B1" s="546"/>
      <c r="C1" s="546"/>
      <c r="D1" s="547"/>
    </row>
    <row r="2" spans="1:4">
      <c r="A2" s="180" t="s">
        <v>500</v>
      </c>
      <c r="B2" s="180"/>
      <c r="C2" s="180" t="s">
        <v>501</v>
      </c>
      <c r="D2" s="180"/>
    </row>
    <row r="3" spans="1:4">
      <c r="A3" s="180" t="s">
        <v>502</v>
      </c>
      <c r="B3" s="180"/>
      <c r="C3" s="180" t="s">
        <v>503</v>
      </c>
      <c r="D3" s="180"/>
    </row>
    <row r="4" spans="1:4">
      <c r="A4" s="180" t="s">
        <v>504</v>
      </c>
      <c r="B4" s="180"/>
      <c r="C4" s="181" t="s">
        <v>505</v>
      </c>
      <c r="D4" s="180"/>
    </row>
    <row r="5" spans="1:4">
      <c r="A5" s="180" t="s">
        <v>506</v>
      </c>
      <c r="B5" s="180"/>
      <c r="C5" s="180" t="s">
        <v>507</v>
      </c>
      <c r="D5" s="180"/>
    </row>
    <row r="6" spans="1:4" ht="191.1" customHeight="1">
      <c r="A6" s="548" t="s">
        <v>508</v>
      </c>
      <c r="B6" s="549"/>
      <c r="C6" s="549"/>
      <c r="D6" s="550"/>
    </row>
    <row r="7" spans="1:4">
      <c r="A7" s="180" t="s">
        <v>509</v>
      </c>
      <c r="B7" s="180"/>
      <c r="C7" s="180" t="s">
        <v>510</v>
      </c>
      <c r="D7" s="180"/>
    </row>
    <row r="8" spans="1:4">
      <c r="A8" s="182" t="s">
        <v>511</v>
      </c>
      <c r="B8" s="551"/>
      <c r="C8" s="552"/>
      <c r="D8" s="553"/>
    </row>
    <row r="9" spans="1:4">
      <c r="A9" s="180" t="s">
        <v>502</v>
      </c>
      <c r="B9" s="180"/>
      <c r="C9" s="180" t="s">
        <v>512</v>
      </c>
      <c r="D9" s="180"/>
    </row>
    <row r="10" spans="1:4">
      <c r="A10" s="180" t="s">
        <v>504</v>
      </c>
      <c r="B10" s="180"/>
      <c r="C10" s="180" t="s">
        <v>513</v>
      </c>
      <c r="D10" s="180"/>
    </row>
    <row r="11" spans="1:4">
      <c r="A11" s="180" t="s">
        <v>506</v>
      </c>
      <c r="B11" s="180"/>
      <c r="C11" s="180" t="s">
        <v>507</v>
      </c>
      <c r="D11" s="180"/>
    </row>
  </sheetData>
  <mergeCells count="3">
    <mergeCell ref="A1:D1"/>
    <mergeCell ref="A6:D6"/>
    <mergeCell ref="B8:D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71C57F-D0F1-4021-8AE0-5B377356DF4C}">
  <ds:schemaRefs>
    <ds:schemaRef ds:uri="http://purl.org/dc/terms/"/>
    <ds:schemaRef ds:uri="5067c814-4b34-462c-a21d-c185ff6548d2"/>
    <ds:schemaRef ds:uri="http://schemas.microsoft.com/office/infopath/2007/PartnerControls"/>
    <ds:schemaRef ds:uri="http://purl.org/dc/dcmitype/"/>
    <ds:schemaRef ds:uri="http://purl.org/dc/elements/1.1/"/>
    <ds:schemaRef ds:uri="http://schemas.openxmlformats.org/package/2006/metadata/core-properties"/>
    <ds:schemaRef ds:uri="785685f2-c2e1-4352-89aa-3faca8eaba52"/>
    <ds:schemaRef ds:uri="http://www.w3.org/XML/1998/namespace"/>
    <ds:schemaRef ds:uri="http://schemas.microsoft.com/office/2006/documentManagement/types"/>
    <ds:schemaRef ds:uri="http://schemas.microsoft.com/office/2006/metadata/properties"/>
  </ds:schemaRefs>
</ds:datastoreItem>
</file>

<file path=customXml/itemProps2.xml><?xml version="1.0" encoding="utf-8"?>
<ds:datastoreItem xmlns:ds="http://schemas.openxmlformats.org/officeDocument/2006/customXml" ds:itemID="{2369EB29-21B6-439E-B74E-939CF0D941B2}">
  <ds:schemaRefs>
    <ds:schemaRef ds:uri="http://schemas.microsoft.com/sharepoint/v3/contenttype/forms"/>
  </ds:schemaRefs>
</ds:datastoreItem>
</file>

<file path=customXml/itemProps3.xml><?xml version="1.0" encoding="utf-8"?>
<ds:datastoreItem xmlns:ds="http://schemas.openxmlformats.org/officeDocument/2006/customXml" ds:itemID="{235D3E17-A7B9-4D9D-B831-FAB9EAE84B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15</vt:i4>
      </vt:variant>
    </vt:vector>
  </HeadingPairs>
  <TitlesOfParts>
    <vt:vector size="40" baseType="lpstr">
      <vt:lpstr>Change Log</vt:lpstr>
      <vt:lpstr>Table Sequence</vt:lpstr>
      <vt:lpstr>Hyperlinks</vt:lpstr>
      <vt:lpstr>NRCC Headers</vt:lpstr>
      <vt:lpstr>LMCC Headers</vt:lpstr>
      <vt:lpstr>NRCC Footer</vt:lpstr>
      <vt:lpstr>LMCC Footer</vt:lpstr>
      <vt:lpstr>NRCC A. General Info</vt:lpstr>
      <vt:lpstr>LMCC A. General Info</vt:lpstr>
      <vt:lpstr>NRCC B. Project Scope</vt:lpstr>
      <vt:lpstr>LMCC B. Project Scope</vt:lpstr>
      <vt:lpstr>C. Compliance</vt:lpstr>
      <vt:lpstr>D. Exceptional Conditions</vt:lpstr>
      <vt:lpstr>E. Additional Remarks</vt:lpstr>
      <vt:lpstr>F. Allocated Zone</vt:lpstr>
      <vt:lpstr>G. PV</vt:lpstr>
      <vt:lpstr>H. SWH_NOT USED</vt:lpstr>
      <vt:lpstr>H. SWH</vt:lpstr>
      <vt:lpstr>I. Tstat+EE</vt:lpstr>
      <vt:lpstr>NRCC J. PV&amp;Batt</vt:lpstr>
      <vt:lpstr>LMCC J. PV&amp;Batt</vt:lpstr>
      <vt:lpstr>K. NRCI</vt:lpstr>
      <vt:lpstr>K. LMCI</vt:lpstr>
      <vt:lpstr>L. NRCA</vt:lpstr>
      <vt:lpstr>Signature</vt:lpstr>
      <vt:lpstr>'C. Compliance'!Print_Area</vt:lpstr>
      <vt:lpstr>'D. Exceptional Conditions'!Print_Area</vt:lpstr>
      <vt:lpstr>'E. Additional Remarks'!Print_Area</vt:lpstr>
      <vt:lpstr>'G. PV'!Print_Area</vt:lpstr>
      <vt:lpstr>'H. SWH'!Print_Area</vt:lpstr>
      <vt:lpstr>'H. SWH_NOT USED'!Print_Area</vt:lpstr>
      <vt:lpstr>'K. LMCI'!Print_Area</vt:lpstr>
      <vt:lpstr>'K. NRCI'!Print_Area</vt:lpstr>
      <vt:lpstr>'L. NRCA'!Print_Area</vt:lpstr>
      <vt:lpstr>'LMCC A. General Info'!Print_Area</vt:lpstr>
      <vt:lpstr>'LMCC B. Project Scope'!Print_Area</vt:lpstr>
      <vt:lpstr>'LMCC Headers'!Print_Area</vt:lpstr>
      <vt:lpstr>'NRCC A. General Info'!Print_Area</vt:lpstr>
      <vt:lpstr>'NRCC B. Project Scope'!Print_Area</vt:lpstr>
      <vt:lpstr>'NRCC Headers'!Print_Area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Alhabibi, Haider@Energy</cp:lastModifiedBy>
  <cp:revision/>
  <dcterms:created xsi:type="dcterms:W3CDTF">2017-03-06T18:27:21Z</dcterms:created>
  <dcterms:modified xsi:type="dcterms:W3CDTF">2025-05-25T22:26:53Z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y fmtid="{D5CDD505-2E9C-101B-9397-08002B2CF9AE}" pid="3" name="MSIP_Label_b7864bb8-b671-4bed-ba85-9478127ab5e9_Enabled">
    <vt:lpwstr>true</vt:lpwstr>
  </property>
  <property fmtid="{D5CDD505-2E9C-101B-9397-08002B2CF9AE}" pid="4" name="MSIP_Label_b7864bb8-b671-4bed-ba85-9478127ab5e9_SetDate">
    <vt:lpwstr>2024-02-13T17:45:52Z</vt:lpwstr>
  </property>
  <property fmtid="{D5CDD505-2E9C-101B-9397-08002B2CF9AE}" pid="5" name="MSIP_Label_b7864bb8-b671-4bed-ba85-9478127ab5e9_Method">
    <vt:lpwstr>Standard</vt:lpwstr>
  </property>
  <property fmtid="{D5CDD505-2E9C-101B-9397-08002B2CF9AE}" pid="6" name="MSIP_Label_b7864bb8-b671-4bed-ba85-9478127ab5e9_Name">
    <vt:lpwstr>Confidential – 2023</vt:lpwstr>
  </property>
  <property fmtid="{D5CDD505-2E9C-101B-9397-08002B2CF9AE}" pid="7" name="MSIP_Label_b7864bb8-b671-4bed-ba85-9478127ab5e9_SiteId">
    <vt:lpwstr>36839a65-7f3f-4bac-9ea4-f571f10a9a03</vt:lpwstr>
  </property>
  <property fmtid="{D5CDD505-2E9C-101B-9397-08002B2CF9AE}" pid="8" name="MSIP_Label_b7864bb8-b671-4bed-ba85-9478127ab5e9_ActionId">
    <vt:lpwstr>8110cd1f-f4c6-4288-9483-b3d1b4546bf5</vt:lpwstr>
  </property>
  <property fmtid="{D5CDD505-2E9C-101B-9397-08002B2CF9AE}" pid="9" name="MSIP_Label_b7864bb8-b671-4bed-ba85-9478127ab5e9_ContentBits">
    <vt:lpwstr>0</vt:lpwstr>
  </property>
  <property fmtid="{D5CDD505-2E9C-101B-9397-08002B2CF9AE}" pid="10" name="MSIP_Label_aa7be39c-9e9f-446a-a199-286f73f56a3f_Enabled">
    <vt:lpwstr>true</vt:lpwstr>
  </property>
  <property fmtid="{D5CDD505-2E9C-101B-9397-08002B2CF9AE}" pid="11" name="MSIP_Label_aa7be39c-9e9f-446a-a199-286f73f56a3f_SetDate">
    <vt:lpwstr>2024-11-01T22:30:23Z</vt:lpwstr>
  </property>
  <property fmtid="{D5CDD505-2E9C-101B-9397-08002B2CF9AE}" pid="12" name="MSIP_Label_aa7be39c-9e9f-446a-a199-286f73f56a3f_Method">
    <vt:lpwstr>Standard</vt:lpwstr>
  </property>
  <property fmtid="{D5CDD505-2E9C-101B-9397-08002B2CF9AE}" pid="13" name="MSIP_Label_aa7be39c-9e9f-446a-a199-286f73f56a3f_Name">
    <vt:lpwstr>Confidential</vt:lpwstr>
  </property>
  <property fmtid="{D5CDD505-2E9C-101B-9397-08002B2CF9AE}" pid="14" name="MSIP_Label_aa7be39c-9e9f-446a-a199-286f73f56a3f_SiteId">
    <vt:lpwstr>85ad2a97-6942-4d5d-bc9c-35cd3905d69a</vt:lpwstr>
  </property>
  <property fmtid="{D5CDD505-2E9C-101B-9397-08002B2CF9AE}" pid="15" name="MSIP_Label_aa7be39c-9e9f-446a-a199-286f73f56a3f_ActionId">
    <vt:lpwstr>915efb96-65d3-4b0b-9d77-d6d1b1755f59</vt:lpwstr>
  </property>
  <property fmtid="{D5CDD505-2E9C-101B-9397-08002B2CF9AE}" pid="16" name="MSIP_Label_aa7be39c-9e9f-446a-a199-286f73f56a3f_ContentBits">
    <vt:lpwstr>0</vt:lpwstr>
  </property>
  <property fmtid="{D5CDD505-2E9C-101B-9397-08002B2CF9AE}" pid="17" name="MediaServiceImageTags">
    <vt:lpwstr/>
  </property>
</Properties>
</file>