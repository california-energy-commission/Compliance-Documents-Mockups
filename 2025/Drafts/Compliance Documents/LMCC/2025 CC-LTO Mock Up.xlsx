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omments11.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12.xml" ContentType="application/vnd.openxmlformats-officedocument.spreadsheetml.comments+xml"/>
  <Override PartName="/xl/drawings/drawing8.xml" ContentType="application/vnd.openxmlformats-officedocument.drawing+xml"/>
  <Override PartName="/xl/comments13.xml" ContentType="application/vnd.openxmlformats-officedocument.spreadsheetml.comments+xml"/>
  <Override PartName="/xl/drawings/drawing9.xml" ContentType="application/vnd.openxmlformats-officedocument.drawing+xml"/>
  <Override PartName="/xl/comments14.xml" ContentType="application/vnd.openxmlformats-officedocument.spreadsheetml.comments+xml"/>
  <Override PartName="/xl/drawings/drawing10.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threadedComments/threadedComment4.xml" ContentType="application/vnd.ms-excel.threaded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11.xml" ContentType="application/vnd.openxmlformats-officedocument.drawing+xml"/>
  <Override PartName="/xl/comments2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141" documentId="13_ncr:1_{9348C9DB-F336-4512-B2D3-3636382B96CE}" xr6:coauthVersionLast="47" xr6:coauthVersionMax="47" xr10:uidLastSave="{6DC6AD09-3C51-4508-B952-F2D16F502D52}"/>
  <bookViews>
    <workbookView minimized="1" xWindow="5580" yWindow="1365" windowWidth="21600" windowHeight="11385" tabRatio="942" firstSheet="12" activeTab="7" xr2:uid="{00000000-000D-0000-FFFF-FFFF00000000}"/>
  </bookViews>
  <sheets>
    <sheet name="Change Log" sheetId="55" r:id="rId1"/>
    <sheet name="Table Sequence" sheetId="17" r:id="rId2"/>
    <sheet name="Hyperlinks" sheetId="49" r:id="rId3"/>
    <sheet name="NRCC Headers" sheetId="1" r:id="rId4"/>
    <sheet name="LMCC Headers" sheetId="51" r:id="rId5"/>
    <sheet name="NRCC Footer" sheetId="56" r:id="rId6"/>
    <sheet name="Sheet1" sheetId="57" r:id="rId7"/>
    <sheet name="A. General Info" sheetId="20" r:id="rId8"/>
    <sheet name="B. Project Scope" sheetId="7" r:id="rId9"/>
    <sheet name="C. Compliance" sheetId="11" r:id="rId10"/>
    <sheet name="D. Exceptional Conditions" sheetId="18" r:id="rId11"/>
    <sheet name="E. Additional Remarks" sheetId="19" r:id="rId12"/>
    <sheet name="F. Lighting Schedule" sheetId="12" r:id="rId13"/>
    <sheet name="G. BUG" sheetId="34" r:id="rId14"/>
    <sheet name="H. Lighting Controls" sheetId="15" r:id="rId15"/>
    <sheet name="I. Allowance General " sheetId="50" r:id="rId16"/>
    <sheet name="J. Per Application" sheetId="45" r:id="rId17"/>
    <sheet name="K. Sales Frontage" sheetId="46" r:id="rId18"/>
    <sheet name="L. Ornamental" sheetId="47" r:id="rId19"/>
    <sheet name="M. Per Specific Area" sheetId="48" r:id="rId20"/>
    <sheet name="N. Exist. Cond." sheetId="35" r:id="rId21"/>
    <sheet name="O. NRCI" sheetId="43" r:id="rId22"/>
    <sheet name="O. LMCI" sheetId="53" r:id="rId23"/>
    <sheet name="P. NRCA" sheetId="42" r:id="rId24"/>
    <sheet name="Signature" sheetId="58" r:id="rId25"/>
  </sheets>
  <externalReferences>
    <externalReference r:id="rId26"/>
    <externalReference r:id="rId27"/>
    <externalReference r:id="rId28"/>
    <externalReference r:id="rId29"/>
  </externalReferences>
  <definedNames>
    <definedName name="CalcMethod" localSheetId="2">'B. Project Scope'!#REF!</definedName>
    <definedName name="CalcMethod" localSheetId="15">'B. Project Scope'!#REF!</definedName>
    <definedName name="CalcMethod" localSheetId="16">'[1]B. Project Scope'!#REF!</definedName>
    <definedName name="CalcMethod" localSheetId="17">'[1]B. Project Scope'!#REF!</definedName>
    <definedName name="CalcMethod" localSheetId="18">'[1]B. Project Scope'!#REF!</definedName>
    <definedName name="CalcMethod" localSheetId="4">'[2]B. Project Scope'!#REF!</definedName>
    <definedName name="CalcMethod" localSheetId="19">'[1]B. Project Scope'!#REF!</definedName>
    <definedName name="CalcMethod" localSheetId="20">'B. Project Scope'!#REF!</definedName>
    <definedName name="CalcMethod" localSheetId="5">'[3]NRCC B. Project Scope'!#REF!</definedName>
    <definedName name="CalcMethod" localSheetId="22">'[1]B. Project Scope'!#REF!</definedName>
    <definedName name="CalcMethod" localSheetId="21">'[1]B. Project Scope'!#REF!</definedName>
    <definedName name="CalcMethod" localSheetId="23">'[1]B. Project Scope'!#REF!</definedName>
    <definedName name="CalcMethod">'B. Project Scope'!#REF!</definedName>
    <definedName name="_xlnm.Print_Area" localSheetId="7">'A. General Info'!$A$2:$K$9</definedName>
    <definedName name="_xlnm.Print_Area" localSheetId="8">'B. Project Scope'!$A$2:$I$16</definedName>
    <definedName name="_xlnm.Print_Area" localSheetId="9">'C. Compliance'!$A$3:$P$14</definedName>
    <definedName name="_xlnm.Print_Area" localSheetId="10">'D. Exceptional Conditions'!$A$2:$K$7</definedName>
    <definedName name="_xlnm.Print_Area" localSheetId="11">'E. Additional Remarks'!$A$2:$K$7</definedName>
    <definedName name="_xlnm.Print_Area" localSheetId="13">'G. BUG'!$A$2:$AS$13</definedName>
    <definedName name="_xlnm.Print_Area" localSheetId="14">'H. Lighting Controls'!$A$2:$X$2</definedName>
    <definedName name="_xlnm.Print_Area" localSheetId="15">'I. Allowance General '!$A$2:$J$2</definedName>
    <definedName name="_xlnm.Print_Area" localSheetId="16">'J. Per Application'!$A$2:$J$3</definedName>
    <definedName name="_xlnm.Print_Area" localSheetId="17">'K. Sales Frontage'!$A$2:$I$3</definedName>
    <definedName name="_xlnm.Print_Area" localSheetId="18">'L. Ornamental'!$A$2:$I$3</definedName>
    <definedName name="_xlnm.Print_Area" localSheetId="4">'LMCC Headers'!$A$3:$K$22</definedName>
    <definedName name="_xlnm.Print_Area" localSheetId="19">'M. Per Specific Area'!$A$2:$J$3</definedName>
    <definedName name="_xlnm.Print_Area" localSheetId="3">'NRCC Headers'!$A$3:$K$22</definedName>
    <definedName name="_xlnm.Print_Area" localSheetId="22">'O. LMCI'!$A$2:$K$5</definedName>
    <definedName name="_xlnm.Print_Area" localSheetId="21">'O. NRCI'!$A$2:$K$5</definedName>
    <definedName name="_xlnm.Print_Area" localSheetId="23">'P. NRCA'!$A$2:$L$5</definedName>
    <definedName name="TEST">'[4]B. Project Scope'!#REF!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50" l="1"/>
  <c r="O10" i="11"/>
  <c r="I10" i="11"/>
  <c r="G10" i="11"/>
  <c r="E10" i="11"/>
  <c r="C10" i="11"/>
  <c r="J9" i="35"/>
  <c r="I9" i="48"/>
  <c r="H9" i="47"/>
  <c r="H9" i="46"/>
  <c r="I9" i="45"/>
  <c r="I13" i="50"/>
  <c r="F13" i="50"/>
  <c r="J13" i="50"/>
  <c r="B8" i="47"/>
  <c r="D8" i="47" s="1"/>
  <c r="I8" i="48"/>
  <c r="E8" i="48"/>
  <c r="H8" i="47"/>
  <c r="H8" i="46"/>
  <c r="D8" i="46"/>
  <c r="I8" i="45"/>
  <c r="E8" i="45"/>
  <c r="K10" i="11"/>
  <c r="M1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B97729F8-6F2F-47D7-8454-0656AFB39BA2}">
      <text>
        <r>
          <rPr>
            <b/>
            <sz val="9"/>
            <color indexed="81"/>
            <rFont val="Tahoma"/>
            <family val="2"/>
          </rPr>
          <t xml:space="preserve">2/17/23
</t>
        </r>
        <r>
          <rPr>
            <sz val="9"/>
            <color indexed="81"/>
            <rFont val="Tahoma"/>
            <family val="2"/>
          </rPr>
          <t>This cell grays out on all pages other than Page 1 and the last page.</t>
        </r>
      </text>
    </comment>
    <comment ref="C18" authorId="1" shapeId="0" xr:uid="{FF8FCD31-FC38-48E0-B8B8-FD6D894AB439}">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Trujillo, Charlie</author>
  </authors>
  <commentList>
    <comment ref="A6" authorId="0" shapeId="0" xr:uid="{BCB3E293-B572-4CB9-B38D-1B3249F71FD1}">
      <text>
        <r>
          <rPr>
            <sz val="9"/>
            <color indexed="8"/>
            <rFont val="Tahoma"/>
            <family val="2"/>
          </rPr>
          <t>11.3.21:
Changed text to make it clear this form is used for LRMF/LRMU only.</t>
        </r>
      </text>
    </comment>
    <comment ref="C8" authorId="1" shapeId="0" xr:uid="{B3E0264B-8DF7-4B5F-9487-393B829E2E7A}">
      <text>
        <r>
          <rPr>
            <b/>
            <sz val="9"/>
            <color indexed="81"/>
            <rFont val="Tahoma"/>
            <family val="2"/>
          </rPr>
          <t xml:space="preserve">2/17/23
</t>
        </r>
        <r>
          <rPr>
            <sz val="9"/>
            <color indexed="81"/>
            <rFont val="Tahoma"/>
            <family val="2"/>
          </rPr>
          <t>This cell grays out on all pages other than Page 1 and the last page.</t>
        </r>
      </text>
    </comment>
    <comment ref="C18" authorId="2" shapeId="0" xr:uid="{AD09926F-02A1-42EA-896C-17D4D8607454}">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DDC5B490-4AE8-4532-8F54-4D97EB435BE6}">
      <text>
        <r>
          <rPr>
            <b/>
            <sz val="9"/>
            <color indexed="8"/>
            <rFont val="Tahoma"/>
            <family val="2"/>
          </rPr>
          <t>8.16.21:</t>
        </r>
        <r>
          <rPr>
            <sz val="9"/>
            <color indexed="8"/>
            <rFont val="Tahoma"/>
            <family val="2"/>
          </rPr>
          <t xml:space="preserve">
Need to replace w 2022 Standards URL once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tc={4302BCA4-7EBE-4781-92DC-C65DD2F6CC81}</author>
  </authors>
  <commentList>
    <comment ref="J4" authorId="0" shapeId="0" xr:uid="{00000000-0006-0000-0300-000001000000}">
      <text>
        <r>
          <rPr>
            <b/>
            <sz val="9"/>
            <color indexed="81"/>
            <rFont val="Tahoma"/>
            <family val="2"/>
          </rPr>
          <t>Sally Blair:</t>
        </r>
        <r>
          <rPr>
            <sz val="9"/>
            <color indexed="81"/>
            <rFont val="Tahoma"/>
            <family val="2"/>
          </rPr>
          <t xml:space="preserve">
is used in Table L if Table L is applicable.</t>
        </r>
      </text>
    </comment>
    <comment ref="B6" authorId="0" shapeId="0" xr:uid="{00000000-0006-0000-0300-000002000000}">
      <text>
        <r>
          <rPr>
            <b/>
            <sz val="9"/>
            <color indexed="81"/>
            <rFont val="Tahoma"/>
            <family val="2"/>
          </rPr>
          <t>Sally Blair:</t>
        </r>
        <r>
          <rPr>
            <sz val="9"/>
            <color indexed="81"/>
            <rFont val="Tahoma"/>
            <family val="2"/>
          </rPr>
          <t xml:space="preserve">
set values in Table G and also Initial Wattage Allowance for Entire Site in Table I.  Also affects which "Use it or Lose It" Allowances available in Table I.</t>
        </r>
      </text>
    </comment>
    <comment ref="G7" authorId="0" shapeId="0" xr:uid="{00000000-0006-0000-0300-000003000000}">
      <text>
        <r>
          <rPr>
            <b/>
            <sz val="9"/>
            <color indexed="81"/>
            <rFont val="Tahoma"/>
            <family val="2"/>
          </rPr>
          <t>Sally Blair:</t>
        </r>
        <r>
          <rPr>
            <sz val="9"/>
            <color indexed="81"/>
            <rFont val="Tahoma"/>
            <family val="2"/>
          </rPr>
          <t xml:space="preserve">
triggers note on Row 13 of Table D tab</t>
        </r>
      </text>
    </comment>
    <comment ref="A9" authorId="0" shapeId="0" xr:uid="{646F9496-6834-4CE9-A03D-A7154810EA06}">
      <text>
        <r>
          <rPr>
            <b/>
            <sz val="9"/>
            <color indexed="8"/>
            <rFont val="Tahoma"/>
            <family val="2"/>
          </rPr>
          <t>7.2.21:</t>
        </r>
        <r>
          <rPr>
            <sz val="9"/>
            <color indexed="8"/>
            <rFont val="Tahoma"/>
            <family val="2"/>
          </rPr>
          <t xml:space="preserve">
Occupancy types are select all that apply.</t>
        </r>
      </text>
    </comment>
    <comment ref="A10" authorId="1" shapeId="0" xr:uid="{33BE5B81-1D86-44F1-A08A-7F0F53B98862}">
      <text>
        <r>
          <rPr>
            <b/>
            <sz val="9"/>
            <color indexed="81"/>
            <rFont val="Tahoma"/>
            <family val="2"/>
          </rPr>
          <t>6/28/24</t>
        </r>
        <r>
          <rPr>
            <sz val="9"/>
            <color indexed="81"/>
            <rFont val="Tahoma"/>
            <family val="2"/>
          </rPr>
          <t xml:space="preserve">
Applicable occupancy types show up as bullet point list</t>
        </r>
      </text>
    </comment>
    <comment ref="AI23" authorId="2" shapeId="0" xr:uid="{4302BCA4-7EBE-4781-92DC-C65DD2F6CC81}">
      <text>
        <t xml:space="preserve">[Threaded comment]
Your version of Excel allows you to read this threaded comment; however, any edits to it will get removed if the file is opened in a newer version of Excel. Learn more: https://go.microsoft.com/fwlink/?linkid=870924
Comment:
    Inserted a copy of Table 10-114-A of the 15-Day language of the 2025 Code development.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6" authorId="0" shapeId="0" xr:uid="{00000000-0006-0000-0400-000001000000}">
      <text>
        <r>
          <rPr>
            <b/>
            <sz val="9"/>
            <color indexed="81"/>
            <rFont val="Tahoma"/>
            <family val="2"/>
          </rPr>
          <t>Sally Blair:</t>
        </r>
        <r>
          <rPr>
            <sz val="9"/>
            <color indexed="81"/>
            <rFont val="Tahoma"/>
            <family val="2"/>
          </rPr>
          <t xml:space="preserve">
can select New or Altered, but not both.</t>
        </r>
      </text>
    </comment>
    <comment ref="A7" authorId="0" shapeId="0" xr:uid="{00000000-0006-0000-0400-000002000000}">
      <text>
        <r>
          <rPr>
            <b/>
            <sz val="9"/>
            <color indexed="81"/>
            <rFont val="Tahoma"/>
            <family val="2"/>
          </rPr>
          <t>Sally Blair:</t>
        </r>
        <r>
          <rPr>
            <sz val="9"/>
            <color indexed="81"/>
            <rFont val="Tahoma"/>
            <family val="2"/>
          </rPr>
          <t xml:space="preserve">
triggers Table F/H/I.</t>
        </r>
      </text>
    </comment>
    <comment ref="A8" authorId="0" shapeId="0" xr:uid="{00000000-0006-0000-0400-000003000000}">
      <text>
        <r>
          <rPr>
            <b/>
            <sz val="9"/>
            <color indexed="81"/>
            <rFont val="Tahoma"/>
            <family val="2"/>
          </rPr>
          <t>Sally Blair:</t>
        </r>
        <r>
          <rPr>
            <sz val="9"/>
            <color indexed="81"/>
            <rFont val="Tahoma"/>
            <family val="2"/>
          </rPr>
          <t xml:space="preserve">
</t>
        </r>
        <r>
          <rPr>
            <sz val="9"/>
            <color indexed="81"/>
            <rFont val="Tahoma"/>
            <family val="2"/>
          </rPr>
          <t>Only triggers Table F.</t>
        </r>
      </text>
    </comment>
    <comment ref="H8" authorId="0" shapeId="0" xr:uid="{00000000-0006-0000-0400-000004000000}">
      <text>
        <r>
          <rPr>
            <b/>
            <sz val="9"/>
            <color indexed="81"/>
            <rFont val="Tahoma"/>
            <family val="2"/>
          </rPr>
          <t>Sally Blair:</t>
        </r>
        <r>
          <rPr>
            <sz val="9"/>
            <color indexed="81"/>
            <rFont val="Tahoma"/>
            <family val="2"/>
          </rPr>
          <t xml:space="preserve">
If the user clicks Y, Table I is triggered because they have to comply w Allowance per S140.7/§170.2(e)6.
This also trigger the note in row 12 directing the user to proceed to Table F to input fixtures.
This would also trigger Table H.</t>
        </r>
      </text>
    </comment>
    <comment ref="I8" authorId="0" shapeId="0" xr:uid="{00000000-0006-0000-0400-000005000000}">
      <text>
        <r>
          <rPr>
            <b/>
            <sz val="9"/>
            <color indexed="81"/>
            <rFont val="Tahoma"/>
            <family val="2"/>
          </rPr>
          <t>Sally Blair:</t>
        </r>
        <r>
          <rPr>
            <sz val="9"/>
            <color indexed="81"/>
            <rFont val="Tahoma"/>
            <family val="2"/>
          </rPr>
          <t xml:space="preserve">
If user clicks N, rows 9-11 are triggered to get more info on scope.</t>
        </r>
      </text>
    </comment>
    <comment ref="A9" authorId="1" shapeId="0" xr:uid="{3AAAEC8B-EB18-458A-804D-D162B1B56299}">
      <text>
        <r>
          <rPr>
            <b/>
            <sz val="9"/>
            <color indexed="81"/>
            <rFont val="Tahoma"/>
            <family val="2"/>
          </rPr>
          <t>5.11.22</t>
        </r>
        <r>
          <rPr>
            <sz val="9"/>
            <color indexed="81"/>
            <rFont val="Tahoma"/>
            <family val="2"/>
          </rPr>
          <t xml:space="preserve">
Gray out unless "Altered" is selected in B.01</t>
        </r>
      </text>
    </comment>
    <comment ref="A10" authorId="0" shapeId="0" xr:uid="{00000000-0006-0000-0400-000006000000}">
      <text>
        <r>
          <rPr>
            <b/>
            <sz val="9"/>
            <color indexed="81"/>
            <rFont val="Tahoma"/>
            <family val="2"/>
          </rPr>
          <t>Sally Blair:</t>
        </r>
        <r>
          <rPr>
            <sz val="9"/>
            <color indexed="81"/>
            <rFont val="Tahoma"/>
            <family val="2"/>
          </rPr>
          <t xml:space="preserve">
Determines allowance in Table N.</t>
        </r>
      </text>
    </comment>
    <comment ref="C11" authorId="0" shapeId="0" xr:uid="{00000000-0006-0000-0400-000007000000}">
      <text>
        <r>
          <rPr>
            <b/>
            <sz val="9"/>
            <color indexed="81"/>
            <rFont val="Tahoma"/>
            <family val="2"/>
          </rPr>
          <t>Sally Blair:</t>
        </r>
        <r>
          <rPr>
            <sz val="9"/>
            <color indexed="81"/>
            <rFont val="Tahoma"/>
            <family val="2"/>
          </rPr>
          <t xml:space="preserve">
This checkbox triggers Table H if col 04 &gt; 5.  So does the "&gt; 50%" checkbox if col 04 &gt; 5.</t>
        </r>
      </text>
    </comment>
    <comment ref="E11" authorId="1" shapeId="0" xr:uid="{E19E7DD5-136D-4B26-9DE1-C77C01AB1F78}">
      <text>
        <r>
          <rPr>
            <b/>
            <sz val="9"/>
            <color indexed="81"/>
            <rFont val="Tahoma"/>
            <family val="2"/>
          </rPr>
          <t>5.11.22</t>
        </r>
        <r>
          <rPr>
            <sz val="9"/>
            <color indexed="81"/>
            <rFont val="Tahoma"/>
            <family val="2"/>
          </rPr>
          <t xml:space="preserve">
Gray out unless altered is selected in B.01</t>
        </r>
      </text>
    </comment>
    <comment ref="F11" authorId="1" shapeId="0" xr:uid="{60BCDCA8-4412-4748-A60E-6797F57DDF63}">
      <text>
        <r>
          <rPr>
            <b/>
            <sz val="9"/>
            <color indexed="81"/>
            <rFont val="Tahoma"/>
            <family val="2"/>
          </rPr>
          <t xml:space="preserve">5.11.22
</t>
        </r>
        <r>
          <rPr>
            <sz val="9"/>
            <color indexed="81"/>
            <rFont val="Tahoma"/>
            <family val="2"/>
          </rPr>
          <t>Gray out unless B.01 = "Altered"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0" authorId="0" shapeId="0" xr:uid="{00000000-0006-0000-0500-000001000000}">
      <text>
        <r>
          <rPr>
            <b/>
            <sz val="9"/>
            <color indexed="8"/>
            <rFont val="Tahoma"/>
            <family val="2"/>
          </rPr>
          <t>2019 Update:</t>
        </r>
        <r>
          <rPr>
            <sz val="9"/>
            <color indexed="8"/>
            <rFont val="Tahoma"/>
            <family val="2"/>
          </rPr>
          <t xml:space="preserve">
= Total General Hardscape Allowance in Table I, cell depends on which table is triggered.
</t>
        </r>
        <r>
          <rPr>
            <b/>
            <sz val="9"/>
            <color indexed="8"/>
            <rFont val="Tahoma"/>
            <family val="2"/>
          </rPr>
          <t>6.25.21:</t>
        </r>
        <r>
          <rPr>
            <sz val="9"/>
            <color indexed="8"/>
            <rFont val="Tahoma"/>
            <family val="2"/>
          </rPr>
          <t xml:space="preserve">
Logic hasn't changed but second subtable in Table I has so schema may need to be adjusted.</t>
        </r>
      </text>
    </comment>
    <comment ref="I10" authorId="0" shapeId="0" xr:uid="{00000000-0006-0000-0500-000002000000}">
      <text>
        <r>
          <rPr>
            <b/>
            <sz val="9"/>
            <color indexed="81"/>
            <rFont val="Tahoma"/>
            <family val="2"/>
          </rPr>
          <t>Sally Blair:</t>
        </r>
        <r>
          <rPr>
            <sz val="9"/>
            <color indexed="81"/>
            <rFont val="Tahoma"/>
            <family val="2"/>
          </rPr>
          <t xml:space="preserve">
Gray out any of these cells  that do not hold a value</t>
        </r>
      </text>
    </comment>
    <comment ref="P10" authorId="0" shapeId="0" xr:uid="{00000000-0006-0000-0500-000003000000}">
      <text>
        <r>
          <rPr>
            <b/>
            <sz val="9"/>
            <color indexed="81"/>
            <rFont val="Tahoma"/>
            <family val="2"/>
          </rPr>
          <t>Sally Blair:</t>
        </r>
        <r>
          <rPr>
            <sz val="9"/>
            <color indexed="81"/>
            <rFont val="Tahoma"/>
            <family val="2"/>
          </rPr>
          <t xml:space="preserve">
Says "COMPLIES" if 07 &gt;= 08, otherwise says "DOES NOT COMPLY"</t>
        </r>
      </text>
    </comment>
    <comment ref="P11" authorId="0" shapeId="0" xr:uid="{00000000-0006-0000-0500-000004000000}">
      <text>
        <r>
          <rPr>
            <b/>
            <sz val="9"/>
            <color indexed="8"/>
            <rFont val="Tahoma"/>
            <family val="2"/>
          </rPr>
          <t>12/8/21</t>
        </r>
        <r>
          <rPr>
            <sz val="9"/>
            <color indexed="8"/>
            <rFont val="Tahoma"/>
            <family val="2"/>
          </rPr>
          <t xml:space="preserve">
If G04 &gt;= G05 (or G04 says "No Limit") and G07 &gt;= G08 and G10 &gt;= G11, then this says "Complies", otherwise, if Table G is triggered, it will say "DOES NOT COMPLY".  If Table G is not triggered, it says "Not Applicable" (and turns grey like on LTI)</t>
        </r>
      </text>
    </comment>
    <comment ref="P12" authorId="0" shapeId="0" xr:uid="{00000000-0006-0000-0500-000005000000}">
      <text>
        <r>
          <rPr>
            <b/>
            <sz val="9"/>
            <color indexed="8"/>
            <rFont val="Tahoma"/>
            <family val="2"/>
          </rPr>
          <t>6.25.21:</t>
        </r>
        <r>
          <rPr>
            <sz val="9"/>
            <color indexed="8"/>
            <rFont val="Tahoma"/>
            <family val="2"/>
          </rPr>
          <t xml:space="preserve">
says "COMPLIES"
If columns 02-04 are filled out in Table H Nonresidential/ Garage/ Common Area subtable AND
If columns 01-03 are completed in Table H Dwelling Unit subtable if subtable is triggered.
Otherwise says "Does Not Comply"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10" authorId="0" shapeId="0" xr:uid="{01E16B25-2FCE-42C6-9EDC-1B2A238E1BAE}">
      <text>
        <r>
          <rPr>
            <b/>
            <sz val="9"/>
            <color indexed="81"/>
            <rFont val="Tahoma"/>
            <family val="2"/>
          </rPr>
          <t>12/14/2022:</t>
        </r>
        <r>
          <rPr>
            <sz val="9"/>
            <color indexed="81"/>
            <rFont val="Tahoma"/>
            <family val="2"/>
          </rPr>
          <t xml:space="preserve">
Triggered if LZ4 is selected in Table A.</t>
        </r>
      </text>
    </comment>
    <comment ref="B11" authorId="0" shapeId="0" xr:uid="{D7EF3F89-FDC9-4F18-9CDA-52A3D4656BAE}">
      <text>
        <r>
          <rPr>
            <b/>
            <sz val="9"/>
            <color indexed="81"/>
            <rFont val="Tahoma"/>
            <family val="2"/>
          </rPr>
          <t>12/14/2022:</t>
        </r>
        <r>
          <rPr>
            <sz val="9"/>
            <color indexed="81"/>
            <rFont val="Tahoma"/>
            <family val="2"/>
          </rPr>
          <t xml:space="preserve">
Triggered only if Table I is triggered. Add a check for Table A column 04 and the sum of all rows in Table I column 03.  If these numbers don't match, add this note in Table D.</t>
        </r>
      </text>
    </comment>
    <comment ref="B12" authorId="0" shapeId="0" xr:uid="{AB22B497-F6DA-41E1-870D-1FC98EEAA4FF}">
      <text>
        <r>
          <rPr>
            <b/>
            <sz val="9"/>
            <color indexed="81"/>
            <rFont val="Tahoma"/>
            <family val="2"/>
          </rPr>
          <t>12/14/2022:</t>
        </r>
        <r>
          <rPr>
            <sz val="9"/>
            <color indexed="81"/>
            <rFont val="Tahoma"/>
            <family val="2"/>
          </rPr>
          <t xml:space="preserve">
Triggered if the * Note in Table F is not entered by the user.</t>
        </r>
      </text>
    </comment>
    <comment ref="B13" authorId="0" shapeId="0" xr:uid="{737DF432-39BC-4C4F-99F7-7DA861443FB1}">
      <text>
        <r>
          <rPr>
            <b/>
            <sz val="9"/>
            <color indexed="81"/>
            <rFont val="Tahoma"/>
            <family val="2"/>
          </rPr>
          <t>12/14/2022:</t>
        </r>
        <r>
          <rPr>
            <sz val="9"/>
            <color indexed="81"/>
            <rFont val="Tahoma"/>
            <family val="2"/>
          </rPr>
          <t xml:space="preserve">
Triggered if the * Note in Table N is not entered by the user.</t>
        </r>
      </text>
    </comment>
    <comment ref="B14" authorId="0" shapeId="0" xr:uid="{2C9B871A-F19E-4E06-B6F4-EB710FC4DE54}">
      <text>
        <r>
          <rPr>
            <b/>
            <sz val="9"/>
            <color indexed="81"/>
            <rFont val="Tahoma"/>
            <family val="2"/>
          </rPr>
          <t>12/14/2022:</t>
        </r>
        <r>
          <rPr>
            <sz val="9"/>
            <color indexed="81"/>
            <rFont val="Tahoma"/>
            <family val="2"/>
          </rPr>
          <t xml:space="preserve">
Triggered if "Linear" checkbox is checked for any fixture in Table F column 02.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800-000001000000}">
      <text>
        <r>
          <rPr>
            <b/>
            <sz val="9"/>
            <color indexed="81"/>
            <rFont val="Tahoma"/>
            <family val="2"/>
          </rPr>
          <t>2019 UPDATE:</t>
        </r>
        <r>
          <rPr>
            <sz val="9"/>
            <color indexed="81"/>
            <rFont val="Tahoma"/>
            <family val="2"/>
          </rPr>
          <t xml:space="preserve">
if checked in ANY row, trigger note in row 16 on Table D.</t>
        </r>
      </text>
    </comment>
    <comment ref="K9" authorId="0" shapeId="0" xr:uid="{00000000-0006-0000-0800-000002000000}">
      <text>
        <r>
          <rPr>
            <b/>
            <sz val="9"/>
            <color indexed="81"/>
            <rFont val="Tahoma"/>
            <family val="2"/>
          </rPr>
          <t>Sally Blair:</t>
        </r>
        <r>
          <rPr>
            <sz val="9"/>
            <color indexed="81"/>
            <rFont val="Tahoma"/>
            <family val="2"/>
          </rPr>
          <t xml:space="preserve">
If checked, column 08 blanks and greys out</t>
        </r>
      </text>
    </comment>
    <comment ref="M9" authorId="0" shapeId="0" xr:uid="{00000000-0006-0000-0800-000003000000}">
      <text>
        <r>
          <rPr>
            <b/>
            <sz val="9"/>
            <color indexed="81"/>
            <rFont val="Tahoma"/>
            <family val="2"/>
          </rPr>
          <t>Sally Blair:</t>
        </r>
        <r>
          <rPr>
            <sz val="9"/>
            <color indexed="81"/>
            <rFont val="Tahoma"/>
            <family val="2"/>
          </rPr>
          <t xml:space="preserve">
cell greys out if column column 06 is "Exist. Remain" or "Exist. Reinstall"</t>
        </r>
      </text>
    </comment>
    <comment ref="J19" authorId="0" shapeId="0" xr:uid="{00000000-0006-0000-0800-000004000000}">
      <text>
        <r>
          <rPr>
            <b/>
            <sz val="9"/>
            <color indexed="81"/>
            <rFont val="Tahoma"/>
            <family val="2"/>
          </rPr>
          <t>Sally Blair:</t>
        </r>
        <r>
          <rPr>
            <sz val="9"/>
            <color indexed="81"/>
            <rFont val="Tahoma"/>
            <family val="2"/>
          </rPr>
          <t xml:space="preserve">
If Table B column 01 says "New Lighitng System" the only choice in this dropdown should be "new"
If B.01 = "altered" then F.06 should show all four options
If Table B column 05 says "Reduced Existing Power Method" OR "Maintain Existing Power Method" the only choices for this dropdown should be "New" and "Altered".
If Table B column 05 says "Calculated ALlowance per S140.7" all 4 choices here will be in dropdown.
</t>
        </r>
      </text>
    </comment>
    <comment ref="M23" authorId="0" shapeId="0" xr:uid="{00000000-0006-0000-0800-000006000000}">
      <text>
        <r>
          <rPr>
            <b/>
            <sz val="9"/>
            <color indexed="8"/>
            <rFont val="Tahoma"/>
            <family val="2"/>
          </rPr>
          <t>6.25.21:</t>
        </r>
        <r>
          <rPr>
            <sz val="9"/>
            <color indexed="8"/>
            <rFont val="Tahoma"/>
            <family val="2"/>
          </rPr>
          <t xml:space="preserve">
When any of these "NA:" options are selected, Table G does not trigger (or this fixture is not listed in Table 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C14" authorId="0" shapeId="0" xr:uid="{A05914A3-33FA-42B6-AA47-6684A7A6439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Depending on selection made, Max Allowable ratings from Table 5.106.8 will autopopulate, based on LZ entered in Table A.</t>
        </r>
      </text>
    </comment>
    <comment ref="H14" authorId="0" shapeId="0" xr:uid="{00000000-0006-0000-0900-000005000000}">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 ref="L14" authorId="0" shapeId="0" xr:uid="{ED0DD740-16D4-484D-A83C-E7B5D0D04F3E}">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tc={26E136E9-B153-40A6-92A8-7CB705AD0686}</author>
    <author>Alexis Markstrum</author>
    <author>tc={7CA2E50F-BF8A-4AE4-A758-C0DA14B78D8F}</author>
    <author>Lalor, Ben</author>
    <author>Sally Blair</author>
    <author>tc={81684717-AF84-40DE-8902-FE66C0A12809}</author>
  </authors>
  <commentList>
    <comment ref="R16" authorId="0" shapeId="0" xr:uid="{26E136E9-B153-40A6-92A8-7CB705AD0686}">
      <text>
        <t>[Threaded comment]
Your version of Excel allows you to read this threaded comment; however, any edits to it will get removed if the file is opened in a newer version of Excel. Learn more: https://go.microsoft.com/fwlink/?linkid=870924
Comment:
    Façade Lighting is exempt from the motion sensing controls requirement regardless of the mounting height.</t>
      </text>
    </comment>
    <comment ref="F20" authorId="1" shapeId="0" xr:uid="{04C7782B-164B-41D9-9C01-1F6489BEBC54}">
      <text>
        <r>
          <rPr>
            <b/>
            <sz val="9"/>
            <color indexed="81"/>
            <rFont val="Tahoma"/>
            <family val="2"/>
          </rPr>
          <t>Alexis Markstrum:</t>
        </r>
        <r>
          <rPr>
            <sz val="9"/>
            <color indexed="81"/>
            <rFont val="Tahoma"/>
            <family val="2"/>
          </rPr>
          <t xml:space="preserve">
Only an option if B01 = "Altered Lighting System" AND B03 = "≥ 10% and &lt; 50%" or "≥ 50%"</t>
        </r>
      </text>
    </comment>
    <comment ref="R22" authorId="2" shapeId="0" xr:uid="{7CA2E50F-BF8A-4AE4-A758-C0DA14B78D8F}">
      <text>
        <t>[Threaded comment]
Your version of Excel allows you to read this threaded comment; however, any edits to it will get removed if the file is opened in a newer version of Excel. Learn more: https://go.microsoft.com/fwlink/?linkid=870924
Comment:
    Question: Is this "Parking lot luminaire &lt; 78W" exception from ASHRAE or from which Energy Code section?</t>
      </text>
    </comment>
    <comment ref="A38" authorId="3" shapeId="0" xr:uid="{F236508B-BDB2-4666-A021-03839D1777E2}">
      <text>
        <r>
          <rPr>
            <b/>
            <sz val="9"/>
            <color indexed="81"/>
            <rFont val="Tahoma"/>
            <family val="2"/>
          </rPr>
          <t>5/19/23</t>
        </r>
        <r>
          <rPr>
            <sz val="9"/>
            <color indexed="81"/>
            <rFont val="Tahoma"/>
            <family val="2"/>
          </rPr>
          <t xml:space="preserve">
Non reported field in the UI determines if this table applies. The field directly asks the user if they have OL controlled from inside the DU</t>
        </r>
      </text>
    </comment>
    <comment ref="M40" authorId="4" shapeId="0" xr:uid="{B596B7B4-7E9B-4841-A2CF-5DC9F2F194E5}">
      <text>
        <r>
          <rPr>
            <b/>
            <sz val="9"/>
            <color indexed="81"/>
            <rFont val="Tahoma"/>
            <family val="2"/>
          </rPr>
          <t>6.25.21:</t>
        </r>
        <r>
          <rPr>
            <sz val="9"/>
            <color indexed="81"/>
            <rFont val="Tahoma"/>
            <family val="2"/>
          </rPr>
          <t xml:space="preserve">
This is like B06 on the NRCC-ELC where it's a static note that only appears once and does not repeat for every row.</t>
        </r>
      </text>
    </comment>
    <comment ref="B43" authorId="4" shapeId="0" xr:uid="{E7870338-D4B4-46FB-B58E-301F4DD01ED9}">
      <text>
        <r>
          <rPr>
            <b/>
            <sz val="9"/>
            <color indexed="81"/>
            <rFont val="Tahoma"/>
            <family val="2"/>
          </rPr>
          <t>6.25.21:</t>
        </r>
        <r>
          <rPr>
            <sz val="9"/>
            <color indexed="81"/>
            <rFont val="Tahoma"/>
            <family val="2"/>
          </rPr>
          <t xml:space="preserve">
This is select all that apply.</t>
        </r>
      </text>
    </comment>
    <comment ref="A46" authorId="5" shapeId="0" xr:uid="{81684717-AF84-40DE-8902-FE66C0A12809}">
      <text>
        <t xml:space="preserve">[Threaded comment]
Your version of Excel allows you to read this threaded comment; however, any edits to it will get removed if the file is opened in a newer version of Excel. Learn more: https://go.microsoft.com/fwlink/?linkid=870924
Comment:
    Table 160.5-A is now deleted from the 2025 Energy Code. Refer to Section 160.5(a)1A for the compliant light source technologies.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Rebecca Rice</author>
    <author>tc={918CAD0A-D958-482A-A91E-DB3D0E8CC030}</author>
  </authors>
  <commentList>
    <comment ref="F5" authorId="0" shapeId="0" xr:uid="{00000000-0006-0000-0B00-000001000000}">
      <text>
        <r>
          <rPr>
            <b/>
            <sz val="9"/>
            <color indexed="8"/>
            <rFont val="Tahoma"/>
            <family val="2"/>
          </rPr>
          <t>6.25.21:</t>
        </r>
        <r>
          <rPr>
            <sz val="9"/>
            <color indexed="8"/>
            <rFont val="Tahoma"/>
            <family val="2"/>
          </rPr>
          <t xml:space="preserve">
This will trigger rows 9-15 in this table to expand for user input if Multifamily is NOT selected in A05. Rows 17-23 open if Multifamily IS selected in A05.</t>
        </r>
      </text>
    </comment>
    <comment ref="G6" authorId="1" shapeId="0" xr:uid="{00000000-0006-0000-0B00-000002000000}">
      <text>
        <r>
          <rPr>
            <b/>
            <sz val="9"/>
            <color indexed="81"/>
            <rFont val="Tahoma"/>
            <family val="2"/>
          </rPr>
          <t>Benjamin Park:</t>
        </r>
        <r>
          <rPr>
            <sz val="9"/>
            <color indexed="81"/>
            <rFont val="Tahoma"/>
            <family val="2"/>
          </rPr>
          <t xml:space="preserve">
"Per Application" triggers Table J.
"Sales Frontage" triggers Table K.
"Ornamental" triggers Table L.
"Per Specific Area" triggers Table M.</t>
        </r>
      </text>
    </comment>
    <comment ref="J6" authorId="0" shapeId="0" xr:uid="{00000000-0006-0000-0B00-000003000000}">
      <text>
        <r>
          <rPr>
            <b/>
            <sz val="9"/>
            <color indexed="8"/>
            <rFont val="Tahoma"/>
            <family val="2"/>
          </rPr>
          <t>6.25.21:</t>
        </r>
        <r>
          <rPr>
            <sz val="9"/>
            <color indexed="8"/>
            <rFont val="Tahoma"/>
            <family val="2"/>
          </rPr>
          <t xml:space="preserve">
These will grey out based on the LZ selected in Table A.  For LZ0- all except general allowance grey out. For LZ1, Sales Frontage and Ornamental grey out.
Sales Frontage also greys out if "Multifamily" selected in A05</t>
        </r>
      </text>
    </comment>
    <comment ref="A9" authorId="2" shapeId="0" xr:uid="{00000000-0006-0000-0B00-000004000000}">
      <text>
        <r>
          <rPr>
            <b/>
            <sz val="9"/>
            <color indexed="8"/>
            <rFont val="Tahoma"/>
            <family val="2"/>
          </rPr>
          <t>6.25.21:</t>
        </r>
        <r>
          <rPr>
            <sz val="9"/>
            <color indexed="8"/>
            <rFont val="Tahoma"/>
            <family val="2"/>
          </rPr>
          <t xml:space="preserve">  
We are removing the second subtable, so this subtable opens if General Hardscape Allowance is selected in I01 and it is not dependent on LZ in Table A.</t>
        </r>
      </text>
    </comment>
    <comment ref="E13" authorId="0" shapeId="0" xr:uid="{00000000-0006-0000-0B00-000007000000}">
      <text>
        <r>
          <rPr>
            <b/>
            <sz val="9"/>
            <color indexed="81"/>
            <rFont val="Tahoma"/>
            <family val="2"/>
          </rPr>
          <t>Sally Blair:</t>
        </r>
        <r>
          <rPr>
            <sz val="9"/>
            <color indexed="81"/>
            <rFont val="Tahoma"/>
            <family val="2"/>
          </rPr>
          <t xml:space="preserve">
This can be populated by Table 140.7-A based on LZ specified in Table A of this form.</t>
        </r>
      </text>
    </comment>
    <comment ref="H13" authorId="0" shapeId="0" xr:uid="{00000000-0006-0000-0B00-000008000000}">
      <text>
        <r>
          <rPr>
            <b/>
            <sz val="9"/>
            <color indexed="81"/>
            <rFont val="Tahoma"/>
            <family val="2"/>
          </rPr>
          <t>Sally Blair:</t>
        </r>
        <r>
          <rPr>
            <sz val="9"/>
            <color indexed="81"/>
            <rFont val="Tahoma"/>
            <family val="2"/>
          </rPr>
          <t xml:space="preserve">
This can be populated by Table 140.7-A based on LZ specified in Table A of this form.</t>
        </r>
      </text>
    </comment>
    <comment ref="A14" authorId="0" shapeId="0" xr:uid="{1FEFDBB2-9D49-4693-BB94-F87C736410DA}">
      <text>
        <r>
          <rPr>
            <b/>
            <sz val="9"/>
            <color indexed="8"/>
            <rFont val="Tahoma"/>
            <family val="2"/>
          </rPr>
          <t>10.11.21:</t>
        </r>
        <r>
          <rPr>
            <sz val="9"/>
            <color indexed="8"/>
            <rFont val="Tahoma"/>
            <family val="2"/>
          </rPr>
          <t xml:space="preserve">
Added 10.11.21</t>
        </r>
      </text>
    </comment>
    <comment ref="J14" authorId="0" shapeId="0" xr:uid="{00000000-0006-0000-0B00-000009000000}">
      <text>
        <r>
          <rPr>
            <b/>
            <sz val="9"/>
            <color indexed="8"/>
            <rFont val="Tahoma"/>
            <family val="2"/>
          </rPr>
          <t>Sally Blair:</t>
        </r>
        <r>
          <rPr>
            <sz val="9"/>
            <color indexed="8"/>
            <rFont val="Tahoma"/>
            <family val="2"/>
          </rPr>
          <t xml:space="preserve">
This can be populated by Table 140.7-A based on LZ specified in Table A of this form (see list below for values).
Please note, this does not populate if "General Hardscape Allowance" isn't checked above.
LZ 0: 15 (allowed in Footnote 1 of 140.7-A table)
LZ 1: 150
LZ 2: 200
LZ 3: 250
LZ 4: 320
Also needs to blank out &amp; turn grey if "Altered Lighting System" is checked in Table B column 01
</t>
        </r>
      </text>
    </comment>
    <comment ref="J15" authorId="0" shapeId="0" xr:uid="{2BAEC0E5-9937-47A6-BB53-2F1A6661B1C3}">
      <text>
        <r>
          <rPr>
            <b/>
            <sz val="9"/>
            <color indexed="8"/>
            <rFont val="Tahoma"/>
            <family val="2"/>
          </rPr>
          <t>10.11.21:</t>
        </r>
        <r>
          <rPr>
            <sz val="9"/>
            <color indexed="8"/>
            <rFont val="Tahoma"/>
            <family val="2"/>
          </rPr>
          <t xml:space="preserve">
LZ 0 allows 15W per instance, so need to add this field for LZ 0 in A03 only. Blank/gray all other LZ.</t>
        </r>
      </text>
    </comment>
    <comment ref="A22" authorId="0" shapeId="0" xr:uid="{C6082935-A34A-44AC-9A30-CEC71EC7A968}">
      <text>
        <r>
          <rPr>
            <b/>
            <sz val="9"/>
            <color indexed="8"/>
            <rFont val="Tahoma"/>
            <family val="2"/>
          </rPr>
          <t>6.25.21:</t>
        </r>
        <r>
          <rPr>
            <sz val="9"/>
            <color indexed="8"/>
            <rFont val="Tahoma"/>
            <family val="2"/>
          </rPr>
          <t xml:space="preserve">
This subtable was for LZ 2 &amp; 3 but we're going to repurpose it for MF because general hardscape no longer depends on surface type so LZ doesn't matter. 
Table triggers if General Lighting is selected above in 01 &amp; A05 includes "Multifamily"</t>
        </r>
      </text>
    </comment>
    <comment ref="G22" authorId="0" shapeId="0" xr:uid="{A008F239-89C8-4CFA-B4A6-A49772381C69}">
      <text>
        <r>
          <rPr>
            <b/>
            <sz val="9"/>
            <color indexed="8"/>
            <rFont val="Tahoma"/>
            <family val="2"/>
          </rPr>
          <t>6.25.21:</t>
        </r>
        <r>
          <rPr>
            <sz val="9"/>
            <color indexed="8"/>
            <rFont val="Tahoma"/>
            <family val="2"/>
          </rPr>
          <t xml:space="preserve">
This can be populated by Table 170.2-R based on LZ specified in Table A of this form.</t>
        </r>
      </text>
    </comment>
    <comment ref="A23" authorId="0" shapeId="0" xr:uid="{46AA1388-8465-4BAB-9CAF-E9196F2A3ACA}">
      <text>
        <r>
          <rPr>
            <b/>
            <sz val="9"/>
            <color indexed="8"/>
            <rFont val="Tahoma"/>
            <family val="2"/>
          </rPr>
          <t>10.11.21:</t>
        </r>
        <r>
          <rPr>
            <sz val="9"/>
            <color indexed="8"/>
            <rFont val="Tahoma"/>
            <family val="2"/>
          </rPr>
          <t xml:space="preserve">
Added 10.11.21</t>
        </r>
      </text>
    </comment>
    <comment ref="J23" authorId="0" shapeId="0" xr:uid="{24E08329-09B7-4CB5-ACEA-94E68B133691}">
      <text>
        <r>
          <rPr>
            <b/>
            <sz val="9"/>
            <color indexed="8"/>
            <rFont val="Tahoma"/>
            <family val="2"/>
          </rPr>
          <t>6.25.21:</t>
        </r>
        <r>
          <rPr>
            <sz val="9"/>
            <color indexed="8"/>
            <rFont val="Tahoma"/>
            <family val="2"/>
          </rPr>
          <t xml:space="preserve">
This can be populated by Table 170.2-R based on LZ specified in Table A of this form (see list below for values).
Please note, this does not populate if "General Hardscape Allowance" isn't checked above.
LZ 0: 15 (allowed in Footnote 1 of 170.2-R table)
LZ 1: 300
LZ 2: 350
LZ 3: 400
LZ 4: 450
Also needs to blank out &amp; turn grey if "Altered Lighting System" is checked in Table B column 01</t>
        </r>
      </text>
    </comment>
    <comment ref="J24" authorId="0" shapeId="0" xr:uid="{C26045E6-B796-4FB4-ABD5-852C0284715F}">
      <text>
        <r>
          <rPr>
            <b/>
            <sz val="9"/>
            <color indexed="8"/>
            <rFont val="Tahoma"/>
            <family val="2"/>
          </rPr>
          <t>10.11.21:</t>
        </r>
        <r>
          <rPr>
            <sz val="9"/>
            <color indexed="8"/>
            <rFont val="Tahoma"/>
            <family val="2"/>
          </rPr>
          <t xml:space="preserve">
LZ 0 allows 15W per instance, so need to add this field for LZ 0 in A03 only. Blank/gray all other LZ.</t>
        </r>
      </text>
    </comment>
    <comment ref="AK32" authorId="3" shapeId="0" xr:uid="{918CAD0A-D958-482A-A91E-DB3D0E8CC030}">
      <text>
        <t xml:space="preserve">[Threaded comment]
Your version of Excel allows you to read this threaded comment; however, any edits to it will get removed if the file is opened in a newer version of Excel. Learn more: https://go.microsoft.com/fwlink/?linkid=870924
Comment:
    Inserted a copy of Table 140.7-A (2025 Code 15Day). Also added a note about the table.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C00-000002000000}">
      <text>
        <r>
          <rPr>
            <b/>
            <sz val="9"/>
            <color indexed="81"/>
            <rFont val="Tahoma"/>
            <family val="2"/>
          </rPr>
          <t>Sally Blair:</t>
        </r>
        <r>
          <rPr>
            <sz val="9"/>
            <color indexed="81"/>
            <rFont val="Tahoma"/>
            <family val="2"/>
          </rPr>
          <t xml:space="preserve">
Row 9 is what it looks like if "Add Luminaire" is used.</t>
        </r>
      </text>
    </comment>
    <comment ref="I11" authorId="0" shapeId="0" xr:uid="{00000000-0006-0000-0C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D00-000002000000}">
      <text>
        <r>
          <rPr>
            <b/>
            <sz val="9"/>
            <color indexed="81"/>
            <rFont val="Tahoma"/>
            <family val="2"/>
          </rPr>
          <t>Sally Blair:</t>
        </r>
        <r>
          <rPr>
            <sz val="9"/>
            <color indexed="81"/>
            <rFont val="Tahoma"/>
            <family val="2"/>
          </rPr>
          <t xml:space="preserve">
This is what it looks like if "Add Luminaire" is used.</t>
        </r>
      </text>
    </comment>
    <comment ref="H11" authorId="0" shapeId="0" xr:uid="{00000000-0006-0000-0D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2000000}">
      <text>
        <r>
          <rPr>
            <b/>
            <sz val="9"/>
            <color indexed="81"/>
            <rFont val="Tahoma"/>
            <family val="2"/>
          </rPr>
          <t>Sally Blair:</t>
        </r>
        <r>
          <rPr>
            <sz val="9"/>
            <color indexed="81"/>
            <rFont val="Tahoma"/>
            <family val="2"/>
          </rPr>
          <t xml:space="preserve">
What it looks like if "Add Luminaire" is used.</t>
        </r>
      </text>
    </comment>
    <comment ref="H11" authorId="0" shapeId="0" xr:uid="{00000000-0006-0000-0E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A8C831C2-FDA1-4994-B1B8-9DA719550443}">
      <text>
        <r>
          <rPr>
            <b/>
            <sz val="9"/>
            <color indexed="8"/>
            <rFont val="Tahoma"/>
            <family val="2"/>
          </rPr>
          <t>6.25.21:</t>
        </r>
        <r>
          <rPr>
            <sz val="9"/>
            <color indexed="8"/>
            <rFont val="Tahoma"/>
            <family val="2"/>
          </rPr>
          <t xml:space="preserve">
Add new allowance for security cameras in LZ2, 3, 4.  Allowance from Table 140.7-B to the right.</t>
        </r>
      </text>
    </comment>
    <comment ref="J9" authorId="0" shapeId="0" xr:uid="{00000000-0006-0000-0F00-000002000000}">
      <text>
        <r>
          <rPr>
            <b/>
            <sz val="9"/>
            <color indexed="81"/>
            <rFont val="Tahoma"/>
            <family val="2"/>
          </rPr>
          <t>Sally Blair:</t>
        </r>
        <r>
          <rPr>
            <sz val="9"/>
            <color indexed="81"/>
            <rFont val="Tahoma"/>
            <family val="2"/>
          </rPr>
          <t xml:space="preserve">
What it looks like when "Add Luminaire" is used</t>
        </r>
      </text>
    </comment>
    <comment ref="I11" authorId="0" shapeId="0" xr:uid="{00000000-0006-0000-0F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 ref="B14" authorId="0" shapeId="0" xr:uid="{00000000-0006-0000-0F00-000004000000}">
      <text>
        <r>
          <rPr>
            <b/>
            <sz val="9"/>
            <color indexed="81"/>
            <rFont val="Tahoma"/>
            <family val="2"/>
          </rPr>
          <t>Sally Blair:</t>
        </r>
        <r>
          <rPr>
            <sz val="9"/>
            <color indexed="81"/>
            <rFont val="Tahoma"/>
            <family val="2"/>
          </rPr>
          <t xml:space="preserve">
This list actually needs to customize for LZ1 and LZ4.</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tc={AA5E50E4-C14C-4FA3-9B5D-EF6B9D44AEFD}</author>
    <author>Sally Blair</author>
  </authors>
  <commentList>
    <comment ref="J7" authorId="0" shapeId="0" xr:uid="{AA5E50E4-C14C-4FA3-9B5D-EF6B9D44AEFD}">
      <text>
        <t>[Threaded comment]
Your version of Excel allows you to read this threaded comment; however, any edits to it will get removed if the file is opened in a newer version of Excel. Learn more: https://go.microsoft.com/fwlink/?linkid=870924
Comment:
    About outdoor lighting alteration and the compliance approach documented on this table "existing conditions power allowance", the installed lighting wattage should not be increased (the installed wattage is no greater than the existing wattage).
Question: Is there anywhere in Table-N that this is checked / compared? Or a manual check by the plan-checker / building-inspector?</t>
      </text>
    </comment>
    <comment ref="J11" authorId="1" shapeId="0" xr:uid="{00000000-0006-0000-1000-000001000000}">
      <text>
        <r>
          <rPr>
            <b/>
            <sz val="9"/>
            <color indexed="81"/>
            <rFont val="Tahoma"/>
            <family val="2"/>
          </rPr>
          <t>Sally Blair:</t>
        </r>
        <r>
          <rPr>
            <sz val="9"/>
            <color indexed="81"/>
            <rFont val="Tahoma"/>
            <family val="2"/>
          </rPr>
          <t xml:space="preserve">
If Table B column 03 has "&gt;=10% and &lt;50%" clicked, this cell = Total Existing Watts.
If Table B column 03 has "&gt;=50%%" clicked, this cell = Total Existing Watts x 0.60.
This # transfers to Table C.</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CA09B4C-3DB9-4E0F-8264-4630723E7341}">
      <text>
        <r>
          <rPr>
            <sz val="9"/>
            <color indexed="8"/>
            <rFont val="Tahoma"/>
            <family val="2"/>
          </rPr>
          <t>Need to include new URL for Cert of install forms.</t>
        </r>
      </text>
    </comment>
    <comment ref="A7" authorId="0" shapeId="0" xr:uid="{00000000-0006-0000-1100-000002000000}">
      <text>
        <r>
          <rPr>
            <b/>
            <sz val="9"/>
            <color indexed="81"/>
            <rFont val="Tahoma"/>
            <family val="2"/>
          </rPr>
          <t>Sally Blair:</t>
        </r>
        <r>
          <rPr>
            <sz val="9"/>
            <color indexed="81"/>
            <rFont val="Tahoma"/>
            <family val="2"/>
          </rPr>
          <t xml:space="preserve">
</t>
        </r>
        <r>
          <rPr>
            <sz val="9"/>
            <color indexed="81"/>
            <rFont val="Tahoma"/>
            <family val="2"/>
          </rPr>
          <t>default to "Yes" but user can change.  If user moves to "No" need to include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48E52885-9C4B-4F2D-ACFB-2688F0240922}">
      <text>
        <r>
          <rPr>
            <sz val="9"/>
            <color indexed="8"/>
            <rFont val="Tahoma"/>
            <family val="2"/>
          </rPr>
          <t>Need to include new URL for Cert of install forms.</t>
        </r>
      </text>
    </comment>
    <comment ref="A7" authorId="0" shapeId="0" xr:uid="{CF27A36E-9820-4A1F-A213-0DCE2F20B589}">
      <text>
        <r>
          <rPr>
            <b/>
            <sz val="9"/>
            <color indexed="81"/>
            <rFont val="Tahoma"/>
            <family val="2"/>
          </rPr>
          <t>Sally Blair:</t>
        </r>
        <r>
          <rPr>
            <sz val="9"/>
            <color indexed="81"/>
            <rFont val="Tahoma"/>
            <family val="2"/>
          </rPr>
          <t xml:space="preserve">
</t>
        </r>
        <r>
          <rPr>
            <sz val="9"/>
            <color indexed="81"/>
            <rFont val="Tahoma"/>
            <family val="2"/>
          </rPr>
          <t>default to "Yes" but user can change.  If user moves to "No" need to include note in Table 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7" authorId="0" shapeId="0" xr:uid="{00000000-0006-0000-1200-000001000000}">
      <text>
        <r>
          <rPr>
            <b/>
            <sz val="9"/>
            <color indexed="81"/>
            <rFont val="Tahoma"/>
            <family val="2"/>
          </rPr>
          <t>Sally Blair:</t>
        </r>
        <r>
          <rPr>
            <sz val="9"/>
            <color indexed="81"/>
            <rFont val="Tahoma"/>
            <family val="2"/>
          </rPr>
          <t xml:space="preserve">
If user moves to "No" need to include note in Table D.</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4" authorId="0" shapeId="0" xr:uid="{BC9A9C71-BFEC-4FBF-B967-F2A477C8E7BE}">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<sst xmlns="http://schemas.openxmlformats.org/spreadsheetml/2006/main" count="939" uniqueCount="522">
  <si>
    <t>Date</t>
  </si>
  <si>
    <t>Table</t>
  </si>
  <si>
    <t>Description</t>
  </si>
  <si>
    <t>Color</t>
  </si>
  <si>
    <t>Footer</t>
  </si>
  <si>
    <t>Change date in footer</t>
  </si>
  <si>
    <t>Yellow with red text</t>
  </si>
  <si>
    <t>Signature Block</t>
  </si>
  <si>
    <t>Add "Responsible Person Scope" field</t>
  </si>
  <si>
    <t>F- Lighting Schedule</t>
  </si>
  <si>
    <t xml:space="preserve">Add exemption to F.09 </t>
  </si>
  <si>
    <t>H - Controls</t>
  </si>
  <si>
    <t>Add motion sensor dropdown to H.04</t>
  </si>
  <si>
    <t>Added AEA and replaced "HERS" with "ECC"</t>
  </si>
  <si>
    <t>Table A</t>
  </si>
  <si>
    <t>Modify building occupancy type fields</t>
  </si>
  <si>
    <t>CEC notes</t>
  </si>
  <si>
    <t xml:space="preserve">I - Allowance General </t>
  </si>
  <si>
    <t xml:space="preserve">Inserted a copy of Table 140.7-A (2025 Code 15Day). Also added a note about the table. </t>
  </si>
  <si>
    <t>A- General Info</t>
  </si>
  <si>
    <t>Label</t>
  </si>
  <si>
    <t>Table Title</t>
  </si>
  <si>
    <t>Trigger within:</t>
  </si>
  <si>
    <t>General Information</t>
  </si>
  <si>
    <t>ALWAYS</t>
  </si>
  <si>
    <t>Table B</t>
  </si>
  <si>
    <t>Project Scope</t>
  </si>
  <si>
    <t>Table C</t>
  </si>
  <si>
    <t>Compliance Results</t>
  </si>
  <si>
    <t>Table D</t>
  </si>
  <si>
    <t xml:space="preserve">Exceptional Conditions </t>
  </si>
  <si>
    <t>Table E</t>
  </si>
  <si>
    <t>Additional Remarks</t>
  </si>
  <si>
    <t>Table F</t>
  </si>
  <si>
    <t>Outdoor Lighting Fixture Schedule</t>
  </si>
  <si>
    <t>Table G</t>
  </si>
  <si>
    <t>Shielding Requirements (BUG)</t>
  </si>
  <si>
    <t>Table H</t>
  </si>
  <si>
    <t>Outdoor Lighting Controls</t>
  </si>
  <si>
    <t>Table I</t>
  </si>
  <si>
    <t>General Hardscape Lighting Power Allowance (per §140.7)</t>
  </si>
  <si>
    <t>Table J</t>
  </si>
  <si>
    <t>Additional Lighting Allowance: Per Application</t>
  </si>
  <si>
    <t>Table K</t>
  </si>
  <si>
    <t>Additional Lighting Allowance: Sales Frontage</t>
  </si>
  <si>
    <t>Table L</t>
  </si>
  <si>
    <t>Additional Lighting Allowance: Ornamental</t>
  </si>
  <si>
    <t>Table M</t>
  </si>
  <si>
    <t>Additional Lighting Allowance: Per Specific Area</t>
  </si>
  <si>
    <t>Table N</t>
  </si>
  <si>
    <t>Reduced Wattage: Existing Conditions Power Allowance (Alterations Only)</t>
  </si>
  <si>
    <t xml:space="preserve">Table O </t>
  </si>
  <si>
    <t>Declaration of Required Certificates of Installation</t>
  </si>
  <si>
    <t xml:space="preserve">Table P </t>
  </si>
  <si>
    <t>Declaration of Required Certificates of Acceptance</t>
  </si>
  <si>
    <t>-</t>
  </si>
  <si>
    <t>Signature Page</t>
  </si>
  <si>
    <t>Tables</t>
  </si>
  <si>
    <t>§110.9</t>
  </si>
  <si>
    <t>1st page Header</t>
  </si>
  <si>
    <t>§130.0</t>
  </si>
  <si>
    <t>§130.2</t>
  </si>
  <si>
    <t>1st page Header, F, G, H</t>
  </si>
  <si>
    <t>§140.7</t>
  </si>
  <si>
    <t>1st page Header, B, C, F, I, J, K, L, M</t>
  </si>
  <si>
    <t>§141.0(b)2L</t>
  </si>
  <si>
    <t>1st page Header, B, C, N</t>
  </si>
  <si>
    <t>Ch. 6 of Nonresidential Compliance Manual</t>
  </si>
  <si>
    <t>Table Tip for Table A</t>
  </si>
  <si>
    <t>§140.7(d)1</t>
  </si>
  <si>
    <t>C</t>
  </si>
  <si>
    <t>§140.7(d)2</t>
  </si>
  <si>
    <t>§130.2(c)1</t>
  </si>
  <si>
    <t>H</t>
  </si>
  <si>
    <t>§130.2(c)2</t>
  </si>
  <si>
    <t>§130.2(c)3</t>
  </si>
  <si>
    <t>Table 140.7-A</t>
  </si>
  <si>
    <t>I</t>
  </si>
  <si>
    <t>Table 140.7-B</t>
  </si>
  <si>
    <t>J</t>
  </si>
  <si>
    <t>K</t>
  </si>
  <si>
    <t>L</t>
  </si>
  <si>
    <t>M</t>
  </si>
  <si>
    <t>§141.0(b)2Lii</t>
  </si>
  <si>
    <t>N</t>
  </si>
  <si>
    <t>§141.0(b)2Liii</t>
  </si>
  <si>
    <t>NRCI location on CEC website</t>
  </si>
  <si>
    <t>O</t>
  </si>
  <si>
    <t>Title 24 Part 1 §10-114</t>
  </si>
  <si>
    <t>§140.7(a)</t>
  </si>
  <si>
    <t>§130.0(c)</t>
  </si>
  <si>
    <t>§130.2b</t>
  </si>
  <si>
    <t>User input</t>
  </si>
  <si>
    <t>auto calculated</t>
  </si>
  <si>
    <t>From another Table</t>
  </si>
  <si>
    <t>From look up table</t>
  </si>
  <si>
    <t>STATE OF CALIFORNIA</t>
  </si>
  <si>
    <t>Outdoor Lighting</t>
  </si>
  <si>
    <t xml:space="preserve">NRCC-LTO-E </t>
  </si>
  <si>
    <t xml:space="preserve">CALIFORNIA ENERGY COMMISSION                       </t>
  </si>
  <si>
    <t>CERTIFICATE OF COMPLIANCE</t>
  </si>
  <si>
    <t>NRCC-LTO-E</t>
  </si>
  <si>
    <t>This document is used to demonstrate compliance with requirements in §110.9, §130.0, §130.2, §140.7, and §141.0(b)2L for outdoor lighting scopes using the prescriptive path for nonresidential and hotel/motel occupancies. It is also used to document compliance with requirements in §160.5, §170.2(e)6, §180.1(a) and §180.2(b)4Bv for outdoor lighting scopes using the prescriptive path for multifamily and mixed-use occupancies. Multifamily includes dormitory and senior living facilities.</t>
  </si>
  <si>
    <t>Project Name:</t>
  </si>
  <si>
    <t>Report Page:</t>
  </si>
  <si>
    <t>Page 1 of ??</t>
  </si>
  <si>
    <t>Project Address:</t>
  </si>
  <si>
    <t>Date Prepared:</t>
  </si>
  <si>
    <t>This is a heading.  The project name, address and date prepared should be a user input on the first page, but that should populate the heading on all other pages.</t>
  </si>
  <si>
    <t>LMCC-LTO-01-E</t>
  </si>
  <si>
    <t>This document is used to demonstrate compliance with requirements in §110.9, §130.0, §130.2, §140.7, and §141.0(b)2L for outdoor lighting scopes using the prescriptive path for nonresidential and hotel/motel occupancies in low-rise multifamily mixed-use buildings. It is also used to document compliance with requirements in §160.5, §170.2(e)6, §180.1(a) and §180.2(b)4Bv for outdoor lighting scopes using the prescriptive path for low-rise multifamily occupancies. Multifamily includes dormitory and senior living facilities.</t>
  </si>
  <si>
    <t>Footer for every page:</t>
  </si>
  <si>
    <t>Registration Number:</t>
  </si>
  <si>
    <t>Registration Date/Time:</t>
  </si>
  <si>
    <t>Registration Provider:</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</si>
  <si>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</si>
  <si>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</si>
  <si>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</si>
  <si>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</si>
  <si>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</si>
  <si>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t>Documentation Software</t>
  </si>
  <si>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</si>
  <si>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</si>
  <si>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</si>
  <si>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</si>
  <si>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04</t>
  </si>
  <si>
    <r>
      <t>Total Illuminated Hardscape Area (ft</t>
    </r>
    <r>
      <rPr>
        <vertAlign val="superscript"/>
        <sz val="10"/>
        <color theme="1"/>
        <rFont val="Calibri"/>
        <family val="2"/>
        <scheme val="minor"/>
      </rPr>
      <t>2</t>
    </r>
    <r>
      <rPr>
        <sz val="10"/>
        <color theme="1"/>
        <rFont val="Calibri"/>
        <family val="2"/>
        <scheme val="minor"/>
      </rPr>
      <t>)</t>
    </r>
  </si>
  <si>
    <t>02</t>
  </si>
  <si>
    <t>Climate Zone</t>
  </si>
  <si>
    <t>03</t>
  </si>
  <si>
    <t>Outdoor Lighting Zone per Title 24, Part 1 §10-114 or as designated by Authority Having Jurisdiction (AHJ):</t>
  </si>
  <si>
    <t>¨</t>
  </si>
  <si>
    <t>LZ-0: Very Low- Undeveloped Parkland</t>
  </si>
  <si>
    <t>LZ-2: Moderate-  Urban Areas</t>
  </si>
  <si>
    <t xml:space="preserve">LZ-4: High-Must be reviewed by CA Energy Commission for Approval </t>
  </si>
  <si>
    <t>LZ-1: Low-  Rural Areas</t>
  </si>
  <si>
    <t>LZ-3: Moderately High- Urban Areas</t>
  </si>
  <si>
    <t>05</t>
  </si>
  <si>
    <t>Occupancy Types within Project:</t>
  </si>
  <si>
    <t>If user selects MF occupancy, (even if mixed-use) the MF subtable in I is the only ones that applies.</t>
  </si>
  <si>
    <t>B. PROJECT SCOPE</t>
  </si>
  <si>
    <t>This table includes outdoor lighting systems that are within the scope of the permit application and are demonstrating compliance using the prescriptive path outlined in §140.7/§170.2(e)6 or §141.0(b)2L/§180.2(b)4Bv for alterations.</t>
  </si>
  <si>
    <t>My project consists of:</t>
  </si>
  <si>
    <t>New Lighting System</t>
  </si>
  <si>
    <t>Must Comply with Allowances from §140.7/§170.2(e)6.</t>
  </si>
  <si>
    <t>Altered Lighting System</t>
  </si>
  <si>
    <t>Is your alteration increasing the connected lighting load (Watts)?</t>
  </si>
  <si>
    <r>
      <rPr>
        <sz val="10"/>
        <color theme="1"/>
        <rFont val="Wingdings"/>
        <charset val="2"/>
      </rPr>
      <t xml:space="preserve">  o</t>
    </r>
    <r>
      <rPr>
        <sz val="10"/>
        <color theme="1"/>
        <rFont val="Calibri"/>
        <family val="2"/>
      </rPr>
      <t xml:space="preserve"> Yes</t>
    </r>
  </si>
  <si>
    <r>
      <rPr>
        <sz val="10"/>
        <color theme="1"/>
        <rFont val="Wingdings"/>
        <charset val="2"/>
      </rPr>
      <t>o</t>
    </r>
    <r>
      <rPr>
        <sz val="10"/>
        <color theme="1"/>
        <rFont val="Calibri"/>
        <family val="2"/>
      </rPr>
      <t xml:space="preserve"> No</t>
    </r>
  </si>
  <si>
    <r>
      <t>% of Existing Luminaires Being Altered</t>
    </r>
    <r>
      <rPr>
        <vertAlign val="superscript"/>
        <sz val="11"/>
        <color rgb="FF231F20"/>
        <rFont val="Calibri"/>
        <family val="2"/>
      </rPr>
      <t>1</t>
    </r>
  </si>
  <si>
    <t xml:space="preserve">Sum Total of Luminaires Being Added or Altered </t>
  </si>
  <si>
    <t>Calculation Method</t>
  </si>
  <si>
    <r>
      <rPr>
        <sz val="9"/>
        <color theme="1"/>
        <rFont val="Wingdings"/>
        <charset val="2"/>
      </rPr>
      <t>o</t>
    </r>
    <r>
      <rPr>
        <sz val="9"/>
        <color theme="1"/>
        <rFont val="Calibri"/>
        <family val="2"/>
      </rPr>
      <t xml:space="preserve"> &lt; 10%</t>
    </r>
  </si>
  <si>
    <r>
      <rPr>
        <sz val="9"/>
        <color theme="1"/>
        <rFont val="Wingdings"/>
        <charset val="2"/>
      </rPr>
      <t>o</t>
    </r>
    <r>
      <rPr>
        <sz val="9"/>
        <color theme="1"/>
        <rFont val="Calibri"/>
        <family val="2"/>
      </rPr>
      <t xml:space="preserve"> ≥ 10% and &lt; 50%</t>
    </r>
  </si>
  <si>
    <r>
      <rPr>
        <sz val="9"/>
        <color theme="1"/>
        <rFont val="Wingdings"/>
        <charset val="2"/>
      </rPr>
      <t>o</t>
    </r>
    <r>
      <rPr>
        <sz val="9"/>
        <color theme="1"/>
        <rFont val="Calibri"/>
        <family val="2"/>
      </rPr>
      <t xml:space="preserve"> ≥ 50%</t>
    </r>
  </si>
  <si>
    <t>Dropdown, see below for list (custom)</t>
  </si>
  <si>
    <t>Please proceed to Table F. Outdoor Lighting Fixture Schedule to define the project's luminaires.</t>
  </si>
  <si>
    <r>
      <rPr>
        <i/>
        <vertAlign val="superscript"/>
        <sz val="9"/>
        <color theme="1"/>
        <rFont val="Calibri"/>
        <family val="2"/>
        <scheme val="minor"/>
      </rPr>
      <t>1</t>
    </r>
    <r>
      <rPr>
        <i/>
        <sz val="9"/>
        <color theme="1"/>
        <rFont val="Calibri"/>
        <family val="2"/>
        <scheme val="minor"/>
      </rPr>
      <t xml:space="preserve"> FOOTNOTES: % of Existing Luminaires Being Altered = (Sum Total of Luminaires Being Added or Altered / Existing Luminaires within the Scope of the Permit Application) x 100</t>
    </r>
  </si>
  <si>
    <r>
      <t xml:space="preserve">This is the dropdown if </t>
    </r>
    <r>
      <rPr>
        <b/>
        <i/>
        <u/>
        <sz val="11"/>
        <rFont val="Calibri"/>
        <family val="2"/>
        <scheme val="minor"/>
      </rPr>
      <t>&gt;</t>
    </r>
    <r>
      <rPr>
        <b/>
        <i/>
        <sz val="11"/>
        <rFont val="Calibri"/>
        <family val="2"/>
        <scheme val="minor"/>
      </rPr>
      <t xml:space="preserve"> 50% is clicked in column 03 &gt;&gt;</t>
    </r>
  </si>
  <si>
    <t>Calculation Method Dropdown</t>
  </si>
  <si>
    <t>Calculated Allowance per §140.7/§170.2(e)6</t>
  </si>
  <si>
    <t>&lt;&lt; triggers Table I.</t>
  </si>
  <si>
    <t>40% Reduced Wattage Exception per §141.0(b)2L/§180.2(b)4Bv</t>
  </si>
  <si>
    <t>&lt;&lt; triggers Table N.</t>
  </si>
  <si>
    <r>
      <t>This is the dropdown if "</t>
    </r>
    <r>
      <rPr>
        <b/>
        <i/>
        <u/>
        <sz val="11"/>
        <rFont val="Calibri"/>
        <family val="2"/>
        <scheme val="minor"/>
      </rPr>
      <t>&gt;</t>
    </r>
    <r>
      <rPr>
        <b/>
        <i/>
        <sz val="11"/>
        <rFont val="Calibri"/>
        <family val="2"/>
        <scheme val="minor"/>
      </rPr>
      <t xml:space="preserve"> 10% and &lt; 50%" or "&lt;10%" is clicked in column 03 &gt;&gt;</t>
    </r>
  </si>
  <si>
    <t>Not Increasing Existing Power Method per §141.0(b)2L/§180.2(b)4Bv</t>
  </si>
  <si>
    <t>C. COMPLIANCE RESULTS</t>
  </si>
  <si>
    <r>
      <t>Results in this table are automatically calculated from data input and calculations in Tables G through N.
Note: If any cell on this table says "COMPLIES with Exceptional Conditions" refer to Table D. Exceptional Conditions for guidance or see the applicable Table referenced below.</t>
    </r>
    <r>
      <rPr>
        <b/>
        <sz val="10"/>
        <color theme="1"/>
        <rFont val="Calibri"/>
        <family val="2"/>
      </rPr>
      <t xml:space="preserve"> </t>
    </r>
  </si>
  <si>
    <t>Calculation of Total Allowed Lighting Power (Watts) §140.7/§170.2(e)6 or §141.0(b)2L/§180.2(b)4Bv</t>
  </si>
  <si>
    <t>+</t>
  </si>
  <si>
    <t>OR</t>
  </si>
  <si>
    <t>06</t>
  </si>
  <si>
    <t>=</t>
  </si>
  <si>
    <t>07</t>
  </si>
  <si>
    <t>&gt;</t>
  </si>
  <si>
    <t>08</t>
  </si>
  <si>
    <t>09</t>
  </si>
  <si>
    <t>General Hardscape Allowance §140.7(d)1/
§170.2(e)6</t>
  </si>
  <si>
    <t>Per Application §140.7(d)2/
§170.2(e)6</t>
  </si>
  <si>
    <t>Sales Frontage §140.7(d)2</t>
  </si>
  <si>
    <t>Ornamental §140.7(d)2/
§170.2(e)6</t>
  </si>
  <si>
    <t>Per Specific Area §140.7(d)2/
§170.2(e)6</t>
  </si>
  <si>
    <t>Existing Power Allowance 
§141.0(b)2L/
§180.2(b)4Bv</t>
  </si>
  <si>
    <r>
      <t xml:space="preserve">Total Allowed </t>
    </r>
    <r>
      <rPr>
        <sz val="11"/>
        <rFont val="Calibri"/>
        <family val="2"/>
      </rPr>
      <t xml:space="preserve">(Watts) </t>
    </r>
  </si>
  <si>
    <r>
      <t xml:space="preserve">Total Actual </t>
    </r>
    <r>
      <rPr>
        <sz val="11"/>
        <rFont val="Calibri"/>
        <family val="2"/>
      </rPr>
      <t xml:space="preserve">(Watts) </t>
    </r>
  </si>
  <si>
    <r>
      <t xml:space="preserve">07 Must be </t>
    </r>
    <r>
      <rPr>
        <b/>
        <u/>
        <sz val="11"/>
        <rFont val="Calibri"/>
        <family val="2"/>
      </rPr>
      <t>&gt;</t>
    </r>
    <r>
      <rPr>
        <b/>
        <sz val="11"/>
        <rFont val="Calibri"/>
        <family val="2"/>
      </rPr>
      <t xml:space="preserve"> 08</t>
    </r>
  </si>
  <si>
    <t>(See Table I)</t>
  </si>
  <si>
    <t>(See Table J)</t>
  </si>
  <si>
    <t>(See Table K)</t>
  </si>
  <si>
    <t>(See Table L)</t>
  </si>
  <si>
    <t>(See Table M)</t>
  </si>
  <si>
    <t>(See Table N)</t>
  </si>
  <si>
    <t>(See Table F)</t>
  </si>
  <si>
    <t>COMPLIES or 
DOES NOT COMPLY</t>
  </si>
  <si>
    <t>Shielding Compliance (See Table G for Details)</t>
  </si>
  <si>
    <t>"COMPLIES" or "DOES NOT COMPLY" or "Not Applicable"</t>
  </si>
  <si>
    <t>Controls Compliance (See Table H for Details)</t>
  </si>
  <si>
    <t>"COMPLIES with Exceptional Conditions" or "COMPLIES" or "DOES NOT COMPLY"</t>
  </si>
  <si>
    <t>D. EXCEPTIONAL CONDITIONS</t>
  </si>
  <si>
    <t>This table is auto-filled with uneditable comments because of selections made or data entered in tables throughout the form.</t>
  </si>
  <si>
    <t>Comment:</t>
  </si>
  <si>
    <t xml:space="preserve">The note about making changes in the NRCI/NRCA tables need to show up. </t>
  </si>
  <si>
    <t>Table A indicates LZ-4 as the lighting zone for this project. This designation requires approval by the CA Energy Commission.</t>
  </si>
  <si>
    <t>Total Hardscape Area in Table A does not match the areas entered in Table I.  Please review for compliance.</t>
  </si>
  <si>
    <t>Table D. indicates a dropdown selection with a * requiring a note describing the compliance approach, but no notes have been entered.</t>
  </si>
  <si>
    <t>Table N. indicates a dropdown selection with a * requiring a note describing the compliance approach, but no notes have been entered.</t>
  </si>
  <si>
    <t>Linear lighting has been indicated on Table F.  For these luminaires, wattage reported in F03 is in “W/lf” and Total Number Luminaires reported in F05 indicates total linear feet (lf) of that luminaire type.</t>
  </si>
  <si>
    <t>E. ADDITIONAL REMARKS</t>
  </si>
  <si>
    <t>This table includes remarks made by the permit applicant to the Authority Having Jurisdiction.</t>
  </si>
  <si>
    <t>F. OUTDOOR LIGHTING FIXTURE SCHEDULE</t>
  </si>
  <si>
    <r>
      <t xml:space="preserve"> For new or altered lighting systems demonstrating compliance with §140.7/§170.2(e)6 all luminaires being installed and any existing luminaires remaining or being moved within the spaces covered by the permit application are included in the Table below.  For altered lighting systems using the Existing Power method per §141.0(b)2L, only new luminaires being installed and replacement luminaires being installed as part of the project scope are included (ie, existing luminaires remaining or existing luminaires being moved are not included).</t>
    </r>
    <r>
      <rPr>
        <sz val="9"/>
        <color theme="1"/>
        <rFont val="Calibri"/>
        <family val="2"/>
      </rPr>
      <t xml:space="preserve"> </t>
    </r>
    <r>
      <rPr>
        <i/>
        <sz val="9"/>
        <color theme="1"/>
        <rFont val="Calibri"/>
        <family val="2"/>
      </rPr>
      <t xml:space="preserve">
Outdoor lighting attached to multifamily buildings and controlled from the inside of a dwelling unit are included in Table H. and are not included here. All other multifamily outdoor lighting is included here.</t>
    </r>
  </si>
  <si>
    <t xml:space="preserve">Designed Wattage: </t>
  </si>
  <si>
    <t>10</t>
  </si>
  <si>
    <t>Name or Item Tag</t>
  </si>
  <si>
    <t xml:space="preserve">Complete Luminaire Description </t>
  </si>
  <si>
    <r>
      <t>Watts per luminaire</t>
    </r>
    <r>
      <rPr>
        <vertAlign val="superscript"/>
        <sz val="9"/>
        <rFont val="Calibri"/>
        <family val="2"/>
      </rPr>
      <t>1, 2</t>
    </r>
  </si>
  <si>
    <t>How Wattage is Determined</t>
  </si>
  <si>
    <r>
      <t>Total Number Luminaires</t>
    </r>
    <r>
      <rPr>
        <vertAlign val="superscript"/>
        <sz val="9"/>
        <rFont val="Calibri"/>
        <family val="2"/>
      </rPr>
      <t>2</t>
    </r>
  </si>
  <si>
    <r>
      <t>Luminaire Status</t>
    </r>
    <r>
      <rPr>
        <vertAlign val="superscript"/>
        <sz val="9"/>
        <rFont val="Calibri"/>
        <family val="2"/>
      </rPr>
      <t>3</t>
    </r>
  </si>
  <si>
    <t>Excluded per 
§140.7(a)/
§170.2(e)6A</t>
  </si>
  <si>
    <t>Design Watts</t>
  </si>
  <si>
    <r>
      <rPr>
        <u/>
        <sz val="9"/>
        <color theme="1"/>
        <rFont val="Calibri"/>
        <family val="2"/>
        <scheme val="minor"/>
      </rPr>
      <t xml:space="preserve">Cutoff Req. </t>
    </r>
    <r>
      <rPr>
        <sz val="9"/>
        <color theme="1"/>
        <rFont val="Calibri"/>
        <family val="2"/>
        <scheme val="minor"/>
      </rPr>
      <t>≥ 6,200 initial lumen output
§130.2(b)/§160.5(c)1</t>
    </r>
    <r>
      <rPr>
        <vertAlign val="superscript"/>
        <sz val="9"/>
        <color theme="1"/>
        <rFont val="Calibri"/>
        <family val="2"/>
        <scheme val="minor"/>
      </rPr>
      <t>4</t>
    </r>
  </si>
  <si>
    <t>Field Inspector</t>
  </si>
  <si>
    <t>Pass</t>
  </si>
  <si>
    <t>Fail</t>
  </si>
  <si>
    <r>
      <t>o</t>
    </r>
    <r>
      <rPr>
        <sz val="9"/>
        <rFont val="Calibri"/>
        <family val="2"/>
        <scheme val="minor"/>
      </rPr>
      <t xml:space="preserve"> Linear</t>
    </r>
  </si>
  <si>
    <t>Dropdown, See below for list.</t>
  </si>
  <si>
    <t>o</t>
  </si>
  <si>
    <t>Total Designed Watts:</t>
  </si>
  <si>
    <t>sum of column 08</t>
  </si>
  <si>
    <t>* NOTES: Selections with a * require a note in the space below explaining how compliance is achieved.</t>
  </si>
  <si>
    <t>EX: Luminaire is lighting a statue; EXCEPTION 2 to §130.2(b).</t>
  </si>
  <si>
    <t>If the users select options with a *, the Name or Item Tag (uneditable) should show up in Notes section.  If users unselect options with a *, the note should dissapear.</t>
  </si>
  <si>
    <t>This box should work just like the one on the indoor lighting form except the text in the notes box when it's triggered should read "Explain here why item with asterisk complies"</t>
  </si>
  <si>
    <r>
      <rPr>
        <i/>
        <vertAlign val="superscript"/>
        <sz val="10"/>
        <color theme="1"/>
        <rFont val="Calibri"/>
        <family val="2"/>
        <scheme val="minor"/>
      </rPr>
      <t>1</t>
    </r>
    <r>
      <rPr>
        <i/>
        <sz val="10"/>
        <color theme="1"/>
        <rFont val="Calibri"/>
        <family val="2"/>
        <scheme val="minor"/>
      </rPr>
      <t xml:space="preserve"> FOOTNOTES: Authority Having Jurisdiction may ask for Luminaire cut sheets to confirm wattage used for compliance per </t>
    </r>
    <r>
      <rPr>
        <sz val="10"/>
        <color theme="1"/>
        <rFont val="Calibri"/>
        <family val="2"/>
        <scheme val="minor"/>
      </rPr>
      <t>§</t>
    </r>
    <r>
      <rPr>
        <i/>
        <sz val="10"/>
        <color theme="1"/>
        <rFont val="Calibri"/>
        <family val="2"/>
        <scheme val="minor"/>
      </rPr>
      <t>130.0(c)/§160.5(b).</t>
    </r>
  </si>
  <si>
    <r>
      <rPr>
        <i/>
        <vertAlign val="superscript"/>
        <sz val="10"/>
        <color rgb="FF000000"/>
        <rFont val="Calibri"/>
        <family val="2"/>
        <scheme val="minor"/>
      </rPr>
      <t>2</t>
    </r>
    <r>
      <rPr>
        <i/>
        <sz val="10"/>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</si>
  <si>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rPr>
        <i/>
        <vertAlign val="superscript"/>
        <sz val="10"/>
        <color rgb="FF000000"/>
        <rFont val="Calibri"/>
        <family val="2"/>
        <scheme val="minor"/>
      </rPr>
      <t>3</t>
    </r>
    <r>
      <rPr>
        <i/>
        <sz val="10"/>
        <color rgb="FF000000"/>
        <rFont val="Calibri"/>
        <family val="2"/>
        <scheme val="minor"/>
      </rPr>
      <t xml:space="preserve"> Select “New” for new luminaires in a new outdoor lighting project or for added luminaires in an alteration.  Select “Altered” for replacement luminaires in an alteration.  Select “Existing to Remain” for existing luminaires within the project scope that are not being altered and are remaining.  Select “Existing Reinstalled” for existing luminaires which are being removed and reinstalled as part of the project scope</t>
    </r>
  </si>
  <si>
    <r>
      <rPr>
        <i/>
        <vertAlign val="superscript"/>
        <sz val="10"/>
        <color theme="1"/>
        <rFont val="Calibri"/>
        <family val="2"/>
        <scheme val="minor"/>
      </rPr>
      <t>4</t>
    </r>
    <r>
      <rPr>
        <i/>
        <sz val="10"/>
        <color theme="1"/>
        <rFont val="Calibri"/>
        <family val="2"/>
        <scheme val="minor"/>
      </rPr>
      <t xml:space="preserve"> Compliance with mandatory shielding requirements is required for luminaires with initial lumen output ≥ 6,200 unless exempted by §130.2(b)/§160.5(c).</t>
    </r>
  </si>
  <si>
    <t>How Wattage is Determined Dropdown</t>
  </si>
  <si>
    <t>Luminaire Status Dropdown</t>
  </si>
  <si>
    <r>
      <rPr>
        <b/>
        <u/>
        <sz val="9"/>
        <rFont val="Calibri"/>
        <family val="2"/>
        <scheme val="minor"/>
      </rPr>
      <t xml:space="preserve">Cutoff Req. </t>
    </r>
    <r>
      <rPr>
        <b/>
        <sz val="9"/>
        <rFont val="Calibri"/>
        <family val="2"/>
        <scheme val="minor"/>
      </rPr>
      <t>≥ 6,200 initial lumen output
§130.2(b)</t>
    </r>
    <r>
      <rPr>
        <b/>
        <vertAlign val="superscript"/>
        <sz val="9"/>
        <rFont val="Calibri"/>
        <family val="2"/>
        <scheme val="minor"/>
      </rPr>
      <t>3</t>
    </r>
  </si>
  <si>
    <t>NA8 Default</t>
  </si>
  <si>
    <t>New</t>
  </si>
  <si>
    <t>Yes</t>
  </si>
  <si>
    <t>&lt;&lt; triggers Table G.</t>
  </si>
  <si>
    <r>
      <t>Mfr. Spec</t>
    </r>
    <r>
      <rPr>
        <vertAlign val="superscript"/>
        <sz val="10"/>
        <color rgb="FF000000"/>
        <rFont val="Calibri"/>
        <family val="2"/>
        <scheme val="minor"/>
      </rPr>
      <t>1</t>
    </r>
  </si>
  <si>
    <t>Altered</t>
  </si>
  <si>
    <t>NA: &lt;6,200 lumens</t>
  </si>
  <si>
    <t>Other*</t>
  </si>
  <si>
    <t>Exist. Remain</t>
  </si>
  <si>
    <t>NA: Ltg Zone LZ-0</t>
  </si>
  <si>
    <t>Exist. Reinstalled</t>
  </si>
  <si>
    <t>NA: Signage</t>
  </si>
  <si>
    <t>NA: Façade, monument, art, statue, bridge, public art</t>
  </si>
  <si>
    <t>NA: Not permitted by H&amp;LS</t>
  </si>
  <si>
    <t>NA: Temporary lighting</t>
  </si>
  <si>
    <t>NA: Replacement of pole-mounted per §130.2(b)/§160.5(c)</t>
  </si>
  <si>
    <t>NA: Illuminate public right-of-way</t>
  </si>
  <si>
    <t>NA: Controlled by dwelling unit/guest rm</t>
  </si>
  <si>
    <t>NA: Luminaire exempt from CalGreen §5.106.8 and 140.7(a)</t>
  </si>
  <si>
    <t>G. SHIELDING REQUIREMENTS (BUG)</t>
  </si>
  <si>
    <r>
      <t>This table includes fixtures of  ≥ 6,200 initial luminaire lumens  indicated on Table F as needing to comply with Shielding Requirements.  Maximum lumens can be found in Title 24, Part 11, Section 5.106.8.</t>
    </r>
    <r>
      <rPr>
        <sz val="10"/>
        <color theme="1"/>
        <rFont val="Calibri"/>
        <family val="2"/>
        <scheme val="minor"/>
      </rPr>
      <t xml:space="preserve"> </t>
    </r>
  </si>
  <si>
    <t>No changes to BUG ratings in Table from 2019 Part 6 to 2022 Part 6</t>
  </si>
  <si>
    <t>11</t>
  </si>
  <si>
    <t>12</t>
  </si>
  <si>
    <t>Complete Luminaire Description</t>
  </si>
  <si>
    <r>
      <t>Backlight Rating</t>
    </r>
    <r>
      <rPr>
        <vertAlign val="superscript"/>
        <sz val="9"/>
        <rFont val="Calibri"/>
        <family val="2"/>
        <scheme val="minor"/>
      </rPr>
      <t>2</t>
    </r>
  </si>
  <si>
    <r>
      <t xml:space="preserve">Uplight Rating </t>
    </r>
    <r>
      <rPr>
        <vertAlign val="superscript"/>
        <sz val="9"/>
        <rFont val="Calibri"/>
        <family val="2"/>
        <scheme val="minor"/>
      </rPr>
      <t>2</t>
    </r>
  </si>
  <si>
    <r>
      <t>Glare Rating</t>
    </r>
    <r>
      <rPr>
        <vertAlign val="superscript"/>
        <sz val="9"/>
        <rFont val="Calibri"/>
        <family val="2"/>
        <scheme val="minor"/>
      </rPr>
      <t>2</t>
    </r>
  </si>
  <si>
    <r>
      <t>Mounting Height from Property Line</t>
    </r>
    <r>
      <rPr>
        <vertAlign val="superscript"/>
        <sz val="9"/>
        <rFont val="Calibri"/>
        <family val="2"/>
        <scheme val="minor"/>
      </rPr>
      <t>1</t>
    </r>
  </si>
  <si>
    <r>
      <t>Max Allowable Backlight Rating</t>
    </r>
    <r>
      <rPr>
        <vertAlign val="superscript"/>
        <sz val="9"/>
        <rFont val="Calibri"/>
        <family val="2"/>
        <scheme val="minor"/>
      </rPr>
      <t>3</t>
    </r>
  </si>
  <si>
    <t>Backlight Rating Per Design</t>
  </si>
  <si>
    <t>Lighting Type</t>
  </si>
  <si>
    <r>
      <t>Max Allowable Uplight Rating</t>
    </r>
    <r>
      <rPr>
        <vertAlign val="superscript"/>
        <sz val="9"/>
        <rFont val="Calibri"/>
        <family val="2"/>
        <scheme val="minor"/>
      </rPr>
      <t>3</t>
    </r>
  </si>
  <si>
    <t>Uplight Rating Per Design</t>
  </si>
  <si>
    <r>
      <t>Max Allowable Glare Rating</t>
    </r>
    <r>
      <rPr>
        <vertAlign val="superscript"/>
        <sz val="9"/>
        <rFont val="Calibri"/>
        <family val="2"/>
        <scheme val="minor"/>
      </rPr>
      <t>3</t>
    </r>
  </si>
  <si>
    <t>Glare Rating Per Design</t>
  </si>
  <si>
    <t>(autofill from     Table F)</t>
  </si>
  <si>
    <t>(autofill from Table F)</t>
  </si>
  <si>
    <t>dropdown</t>
  </si>
  <si>
    <r>
      <rPr>
        <i/>
        <vertAlign val="superscript"/>
        <sz val="10"/>
        <rFont val="Calibri"/>
        <family val="2"/>
        <scheme val="minor"/>
      </rPr>
      <t>1</t>
    </r>
    <r>
      <rPr>
        <i/>
        <sz val="10"/>
        <rFont val="Calibri"/>
        <family val="2"/>
        <scheme val="minor"/>
      </rPr>
      <t xml:space="preserve"> FOOTNOTES:  Mounting Height is labeled MH in this table</t>
    </r>
  </si>
  <si>
    <r>
      <rPr>
        <vertAlign val="superscript"/>
        <sz val="11"/>
        <color theme="1"/>
        <rFont val="Calibri"/>
        <family val="2"/>
        <scheme val="minor"/>
      </rPr>
      <t>2</t>
    </r>
    <r>
      <rPr>
        <sz val="11"/>
        <color theme="1"/>
        <rFont val="Calibri"/>
        <family val="2"/>
        <scheme val="minor"/>
      </rPr>
      <t xml:space="preserve">  </t>
    </r>
    <r>
      <rPr>
        <i/>
        <sz val="10"/>
        <color theme="1"/>
        <rFont val="Calibri"/>
        <family val="2"/>
        <scheme val="minor"/>
      </rPr>
      <t>Authority having jurisdiction may ask for luminaire cut sheets or other documentation to confirm luminaire type, backlight,</t>
    </r>
    <r>
      <rPr>
        <i/>
        <u/>
        <sz val="10"/>
        <color theme="1"/>
        <rFont val="Calibri"/>
        <family val="2"/>
        <scheme val="minor"/>
      </rPr>
      <t xml:space="preserve"> </t>
    </r>
    <r>
      <rPr>
        <i/>
        <sz val="10"/>
        <color theme="1"/>
        <rFont val="Calibri"/>
        <family val="2"/>
        <scheme val="minor"/>
      </rPr>
      <t>uplight,and glare ratings used for compliance per §130.2(b)/§160.5(c).</t>
    </r>
  </si>
  <si>
    <r>
      <t xml:space="preserve">3 </t>
    </r>
    <r>
      <rPr>
        <i/>
        <sz val="9"/>
        <rFont val="Calibri"/>
        <family val="2"/>
        <scheme val="minor"/>
      </rPr>
      <t>BUG ratings with a lower number than the 'Max Allowable' are compliant. Ex. If Max Allowable is Bug Rating is B4, then B0, B1, B2, B3 and B4 are all compliant.</t>
    </r>
  </si>
  <si>
    <t>Mounting Height drop down</t>
  </si>
  <si>
    <t>&gt; 2 MH from property line</t>
  </si>
  <si>
    <t>Area Lighting</t>
  </si>
  <si>
    <t>Back hemisphere 1-2 MH from prop line</t>
  </si>
  <si>
    <t>All Other (including decorative)</t>
  </si>
  <si>
    <t>Front hemisphere 1-2 MH from prop line</t>
  </si>
  <si>
    <t>Back hemisphere 0.5-1 MH from prop line</t>
  </si>
  <si>
    <t>Front hemisphere 0.5-1 MH from prop line</t>
  </si>
  <si>
    <t>Back hemisphere &lt; 0.5 MH from prop line</t>
  </si>
  <si>
    <r>
      <rPr>
        <sz val="9"/>
        <color theme="1"/>
        <rFont val="Calibri"/>
        <family val="2"/>
        <scheme val="minor"/>
      </rPr>
      <t>Front hemisphere &lt; 0.5 MH from prop line</t>
    </r>
  </si>
  <si>
    <t xml:space="preserve"> </t>
  </si>
  <si>
    <t>H. OUTDOOR LIGHTING CONTROLS</t>
  </si>
  <si>
    <t>This table demonstrates compliance with controls requirements for all new or altered luminaires installed as part of the permit application.  For alteration projects, luminaires which are existing to remain (ie untouched) and luminaires which are removed and reinstalled (wiring only) do not need to be included in this table even if they are within the spaces covered by the permit application.
Outdoor lighting for nonresidential buildings, parking garages and common service areas in multifamily buildings must be documented seperately from outdoor lighting attached to multifamily buildings and controlled from the inside of a dwelling unit.</t>
  </si>
  <si>
    <t>Mandatory Controls for Nonresidential Occupancies, Parking Garages &amp; Common Service Areas in Multifamily Buildings</t>
  </si>
  <si>
    <t>Area Description</t>
  </si>
  <si>
    <t xml:space="preserve">Shut-Off </t>
  </si>
  <si>
    <t xml:space="preserve">Auto-Schedule </t>
  </si>
  <si>
    <t>Motion Sensor</t>
  </si>
  <si>
    <t>§130.2(c)1/§160.5(c)</t>
  </si>
  <si>
    <t>§130.2(c)2/§160.5(c)</t>
  </si>
  <si>
    <t>§130.2(c)3/§160.5(c)</t>
  </si>
  <si>
    <t>See dropdown</t>
  </si>
  <si>
    <t>Shutoff Dropdown</t>
  </si>
  <si>
    <t>Auto-schedule Dropdown</t>
  </si>
  <si>
    <t>Motion Sensor Dropdown</t>
  </si>
  <si>
    <t>Photocontrol</t>
  </si>
  <si>
    <t>Astronomical Timer</t>
  </si>
  <si>
    <t>Yes-EMCS</t>
  </si>
  <si>
    <t xml:space="preserve">NA: Façade, etc. ≤ 24ft </t>
  </si>
  <si>
    <t>Other Control Technology</t>
  </si>
  <si>
    <t>NA: &gt; 24ft</t>
  </si>
  <si>
    <t>NA: Lighting in Tunnels</t>
  </si>
  <si>
    <t>NA: Historical Building Lighting</t>
  </si>
  <si>
    <t>NA: MF Complying w §160.5(a)</t>
  </si>
  <si>
    <t>NA: Parking or Sales Lots &gt;24 ft/all other at any height</t>
  </si>
  <si>
    <t xml:space="preserve">NA: Each Luminaires &lt; 40 Watts </t>
  </si>
  <si>
    <t xml:space="preserve">NA: Parking Lot Each Luminaires &lt; 78 Watts </t>
  </si>
  <si>
    <t>NA: Temporary Lighting</t>
  </si>
  <si>
    <t>NA: Regulated by FAA or Coast Guard</t>
  </si>
  <si>
    <t>NA: Lighting for Public Roadways</t>
  </si>
  <si>
    <t>NA: Athletic Fields/Playground Lighting</t>
  </si>
  <si>
    <t>NA: Industrial Sites Lighting</t>
  </si>
  <si>
    <t>NA: Public Monument Lighting</t>
  </si>
  <si>
    <t>NA: Sign Lighting</t>
  </si>
  <si>
    <t>NA: Landscape Lighting</t>
  </si>
  <si>
    <t>NA: Stairs, Wheelchair Lift/Ramp Lighting</t>
  </si>
  <si>
    <t>NA: Theme Park Special Effect Lighting</t>
  </si>
  <si>
    <t>NA: Outdoor Theatre</t>
  </si>
  <si>
    <t>NA: Ornamental</t>
  </si>
  <si>
    <t>NA: Outdoor Dining</t>
  </si>
  <si>
    <t>THIS ENTIRE SUBTABLE IS NEW FOR 2022 and is triggered if user selects "Multifamily/Mixed-use" in A05</t>
  </si>
  <si>
    <t>Outdoor Lighting Controlled from Inside Multifamily Dwelling Units</t>
  </si>
  <si>
    <t>This table documents compliance with mandatory requirements for outdoor lighting attached to multifamily buildings and controlled from the inside of a dwelling unit per §160.5(a). Outdoor lighting systems in common use areas providing shared provisions for living, eating, cooking, or sanitation to dwelling units that would otherwise lack these provisions may document compliance with §160.5(a) in this table or may document compliance with outdoor lighting for nonresidential occupancies.</t>
  </si>
  <si>
    <t>Space Name</t>
  </si>
  <si>
    <r>
      <t>Compliant Light Sources</t>
    </r>
    <r>
      <rPr>
        <b/>
        <vertAlign val="superscript"/>
        <sz val="9"/>
        <rFont val="Calibri"/>
        <family val="2"/>
      </rPr>
      <t>1,2</t>
    </r>
    <r>
      <rPr>
        <b/>
        <sz val="9"/>
        <rFont val="Calibri"/>
        <family val="2"/>
      </rPr>
      <t xml:space="preserve">
§160.5(a)1</t>
    </r>
  </si>
  <si>
    <t>Mandatory Controls §160.5(a)</t>
  </si>
  <si>
    <r>
      <t>Recessed Downlights</t>
    </r>
    <r>
      <rPr>
        <b/>
        <vertAlign val="superscript"/>
        <sz val="9"/>
        <rFont val="Calibri"/>
        <family val="2"/>
      </rPr>
      <t>3</t>
    </r>
    <r>
      <rPr>
        <b/>
        <sz val="9"/>
        <rFont val="Calibri"/>
        <family val="2"/>
      </rPr>
      <t xml:space="preserve">
§160.5(a)1C</t>
    </r>
  </si>
  <si>
    <t>Shut-Off</t>
  </si>
  <si>
    <t>see dropdown below</t>
  </si>
  <si>
    <r>
      <t xml:space="preserve">i. Shall not contain screw base lamp sockets; and
ii. Have a label that certifies the luminaire is airtight with air leakage less than 2.0 cfm at 75 Pascals when tested in accordance with ASTM E283. An exhaust fan housing with integral light shall not be required to be certified airtight; and
iii.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iv. Meet the clearance and installation requirements of California Electrical Code </t>
    </r>
    <r>
      <rPr>
        <i/>
        <sz val="10"/>
        <color rgb="FFFF0000"/>
        <rFont val="Calibri"/>
        <family val="2"/>
      </rPr>
      <t>Article</t>
    </r>
    <r>
      <rPr>
        <i/>
        <sz val="10"/>
        <rFont val="Calibri"/>
        <family val="2"/>
      </rPr>
      <t xml:space="preserve"> 410.116 for recessed luminaires; and
v.  Lamps and other separable light sources </t>
    </r>
    <r>
      <rPr>
        <i/>
        <sz val="10"/>
        <color rgb="FFFF0000"/>
        <rFont val="Calibri"/>
        <family val="2"/>
      </rPr>
      <t>in enclosed or recessed luminaires shall be in compliance</t>
    </r>
    <r>
      <rPr>
        <i/>
        <sz val="10"/>
        <rFont val="Calibri"/>
        <family val="2"/>
      </rPr>
      <t xml:space="preserve"> with the JA8 elevated temperature requirements, including marking requirements</t>
    </r>
    <r>
      <rPr>
        <i/>
        <strike/>
        <sz val="10"/>
        <rFont val="Calibri"/>
        <family val="2"/>
      </rPr>
      <t>, shall not be installed in enclosed or recessed luminaires</t>
    </r>
    <r>
      <rPr>
        <i/>
        <sz val="10"/>
        <rFont val="Calibri"/>
        <family val="2"/>
      </rPr>
      <t>.</t>
    </r>
  </si>
  <si>
    <r>
      <rPr>
        <i/>
        <vertAlign val="superscript"/>
        <sz val="10"/>
        <color rgb="FF000000"/>
        <rFont val="Calibri"/>
        <family val="2"/>
        <scheme val="minor"/>
      </rPr>
      <t>1</t>
    </r>
    <r>
      <rPr>
        <i/>
        <sz val="10"/>
        <color rgb="FF000000"/>
        <rFont val="Calibri"/>
        <family val="2"/>
        <scheme val="minor"/>
      </rPr>
      <t xml:space="preserve"> FOOTNOTE: Text has been abbreviated, please refer to </t>
    </r>
    <r>
      <rPr>
        <i/>
        <strike/>
        <sz val="10"/>
        <color rgb="FFFF0000"/>
        <rFont val="Calibri"/>
        <family val="2"/>
        <scheme val="minor"/>
      </rPr>
      <t>Table 160.5-A</t>
    </r>
    <r>
      <rPr>
        <i/>
        <sz val="10"/>
        <color rgb="FFFF0000"/>
        <rFont val="Calibri"/>
        <family val="2"/>
        <scheme val="minor"/>
      </rPr>
      <t xml:space="preserve"> Section 160.5(a)1A</t>
    </r>
    <r>
      <rPr>
        <i/>
        <sz val="10"/>
        <color rgb="FF000000"/>
        <rFont val="Calibri"/>
        <family val="2"/>
        <scheme val="minor"/>
      </rPr>
      <t xml:space="preserve"> to confirm compliance with the specific light source technologies listed. </t>
    </r>
  </si>
  <si>
    <r>
      <rPr>
        <i/>
        <vertAlign val="superscript"/>
        <sz val="10"/>
        <color rgb="FF000000"/>
        <rFont val="Calibri"/>
        <family val="2"/>
        <scheme val="minor"/>
      </rPr>
      <t>2</t>
    </r>
    <r>
      <rPr>
        <i/>
        <sz val="10"/>
        <color rgb="FF000000"/>
        <rFont val="Calibri"/>
        <family val="2"/>
        <scheme val="minor"/>
      </rPr>
      <t xml:space="preserve"> Authority having jurisdiction may ask for cutsheets or other documentation to confirm compliance of light source.</t>
    </r>
  </si>
  <si>
    <r>
      <rPr>
        <i/>
        <vertAlign val="superscript"/>
        <sz val="10"/>
        <color rgb="FF000000"/>
        <rFont val="Calibri"/>
        <family val="2"/>
        <scheme val="minor"/>
      </rPr>
      <t>3</t>
    </r>
    <r>
      <rPr>
        <i/>
        <sz val="10"/>
        <color rgb="FF000000"/>
        <rFont val="Calibri"/>
        <family val="2"/>
        <scheme val="minor"/>
      </rPr>
      <t xml:space="preserve"> Recessed luminaires marked for use in fire-rated installations, and recessed luminaires installed in non-insulated ceilings are excepted from ii and iii.</t>
    </r>
  </si>
  <si>
    <t>Compliant Light Sources Dropdown</t>
  </si>
  <si>
    <t>Shut-Off Dropdown</t>
  </si>
  <si>
    <r>
      <t xml:space="preserve">LED </t>
    </r>
    <r>
      <rPr>
        <sz val="10"/>
        <color rgb="FFFF0000"/>
        <rFont val="Calibri"/>
        <family val="2"/>
        <scheme val="minor"/>
      </rPr>
      <t>light sources installed outdoors</t>
    </r>
  </si>
  <si>
    <t>Manual + Photocontrol &amp; motion sensor</t>
  </si>
  <si>
    <r>
      <rPr>
        <sz val="10"/>
        <color rgb="FFFF0000"/>
        <rFont val="Calibri"/>
        <family val="2"/>
        <scheme val="minor"/>
      </rPr>
      <t>Luminaires w/</t>
    </r>
    <r>
      <rPr>
        <sz val="10"/>
        <color rgb="FF000000"/>
        <rFont val="Calibri"/>
        <family val="2"/>
        <scheme val="minor"/>
      </rPr>
      <t xml:space="preserve"> hardwired high frequency generator &amp; induction lamp</t>
    </r>
  </si>
  <si>
    <t>EMCS</t>
  </si>
  <si>
    <t>Inseparable solid state lighting (SSL) luminaires that provide decorative lighting</t>
  </si>
  <si>
    <t>Pin-based linear flourescent/ CFL w electronic ballast</t>
  </si>
  <si>
    <t>Manual + Astrn. Time-switch</t>
  </si>
  <si>
    <t>HID (inc. pulse-start metal halide &amp; high pressure sodium)</t>
  </si>
  <si>
    <t>Manual + Photocell &amp; Auto Time-swtich</t>
  </si>
  <si>
    <r>
      <t xml:space="preserve">NA: Integral to </t>
    </r>
    <r>
      <rPr>
        <sz val="10"/>
        <color rgb="FFFF0000"/>
        <rFont val="Calibri"/>
        <family val="2"/>
        <scheme val="minor"/>
      </rPr>
      <t xml:space="preserve">integral to exhaust fans, kitchen range hoods, bath vanity mirrors, garage door opener and ceiling fan kits. </t>
    </r>
  </si>
  <si>
    <t>NA: Night, step or path light &lt; 5W</t>
  </si>
  <si>
    <t>NA: Lighting internal to drawers, cabinetry, and linen closets (45 lumens per watt or greater).</t>
  </si>
  <si>
    <t>I. LIGHTING POWER ALLOWANCE (per §140.7/170.2(e))</t>
  </si>
  <si>
    <r>
      <t>This table includes areas using the allowance calculations per §140.7/§170.2(e)6.  General Hardscape Allowance is per Table 140.7-A/ Table 170.2-R while "Use it or lose it" Allowances are per Table 140.7-B/Table 170.2-S. Luminaires that qualify for one of the "Use it or lose it" allowances shall not qualify for another "Use it or lose it" allowance.</t>
    </r>
    <r>
      <rPr>
        <sz val="10"/>
        <color theme="1"/>
        <rFont val="Calibri"/>
        <family val="2"/>
        <scheme val="minor"/>
      </rPr>
      <t xml:space="preserve"> </t>
    </r>
    <r>
      <rPr>
        <i/>
        <sz val="10"/>
        <color theme="1"/>
        <rFont val="Calibri"/>
        <family val="2"/>
        <scheme val="minor"/>
      </rPr>
      <t xml:space="preserve">
Outdoor lighting attached to multifamily buildings and controlled from the inside of a dwelling unit are included in Table H. and are not included here. All other multifamily outdoor lighting is included here.</t>
    </r>
  </si>
  <si>
    <r>
      <rPr>
        <sz val="10"/>
        <rFont val="Wingdings"/>
        <charset val="2"/>
      </rPr>
      <t>¨</t>
    </r>
    <r>
      <rPr>
        <sz val="10"/>
        <rFont val="Calibri"/>
        <family val="2"/>
      </rPr>
      <t xml:space="preserve"> General Hardscape Allowance</t>
    </r>
  </si>
  <si>
    <t>"Use it or lose it" Allowances (select all that apply)</t>
  </si>
  <si>
    <r>
      <rPr>
        <sz val="10"/>
        <rFont val="Wingdings"/>
        <charset val="2"/>
      </rPr>
      <t>¨</t>
    </r>
    <r>
      <rPr>
        <sz val="10"/>
        <rFont val="Calibri"/>
        <family val="2"/>
      </rPr>
      <t xml:space="preserve"> Per Application</t>
    </r>
  </si>
  <si>
    <r>
      <rPr>
        <sz val="10"/>
        <rFont val="Wingdings"/>
        <charset val="2"/>
      </rPr>
      <t>¨</t>
    </r>
    <r>
      <rPr>
        <sz val="10"/>
        <rFont val="Calibri"/>
        <family val="2"/>
      </rPr>
      <t xml:space="preserve"> Sales Frontage</t>
    </r>
  </si>
  <si>
    <r>
      <rPr>
        <sz val="10"/>
        <rFont val="Wingdings"/>
        <charset val="2"/>
      </rPr>
      <t>¨</t>
    </r>
    <r>
      <rPr>
        <sz val="10"/>
        <rFont val="Calibri"/>
        <family val="2"/>
      </rPr>
      <t xml:space="preserve"> Ornamental</t>
    </r>
  </si>
  <si>
    <r>
      <rPr>
        <sz val="10"/>
        <rFont val="Wingdings"/>
        <charset val="2"/>
      </rPr>
      <t>¨</t>
    </r>
    <r>
      <rPr>
        <sz val="10"/>
        <rFont val="Calibri"/>
        <family val="2"/>
      </rPr>
      <t xml:space="preserve"> Per Specific Area</t>
    </r>
  </si>
  <si>
    <t>Table I (below)</t>
  </si>
  <si>
    <t>Calculated General Hardscape Lighting Power Allowance per Table 140.7-A for Nonresidential &amp; Hotel/Motel</t>
  </si>
  <si>
    <t>Area Wattage Allowance (AWA)</t>
  </si>
  <si>
    <t>Linear Wattage Allowance (LWA)</t>
  </si>
  <si>
    <t>Total General AWA + LWA (Watts)</t>
  </si>
  <si>
    <r>
      <t>Illuminated 
Area (ft</t>
    </r>
    <r>
      <rPr>
        <vertAlign val="superscript"/>
        <sz val="10"/>
        <color theme="1"/>
        <rFont val="Calibri"/>
        <family val="2"/>
        <scheme val="minor"/>
      </rPr>
      <t>2</t>
    </r>
    <r>
      <rPr>
        <sz val="10"/>
        <color theme="1"/>
        <rFont val="Calibri"/>
        <family val="2"/>
        <scheme val="minor"/>
      </rPr>
      <t>)</t>
    </r>
  </si>
  <si>
    <r>
      <t>Allowed Density (W/ft</t>
    </r>
    <r>
      <rPr>
        <vertAlign val="superscript"/>
        <sz val="10"/>
        <color theme="1"/>
        <rFont val="Calibri"/>
        <family val="2"/>
        <scheme val="minor"/>
      </rPr>
      <t>2</t>
    </r>
    <r>
      <rPr>
        <sz val="10"/>
        <color theme="1"/>
        <rFont val="Calibri"/>
        <family val="2"/>
        <scheme val="minor"/>
      </rPr>
      <t>)</t>
    </r>
  </si>
  <si>
    <t>Area Allowance (Watts)</t>
  </si>
  <si>
    <t>Perimeter Length (lf)</t>
  </si>
  <si>
    <t>Allowed Density (W/lf)</t>
  </si>
  <si>
    <t>Linear Allowance (Watts)</t>
  </si>
  <si>
    <r>
      <rPr>
        <i/>
        <vertAlign val="superscript"/>
        <sz val="10"/>
        <color theme="1"/>
        <rFont val="Calibri"/>
        <family val="2"/>
        <scheme val="minor"/>
      </rPr>
      <t>1</t>
    </r>
    <r>
      <rPr>
        <i/>
        <sz val="10"/>
        <color theme="1"/>
        <rFont val="Calibri"/>
        <family val="2"/>
        <scheme val="minor"/>
      </rPr>
      <t xml:space="preserve"> FOOTNOTES: Number of entrances to parking areas, trail heads, fee payment kiosks, outhouses and toilet facilities on site where lighting is within project scope. </t>
    </r>
  </si>
  <si>
    <t>Initial Wattage Allowance for Entire Site (Watts):</t>
  </si>
  <si>
    <r>
      <t>Instances of Initial Wattage Allowance (LZ 0 only)</t>
    </r>
    <r>
      <rPr>
        <b/>
        <vertAlign val="superscript"/>
        <sz val="11"/>
        <color theme="1"/>
        <rFont val="Calibri"/>
        <family val="2"/>
        <scheme val="minor"/>
      </rPr>
      <t>1</t>
    </r>
  </si>
  <si>
    <t xml:space="preserve">Total General Hardscape Allowance (Watts): </t>
  </si>
  <si>
    <t>sum of col09+(IWA*instances)</t>
  </si>
  <si>
    <t>Calculated General Hardscape Lighting Power Allowance per Table 170.2-R for Multifamily &amp; Multifamily Mixed-Use</t>
  </si>
  <si>
    <r>
      <t>Illuminated 
Area (ft</t>
    </r>
    <r>
      <rPr>
        <vertAlign val="superscript"/>
        <sz val="10"/>
        <rFont val="Calibri"/>
        <family val="2"/>
        <scheme val="minor"/>
      </rPr>
      <t>2</t>
    </r>
    <r>
      <rPr>
        <sz val="10"/>
        <rFont val="Calibri"/>
        <family val="2"/>
        <scheme val="minor"/>
      </rPr>
      <t>)</t>
    </r>
  </si>
  <si>
    <r>
      <t>Allowed Density 
(W/ft</t>
    </r>
    <r>
      <rPr>
        <vertAlign val="superscript"/>
        <sz val="10"/>
        <rFont val="Calibri"/>
        <family val="2"/>
        <scheme val="minor"/>
      </rPr>
      <t>2</t>
    </r>
    <r>
      <rPr>
        <sz val="10"/>
        <rFont val="Calibri"/>
        <family val="2"/>
        <scheme val="minor"/>
      </rPr>
      <t>)</t>
    </r>
  </si>
  <si>
    <t>VALUES IN TABLE 140.7-A changed for 2022. Please update accordingly. (This is from 45 day language, need to confirm once adopted)</t>
  </si>
  <si>
    <t xml:space="preserve">CEC Note: There is no change to the values of Table 140.7-A of the 2025 Energy Code. </t>
  </si>
  <si>
    <r>
      <rPr>
        <vertAlign val="superscript"/>
        <sz val="10"/>
        <color theme="1"/>
        <rFont val="Calibri"/>
        <family val="2"/>
        <scheme val="minor"/>
      </rPr>
      <t>1</t>
    </r>
    <r>
      <rPr>
        <sz val="10"/>
        <color theme="1"/>
        <rFont val="Calibri"/>
        <family val="2"/>
        <scheme val="minor"/>
      </rPr>
      <t xml:space="preserve"> FOOTNOTES: Number of entrances to parking areas, trail heads, fee payment kiosks, outhouses and toilet facilities on site where lighting is within project scope. </t>
    </r>
  </si>
  <si>
    <t>sum of col05 (AWA) + (G22 (IWA)*instances)</t>
  </si>
  <si>
    <t>J. LIGHTING ALLOWANCE: PER APPLICATION</t>
  </si>
  <si>
    <r>
      <t>This table includes areas using the wattage allowance per application from Table-140.7-B/Table 170.2-S.</t>
    </r>
    <r>
      <rPr>
        <sz val="10"/>
        <color theme="1"/>
        <rFont val="Calibri"/>
        <family val="2"/>
        <scheme val="minor"/>
      </rPr>
      <t xml:space="preserve"> </t>
    </r>
  </si>
  <si>
    <r>
      <t>Application per Table 140.7-B</t>
    </r>
    <r>
      <rPr>
        <vertAlign val="superscript"/>
        <sz val="10"/>
        <color rgb="FF231F20"/>
        <rFont val="Calibri"/>
        <family val="2"/>
      </rPr>
      <t>1</t>
    </r>
  </si>
  <si>
    <t xml:space="preserve">CALCULATED ALLOWANCE (Watts) </t>
  </si>
  <si>
    <t>DESIGN WATTS</t>
  </si>
  <si>
    <t>Additional Allowance (Watts)</t>
  </si>
  <si>
    <t># of Locations</t>
  </si>
  <si>
    <r>
      <t>Allowance per Location (Watts)</t>
    </r>
    <r>
      <rPr>
        <vertAlign val="superscript"/>
        <sz val="10"/>
        <color rgb="FF231F20"/>
        <rFont val="Calibri"/>
        <family val="2"/>
      </rPr>
      <t>2</t>
    </r>
  </si>
  <si>
    <t>Extra Allowance (Watts)</t>
  </si>
  <si>
    <t>Luminaire Name or Item Tag</t>
  </si>
  <si>
    <r>
      <t>Watts per Luminaire</t>
    </r>
    <r>
      <rPr>
        <vertAlign val="superscript"/>
        <sz val="10"/>
        <rFont val="Calibri"/>
        <family val="2"/>
      </rPr>
      <t>3</t>
    </r>
  </si>
  <si>
    <r>
      <t># of Luminaires</t>
    </r>
    <r>
      <rPr>
        <vertAlign val="superscript"/>
        <sz val="10"/>
        <rFont val="Calibri"/>
        <family val="2"/>
      </rPr>
      <t>3</t>
    </r>
  </si>
  <si>
    <t>Dropdown, see below for list</t>
  </si>
  <si>
    <t>See Table 140.7-B</t>
  </si>
  <si>
    <t>Dropdown from Table F.</t>
  </si>
  <si>
    <t>From table F.</t>
  </si>
  <si>
    <t>Total Design Watts for this Area:</t>
  </si>
  <si>
    <t>sum of column 09 for the area</t>
  </si>
  <si>
    <t>smaller of J05 or total design watts for area (J09)</t>
  </si>
  <si>
    <r>
      <rPr>
        <i/>
        <vertAlign val="superscript"/>
        <sz val="10"/>
        <color theme="1"/>
        <rFont val="Calibri"/>
        <family val="2"/>
        <scheme val="minor"/>
      </rPr>
      <t>1</t>
    </r>
    <r>
      <rPr>
        <i/>
        <sz val="10"/>
        <color theme="1"/>
        <rFont val="Calibri"/>
        <family val="2"/>
        <scheme val="minor"/>
      </rPr>
      <t xml:space="preserve"> FOOTNOTES: Primary entrance applications are only available for senior care facilities, healthcare facilities, police stations, hospitals, fire stations, and emergency vehicle facilities.</t>
    </r>
  </si>
  <si>
    <t>Add Luminaire</t>
  </si>
  <si>
    <r>
      <rPr>
        <i/>
        <vertAlign val="superscript"/>
        <sz val="10"/>
        <color theme="1"/>
        <rFont val="Calibri"/>
        <family val="2"/>
        <scheme val="minor"/>
      </rPr>
      <t>2</t>
    </r>
    <r>
      <rPr>
        <i/>
        <sz val="10"/>
        <color theme="1"/>
        <rFont val="Calibri"/>
        <family val="2"/>
        <scheme val="minor"/>
      </rPr>
      <t xml:space="preserve">  The Allowance per Location for ATMs is  100W for the first ATM and 35W for each additional per Table 140.7-B/Table 170.2-S.</t>
    </r>
  </si>
  <si>
    <t>Total Allowance (Watts) All Areas:</t>
  </si>
  <si>
    <t>sum of column 10 (J10)</t>
  </si>
  <si>
    <t>NO UPDATES FOR 2022 &amp; SAME FOR MF</t>
  </si>
  <si>
    <r>
      <rPr>
        <i/>
        <vertAlign val="superscript"/>
        <sz val="10"/>
        <color theme="1"/>
        <rFont val="Calibri"/>
        <family val="2"/>
        <scheme val="minor"/>
      </rPr>
      <t>3</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</si>
  <si>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t>Application per Table 140.7-B dropdown</t>
  </si>
  <si>
    <t>Bldg Entrance/ Exit</t>
  </si>
  <si>
    <t>Primary Entrance (Special)</t>
  </si>
  <si>
    <t>Drive up Window</t>
  </si>
  <si>
    <t>Uncovered Fuel Dispenser</t>
  </si>
  <si>
    <t>ATM Machine</t>
  </si>
  <si>
    <t>K. LIGHTING ALLOWANCE: SALES FRONTAGE</t>
  </si>
  <si>
    <t xml:space="preserve">This table includes areas using the wattage allowance for Outdoor Sales Frontage from Table-140.7-B.  This allowance may be used for one or two frontage side(s) per site. </t>
  </si>
  <si>
    <t>CALCULATED ALLOWANCE (Watts)</t>
  </si>
  <si>
    <t>Linear ft. of Sales Frontage (lf)</t>
  </si>
  <si>
    <r>
      <t>Watts per Luminaire</t>
    </r>
    <r>
      <rPr>
        <vertAlign val="superscript"/>
        <sz val="10"/>
        <rFont val="Calibri"/>
        <family val="2"/>
      </rPr>
      <t>1</t>
    </r>
  </si>
  <si>
    <r>
      <t># of Luminaires</t>
    </r>
    <r>
      <rPr>
        <vertAlign val="superscript"/>
        <sz val="10"/>
        <rFont val="Calibri"/>
        <family val="2"/>
      </rPr>
      <t>1</t>
    </r>
  </si>
  <si>
    <r>
      <rPr>
        <i/>
        <vertAlign val="superscript"/>
        <sz val="10"/>
        <rFont val="Calibri"/>
        <family val="2"/>
        <scheme val="minor"/>
      </rPr>
      <t>1</t>
    </r>
    <r>
      <rPr>
        <i/>
        <sz val="10"/>
        <rFont val="Calibri"/>
        <family val="2"/>
        <scheme val="minor"/>
      </rPr>
      <t xml:space="preserve"> FOOTNOTES: For luminaires indicated in Table F as linear, wattage in column 06 is W/lf instead of Watts/luminaire.  Total linear feet for the luminaire should be indicated in column 07 instead of number of luminaires.</t>
    </r>
  </si>
  <si>
    <t>sum of column 08 for the area</t>
  </si>
  <si>
    <t>smaller of K04 or total design watts for area (K08)</t>
  </si>
  <si>
    <t>NO UPDATES FOR 2022 &amp; DOES NOT APPLY TO MF</t>
  </si>
  <si>
    <t>sum of column 09 (K09)</t>
  </si>
  <si>
    <t>L. LIGHTING ALLOWANCE: ORNAMENTAL</t>
  </si>
  <si>
    <t xml:space="preserve">This table includes all ornamental luminaires within the scope of the permit application to calculate the allowance per Table 140.7-B/Table 170.2-S. </t>
  </si>
  <si>
    <r>
      <t>Watts per Luminaire</t>
    </r>
    <r>
      <rPr>
        <vertAlign val="superscript"/>
        <sz val="10"/>
        <rFont val="Calibri"/>
        <family val="2"/>
      </rPr>
      <t>1,2</t>
    </r>
  </si>
  <si>
    <r>
      <t># of Luminaires</t>
    </r>
    <r>
      <rPr>
        <vertAlign val="superscript"/>
        <sz val="10"/>
        <rFont val="Calibri"/>
        <family val="2"/>
      </rPr>
      <t>2</t>
    </r>
  </si>
  <si>
    <t>NO VALUE UPDATES FOR 2022, ONLY CHANGE FOR FOOTNOTE 1 &amp; SAME FOR MF</t>
  </si>
  <si>
    <t>Total Illuminated Hardscape Area for the Site</t>
  </si>
  <si>
    <t xml:space="preserve">smaller of L04 or L08 </t>
  </si>
  <si>
    <t>Total Allowance (Watts) Ornamental:</t>
  </si>
  <si>
    <t>sum of column 09 (L09)</t>
  </si>
  <si>
    <r>
      <rPr>
        <i/>
        <vertAlign val="superscript"/>
        <sz val="10"/>
        <color theme="1"/>
        <rFont val="Calibri"/>
        <family val="2"/>
        <scheme val="minor"/>
      </rPr>
      <t>1</t>
    </r>
    <r>
      <rPr>
        <i/>
        <sz val="10"/>
        <color theme="1"/>
        <rFont val="Calibri"/>
        <family val="2"/>
        <scheme val="minor"/>
      </rPr>
      <t xml:space="preserve"> FOOTNOTES: Luminaires qualifying for this allowance shall be rated </t>
    </r>
    <r>
      <rPr>
        <i/>
        <u/>
        <sz val="10"/>
        <color theme="1"/>
        <rFont val="Calibri"/>
        <family val="2"/>
        <scheme val="minor"/>
      </rPr>
      <t>&lt;</t>
    </r>
    <r>
      <rPr>
        <i/>
        <sz val="10"/>
        <color theme="1"/>
        <rFont val="Calibri"/>
        <family val="2"/>
        <scheme val="minor"/>
      </rPr>
      <t xml:space="preserve">  50W and shall be post-top luminaires, lanterns, pendants or chandeliers.</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</si>
  <si>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06 is W/lf instead of Watts/luminaire.  Total linear feet for the luminaire should be indicated in column 07 instead of number of luminaires.</t>
    </r>
  </si>
  <si>
    <t>M. LIGHTING ALLOWANCE: PER SPECIFIC AREA</t>
  </si>
  <si>
    <t xml:space="preserve">This table includes areas using the wattage allowance per specific area type from Table 140.7-B/Table 170.2-S.  More than one specific area allowance may be taken in a single project, if applicable.  However, multiple specific area allowances may not be taken for the exact same area on the site. </t>
  </si>
  <si>
    <t>Specific Area Type per Table 140.7-B</t>
  </si>
  <si>
    <r>
      <t>Specific
Area (ft</t>
    </r>
    <r>
      <rPr>
        <vertAlign val="superscript"/>
        <sz val="10"/>
        <color theme="1"/>
        <rFont val="Calibri"/>
        <family val="2"/>
        <scheme val="minor"/>
      </rPr>
      <t>2</t>
    </r>
    <r>
      <rPr>
        <sz val="10"/>
        <color theme="1"/>
        <rFont val="Calibri"/>
        <family val="2"/>
        <scheme val="minor"/>
      </rPr>
      <t>)</t>
    </r>
    <r>
      <rPr>
        <vertAlign val="superscript"/>
        <sz val="10"/>
        <color theme="1"/>
        <rFont val="Calibri"/>
        <family val="2"/>
        <scheme val="minor"/>
      </rPr>
      <t>1</t>
    </r>
  </si>
  <si>
    <r>
      <t>Watts per Luminaire</t>
    </r>
    <r>
      <rPr>
        <vertAlign val="superscript"/>
        <sz val="10"/>
        <rFont val="Calibri"/>
        <family val="2"/>
      </rPr>
      <t>2</t>
    </r>
  </si>
  <si>
    <t>ADDED ALLOWANCE FOR SECURITY CAMERAS FOR 2022, SEE LAST IN TABLE. SAME FOR MF!</t>
  </si>
  <si>
    <r>
      <t xml:space="preserve">1 </t>
    </r>
    <r>
      <rPr>
        <i/>
        <sz val="10"/>
        <color theme="1"/>
        <rFont val="Calibri"/>
        <family val="2"/>
        <scheme val="minor"/>
      </rPr>
      <t>FOOTNOTES: See Table 140.7-B</t>
    </r>
    <r>
      <rPr>
        <b/>
        <i/>
        <sz val="10"/>
        <color theme="1"/>
        <rFont val="Calibri"/>
        <family val="2"/>
        <scheme val="minor"/>
      </rPr>
      <t>/Table 170.2-S</t>
    </r>
    <r>
      <rPr>
        <i/>
        <sz val="10"/>
        <color theme="1"/>
        <rFont val="Calibri"/>
        <family val="2"/>
        <scheme val="minor"/>
      </rPr>
      <t xml:space="preserve"> for the rules for calculating the specific areas (ft</t>
    </r>
    <r>
      <rPr>
        <i/>
        <vertAlign val="superscript"/>
        <sz val="10"/>
        <color theme="1"/>
        <rFont val="Calibri"/>
        <family val="2"/>
        <scheme val="minor"/>
      </rPr>
      <t>2</t>
    </r>
    <r>
      <rPr>
        <i/>
        <sz val="10"/>
        <color theme="1"/>
        <rFont val="Calibri"/>
        <family val="2"/>
        <scheme val="minor"/>
      </rPr>
      <t xml:space="preserve">) for these additional lighting allowances. </t>
    </r>
  </si>
  <si>
    <t>smaller of M05 or total design watts for area (M09)</t>
  </si>
  <si>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</si>
  <si>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t>sum of column 10 (M10)</t>
  </si>
  <si>
    <t>Spec. Area per Table 140.7-B dropdown</t>
  </si>
  <si>
    <t>does not show up for LZ1&gt;&gt;</t>
  </si>
  <si>
    <t>Bldg Façade</t>
  </si>
  <si>
    <t>Outdoor Sales Lot</t>
  </si>
  <si>
    <t>Service Station Hardscape</t>
  </si>
  <si>
    <t>Service Station Canopy</t>
  </si>
  <si>
    <t>Sales Canopies</t>
  </si>
  <si>
    <t>Non-sales Canopies/ Tunnels</t>
  </si>
  <si>
    <t>Guard Stations</t>
  </si>
  <si>
    <t>does not show up for LZ1 or LZ4&gt;&gt;</t>
  </si>
  <si>
    <t>Student Pick-up/ Drop-off</t>
  </si>
  <si>
    <t>Outdoor Dining</t>
  </si>
  <si>
    <t>does not show up for LZ4&gt;&gt;</t>
  </si>
  <si>
    <t>Security for Retail Parking &amp; Pedestrian Hardscape</t>
  </si>
  <si>
    <t>Security Camera in General Hardscape &gt; 10ft from Bldg</t>
  </si>
  <si>
    <t>N. EXISTING CONDITIONS POWER ALLOWANCE (alterations only)</t>
  </si>
  <si>
    <t>This table includes all existing luminaires being replaced to establish the lighting power allowance per §141.0(b)2Lii, §141.0(b)2Liii or §180.2(b)4Bvb and §180.2(b)4Bvc.  Existing luminaires that are remaining or being moved should NOT be included.
Outdoor lighting attached to multifamily buildings and controlled from the inside of a dwelling unit are included in Table H. and are not included here. All other multifamily outdoor lighting is included here.</t>
  </si>
  <si>
    <t xml:space="preserve">Existing Conditions Wattage: </t>
  </si>
  <si>
    <r>
      <t>Watts per luminaire</t>
    </r>
    <r>
      <rPr>
        <b/>
        <vertAlign val="superscript"/>
        <sz val="9"/>
        <rFont val="Calibri"/>
        <family val="2"/>
      </rPr>
      <t>1,2</t>
    </r>
  </si>
  <si>
    <r>
      <t># of Luminaires Being Replaced</t>
    </r>
    <r>
      <rPr>
        <b/>
        <vertAlign val="superscript"/>
        <sz val="9"/>
        <rFont val="Calibri"/>
        <family val="2"/>
      </rPr>
      <t>2</t>
    </r>
  </si>
  <si>
    <t>Existing Watts</t>
  </si>
  <si>
    <t>Total Existing Watts :</t>
  </si>
  <si>
    <t>sum of column 06 (N06)</t>
  </si>
  <si>
    <t>Allowance per §141.0(b)2L/§180.2(b)4Bv:</t>
  </si>
  <si>
    <t>EX: Photograph of existing luminaire</t>
  </si>
  <si>
    <r>
      <rPr>
        <i/>
        <vertAlign val="superscript"/>
        <sz val="9"/>
        <color theme="1"/>
        <rFont val="Calibri"/>
        <family val="2"/>
      </rPr>
      <t xml:space="preserve">1 </t>
    </r>
    <r>
      <rPr>
        <i/>
        <sz val="9"/>
        <color theme="1"/>
        <rFont val="Calibri"/>
        <family val="2"/>
      </rPr>
      <t xml:space="preserve">FOOTNOTES: Authority Having Jurisdiction may ask for Luminaire cut sheets to confirm wattage used for compliance per §130.0(c)/§160.5(b). </t>
    </r>
  </si>
  <si>
    <r>
      <rPr>
        <i/>
        <vertAlign val="superscript"/>
        <sz val="9"/>
        <color rgb="FF000000"/>
        <rFont val="Calibri"/>
        <family val="2"/>
        <scheme val="minor"/>
      </rPr>
      <t>2</t>
    </r>
    <r>
      <rPr>
        <i/>
        <sz val="9"/>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</si>
  <si>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t>O. DECLARATION OF REQUIRED CERTIFICATES OF INSTALLATION</t>
  </si>
  <si>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t>
  </si>
  <si>
    <t>YES</t>
  </si>
  <si>
    <t>NO</t>
  </si>
  <si>
    <t>Form/Title</t>
  </si>
  <si>
    <t>●</t>
  </si>
  <si>
    <t>m</t>
  </si>
  <si>
    <t>NRCI-LTO-E - Must be submitted for all buildings.</t>
  </si>
  <si>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t>
  </si>
  <si>
    <t>LMCI-LTO-E - Must be submitted for all buildings.</t>
  </si>
  <si>
    <r>
      <rPr>
        <b/>
        <sz val="11"/>
        <rFont val="Calibri"/>
        <family val="2"/>
      </rPr>
      <t xml:space="preserve">P. </t>
    </r>
    <r>
      <rPr>
        <b/>
        <sz val="11"/>
        <color rgb="FF231F20"/>
        <rFont val="Calibri"/>
        <family val="2"/>
      </rPr>
      <t>DECLARATION OF REQUIRED CERTIFICATES OF ACCEPTANCE</t>
    </r>
  </si>
  <si>
    <r>
      <rPr>
        <i/>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t>
    </r>
    <r>
      <rPr>
        <i/>
        <u/>
        <sz val="10"/>
        <color rgb="FF0070C0"/>
        <rFont val="Calibri"/>
        <family val="2"/>
      </rPr>
      <t xml:space="preserve"> http://www.energy.ca.gov/title24/attcp/providers.html.</t>
    </r>
  </si>
  <si>
    <t>Systems/Spaces to be Field Verified</t>
  </si>
  <si>
    <r>
      <t xml:space="preserve">NRCA-LTO-02-A - Must be submitted for all outdoor lighting controls except for alterations where controls area added to </t>
    </r>
    <r>
      <rPr>
        <u/>
        <sz val="10"/>
        <color theme="1"/>
        <rFont val="Calibri"/>
        <family val="2"/>
        <scheme val="minor"/>
      </rPr>
      <t>&lt;</t>
    </r>
    <r>
      <rPr>
        <sz val="10"/>
        <color theme="1"/>
        <rFont val="Calibri"/>
        <family val="2"/>
        <scheme val="minor"/>
      </rPr>
      <t xml:space="preserve"> 20 luminaires.</t>
    </r>
  </si>
  <si>
    <t>DOCUMENTATION AUTHOR'S DECLARATION STATEMENT</t>
  </si>
  <si>
    <t>Documentation Author Name:</t>
  </si>
  <si>
    <t>Documentation Author Signature:</t>
  </si>
  <si>
    <t>Company:</t>
  </si>
  <si>
    <t>Signature Date:</t>
  </si>
  <si>
    <t>Address:</t>
  </si>
  <si>
    <r>
      <t>CEA/</t>
    </r>
    <r>
      <rPr>
        <sz val="10"/>
        <color rgb="FFFF0000"/>
        <rFont val="Calibri"/>
        <family val="2"/>
        <scheme val="minor"/>
      </rPr>
      <t>AEA/ECC</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</si>
  <si>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</si>
  <si>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</si>
  <si>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</si>
  <si>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</si>
  <si>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</si>
  <si>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</si>
  <si>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</si>
  <si>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</si>
  <si>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Tool Tip:</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</si>
  <si>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NRCC-LTS form.</t>
    </r>
    <r>
      <rPr>
        <b/>
        <sz val="10"/>
        <color rgb="FF00B050"/>
        <rFont val="Calibri"/>
        <family val="2"/>
        <scheme val="minor"/>
      </rPr>
      <t xml:space="preserve"> [d:/OnlyUI] </t>
    </r>
  </si>
  <si>
    <t>H. Lighting Controls</t>
  </si>
  <si>
    <t>H -  Lighting Controls</t>
  </si>
  <si>
    <t>See Simon's notes on Motion Sensor Dropdown</t>
  </si>
  <si>
    <t>N - Exist. Cond.</t>
  </si>
  <si>
    <t>Red/Black</t>
  </si>
  <si>
    <t xml:space="preserve">Inserted a copy of Table 10-114-A of the 15-Day language of the 2025 Code development. </t>
  </si>
  <si>
    <t>Green/red</t>
  </si>
  <si>
    <t>Edited/added on "Outdoor Lighting Controlled from Inside Multifamily Dwelling Units"</t>
  </si>
  <si>
    <t>See Simon's note on Field 06 - Existing Watts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</si>
</sst>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
    <numFmt numFmtId="165" formatCode="###0;###0"/>
    <numFmt numFmtId="166" formatCode="m/d/yy;@"/>
    <numFmt numFmtId="167" formatCode="ddd\,\ m/d/yyyy"/>
  </numFmts>
  <fonts count="153">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b/>
      <sz val="12"/>
      <name val="Arial"/>
      <family val="2"/>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b/>
      <sz val="10"/>
      <name val="Calibri"/>
      <family val="2"/>
    </font>
    <font>
      <sz val="10"/>
      <color rgb="FF000000"/>
      <name val="Times New Roman"/>
      <family val="1"/>
    </font>
    <font>
      <sz val="11"/>
      <color rgb="FF000000"/>
      <name val="Times New Roman"/>
      <family val="1"/>
    </font>
    <font>
      <i/>
      <sz val="11"/>
      <color rgb="FFFF0000"/>
      <name val="Calibri"/>
      <family val="2"/>
    </font>
    <font>
      <sz val="10"/>
      <color rgb="FF00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10"/>
      <name val="Wingdings"/>
      <charset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b/>
      <sz val="10"/>
      <color rgb="FFFF0000"/>
      <name val="Calibri"/>
      <family val="2"/>
      <scheme val="minor"/>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8"/>
      <name val="Calibri"/>
      <family val="2"/>
      <scheme val="minor"/>
    </font>
    <font>
      <b/>
      <sz val="10"/>
      <color rgb="FFFF0000"/>
      <name val="Calibri"/>
      <family val="2"/>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vertAlign val="superscript"/>
      <sz val="10"/>
      <color rgb="FF000000"/>
      <name val="Calibri"/>
      <family val="2"/>
      <scheme val="minor"/>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i/>
      <u/>
      <sz val="10"/>
      <color rgb="FF0070C0"/>
      <name val="Calibri"/>
      <family val="2"/>
    </font>
    <font>
      <u/>
      <sz val="10"/>
      <color theme="1"/>
      <name val="Calibri"/>
      <family val="2"/>
      <scheme val="minor"/>
    </font>
    <font>
      <b/>
      <sz val="10"/>
      <color rgb="FF231F20"/>
      <name val="Calibri"/>
      <family val="2"/>
    </font>
    <font>
      <vertAlign val="superscript"/>
      <sz val="10"/>
      <color rgb="FF231F20"/>
      <name val="Calibri"/>
      <family val="2"/>
    </font>
    <font>
      <vertAlign val="superscript"/>
      <sz val="10"/>
      <name val="Calibri"/>
      <family val="2"/>
    </font>
    <font>
      <sz val="12"/>
      <name val="Calibri Light"/>
      <family val="1"/>
      <scheme val="major"/>
    </font>
    <font>
      <sz val="9"/>
      <color theme="1"/>
      <name val="Calibri"/>
      <family val="2"/>
    </font>
    <font>
      <sz val="9"/>
      <color theme="1"/>
      <name val="Wingdings"/>
      <charset val="2"/>
    </font>
    <font>
      <vertAlign val="superscript"/>
      <sz val="11"/>
      <color rgb="FF231F20"/>
      <name val="Calibri"/>
      <family val="2"/>
    </font>
    <font>
      <i/>
      <vertAlign val="superscript"/>
      <sz val="9"/>
      <color theme="1"/>
      <name val="Calibri"/>
      <family val="2"/>
      <scheme val="minor"/>
    </font>
    <font>
      <i/>
      <vertAlign val="superscript"/>
      <sz val="10"/>
      <color theme="1"/>
      <name val="Calibri"/>
      <family val="2"/>
      <scheme val="minor"/>
    </font>
    <font>
      <sz val="11"/>
      <color theme="1"/>
      <name val="AvenirNext LT Pro Regular"/>
      <family val="2"/>
    </font>
    <font>
      <u/>
      <sz val="11"/>
      <name val="Calibri"/>
      <family val="2"/>
    </font>
    <font>
      <b/>
      <sz val="11"/>
      <color rgb="FF000000"/>
      <name val="Calibri"/>
      <family val="2"/>
    </font>
    <font>
      <b/>
      <sz val="10"/>
      <color rgb="FF000000"/>
      <name val="Calibri"/>
      <family val="2"/>
    </font>
    <font>
      <vertAlign val="superscript"/>
      <sz val="9"/>
      <name val="Calibri"/>
      <family val="2"/>
    </font>
    <font>
      <vertAlign val="superscript"/>
      <sz val="9"/>
      <name val="Calibri"/>
      <family val="2"/>
      <scheme val="minor"/>
    </font>
    <font>
      <sz val="9"/>
      <color rgb="FF000000"/>
      <name val="Calibri"/>
      <family val="2"/>
    </font>
    <font>
      <strike/>
      <sz val="9"/>
      <name val="Calibri"/>
      <family val="2"/>
      <scheme val="minor"/>
    </font>
    <font>
      <b/>
      <u/>
      <sz val="9"/>
      <name val="Calibri"/>
      <family val="2"/>
      <scheme val="minor"/>
    </font>
    <font>
      <b/>
      <vertAlign val="superscript"/>
      <sz val="9"/>
      <name val="Calibri"/>
      <family val="2"/>
      <scheme val="minor"/>
    </font>
    <font>
      <i/>
      <u/>
      <sz val="10"/>
      <color theme="1"/>
      <name val="Calibri"/>
      <family val="2"/>
      <scheme val="minor"/>
    </font>
    <font>
      <b/>
      <strike/>
      <sz val="9"/>
      <color theme="1"/>
      <name val="Calibri"/>
      <family val="2"/>
      <scheme val="minor"/>
    </font>
    <font>
      <sz val="10"/>
      <color rgb="FFFF0000"/>
      <name val="Times New Roman"/>
      <family val="1"/>
    </font>
    <font>
      <i/>
      <sz val="9"/>
      <color rgb="FF000000"/>
      <name val="Calibri"/>
      <family val="2"/>
      <scheme val="minor"/>
    </font>
    <font>
      <i/>
      <vertAlign val="superscript"/>
      <sz val="9"/>
      <color rgb="FF000000"/>
      <name val="Calibri"/>
      <family val="2"/>
      <scheme val="minor"/>
    </font>
    <font>
      <sz val="10"/>
      <name val="Calibri Light"/>
      <family val="2"/>
      <scheme val="major"/>
    </font>
    <font>
      <b/>
      <i/>
      <sz val="10"/>
      <name val="Calibri"/>
      <family val="2"/>
      <scheme val="minor"/>
    </font>
    <font>
      <b/>
      <i/>
      <sz val="11"/>
      <name val="Calibri"/>
      <family val="2"/>
      <scheme val="minor"/>
    </font>
    <font>
      <i/>
      <sz val="9"/>
      <name val="Calibri"/>
      <family val="2"/>
      <scheme val="minor"/>
    </font>
    <font>
      <b/>
      <i/>
      <u/>
      <sz val="11"/>
      <name val="Calibri"/>
      <family val="2"/>
      <scheme val="minor"/>
    </font>
    <font>
      <sz val="10"/>
      <name val="Times New Roman"/>
      <family val="1"/>
    </font>
    <font>
      <i/>
      <sz val="11"/>
      <name val="Calibri"/>
      <family val="2"/>
    </font>
    <font>
      <sz val="11"/>
      <name val="Wingdings"/>
      <charset val="2"/>
    </font>
    <font>
      <b/>
      <i/>
      <sz val="8"/>
      <name val="Calibri"/>
      <family val="2"/>
    </font>
    <font>
      <sz val="12"/>
      <name val="Calibri"/>
      <family val="2"/>
      <scheme val="minor"/>
    </font>
    <font>
      <b/>
      <strike/>
      <sz val="9"/>
      <name val="Calibri"/>
      <family val="2"/>
      <scheme val="minor"/>
    </font>
    <font>
      <i/>
      <sz val="10"/>
      <name val="Calibri"/>
      <family val="2"/>
      <scheme val="minor"/>
    </font>
    <font>
      <i/>
      <vertAlign val="superscript"/>
      <sz val="10"/>
      <name val="Calibri"/>
      <family val="2"/>
      <scheme val="minor"/>
    </font>
    <font>
      <strike/>
      <sz val="11"/>
      <name val="Calibri"/>
      <family val="2"/>
      <scheme val="minor"/>
    </font>
    <font>
      <vertAlign val="superscript"/>
      <sz val="11"/>
      <name val="Calibri"/>
      <family val="2"/>
      <scheme val="minor"/>
    </font>
    <font>
      <i/>
      <vertAlign val="superscript"/>
      <sz val="11"/>
      <name val="Calibri"/>
      <family val="2"/>
      <scheme val="minor"/>
    </font>
    <font>
      <b/>
      <sz val="11"/>
      <color rgb="FFFF0000"/>
      <name val="Calibri"/>
      <family val="2"/>
      <scheme val="minor"/>
    </font>
    <font>
      <b/>
      <i/>
      <sz val="10"/>
      <color theme="1"/>
      <name val="Calibri"/>
      <family val="2"/>
      <scheme val="minor"/>
    </font>
    <font>
      <strike/>
      <sz val="10"/>
      <color rgb="FFFF0000"/>
      <name val="Calibri"/>
      <family val="2"/>
      <scheme val="minor"/>
    </font>
    <font>
      <strike/>
      <sz val="10"/>
      <color rgb="FFFF0000"/>
      <name val="Calibri"/>
      <family val="2"/>
    </font>
    <font>
      <vertAlign val="superscript"/>
      <sz val="10"/>
      <name val="Calibri"/>
      <family val="2"/>
      <scheme val="minor"/>
    </font>
    <font>
      <sz val="10"/>
      <color rgb="FFFF0000"/>
      <name val="Wingdings"/>
      <charset val="2"/>
    </font>
    <font>
      <sz val="11"/>
      <color theme="1"/>
      <name val="Calibri"/>
      <family val="2"/>
      <scheme val="minor"/>
    </font>
    <font>
      <sz val="11"/>
      <color theme="0"/>
      <name val="Calibri"/>
      <family val="2"/>
      <scheme val="minor"/>
    </font>
    <font>
      <sz val="10"/>
      <color theme="1"/>
      <name val="Arial"/>
      <family val="2"/>
    </font>
    <font>
      <sz val="10"/>
      <name val="Arial"/>
      <family val="2"/>
    </font>
    <font>
      <u/>
      <sz val="11"/>
      <color theme="1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i/>
      <sz val="10"/>
      <color theme="1"/>
      <name val="Calibri"/>
      <family val="2"/>
    </font>
    <font>
      <sz val="8"/>
      <color theme="1"/>
      <name val="Calibri"/>
      <family val="2"/>
      <scheme val="minor"/>
    </font>
    <font>
      <b/>
      <sz val="12"/>
      <color theme="1"/>
      <name val="Arial"/>
      <family val="2"/>
    </font>
    <font>
      <sz val="12"/>
      <color theme="1"/>
      <name val="Arial"/>
      <family val="2"/>
    </font>
    <font>
      <sz val="7"/>
      <color theme="1"/>
      <name val="Arial"/>
      <family val="2"/>
    </font>
    <font>
      <b/>
      <sz val="10"/>
      <color theme="1"/>
      <name val="Calibri"/>
      <family val="2"/>
    </font>
    <font>
      <b/>
      <sz val="11"/>
      <color theme="1"/>
      <name val="Calibri"/>
      <family val="2"/>
    </font>
    <font>
      <sz val="11"/>
      <color theme="1"/>
      <name val="Calibri"/>
      <family val="2"/>
    </font>
    <font>
      <i/>
      <sz val="9"/>
      <color theme="1"/>
      <name val="Calibri"/>
      <family val="2"/>
    </font>
    <font>
      <u/>
      <sz val="9"/>
      <color theme="1"/>
      <name val="Calibri"/>
      <family val="2"/>
      <scheme val="minor"/>
    </font>
    <font>
      <vertAlign val="superscript"/>
      <sz val="9"/>
      <color theme="1"/>
      <name val="Calibri"/>
      <family val="2"/>
      <scheme val="minor"/>
    </font>
    <font>
      <vertAlign val="superscript"/>
      <sz val="11"/>
      <color theme="1"/>
      <name val="Calibri"/>
      <family val="2"/>
      <scheme val="minor"/>
    </font>
    <font>
      <b/>
      <vertAlign val="superscript"/>
      <sz val="11"/>
      <color theme="1"/>
      <name val="Calibri"/>
      <family val="2"/>
      <scheme val="minor"/>
    </font>
    <font>
      <sz val="10"/>
      <color theme="1"/>
      <name val="Times New Roman"/>
      <family val="1"/>
    </font>
    <font>
      <i/>
      <sz val="8"/>
      <color theme="1"/>
      <name val="Calibri"/>
      <family val="2"/>
    </font>
    <font>
      <i/>
      <vertAlign val="superscript"/>
      <sz val="9"/>
      <color theme="1"/>
      <name val="Calibri"/>
      <family val="2"/>
    </font>
    <font>
      <i/>
      <sz val="11"/>
      <color theme="1"/>
      <name val="Calibri"/>
      <family val="2"/>
    </font>
    <font>
      <sz val="9"/>
      <color indexed="8"/>
      <name val="Tahoma"/>
      <family val="2"/>
    </font>
    <font>
      <b/>
      <sz val="9"/>
      <color indexed="8"/>
      <name val="Tahoma"/>
      <family val="2"/>
    </font>
    <font>
      <b/>
      <sz val="10"/>
      <color rgb="FF00B050"/>
      <name val="Calibri"/>
      <family val="2"/>
      <scheme val="minor"/>
    </font>
    <font>
      <strike/>
      <sz val="10"/>
      <color rgb="FF000000"/>
      <name val="Calibri"/>
      <family val="2"/>
      <scheme val="minor"/>
    </font>
    <font>
      <i/>
      <sz val="10"/>
      <color rgb="FFFF0000"/>
      <name val="Calibri"/>
      <family val="2"/>
    </font>
    <font>
      <i/>
      <strike/>
      <sz val="10"/>
      <name val="Calibri"/>
      <family val="2"/>
    </font>
    <font>
      <i/>
      <sz val="10"/>
      <color rgb="FFFF0000"/>
      <name val="Calibri"/>
      <family val="2"/>
      <scheme val="minor"/>
    </font>
    <font>
      <i/>
      <strike/>
      <sz val="10"/>
      <color rgb="FFFF0000"/>
      <name val="Calibri"/>
      <family val="2"/>
      <scheme val="minor"/>
    </font>
  </fonts>
  <fills count="21">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8">
    <xf numFmtId="0" fontId="0" fillId="0" borderId="0"/>
    <xf numFmtId="0" fontId="25" fillId="0" borderId="0"/>
    <xf numFmtId="0" fontId="29" fillId="0" borderId="0"/>
    <xf numFmtId="0" fontId="31" fillId="0" borderId="0"/>
    <xf numFmtId="0" fontId="5" fillId="0" borderId="0"/>
    <xf numFmtId="0" fontId="4" fillId="0" borderId="0"/>
    <xf numFmtId="0" fontId="49" fillId="0" borderId="0"/>
    <xf numFmtId="0" fontId="3" fillId="0" borderId="0"/>
    <xf numFmtId="0" fontId="25" fillId="0" borderId="0"/>
    <xf numFmtId="0" fontId="3" fillId="0" borderId="0"/>
    <xf numFmtId="0" fontId="2" fillId="0" borderId="0"/>
    <xf numFmtId="0" fontId="2" fillId="0" borderId="0"/>
    <xf numFmtId="0" fontId="25" fillId="0" borderId="0"/>
    <xf numFmtId="0" fontId="2" fillId="0" borderId="0"/>
    <xf numFmtId="0" fontId="2" fillId="0" borderId="0"/>
    <xf numFmtId="0" fontId="1" fillId="0" borderId="0"/>
    <xf numFmtId="0" fontId="1" fillId="0" borderId="0"/>
    <xf numFmtId="0" fontId="1" fillId="0" borderId="0"/>
    <xf numFmtId="0" fontId="1" fillId="0" borderId="0"/>
    <xf numFmtId="0" fontId="123" fillId="0" borderId="0"/>
    <xf numFmtId="0" fontId="1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5" fillId="0" borderId="0" applyNumberFormat="0" applyFill="0" applyBorder="0" applyAlignment="0" applyProtection="0">
      <alignment vertical="top"/>
      <protection locked="0"/>
    </xf>
    <xf numFmtId="0" fontId="121" fillId="0" borderId="0"/>
    <xf numFmtId="43" fontId="120" fillId="0" borderId="26" applyFont="0" applyFill="0" applyAlignment="0" applyProtection="0"/>
    <xf numFmtId="0" fontId="127" fillId="0" borderId="0" applyNumberFormat="0" applyFill="0" applyBorder="0" applyAlignment="0" applyProtection="0"/>
    <xf numFmtId="0" fontId="126" fillId="0" borderId="0" applyNumberFormat="0" applyFill="0" applyAlignment="0" applyProtection="0"/>
    <xf numFmtId="0" fontId="126" fillId="0" borderId="0" applyNumberFormat="0" applyFill="0" applyProtection="0">
      <alignment vertical="top"/>
    </xf>
    <xf numFmtId="0" fontId="120" fillId="0" borderId="0" applyNumberFormat="0" applyFill="0" applyProtection="0">
      <alignment horizontal="right" indent="1"/>
    </xf>
    <xf numFmtId="167" fontId="120" fillId="0" borderId="26">
      <alignment horizontal="center" vertical="center"/>
    </xf>
    <xf numFmtId="166" fontId="120" fillId="0" borderId="25" applyFill="0">
      <alignment horizontal="center" vertical="center"/>
    </xf>
    <xf numFmtId="0" fontId="120" fillId="0" borderId="25" applyFill="0">
      <alignment horizontal="center" vertical="center"/>
    </xf>
    <xf numFmtId="0" fontId="120" fillId="0" borderId="25" applyFill="0">
      <alignment horizontal="left" vertical="center" indent="2"/>
    </xf>
    <xf numFmtId="0" fontId="124" fillId="0" borderId="0" applyNumberFormat="0" applyFill="0" applyBorder="0" applyAlignment="0" applyProtection="0"/>
    <xf numFmtId="0" fontId="1" fillId="0" borderId="0"/>
  </cellStyleXfs>
  <cellXfs count="731">
    <xf numFmtId="0" fontId="0" fillId="0" borderId="0" xfId="0"/>
    <xf numFmtId="0" fontId="8" fillId="0" borderId="0" xfId="0" applyFont="1" applyAlignment="1">
      <alignment horizontal="left" vertical="top"/>
    </xf>
    <xf numFmtId="0" fontId="11" fillId="0" borderId="0" xfId="0" applyFont="1"/>
    <xf numFmtId="0" fontId="13" fillId="0" borderId="0" xfId="0" applyFont="1" applyAlignment="1">
      <alignment horizontal="left" vertical="top" wrapText="1"/>
    </xf>
    <xf numFmtId="0" fontId="11" fillId="0" borderId="0" xfId="0" applyFont="1" applyAlignment="1">
      <alignment horizontal="center" vertical="center"/>
    </xf>
    <xf numFmtId="0" fontId="11" fillId="0" borderId="0" xfId="0" applyFont="1" applyAlignment="1">
      <alignment horizontal="center"/>
    </xf>
    <xf numFmtId="0" fontId="11" fillId="0" borderId="0" xfId="0" applyFont="1" applyAlignment="1">
      <alignment horizontal="left" vertical="top" wrapText="1"/>
    </xf>
    <xf numFmtId="0" fontId="31" fillId="0" borderId="0" xfId="3" applyAlignment="1">
      <alignment horizontal="left" vertical="top"/>
    </xf>
    <xf numFmtId="0" fontId="23" fillId="0" borderId="0" xfId="3" applyFont="1" applyAlignment="1">
      <alignment horizontal="left" vertical="top"/>
    </xf>
    <xf numFmtId="0" fontId="27" fillId="0" borderId="0" xfId="3" applyFont="1" applyAlignment="1">
      <alignment horizontal="left" vertical="top"/>
    </xf>
    <xf numFmtId="0" fontId="31" fillId="0" borderId="0" xfId="3" applyAlignment="1">
      <alignment horizontal="left" vertical="center"/>
    </xf>
    <xf numFmtId="0" fontId="31" fillId="0" borderId="0" xfId="3" applyAlignment="1">
      <alignment horizontal="center" vertical="center"/>
    </xf>
    <xf numFmtId="0" fontId="25" fillId="0" borderId="0" xfId="1" applyAlignment="1">
      <alignment horizontal="left" vertical="top"/>
    </xf>
    <xf numFmtId="0" fontId="25" fillId="0" borderId="0" xfId="1" applyAlignment="1">
      <alignment horizontal="center" vertical="top"/>
    </xf>
    <xf numFmtId="0" fontId="28" fillId="0" borderId="0" xfId="3" applyFont="1" applyAlignment="1">
      <alignment horizontal="right" vertical="center" wrapText="1"/>
    </xf>
    <xf numFmtId="0" fontId="36" fillId="6" borderId="0" xfId="2" applyFont="1" applyFill="1"/>
    <xf numFmtId="0" fontId="39" fillId="8" borderId="0" xfId="4" applyFont="1" applyFill="1"/>
    <xf numFmtId="0" fontId="5" fillId="0" borderId="0" xfId="4"/>
    <xf numFmtId="0" fontId="5" fillId="0" borderId="0" xfId="4" applyAlignment="1">
      <alignment horizontal="center"/>
    </xf>
    <xf numFmtId="0" fontId="44" fillId="0" borderId="0" xfId="1" applyFont="1" applyAlignment="1">
      <alignment horizontal="left" vertical="top"/>
    </xf>
    <xf numFmtId="0" fontId="11" fillId="0" borderId="1" xfId="0" applyFont="1" applyBorder="1"/>
    <xf numFmtId="0" fontId="48" fillId="0" borderId="0" xfId="0" applyFont="1"/>
    <xf numFmtId="0" fontId="13" fillId="0" borderId="0" xfId="0" applyFont="1" applyAlignment="1">
      <alignment vertical="top"/>
    </xf>
    <xf numFmtId="0" fontId="37" fillId="0" borderId="0" xfId="0" applyFont="1" applyAlignment="1">
      <alignment vertical="top" wrapText="1"/>
    </xf>
    <xf numFmtId="0" fontId="51" fillId="0" borderId="0" xfId="0" applyFont="1" applyAlignment="1">
      <alignment vertical="top" wrapText="1"/>
    </xf>
    <xf numFmtId="0" fontId="55" fillId="0" borderId="0" xfId="0" applyFont="1" applyAlignment="1">
      <alignment vertical="center" wrapText="1"/>
    </xf>
    <xf numFmtId="0" fontId="0" fillId="0" borderId="1" xfId="0" applyBorder="1" applyAlignment="1">
      <alignment horizontal="center" vertical="top" wrapText="1"/>
    </xf>
    <xf numFmtId="0" fontId="7" fillId="0" borderId="0" xfId="0" applyFont="1" applyAlignment="1">
      <alignment horizontal="left" vertical="top"/>
    </xf>
    <xf numFmtId="0" fontId="0" fillId="12" borderId="0" xfId="0" applyFill="1"/>
    <xf numFmtId="0" fontId="0" fillId="10" borderId="0" xfId="0" applyFill="1"/>
    <xf numFmtId="0" fontId="0" fillId="5" borderId="0" xfId="0" applyFill="1"/>
    <xf numFmtId="0" fontId="38" fillId="11" borderId="18" xfId="0" applyFont="1" applyFill="1" applyBorder="1" applyAlignment="1">
      <alignment horizontal="center" vertical="center"/>
    </xf>
    <xf numFmtId="0" fontId="38" fillId="11" borderId="1" xfId="0" applyFont="1" applyFill="1" applyBorder="1" applyAlignment="1">
      <alignment horizontal="center" vertical="center"/>
    </xf>
    <xf numFmtId="49" fontId="17" fillId="0" borderId="2" xfId="3" applyNumberFormat="1" applyFont="1" applyBorder="1" applyAlignment="1">
      <alignment horizontal="center" vertical="center"/>
    </xf>
    <xf numFmtId="0" fontId="56" fillId="0" borderId="13" xfId="0" applyFont="1" applyBorder="1" applyAlignment="1">
      <alignment horizontal="left" vertical="top"/>
    </xf>
    <xf numFmtId="0" fontId="11" fillId="12" borderId="2" xfId="0" applyFont="1" applyFill="1" applyBorder="1" applyAlignment="1">
      <alignment horizontal="left" vertical="top" wrapText="1"/>
    </xf>
    <xf numFmtId="0" fontId="45" fillId="0" borderId="0" xfId="0" applyFont="1"/>
    <xf numFmtId="0" fontId="11" fillId="5" borderId="2" xfId="0" applyFont="1" applyFill="1" applyBorder="1" applyAlignment="1">
      <alignment horizontal="left" vertical="top" wrapText="1"/>
    </xf>
    <xf numFmtId="0" fontId="51" fillId="0" borderId="0" xfId="0" applyFont="1" applyAlignment="1">
      <alignment horizontal="center" vertical="center"/>
    </xf>
    <xf numFmtId="0" fontId="51" fillId="0" borderId="0" xfId="0" applyFont="1" applyAlignment="1">
      <alignment horizontal="center" vertical="center" wrapText="1"/>
    </xf>
    <xf numFmtId="0" fontId="38" fillId="11" borderId="11" xfId="0" applyFont="1" applyFill="1" applyBorder="1" applyAlignment="1">
      <alignment horizontal="center" vertical="center"/>
    </xf>
    <xf numFmtId="0" fontId="38" fillId="11" borderId="15" xfId="0" applyFont="1" applyFill="1" applyBorder="1" applyAlignment="1">
      <alignment horizontal="center" vertical="center"/>
    </xf>
    <xf numFmtId="0" fontId="38" fillId="0" borderId="1" xfId="0" applyFont="1" applyBorder="1" applyAlignment="1">
      <alignment horizontal="center" vertical="center"/>
    </xf>
    <xf numFmtId="0" fontId="59" fillId="12" borderId="2" xfId="0" applyFont="1" applyFill="1" applyBorder="1" applyAlignment="1">
      <alignment horizontal="center" vertical="center"/>
    </xf>
    <xf numFmtId="49" fontId="0" fillId="0" borderId="0" xfId="0" applyNumberFormat="1" applyAlignment="1">
      <alignment vertical="center"/>
    </xf>
    <xf numFmtId="0" fontId="20" fillId="0" borderId="0" xfId="0" applyFont="1" applyAlignment="1">
      <alignment wrapText="1"/>
    </xf>
    <xf numFmtId="0" fontId="14" fillId="0" borderId="0" xfId="0" applyFont="1"/>
    <xf numFmtId="0" fontId="38" fillId="12" borderId="18" xfId="0" applyFont="1" applyFill="1" applyBorder="1" applyAlignment="1">
      <alignment horizontal="center" vertical="center"/>
    </xf>
    <xf numFmtId="49" fontId="17" fillId="0" borderId="2" xfId="3" applyNumberFormat="1" applyFont="1" applyBorder="1" applyAlignment="1">
      <alignment horizontal="center" vertical="center" wrapText="1"/>
    </xf>
    <xf numFmtId="0" fontId="10" fillId="0" borderId="2" xfId="3" applyFont="1" applyBorder="1" applyAlignment="1">
      <alignment horizontal="center" vertical="center" wrapText="1"/>
    </xf>
    <xf numFmtId="0" fontId="10" fillId="0" borderId="2" xfId="8" applyFont="1" applyBorder="1" applyAlignment="1">
      <alignment horizontal="center" vertical="center" wrapText="1"/>
    </xf>
    <xf numFmtId="0" fontId="19" fillId="0" borderId="2" xfId="3" applyFont="1" applyBorder="1" applyAlignment="1">
      <alignment horizontal="center" vertical="center" wrapText="1"/>
    </xf>
    <xf numFmtId="3" fontId="63" fillId="0" borderId="2" xfId="3" applyNumberFormat="1" applyFont="1" applyBorder="1" applyAlignment="1">
      <alignment horizontal="center" vertical="center" wrapText="1"/>
    </xf>
    <xf numFmtId="0" fontId="24" fillId="4" borderId="2" xfId="3" applyFont="1" applyFill="1" applyBorder="1" applyAlignment="1">
      <alignment horizontal="center" vertical="center" wrapText="1"/>
    </xf>
    <xf numFmtId="0" fontId="23" fillId="0" borderId="2" xfId="1" applyFont="1" applyBorder="1" applyAlignment="1">
      <alignment horizontal="center" vertical="top"/>
    </xf>
    <xf numFmtId="0" fontId="32" fillId="0" borderId="0" xfId="1" applyFont="1" applyAlignment="1">
      <alignment horizontal="left" vertical="top" wrapText="1"/>
    </xf>
    <xf numFmtId="0" fontId="68" fillId="0" borderId="0" xfId="1" applyFont="1" applyAlignment="1">
      <alignment vertical="center" wrapText="1"/>
    </xf>
    <xf numFmtId="165" fontId="21" fillId="0" borderId="0" xfId="1" applyNumberFormat="1" applyFont="1" applyAlignment="1">
      <alignment vertical="top" wrapText="1"/>
    </xf>
    <xf numFmtId="0" fontId="51" fillId="0" borderId="0" xfId="0" applyFont="1" applyAlignment="1">
      <alignment vertical="center" wrapText="1"/>
    </xf>
    <xf numFmtId="0" fontId="53" fillId="0" borderId="0" xfId="0" applyFont="1" applyAlignment="1">
      <alignment vertical="center"/>
    </xf>
    <xf numFmtId="0" fontId="51" fillId="0" borderId="0" xfId="0" applyFont="1" applyAlignment="1">
      <alignment vertical="center"/>
    </xf>
    <xf numFmtId="0" fontId="50" fillId="0" borderId="0" xfId="0" applyFont="1" applyAlignment="1">
      <alignment vertical="center" wrapText="1"/>
    </xf>
    <xf numFmtId="0" fontId="50" fillId="0" borderId="0" xfId="0" applyFont="1" applyAlignment="1">
      <alignment vertical="center"/>
    </xf>
    <xf numFmtId="0" fontId="0" fillId="0" borderId="0" xfId="0" applyAlignment="1">
      <alignment horizontal="center" vertical="center"/>
    </xf>
    <xf numFmtId="0" fontId="52" fillId="0" borderId="0" xfId="0" applyFont="1" applyAlignment="1">
      <alignment horizontal="center" vertical="center"/>
    </xf>
    <xf numFmtId="0" fontId="57" fillId="0" borderId="0" xfId="0" applyFont="1" applyAlignment="1">
      <alignment horizontal="center" vertical="center"/>
    </xf>
    <xf numFmtId="0" fontId="11" fillId="0" borderId="0" xfId="0" applyFont="1" applyAlignment="1">
      <alignment vertical="center"/>
    </xf>
    <xf numFmtId="0" fontId="54" fillId="0" borderId="0" xfId="0" applyFont="1"/>
    <xf numFmtId="49" fontId="11" fillId="0" borderId="0" xfId="0" applyNumberFormat="1" applyFont="1"/>
    <xf numFmtId="0" fontId="65" fillId="0" borderId="2" xfId="1" applyFont="1" applyBorder="1" applyAlignment="1">
      <alignment horizontal="center" vertical="center" wrapText="1"/>
    </xf>
    <xf numFmtId="0" fontId="34" fillId="0" borderId="0" xfId="1" applyFont="1" applyAlignment="1">
      <alignment horizontal="right" vertical="center" wrapText="1"/>
    </xf>
    <xf numFmtId="0" fontId="59" fillId="4" borderId="2" xfId="0" applyFont="1" applyFill="1" applyBorder="1" applyAlignment="1">
      <alignment horizontal="center" vertical="center" wrapText="1"/>
    </xf>
    <xf numFmtId="165" fontId="21" fillId="14" borderId="0" xfId="1" applyNumberFormat="1" applyFont="1" applyFill="1" applyAlignment="1">
      <alignment horizontal="center" vertical="center" wrapText="1"/>
    </xf>
    <xf numFmtId="0" fontId="58" fillId="0" borderId="0" xfId="0" applyFont="1" applyAlignment="1">
      <alignment vertical="top" wrapText="1"/>
    </xf>
    <xf numFmtId="0" fontId="11" fillId="5" borderId="2" xfId="0" applyFont="1" applyFill="1" applyBorder="1"/>
    <xf numFmtId="0" fontId="21" fillId="0" borderId="0" xfId="1" applyFont="1" applyAlignment="1">
      <alignment horizontal="center" vertical="center" wrapText="1"/>
    </xf>
    <xf numFmtId="0" fontId="11" fillId="12"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4" fillId="15" borderId="2" xfId="0" applyFont="1" applyFill="1" applyBorder="1" applyAlignment="1">
      <alignment horizontal="center" vertical="center" wrapText="1"/>
    </xf>
    <xf numFmtId="0" fontId="59" fillId="0" borderId="0" xfId="0" applyFont="1"/>
    <xf numFmtId="0" fontId="0" fillId="0" borderId="0" xfId="0" applyAlignment="1">
      <alignment horizontal="left"/>
    </xf>
    <xf numFmtId="0" fontId="46" fillId="0" borderId="0" xfId="0" applyFont="1" applyAlignment="1">
      <alignment vertical="top" wrapText="1"/>
    </xf>
    <xf numFmtId="0" fontId="12" fillId="0" borderId="0" xfId="0" applyFont="1" applyAlignment="1">
      <alignment vertical="top" wrapText="1"/>
    </xf>
    <xf numFmtId="0" fontId="38" fillId="0" borderId="2" xfId="0" applyFont="1" applyBorder="1" applyAlignment="1">
      <alignment horizontal="center" vertical="center"/>
    </xf>
    <xf numFmtId="0" fontId="71" fillId="0" borderId="2" xfId="0" applyFont="1" applyBorder="1" applyAlignment="1">
      <alignment horizontal="center" vertical="center"/>
    </xf>
    <xf numFmtId="0" fontId="11" fillId="0" borderId="2" xfId="0" applyFont="1" applyBorder="1" applyAlignment="1">
      <alignment horizontal="left" vertical="center" wrapText="1"/>
    </xf>
    <xf numFmtId="0" fontId="38" fillId="12" borderId="2" xfId="0" applyFont="1" applyFill="1" applyBorder="1" applyAlignment="1">
      <alignment horizontal="center" vertical="center"/>
    </xf>
    <xf numFmtId="0" fontId="77" fillId="6" borderId="0" xfId="2" applyFont="1" applyFill="1"/>
    <xf numFmtId="49" fontId="11" fillId="0" borderId="0" xfId="2" applyNumberFormat="1" applyFont="1"/>
    <xf numFmtId="0" fontId="36" fillId="0" borderId="0" xfId="2" applyFont="1"/>
    <xf numFmtId="0" fontId="11" fillId="0" borderId="0" xfId="2" applyFont="1" applyAlignment="1">
      <alignment vertical="top"/>
    </xf>
    <xf numFmtId="0" fontId="15" fillId="0" borderId="0" xfId="2" applyFont="1"/>
    <xf numFmtId="0" fontId="39" fillId="11" borderId="0" xfId="4" applyFont="1" applyFill="1"/>
    <xf numFmtId="0" fontId="23" fillId="0" borderId="0" xfId="1" applyFont="1" applyAlignment="1">
      <alignment horizontal="center" vertical="top"/>
    </xf>
    <xf numFmtId="0" fontId="69" fillId="3" borderId="2" xfId="1" applyFont="1" applyFill="1" applyBorder="1" applyAlignment="1">
      <alignment horizontal="center" vertical="center"/>
    </xf>
    <xf numFmtId="0" fontId="18" fillId="0" borderId="2" xfId="0" applyFont="1" applyBorder="1" applyAlignment="1">
      <alignment horizontal="center" vertical="center" wrapText="1"/>
    </xf>
    <xf numFmtId="0" fontId="1" fillId="0" borderId="0" xfId="4" applyFont="1"/>
    <xf numFmtId="0" fontId="83" fillId="0" borderId="0" xfId="0" applyFont="1"/>
    <xf numFmtId="0" fontId="47" fillId="12" borderId="2" xfId="0" applyFont="1" applyFill="1" applyBorder="1" applyAlignment="1">
      <alignment horizontal="center" vertical="center" wrapText="1"/>
    </xf>
    <xf numFmtId="165" fontId="21" fillId="0" borderId="0" xfId="1" applyNumberFormat="1" applyFont="1" applyAlignment="1">
      <alignment horizontal="center" vertical="center" wrapText="1"/>
    </xf>
    <xf numFmtId="0" fontId="11" fillId="3" borderId="0" xfId="0" applyFont="1" applyFill="1" applyAlignment="1">
      <alignment horizontal="center" vertical="center"/>
    </xf>
    <xf numFmtId="0" fontId="18" fillId="3" borderId="2" xfId="0" applyFont="1" applyFill="1" applyBorder="1" applyAlignment="1">
      <alignment horizontal="center" vertical="center" wrapText="1"/>
    </xf>
    <xf numFmtId="0" fontId="78" fillId="12" borderId="2" xfId="0" applyFont="1" applyFill="1" applyBorder="1" applyAlignment="1">
      <alignment horizontal="center" vertical="center"/>
    </xf>
    <xf numFmtId="0" fontId="59" fillId="12" borderId="12" xfId="0" applyFont="1" applyFill="1" applyBorder="1"/>
    <xf numFmtId="0" fontId="14" fillId="15" borderId="6" xfId="0" applyFont="1" applyFill="1" applyBorder="1" applyAlignment="1">
      <alignment horizontal="center" vertical="center" wrapText="1"/>
    </xf>
    <xf numFmtId="49" fontId="35" fillId="3" borderId="2" xfId="1" applyNumberFormat="1" applyFont="1" applyFill="1" applyBorder="1" applyAlignment="1">
      <alignment horizontal="center" vertical="center" wrapText="1"/>
    </xf>
    <xf numFmtId="49" fontId="89" fillId="3" borderId="2" xfId="1" applyNumberFormat="1" applyFont="1" applyFill="1" applyBorder="1" applyAlignment="1">
      <alignment horizontal="center" vertical="top" wrapText="1"/>
    </xf>
    <xf numFmtId="49" fontId="89" fillId="3" borderId="2" xfId="1" applyNumberFormat="1" applyFont="1" applyFill="1" applyBorder="1" applyAlignment="1">
      <alignment horizontal="center" vertical="center" wrapText="1"/>
    </xf>
    <xf numFmtId="49" fontId="11" fillId="3" borderId="2" xfId="2" applyNumberFormat="1" applyFont="1" applyFill="1" applyBorder="1" applyAlignment="1">
      <alignment horizontal="center"/>
    </xf>
    <xf numFmtId="0" fontId="6" fillId="0" borderId="0" xfId="0" applyFont="1" applyAlignment="1">
      <alignment horizontal="right"/>
    </xf>
    <xf numFmtId="0" fontId="47" fillId="15" borderId="2" xfId="0" applyFont="1" applyFill="1" applyBorder="1" applyAlignment="1">
      <alignment horizontal="center" vertical="center" wrapText="1"/>
    </xf>
    <xf numFmtId="0" fontId="14" fillId="15" borderId="2" xfId="0" applyFont="1" applyFill="1" applyBorder="1" applyAlignment="1">
      <alignment vertical="center" wrapText="1"/>
    </xf>
    <xf numFmtId="0" fontId="18" fillId="15" borderId="2" xfId="0" applyFont="1" applyFill="1" applyBorder="1" applyAlignment="1">
      <alignment horizontal="center" vertical="center" wrapText="1"/>
    </xf>
    <xf numFmtId="164" fontId="17" fillId="4" borderId="2" xfId="1" applyNumberFormat="1" applyFont="1" applyFill="1" applyBorder="1" applyAlignment="1">
      <alignment horizontal="center" vertical="center" wrapText="1"/>
    </xf>
    <xf numFmtId="0" fontId="18" fillId="0" borderId="0" xfId="0" applyFont="1"/>
    <xf numFmtId="0" fontId="23" fillId="0" borderId="0" xfId="1" applyFont="1" applyAlignment="1">
      <alignment horizontal="left" vertical="top"/>
    </xf>
    <xf numFmtId="0" fontId="25" fillId="17" borderId="11" xfId="1" applyFill="1" applyBorder="1" applyAlignment="1">
      <alignment horizontal="center" vertical="top"/>
    </xf>
    <xf numFmtId="164" fontId="33" fillId="17" borderId="16" xfId="1" applyNumberFormat="1" applyFont="1" applyFill="1" applyBorder="1" applyAlignment="1">
      <alignment horizontal="center" vertical="top" wrapText="1"/>
    </xf>
    <xf numFmtId="164" fontId="33" fillId="4" borderId="4" xfId="1" applyNumberFormat="1" applyFont="1" applyFill="1" applyBorder="1" applyAlignment="1">
      <alignment horizontal="center" vertical="top" wrapText="1"/>
    </xf>
    <xf numFmtId="0" fontId="25" fillId="17" borderId="8" xfId="1" applyFill="1" applyBorder="1" applyAlignment="1">
      <alignment horizontal="center" vertical="top"/>
    </xf>
    <xf numFmtId="164" fontId="33" fillId="17" borderId="9" xfId="1" applyNumberFormat="1" applyFont="1" applyFill="1" applyBorder="1" applyAlignment="1">
      <alignment horizontal="center" vertical="top" wrapText="1"/>
    </xf>
    <xf numFmtId="0" fontId="44" fillId="0" borderId="15" xfId="1" applyFont="1" applyBorder="1" applyAlignment="1">
      <alignment vertical="top" wrapText="1"/>
    </xf>
    <xf numFmtId="0" fontId="44" fillId="0" borderId="1" xfId="1" applyFont="1" applyBorder="1" applyAlignment="1">
      <alignment vertical="top" wrapText="1"/>
    </xf>
    <xf numFmtId="0" fontId="11" fillId="0" borderId="0" xfId="2" applyFont="1" applyAlignment="1">
      <alignment vertical="center"/>
    </xf>
    <xf numFmtId="0" fontId="0" fillId="6" borderId="0" xfId="0" applyFill="1"/>
    <xf numFmtId="0" fontId="0" fillId="6" borderId="1" xfId="0" applyFill="1" applyBorder="1" applyAlignment="1">
      <alignment horizontal="center" vertical="top" wrapText="1"/>
    </xf>
    <xf numFmtId="0" fontId="90" fillId="6" borderId="0" xfId="2" applyFont="1" applyFill="1" applyAlignment="1">
      <alignment horizontal="center" vertical="center"/>
    </xf>
    <xf numFmtId="0" fontId="94" fillId="6" borderId="0" xfId="2" applyFont="1" applyFill="1" applyAlignment="1">
      <alignment horizontal="center" vertical="center" wrapText="1"/>
    </xf>
    <xf numFmtId="164" fontId="21" fillId="0" borderId="0" xfId="1" applyNumberFormat="1" applyFont="1" applyAlignment="1">
      <alignment vertical="top"/>
    </xf>
    <xf numFmtId="49" fontId="10" fillId="0" borderId="0" xfId="0" applyNumberFormat="1" applyFont="1" applyAlignment="1">
      <alignment horizontal="center" vertical="center" wrapText="1"/>
    </xf>
    <xf numFmtId="0" fontId="26" fillId="0" borderId="0" xfId="3" applyFont="1" applyAlignment="1">
      <alignment horizontal="left" vertical="top"/>
    </xf>
    <xf numFmtId="0" fontId="95" fillId="0" borderId="0" xfId="1" applyFont="1" applyAlignment="1">
      <alignment horizontal="left" vertical="top"/>
    </xf>
    <xf numFmtId="0" fontId="4" fillId="0" borderId="0" xfId="5"/>
    <xf numFmtId="0" fontId="52" fillId="0" borderId="0" xfId="0" applyFont="1"/>
    <xf numFmtId="0" fontId="18" fillId="0" borderId="2" xfId="1" applyFont="1" applyBorder="1" applyAlignment="1">
      <alignment horizontal="center" vertical="top" wrapText="1"/>
    </xf>
    <xf numFmtId="0" fontId="11" fillId="10" borderId="2" xfId="0" applyFont="1" applyFill="1" applyBorder="1" applyAlignment="1">
      <alignment horizontal="left" vertical="top" wrapText="1"/>
    </xf>
    <xf numFmtId="0" fontId="52" fillId="12" borderId="0" xfId="0" applyFont="1" applyFill="1"/>
    <xf numFmtId="0" fontId="52" fillId="10" borderId="0" xfId="0" applyFont="1" applyFill="1"/>
    <xf numFmtId="0" fontId="52" fillId="5" borderId="0" xfId="0" applyFont="1" applyFill="1"/>
    <xf numFmtId="0" fontId="52" fillId="0" borderId="0" xfId="0" applyFont="1" applyAlignment="1">
      <alignment horizontal="center"/>
    </xf>
    <xf numFmtId="0" fontId="52" fillId="0" borderId="0" xfId="0" applyFont="1" applyAlignment="1">
      <alignment horizontal="left" vertical="top"/>
    </xf>
    <xf numFmtId="0" fontId="52" fillId="0" borderId="12" xfId="0" applyFont="1" applyBorder="1" applyAlignment="1">
      <alignment horizontal="left" vertical="center"/>
    </xf>
    <xf numFmtId="0" fontId="52" fillId="0" borderId="13" xfId="0" applyFont="1" applyBorder="1" applyAlignment="1">
      <alignment horizontal="left" vertical="top"/>
    </xf>
    <xf numFmtId="0" fontId="52" fillId="0" borderId="13" xfId="0" applyFont="1" applyBorder="1" applyAlignment="1">
      <alignment horizontal="right" vertical="center"/>
    </xf>
    <xf numFmtId="0" fontId="18" fillId="12" borderId="12" xfId="0" applyFont="1" applyFill="1" applyBorder="1"/>
    <xf numFmtId="0" fontId="18" fillId="10" borderId="2" xfId="0" applyFont="1" applyFill="1" applyBorder="1" applyAlignment="1">
      <alignment horizontal="right" vertical="center"/>
    </xf>
    <xf numFmtId="0" fontId="18" fillId="12" borderId="2" xfId="0" applyFont="1" applyFill="1" applyBorder="1"/>
    <xf numFmtId="0" fontId="18" fillId="0" borderId="0" xfId="0" applyFont="1" applyAlignment="1">
      <alignment horizontal="right"/>
    </xf>
    <xf numFmtId="0" fontId="18" fillId="13" borderId="2" xfId="0" applyFont="1" applyFill="1" applyBorder="1"/>
    <xf numFmtId="0" fontId="41" fillId="0" borderId="0" xfId="0" applyFont="1" applyAlignment="1">
      <alignment horizontal="center" vertical="center"/>
    </xf>
    <xf numFmtId="0" fontId="18" fillId="0" borderId="0" xfId="0" applyFont="1" applyAlignment="1">
      <alignment horizontal="center"/>
    </xf>
    <xf numFmtId="0" fontId="18" fillId="0" borderId="0" xfId="0" applyFont="1" applyAlignment="1">
      <alignment horizontal="center" vertical="center"/>
    </xf>
    <xf numFmtId="0" fontId="100" fillId="0" borderId="0" xfId="0" applyFont="1" applyAlignment="1">
      <alignment horizontal="right"/>
    </xf>
    <xf numFmtId="0" fontId="18" fillId="0" borderId="0" xfId="0" applyFont="1" applyAlignment="1">
      <alignment horizontal="left" vertical="top" wrapText="1"/>
    </xf>
    <xf numFmtId="0" fontId="100" fillId="0" borderId="0" xfId="0" applyFont="1"/>
    <xf numFmtId="3" fontId="18" fillId="13" borderId="2" xfId="3" applyNumberFormat="1" applyFont="1" applyFill="1" applyBorder="1" applyAlignment="1">
      <alignment horizontal="center" vertical="center" wrapText="1"/>
    </xf>
    <xf numFmtId="0" fontId="18" fillId="0" borderId="2" xfId="3" applyFont="1" applyBorder="1" applyAlignment="1">
      <alignment horizontal="center" vertical="center" wrapText="1"/>
    </xf>
    <xf numFmtId="0" fontId="19" fillId="0" borderId="2" xfId="3" quotePrefix="1" applyFont="1" applyBorder="1" applyAlignment="1">
      <alignment horizontal="center" vertical="center" wrapText="1"/>
    </xf>
    <xf numFmtId="3" fontId="19" fillId="4" borderId="2" xfId="3" applyNumberFormat="1" applyFont="1" applyFill="1" applyBorder="1" applyAlignment="1">
      <alignment horizontal="center" vertical="center" wrapText="1"/>
    </xf>
    <xf numFmtId="0" fontId="19" fillId="13" borderId="2" xfId="3" applyFont="1" applyFill="1" applyBorder="1" applyAlignment="1">
      <alignment horizontal="center" vertical="center" wrapText="1"/>
    </xf>
    <xf numFmtId="0" fontId="13" fillId="4" borderId="10" xfId="0" applyFont="1" applyFill="1" applyBorder="1" applyAlignment="1">
      <alignment vertical="top"/>
    </xf>
    <xf numFmtId="0" fontId="13" fillId="4" borderId="13" xfId="0" applyFont="1" applyFill="1" applyBorder="1" applyAlignment="1">
      <alignment vertical="top"/>
    </xf>
    <xf numFmtId="0" fontId="13" fillId="4" borderId="12" xfId="0" applyFont="1" applyFill="1" applyBorder="1" applyAlignment="1">
      <alignment vertical="top"/>
    </xf>
    <xf numFmtId="0" fontId="13" fillId="4" borderId="2" xfId="0" applyFont="1" applyFill="1" applyBorder="1" applyAlignment="1">
      <alignment vertical="top"/>
    </xf>
    <xf numFmtId="0" fontId="13" fillId="4" borderId="2" xfId="0" applyFont="1" applyFill="1" applyBorder="1" applyAlignment="1">
      <alignment horizontal="right" vertical="top"/>
    </xf>
    <xf numFmtId="0" fontId="104" fillId="12" borderId="2" xfId="1" applyFont="1" applyFill="1" applyBorder="1" applyAlignment="1">
      <alignment horizontal="center" vertical="top" wrapText="1"/>
    </xf>
    <xf numFmtId="0" fontId="104" fillId="12" borderId="6" xfId="1" applyFont="1" applyFill="1" applyBorder="1" applyAlignment="1">
      <alignment horizontal="center" vertical="top" wrapText="1"/>
    </xf>
    <xf numFmtId="0" fontId="105" fillId="12" borderId="2" xfId="1" applyFont="1" applyFill="1" applyBorder="1" applyAlignment="1">
      <alignment horizontal="center" vertical="center" wrapText="1"/>
    </xf>
    <xf numFmtId="0" fontId="104" fillId="12" borderId="2" xfId="1" applyFont="1" applyFill="1" applyBorder="1" applyAlignment="1">
      <alignment vertical="top" wrapText="1"/>
    </xf>
    <xf numFmtId="0" fontId="106" fillId="5" borderId="2" xfId="1" applyFont="1" applyFill="1" applyBorder="1" applyAlignment="1">
      <alignment horizontal="center" vertical="top" wrapText="1"/>
    </xf>
    <xf numFmtId="164" fontId="104" fillId="4" borderId="2" xfId="1" applyNumberFormat="1" applyFont="1" applyFill="1" applyBorder="1" applyAlignment="1">
      <alignment horizontal="center" vertical="top" wrapText="1"/>
    </xf>
    <xf numFmtId="0" fontId="105" fillId="0" borderId="2" xfId="1" applyFont="1" applyBorder="1" applyAlignment="1">
      <alignment horizontal="center" vertical="center" wrapText="1"/>
    </xf>
    <xf numFmtId="0" fontId="104" fillId="0" borderId="0" xfId="1" applyFont="1" applyAlignment="1">
      <alignment horizontal="center" vertical="top" wrapText="1"/>
    </xf>
    <xf numFmtId="0" fontId="10" fillId="0" borderId="15" xfId="1" applyFont="1" applyBorder="1" applyAlignment="1">
      <alignment horizontal="right" vertical="center" wrapText="1"/>
    </xf>
    <xf numFmtId="0" fontId="10" fillId="0" borderId="0" xfId="1" applyFont="1" applyAlignment="1">
      <alignment horizontal="right" vertical="center" wrapText="1"/>
    </xf>
    <xf numFmtId="0" fontId="19" fillId="0" borderId="0" xfId="1" applyFont="1" applyAlignment="1">
      <alignment horizontal="right" vertical="top"/>
    </xf>
    <xf numFmtId="164" fontId="21" fillId="4" borderId="2" xfId="1" applyNumberFormat="1" applyFont="1" applyFill="1" applyBorder="1" applyAlignment="1">
      <alignment horizontal="center" vertical="top" wrapText="1"/>
    </xf>
    <xf numFmtId="164" fontId="104" fillId="7" borderId="10" xfId="1" applyNumberFormat="1" applyFont="1" applyFill="1" applyBorder="1" applyAlignment="1">
      <alignment horizontal="center" vertical="top" wrapText="1"/>
    </xf>
    <xf numFmtId="0" fontId="103" fillId="7" borderId="13" xfId="1" applyFont="1" applyFill="1" applyBorder="1" applyAlignment="1">
      <alignment horizontal="left" vertical="top"/>
    </xf>
    <xf numFmtId="0" fontId="103" fillId="7" borderId="12" xfId="1" applyFont="1" applyFill="1" applyBorder="1" applyAlignment="1">
      <alignment horizontal="left" vertical="top"/>
    </xf>
    <xf numFmtId="0" fontId="18" fillId="16" borderId="11" xfId="2" applyFont="1" applyFill="1" applyBorder="1"/>
    <xf numFmtId="0" fontId="107" fillId="16" borderId="15" xfId="2" applyFont="1" applyFill="1" applyBorder="1"/>
    <xf numFmtId="49" fontId="18" fillId="16" borderId="16" xfId="2" applyNumberFormat="1" applyFont="1" applyFill="1" applyBorder="1"/>
    <xf numFmtId="0" fontId="101" fillId="16" borderId="8" xfId="2" applyFont="1" applyFill="1" applyBorder="1"/>
    <xf numFmtId="0" fontId="57" fillId="16" borderId="0" xfId="2" applyFont="1" applyFill="1"/>
    <xf numFmtId="0" fontId="107" fillId="16" borderId="0" xfId="2" applyFont="1" applyFill="1"/>
    <xf numFmtId="0" fontId="18" fillId="16" borderId="9" xfId="2" applyFont="1" applyFill="1" applyBorder="1" applyAlignment="1">
      <alignment vertical="top"/>
    </xf>
    <xf numFmtId="0" fontId="101" fillId="5" borderId="2" xfId="2" applyFont="1" applyFill="1" applyBorder="1" applyAlignment="1">
      <alignment horizontal="left" vertical="center" wrapText="1"/>
    </xf>
    <xf numFmtId="0" fontId="53" fillId="0" borderId="0" xfId="0" applyFont="1" applyAlignment="1">
      <alignment vertical="center" wrapText="1"/>
    </xf>
    <xf numFmtId="0" fontId="57" fillId="13" borderId="2" xfId="0" applyFont="1" applyFill="1" applyBorder="1" applyAlignment="1">
      <alignment vertical="center" wrapText="1"/>
    </xf>
    <xf numFmtId="0" fontId="52" fillId="10" borderId="2" xfId="0" applyFont="1" applyFill="1" applyBorder="1"/>
    <xf numFmtId="0" fontId="57" fillId="12" borderId="2" xfId="0" applyFont="1" applyFill="1" applyBorder="1" applyAlignment="1">
      <alignment horizontal="center" vertical="center"/>
    </xf>
    <xf numFmtId="0" fontId="57" fillId="0" borderId="0" xfId="0" applyFont="1" applyAlignment="1">
      <alignment vertical="center"/>
    </xf>
    <xf numFmtId="0" fontId="52" fillId="6" borderId="0" xfId="0" applyFont="1" applyFill="1" applyAlignment="1">
      <alignment horizontal="center"/>
    </xf>
    <xf numFmtId="0" fontId="53" fillId="0" borderId="0" xfId="0" applyFont="1" applyAlignment="1">
      <alignment horizontal="center"/>
    </xf>
    <xf numFmtId="0" fontId="109" fillId="5" borderId="2" xfId="0" applyFont="1" applyFill="1" applyBorder="1" applyAlignment="1">
      <alignment horizontal="center" vertical="center" wrapText="1"/>
    </xf>
    <xf numFmtId="0" fontId="18" fillId="12"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8" fillId="13" borderId="2" xfId="0" applyFont="1" applyFill="1" applyBorder="1" applyAlignment="1">
      <alignment horizontal="center" vertical="center" wrapText="1"/>
    </xf>
    <xf numFmtId="0" fontId="109" fillId="15" borderId="2"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8" fillId="4" borderId="6" xfId="0" applyFont="1" applyFill="1" applyBorder="1" applyAlignment="1">
      <alignment horizontal="left" vertical="top" wrapText="1"/>
    </xf>
    <xf numFmtId="0" fontId="18" fillId="4" borderId="2" xfId="0" applyFont="1" applyFill="1" applyBorder="1"/>
    <xf numFmtId="0" fontId="19" fillId="12"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13" borderId="2"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19" fillId="4" borderId="6" xfId="0" applyFont="1" applyFill="1" applyBorder="1" applyAlignment="1">
      <alignment horizontal="left" vertical="top" wrapText="1"/>
    </xf>
    <xf numFmtId="0" fontId="19" fillId="4" borderId="2" xfId="0" applyFont="1" applyFill="1" applyBorder="1"/>
    <xf numFmtId="0" fontId="19" fillId="4" borderId="2" xfId="0" applyFont="1" applyFill="1" applyBorder="1" applyAlignment="1">
      <alignment wrapText="1"/>
    </xf>
    <xf numFmtId="0" fontId="19" fillId="0" borderId="0" xfId="0" applyFont="1" applyAlignment="1">
      <alignment horizontal="right" vertical="center"/>
    </xf>
    <xf numFmtId="0" fontId="19" fillId="5" borderId="2" xfId="0" applyFont="1" applyFill="1" applyBorder="1" applyAlignment="1">
      <alignment horizontal="center" vertical="center" wrapText="1"/>
    </xf>
    <xf numFmtId="0" fontId="99" fillId="0" borderId="0" xfId="0" applyFont="1" applyAlignment="1">
      <alignment horizontal="right"/>
    </xf>
    <xf numFmtId="0" fontId="106" fillId="5" borderId="2" xfId="1" applyFont="1" applyFill="1" applyBorder="1" applyAlignment="1">
      <alignment horizontal="center" vertical="center" wrapText="1"/>
    </xf>
    <xf numFmtId="0" fontId="19" fillId="0" borderId="0" xfId="1" applyFont="1" applyAlignment="1">
      <alignment horizontal="right" vertical="center"/>
    </xf>
    <xf numFmtId="164" fontId="40" fillId="4" borderId="2" xfId="1" applyNumberFormat="1" applyFont="1" applyFill="1" applyBorder="1" applyAlignment="1">
      <alignment horizontal="center" vertical="top" wrapText="1"/>
    </xf>
    <xf numFmtId="0" fontId="98" fillId="6" borderId="0" xfId="2" applyFont="1" applyFill="1" applyAlignment="1">
      <alignment horizontal="left" wrapText="1"/>
    </xf>
    <xf numFmtId="0" fontId="23" fillId="0" borderId="0" xfId="1" applyFont="1" applyAlignment="1">
      <alignment vertical="top" wrapText="1"/>
    </xf>
    <xf numFmtId="0" fontId="52" fillId="5" borderId="4" xfId="0" applyFont="1" applyFill="1" applyBorder="1"/>
    <xf numFmtId="0" fontId="53" fillId="5" borderId="4" xfId="0" applyFont="1" applyFill="1" applyBorder="1" applyAlignment="1">
      <alignment vertical="center"/>
    </xf>
    <xf numFmtId="0" fontId="53" fillId="5" borderId="4" xfId="0" applyFont="1" applyFill="1" applyBorder="1" applyAlignment="1">
      <alignment vertical="center" wrapText="1"/>
    </xf>
    <xf numFmtId="0" fontId="114" fillId="0" borderId="0" xfId="0" applyFont="1"/>
    <xf numFmtId="164" fontId="21" fillId="0" borderId="0" xfId="1" applyNumberFormat="1" applyFont="1" applyAlignment="1">
      <alignment horizontal="center" vertical="center" wrapText="1"/>
    </xf>
    <xf numFmtId="0" fontId="17" fillId="12" borderId="2" xfId="1" applyFont="1" applyFill="1" applyBorder="1" applyAlignment="1">
      <alignment horizontal="center" vertical="center" wrapText="1"/>
    </xf>
    <xf numFmtId="0" fontId="38" fillId="12" borderId="10" xfId="0" applyFont="1" applyFill="1" applyBorder="1" applyAlignment="1">
      <alignment horizontal="center" vertical="center"/>
    </xf>
    <xf numFmtId="0" fontId="45" fillId="0" borderId="0" xfId="0" applyFont="1" applyAlignment="1">
      <alignment vertical="center" wrapText="1"/>
    </xf>
    <xf numFmtId="0" fontId="52" fillId="0" borderId="12" xfId="0" applyFont="1" applyBorder="1" applyAlignment="1">
      <alignment horizontal="right" vertical="center"/>
    </xf>
    <xf numFmtId="0" fontId="119" fillId="0" borderId="0" xfId="0" applyFont="1" applyAlignment="1">
      <alignment horizontal="center" vertical="center"/>
    </xf>
    <xf numFmtId="0" fontId="45" fillId="0" borderId="0" xfId="0" applyFont="1" applyAlignment="1">
      <alignment vertical="center"/>
    </xf>
    <xf numFmtId="0" fontId="38" fillId="0" borderId="0" xfId="0" applyFont="1" applyAlignment="1">
      <alignment horizontal="center" vertical="center"/>
    </xf>
    <xf numFmtId="0" fontId="6" fillId="0" borderId="0" xfId="0" applyFont="1"/>
    <xf numFmtId="0" fontId="6" fillId="9" borderId="2" xfId="0" applyFont="1" applyFill="1" applyBorder="1" applyAlignment="1">
      <alignment horizontal="left"/>
    </xf>
    <xf numFmtId="0" fontId="6" fillId="9" borderId="2" xfId="0" applyFont="1" applyFill="1" applyBorder="1"/>
    <xf numFmtId="0" fontId="52" fillId="6" borderId="12" xfId="0" applyFont="1" applyFill="1" applyBorder="1" applyAlignment="1">
      <alignment horizontal="left" vertical="center"/>
    </xf>
    <xf numFmtId="0" fontId="56" fillId="6" borderId="13" xfId="0" applyFont="1" applyFill="1" applyBorder="1" applyAlignment="1">
      <alignment horizontal="left" vertical="top"/>
    </xf>
    <xf numFmtId="0" fontId="52" fillId="6" borderId="13" xfId="0" applyFont="1" applyFill="1" applyBorder="1" applyAlignment="1">
      <alignment horizontal="left" vertical="top"/>
    </xf>
    <xf numFmtId="0" fontId="52" fillId="6" borderId="13" xfId="0" applyFont="1" applyFill="1" applyBorder="1" applyAlignment="1">
      <alignment horizontal="right" vertical="center"/>
    </xf>
    <xf numFmtId="0" fontId="52" fillId="6" borderId="12" xfId="0" applyFont="1" applyFill="1" applyBorder="1" applyAlignment="1">
      <alignment horizontal="right" vertical="center"/>
    </xf>
    <xf numFmtId="0" fontId="8" fillId="6" borderId="0" xfId="0" applyFont="1" applyFill="1" applyAlignment="1">
      <alignment horizontal="left" vertical="top"/>
    </xf>
    <xf numFmtId="0" fontId="52" fillId="6" borderId="0" xfId="0" applyFont="1" applyFill="1" applyAlignment="1">
      <alignment horizontal="left" vertical="top"/>
    </xf>
    <xf numFmtId="0" fontId="7" fillId="6" borderId="0" xfId="0" applyFont="1" applyFill="1" applyAlignment="1">
      <alignment horizontal="left" vertical="top"/>
    </xf>
    <xf numFmtId="0" fontId="130" fillId="6" borderId="0" xfId="0" applyFont="1" applyFill="1" applyAlignment="1">
      <alignment horizontal="left" vertical="top"/>
    </xf>
    <xf numFmtId="0" fontId="0" fillId="6" borderId="0" xfId="0" applyFill="1" applyAlignment="1">
      <alignment horizontal="left" vertical="top"/>
    </xf>
    <xf numFmtId="0" fontId="0" fillId="6" borderId="12" xfId="0" applyFill="1" applyBorder="1" applyAlignment="1">
      <alignment horizontal="left" vertical="center"/>
    </xf>
    <xf numFmtId="0" fontId="1" fillId="6" borderId="13" xfId="0" applyFont="1" applyFill="1" applyBorder="1" applyAlignment="1">
      <alignment horizontal="left" vertical="top"/>
    </xf>
    <xf numFmtId="0" fontId="0" fillId="6" borderId="13" xfId="0" applyFill="1" applyBorder="1" applyAlignment="1">
      <alignment horizontal="left" vertical="top"/>
    </xf>
    <xf numFmtId="0" fontId="0" fillId="6" borderId="13" xfId="0" applyFill="1" applyBorder="1" applyAlignment="1">
      <alignment horizontal="right" vertical="center"/>
    </xf>
    <xf numFmtId="0" fontId="0" fillId="6" borderId="12" xfId="0" applyFill="1" applyBorder="1" applyAlignment="1">
      <alignment horizontal="right" vertical="center"/>
    </xf>
    <xf numFmtId="0" fontId="131" fillId="6" borderId="0" xfId="0" applyFont="1" applyFill="1" applyAlignment="1">
      <alignment horizontal="left" vertical="top"/>
    </xf>
    <xf numFmtId="0" fontId="132" fillId="6" borderId="0" xfId="0" applyFont="1" applyFill="1" applyAlignment="1">
      <alignment horizontal="left" vertical="top"/>
    </xf>
    <xf numFmtId="0" fontId="0" fillId="6" borderId="0" xfId="0" applyFill="1" applyAlignment="1">
      <alignment horizontal="center"/>
    </xf>
    <xf numFmtId="0" fontId="11" fillId="6" borderId="0" xfId="0" applyFont="1" applyFill="1"/>
    <xf numFmtId="0" fontId="0" fillId="6" borderId="15" xfId="0" applyFill="1" applyBorder="1"/>
    <xf numFmtId="0" fontId="0" fillId="6" borderId="16" xfId="0" applyFill="1" applyBorder="1"/>
    <xf numFmtId="0" fontId="18" fillId="6" borderId="8" xfId="0" applyFont="1" applyFill="1" applyBorder="1"/>
    <xf numFmtId="0" fontId="0" fillId="6" borderId="9" xfId="0" applyFill="1" applyBorder="1"/>
    <xf numFmtId="0" fontId="11" fillId="6" borderId="1" xfId="0" applyFont="1" applyFill="1" applyBorder="1" applyAlignment="1">
      <alignment horizontal="left"/>
    </xf>
    <xf numFmtId="0" fontId="11" fillId="6" borderId="17" xfId="0" applyFont="1" applyFill="1" applyBorder="1"/>
    <xf numFmtId="0" fontId="11" fillId="6" borderId="15" xfId="0" applyFont="1" applyFill="1" applyBorder="1"/>
    <xf numFmtId="49" fontId="11" fillId="6" borderId="2" xfId="0" applyNumberFormat="1" applyFont="1" applyFill="1" applyBorder="1" applyAlignment="1">
      <alignment horizontal="center" vertical="center"/>
    </xf>
    <xf numFmtId="0" fontId="59" fillId="6" borderId="2" xfId="3" applyFont="1" applyFill="1" applyBorder="1" applyAlignment="1">
      <alignment horizontal="center" vertical="center" wrapText="1"/>
    </xf>
    <xf numFmtId="49" fontId="135" fillId="6" borderId="2" xfId="3" applyNumberFormat="1" applyFont="1" applyFill="1" applyBorder="1" applyAlignment="1">
      <alignment horizontal="center" vertical="center"/>
    </xf>
    <xf numFmtId="0" fontId="25" fillId="6" borderId="0" xfId="1" applyFill="1" applyAlignment="1">
      <alignment horizontal="center" vertical="top"/>
    </xf>
    <xf numFmtId="0" fontId="109" fillId="6" borderId="0" xfId="0" applyFont="1" applyFill="1"/>
    <xf numFmtId="0" fontId="111" fillId="6" borderId="0" xfId="0" applyFont="1" applyFill="1"/>
    <xf numFmtId="0" fontId="90" fillId="6" borderId="0" xfId="0" applyFont="1" applyFill="1" applyAlignment="1">
      <alignment vertical="center"/>
    </xf>
    <xf numFmtId="0" fontId="90" fillId="6" borderId="0" xfId="0" applyFont="1" applyFill="1" applyAlignment="1">
      <alignment vertical="center" wrapText="1"/>
    </xf>
    <xf numFmtId="0" fontId="11" fillId="6" borderId="0" xfId="2" applyFont="1" applyFill="1" applyAlignment="1">
      <alignment horizontal="center"/>
    </xf>
    <xf numFmtId="165" fontId="21" fillId="6" borderId="0" xfId="1" applyNumberFormat="1" applyFont="1" applyFill="1" applyAlignment="1">
      <alignment horizontal="center" vertical="center" wrapText="1"/>
    </xf>
    <xf numFmtId="164" fontId="21" fillId="6" borderId="0" xfId="1" applyNumberFormat="1" applyFont="1" applyFill="1" applyAlignment="1">
      <alignment vertical="top"/>
    </xf>
    <xf numFmtId="0" fontId="107" fillId="12" borderId="2" xfId="2" applyFont="1" applyFill="1" applyBorder="1" applyAlignment="1">
      <alignment horizontal="center" vertical="top" wrapText="1"/>
    </xf>
    <xf numFmtId="0" fontId="36" fillId="6" borderId="0" xfId="2" applyFont="1" applyFill="1" applyAlignment="1">
      <alignment horizontal="left"/>
    </xf>
    <xf numFmtId="0" fontId="141" fillId="6" borderId="0" xfId="1" applyFont="1" applyFill="1" applyAlignment="1">
      <alignment horizontal="left" vertical="top"/>
    </xf>
    <xf numFmtId="0" fontId="37" fillId="4" borderId="2" xfId="0" applyFont="1" applyFill="1" applyBorder="1" applyAlignment="1">
      <alignment horizontal="center" vertical="center" wrapText="1"/>
    </xf>
    <xf numFmtId="0" fontId="37" fillId="4" borderId="10" xfId="0" applyFont="1" applyFill="1" applyBorder="1" applyAlignment="1">
      <alignment horizontal="center" vertical="center" wrapText="1"/>
    </xf>
    <xf numFmtId="49" fontId="117" fillId="0" borderId="0" xfId="0" applyNumberFormat="1" applyFont="1" applyAlignment="1">
      <alignment horizontal="center" vertical="center" wrapText="1"/>
    </xf>
    <xf numFmtId="0" fontId="45" fillId="12" borderId="2" xfId="0" applyFont="1" applyFill="1" applyBorder="1"/>
    <xf numFmtId="0" fontId="11" fillId="12" borderId="2" xfId="0" applyFont="1" applyFill="1" applyBorder="1"/>
    <xf numFmtId="0" fontId="37" fillId="6" borderId="0" xfId="0" applyFont="1" applyFill="1"/>
    <xf numFmtId="0" fontId="115" fillId="0" borderId="0" xfId="0" applyFont="1" applyAlignment="1">
      <alignment horizontal="right"/>
    </xf>
    <xf numFmtId="0" fontId="115" fillId="3" borderId="1" xfId="1" applyFont="1" applyFill="1" applyBorder="1" applyAlignment="1">
      <alignment vertical="top" wrapText="1"/>
    </xf>
    <xf numFmtId="0" fontId="133" fillId="3" borderId="0" xfId="1" applyFont="1" applyFill="1" applyAlignment="1">
      <alignment horizontal="right" vertical="center" wrapText="1"/>
    </xf>
    <xf numFmtId="0" fontId="14" fillId="3" borderId="0" xfId="1" applyFont="1" applyFill="1" applyAlignment="1">
      <alignment horizontal="right" vertical="center"/>
    </xf>
    <xf numFmtId="0" fontId="136" fillId="6" borderId="0" xfId="1" applyFont="1" applyFill="1" applyAlignment="1">
      <alignment horizontal="left" vertical="top"/>
    </xf>
    <xf numFmtId="0" fontId="144" fillId="6" borderId="0" xfId="1" applyFont="1" applyFill="1" applyAlignment="1">
      <alignment horizontal="left" vertical="top"/>
    </xf>
    <xf numFmtId="165" fontId="128" fillId="6" borderId="0" xfId="1" applyNumberFormat="1" applyFont="1" applyFill="1" applyAlignment="1">
      <alignment horizontal="left" vertical="center" wrapText="1"/>
    </xf>
    <xf numFmtId="164" fontId="128" fillId="6" borderId="0" xfId="1" applyNumberFormat="1" applyFont="1" applyFill="1" applyAlignment="1">
      <alignment horizontal="left" vertical="center"/>
    </xf>
    <xf numFmtId="0" fontId="11" fillId="6" borderId="2" xfId="0" applyFont="1" applyFill="1" applyBorder="1" applyAlignment="1">
      <alignment horizontal="left" vertical="center"/>
    </xf>
    <xf numFmtId="0" fontId="47" fillId="6" borderId="2" xfId="0" applyFont="1" applyFill="1" applyBorder="1" applyAlignment="1">
      <alignment wrapText="1"/>
    </xf>
    <xf numFmtId="14" fontId="0" fillId="0" borderId="5" xfId="0" applyNumberFormat="1" applyBorder="1"/>
    <xf numFmtId="14" fontId="0" fillId="0" borderId="9" xfId="0" applyNumberFormat="1" applyBorder="1"/>
    <xf numFmtId="0" fontId="0" fillId="0" borderId="5" xfId="0" applyBorder="1"/>
    <xf numFmtId="14" fontId="0" fillId="0" borderId="5" xfId="0" applyNumberFormat="1" applyBorder="1" applyAlignment="1">
      <alignment horizontal="left"/>
    </xf>
    <xf numFmtId="0" fontId="48" fillId="18" borderId="4" xfId="0" applyFont="1" applyFill="1" applyBorder="1"/>
    <xf numFmtId="0" fontId="48" fillId="18" borderId="0" xfId="0" applyFont="1" applyFill="1"/>
    <xf numFmtId="0" fontId="18" fillId="18" borderId="0" xfId="0" applyFont="1" applyFill="1"/>
    <xf numFmtId="0" fontId="11" fillId="18" borderId="1" xfId="0" applyFont="1" applyFill="1" applyBorder="1"/>
    <xf numFmtId="0" fontId="18" fillId="6" borderId="0" xfId="0" applyFont="1" applyFill="1"/>
    <xf numFmtId="0" fontId="18" fillId="6" borderId="0" xfId="0" applyFont="1" applyFill="1" applyAlignment="1">
      <alignment horizontal="left"/>
    </xf>
    <xf numFmtId="0" fontId="45" fillId="18" borderId="2" xfId="0" applyFont="1" applyFill="1" applyBorder="1"/>
    <xf numFmtId="0" fontId="0" fillId="0" borderId="9" xfId="0" applyBorder="1"/>
    <xf numFmtId="0" fontId="48" fillId="18" borderId="16" xfId="0" applyFont="1" applyFill="1" applyBorder="1"/>
    <xf numFmtId="0" fontId="11" fillId="18" borderId="2" xfId="0" applyFont="1" applyFill="1" applyBorder="1"/>
    <xf numFmtId="0" fontId="28" fillId="0" borderId="0" xfId="3" applyFont="1" applyAlignment="1">
      <alignment vertical="center" wrapText="1"/>
    </xf>
    <xf numFmtId="0" fontId="28" fillId="0" borderId="0" xfId="3" applyFont="1" applyAlignment="1">
      <alignment horizontal="left" vertical="center" wrapText="1"/>
    </xf>
    <xf numFmtId="0" fontId="6" fillId="19" borderId="0" xfId="0" applyFont="1" applyFill="1"/>
    <xf numFmtId="0" fontId="0" fillId="19" borderId="0" xfId="0" applyFill="1"/>
    <xf numFmtId="0" fontId="18" fillId="12" borderId="13" xfId="0" applyFont="1" applyFill="1" applyBorder="1"/>
    <xf numFmtId="0" fontId="11" fillId="6" borderId="1" xfId="0" applyFont="1" applyFill="1" applyBorder="1"/>
    <xf numFmtId="0" fontId="11" fillId="0" borderId="2" xfId="0" applyFont="1" applyBorder="1"/>
    <xf numFmtId="0" fontId="19" fillId="0" borderId="0" xfId="0" applyFont="1" applyAlignment="1">
      <alignment horizontal="right"/>
    </xf>
    <xf numFmtId="0" fontId="0" fillId="13" borderId="0" xfId="0" applyFill="1" applyAlignment="1">
      <alignment horizontal="center"/>
    </xf>
    <xf numFmtId="49" fontId="11" fillId="0" borderId="2" xfId="0" applyNumberFormat="1" applyFont="1" applyBorder="1" applyAlignment="1">
      <alignment horizontal="center" vertical="center"/>
    </xf>
    <xf numFmtId="0" fontId="11" fillId="0" borderId="2" xfId="0" applyFont="1" applyBorder="1" applyAlignment="1">
      <alignment horizontal="left" vertical="center"/>
    </xf>
    <xf numFmtId="49" fontId="0" fillId="0" borderId="10" xfId="0" applyNumberFormat="1" applyBorder="1" applyAlignment="1">
      <alignment horizontal="center" vertical="center"/>
    </xf>
    <xf numFmtId="0" fontId="20" fillId="0" borderId="12" xfId="0" applyFont="1" applyBorder="1" applyAlignment="1">
      <alignment horizontal="center" vertical="center" wrapText="1"/>
    </xf>
    <xf numFmtId="0" fontId="78" fillId="12" borderId="12" xfId="0" applyFont="1" applyFill="1" applyBorder="1" applyAlignment="1">
      <alignment horizontal="center" vertical="center"/>
    </xf>
    <xf numFmtId="0" fontId="13" fillId="0" borderId="2" xfId="8" applyFont="1" applyBorder="1" applyAlignment="1">
      <alignment horizontal="center" vertical="center" wrapText="1"/>
    </xf>
    <xf numFmtId="0" fontId="37" fillId="6" borderId="0" xfId="1" applyFont="1" applyFill="1" applyAlignment="1">
      <alignment horizontal="left" vertical="top"/>
    </xf>
    <xf numFmtId="49" fontId="89" fillId="3" borderId="10" xfId="1" applyNumberFormat="1" applyFont="1" applyFill="1" applyBorder="1" applyAlignment="1">
      <alignment horizontal="center" vertical="top" wrapText="1"/>
    </xf>
    <xf numFmtId="0" fontId="22" fillId="5" borderId="2" xfId="1" applyFont="1" applyFill="1" applyBorder="1" applyAlignment="1">
      <alignment horizontal="center" vertical="center" wrapText="1"/>
    </xf>
    <xf numFmtId="164" fontId="53" fillId="3" borderId="12" xfId="1" applyNumberFormat="1" applyFont="1" applyFill="1" applyBorder="1" applyAlignment="1">
      <alignment horizontal="center" vertical="center" wrapText="1"/>
    </xf>
    <xf numFmtId="49" fontId="11" fillId="3" borderId="2" xfId="0" applyNumberFormat="1" applyFont="1" applyFill="1" applyBorder="1" applyAlignment="1">
      <alignment horizontal="center"/>
    </xf>
    <xf numFmtId="164" fontId="53" fillId="3" borderId="2" xfId="1" applyNumberFormat="1" applyFont="1" applyFill="1" applyBorder="1" applyAlignment="1">
      <alignment horizontal="center" vertical="center" wrapText="1"/>
    </xf>
    <xf numFmtId="49" fontId="11" fillId="3" borderId="12" xfId="0" applyNumberFormat="1" applyFont="1" applyFill="1" applyBorder="1" applyAlignment="1">
      <alignment horizontal="center"/>
    </xf>
    <xf numFmtId="0" fontId="53" fillId="3" borderId="2" xfId="1" applyFont="1" applyFill="1" applyBorder="1" applyAlignment="1">
      <alignment horizontal="center" vertical="center"/>
    </xf>
    <xf numFmtId="0" fontId="18" fillId="0" borderId="2" xfId="1" applyFont="1" applyBorder="1" applyAlignment="1">
      <alignment horizontal="center" vertical="top"/>
    </xf>
    <xf numFmtId="0" fontId="11" fillId="6" borderId="2" xfId="1" applyFont="1" applyFill="1" applyBorder="1" applyAlignment="1">
      <alignment horizontal="center" vertical="top" wrapText="1"/>
    </xf>
    <xf numFmtId="49" fontId="35" fillId="3" borderId="2" xfId="1" applyNumberFormat="1" applyFont="1" applyFill="1" applyBorder="1" applyAlignment="1">
      <alignment horizontal="center" vertical="top" wrapText="1"/>
    </xf>
    <xf numFmtId="0" fontId="11" fillId="6" borderId="2" xfId="1" applyFont="1" applyFill="1" applyBorder="1" applyAlignment="1">
      <alignment horizontal="center" vertical="top"/>
    </xf>
    <xf numFmtId="0" fontId="116" fillId="0" borderId="0" xfId="0" applyFont="1" applyAlignment="1">
      <alignment horizontal="center" vertical="center" wrapText="1"/>
    </xf>
    <xf numFmtId="49" fontId="9" fillId="3" borderId="2"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49" fontId="10" fillId="3" borderId="2" xfId="0"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0" fontId="37" fillId="0" borderId="0" xfId="0" applyFont="1" applyAlignment="1">
      <alignment horizontal="left" vertical="top" wrapText="1"/>
    </xf>
    <xf numFmtId="0" fontId="33" fillId="12" borderId="2" xfId="1" applyFont="1" applyFill="1" applyBorder="1" applyAlignment="1">
      <alignment horizontal="center" vertical="top" wrapText="1"/>
    </xf>
    <xf numFmtId="0" fontId="11" fillId="3" borderId="2" xfId="0" applyFont="1" applyFill="1" applyBorder="1" applyAlignment="1">
      <alignment horizontal="center" vertical="center"/>
    </xf>
    <xf numFmtId="14" fontId="6" fillId="0" borderId="5" xfId="0" applyNumberFormat="1" applyFont="1" applyBorder="1"/>
    <xf numFmtId="0" fontId="0" fillId="0" borderId="5" xfId="0" applyBorder="1" applyAlignment="1">
      <alignment wrapText="1"/>
    </xf>
    <xf numFmtId="0" fontId="45" fillId="18" borderId="2" xfId="1" applyFont="1" applyFill="1" applyBorder="1" applyAlignment="1">
      <alignment horizontal="center" vertical="top" wrapText="1"/>
    </xf>
    <xf numFmtId="0" fontId="44" fillId="19" borderId="0" xfId="1" applyFont="1" applyFill="1" applyAlignment="1">
      <alignment horizontal="left" vertical="top"/>
    </xf>
    <xf numFmtId="0" fontId="25" fillId="19" borderId="0" xfId="1" applyFill="1" applyAlignment="1">
      <alignment horizontal="center" vertical="top"/>
    </xf>
    <xf numFmtId="0" fontId="25" fillId="19" borderId="0" xfId="1" applyFill="1" applyAlignment="1">
      <alignment horizontal="left" vertical="top"/>
    </xf>
    <xf numFmtId="0" fontId="0" fillId="20" borderId="5" xfId="0" applyFill="1" applyBorder="1" applyAlignment="1">
      <alignment horizontal="center"/>
    </xf>
    <xf numFmtId="0" fontId="48" fillId="19" borderId="5" xfId="0" applyFont="1" applyFill="1" applyBorder="1" applyAlignment="1">
      <alignment horizontal="center"/>
    </xf>
    <xf numFmtId="0" fontId="11" fillId="0" borderId="10" xfId="0" applyFont="1" applyBorder="1"/>
    <xf numFmtId="0" fontId="11" fillId="0" borderId="12" xfId="0" applyFont="1" applyBorder="1"/>
    <xf numFmtId="0" fontId="18" fillId="0" borderId="10" xfId="0" applyFont="1" applyBorder="1" applyAlignment="1">
      <alignment horizontal="right"/>
    </xf>
    <xf numFmtId="0" fontId="18" fillId="0" borderId="12" xfId="0" applyFont="1" applyBorder="1" applyAlignment="1">
      <alignment horizontal="right"/>
    </xf>
    <xf numFmtId="0" fontId="57" fillId="6" borderId="0" xfId="0" applyFont="1" applyFill="1" applyAlignment="1">
      <alignment horizontal="left" vertical="center"/>
    </xf>
    <xf numFmtId="0" fontId="57" fillId="6" borderId="0" xfId="0" applyFont="1" applyFill="1" applyAlignment="1">
      <alignment horizontal="right" vertical="center"/>
    </xf>
    <xf numFmtId="0" fontId="11" fillId="12" borderId="10" xfId="0" applyFont="1" applyFill="1" applyBorder="1"/>
    <xf numFmtId="0" fontId="11" fillId="12" borderId="13" xfId="0" applyFont="1" applyFill="1" applyBorder="1"/>
    <xf numFmtId="0" fontId="45" fillId="12" borderId="10" xfId="0" applyFont="1" applyFill="1" applyBorder="1" applyAlignment="1">
      <alignment horizontal="left"/>
    </xf>
    <xf numFmtId="0" fontId="45" fillId="12" borderId="13" xfId="0" applyFont="1" applyFill="1" applyBorder="1" applyAlignment="1">
      <alignment horizontal="left"/>
    </xf>
    <xf numFmtId="0" fontId="45" fillId="12" borderId="12" xfId="0" applyFont="1" applyFill="1" applyBorder="1" applyAlignment="1">
      <alignment horizontal="left"/>
    </xf>
    <xf numFmtId="0" fontId="52" fillId="13" borderId="0" xfId="0" applyFont="1" applyFill="1" applyAlignment="1">
      <alignment horizontal="center"/>
    </xf>
    <xf numFmtId="0" fontId="128" fillId="6" borderId="10" xfId="0" applyFont="1" applyFill="1" applyBorder="1" applyAlignment="1">
      <alignment horizontal="left" vertical="top" wrapText="1"/>
    </xf>
    <xf numFmtId="0" fontId="128" fillId="6" borderId="13" xfId="0" applyFont="1" applyFill="1" applyBorder="1" applyAlignment="1">
      <alignment horizontal="left" vertical="top" wrapText="1"/>
    </xf>
    <xf numFmtId="0" fontId="128" fillId="6" borderId="12" xfId="0" applyFont="1" applyFill="1" applyBorder="1" applyAlignment="1">
      <alignment horizontal="left" vertical="top" wrapText="1"/>
    </xf>
    <xf numFmtId="0" fontId="18" fillId="12" borderId="10" xfId="0" applyFont="1" applyFill="1" applyBorder="1"/>
    <xf numFmtId="0" fontId="18" fillId="12" borderId="13" xfId="0" applyFont="1" applyFill="1" applyBorder="1"/>
    <xf numFmtId="0" fontId="18" fillId="0" borderId="10" xfId="0" applyFont="1" applyBorder="1"/>
    <xf numFmtId="0" fontId="18" fillId="0" borderId="12" xfId="0" applyFont="1" applyBorder="1"/>
    <xf numFmtId="0" fontId="57" fillId="6" borderId="1" xfId="0" applyFont="1" applyFill="1" applyBorder="1" applyAlignment="1">
      <alignment horizontal="left" vertical="center"/>
    </xf>
    <xf numFmtId="0" fontId="18" fillId="12" borderId="10" xfId="0" applyFont="1" applyFill="1" applyBorder="1" applyAlignment="1">
      <alignment horizontal="center"/>
    </xf>
    <xf numFmtId="0" fontId="18" fillId="12" borderId="13" xfId="0" applyFont="1" applyFill="1" applyBorder="1" applyAlignment="1">
      <alignment horizontal="center"/>
    </xf>
    <xf numFmtId="0" fontId="18" fillId="12" borderId="12" xfId="0" applyFont="1" applyFill="1" applyBorder="1" applyAlignment="1">
      <alignment horizontal="center"/>
    </xf>
    <xf numFmtId="0" fontId="129" fillId="6" borderId="0" xfId="0" applyFont="1" applyFill="1" applyAlignment="1">
      <alignment horizontal="left" vertical="center"/>
    </xf>
    <xf numFmtId="0" fontId="129" fillId="6" borderId="0" xfId="0" applyFont="1" applyFill="1" applyAlignment="1">
      <alignment horizontal="right" vertical="center"/>
    </xf>
    <xf numFmtId="0" fontId="129" fillId="6" borderId="1" xfId="0" applyFont="1" applyFill="1" applyBorder="1" applyAlignment="1">
      <alignment horizontal="left" vertical="center"/>
    </xf>
    <xf numFmtId="0" fontId="14" fillId="6" borderId="0" xfId="0" applyFont="1" applyFill="1" applyAlignment="1">
      <alignment horizontal="right"/>
    </xf>
    <xf numFmtId="0" fontId="19" fillId="6" borderId="11" xfId="0" applyFont="1" applyFill="1" applyBorder="1" applyAlignment="1">
      <alignment horizontal="right"/>
    </xf>
    <xf numFmtId="0" fontId="19" fillId="6" borderId="15" xfId="0" applyFont="1" applyFill="1" applyBorder="1" applyAlignment="1">
      <alignment horizontal="right"/>
    </xf>
    <xf numFmtId="0" fontId="19" fillId="6" borderId="15" xfId="0" applyFont="1" applyFill="1" applyBorder="1" applyAlignment="1">
      <alignment horizontal="center"/>
    </xf>
    <xf numFmtId="0" fontId="19" fillId="6" borderId="0" xfId="0" applyFont="1" applyFill="1" applyAlignment="1">
      <alignment horizontal="right"/>
    </xf>
    <xf numFmtId="0" fontId="14" fillId="0" borderId="0" xfId="0" applyFont="1" applyAlignment="1">
      <alignment horizontal="right"/>
    </xf>
    <xf numFmtId="0" fontId="19" fillId="0" borderId="0" xfId="0" applyFont="1" applyAlignment="1">
      <alignment horizontal="right"/>
    </xf>
    <xf numFmtId="0" fontId="19" fillId="0" borderId="0" xfId="0" applyFont="1" applyAlignment="1">
      <alignment horizontal="center"/>
    </xf>
    <xf numFmtId="0" fontId="45" fillId="0" borderId="0" xfId="0" applyFont="1" applyAlignment="1">
      <alignment horizontal="left" vertical="center"/>
    </xf>
    <xf numFmtId="0" fontId="45" fillId="0" borderId="0" xfId="0" applyFont="1" applyAlignment="1">
      <alignment horizontal="left" vertical="center" wrapText="1"/>
    </xf>
    <xf numFmtId="0" fontId="11" fillId="6" borderId="2" xfId="0" applyFont="1" applyFill="1" applyBorder="1" applyAlignment="1">
      <alignment horizontal="left"/>
    </xf>
    <xf numFmtId="0" fontId="11" fillId="0" borderId="15" xfId="0" applyFont="1" applyBorder="1"/>
    <xf numFmtId="0" fontId="11" fillId="6" borderId="1" xfId="0" applyFont="1" applyFill="1" applyBorder="1"/>
    <xf numFmtId="0" fontId="38" fillId="18" borderId="18" xfId="0" applyFont="1" applyFill="1" applyBorder="1" applyAlignment="1">
      <alignment horizontal="center" vertical="center"/>
    </xf>
    <xf numFmtId="0" fontId="38" fillId="18" borderId="1" xfId="0" applyFont="1" applyFill="1" applyBorder="1" applyAlignment="1">
      <alignment horizontal="center" vertical="center"/>
    </xf>
    <xf numFmtId="0" fontId="38" fillId="18" borderId="17" xfId="0" applyFont="1" applyFill="1" applyBorder="1" applyAlignment="1">
      <alignment horizontal="center" vertical="center"/>
    </xf>
    <xf numFmtId="0" fontId="11" fillId="0" borderId="2" xfId="0" applyFont="1" applyBorder="1"/>
    <xf numFmtId="0" fontId="11" fillId="11" borderId="2" xfId="0" applyFont="1" applyFill="1" applyBorder="1"/>
    <xf numFmtId="0" fontId="11" fillId="0" borderId="10" xfId="0" applyFont="1" applyBorder="1" applyAlignment="1">
      <alignment horizontal="left"/>
    </xf>
    <xf numFmtId="0" fontId="11" fillId="0" borderId="13" xfId="0" applyFont="1" applyBorder="1" applyAlignment="1">
      <alignment horizontal="left"/>
    </xf>
    <xf numFmtId="0" fontId="11" fillId="0" borderId="12" xfId="0" applyFont="1" applyBorder="1" applyAlignment="1">
      <alignment horizontal="left"/>
    </xf>
    <xf numFmtId="0" fontId="11" fillId="0" borderId="15" xfId="0" applyFont="1" applyBorder="1" applyAlignment="1">
      <alignment horizontal="left" vertical="top" wrapText="1"/>
    </xf>
    <xf numFmtId="0" fontId="11" fillId="0" borderId="16" xfId="0" applyFont="1"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0" fillId="13" borderId="0" xfId="0" applyFill="1" applyAlignment="1">
      <alignment horizontal="center"/>
    </xf>
    <xf numFmtId="0" fontId="12" fillId="2" borderId="3" xfId="0" applyFont="1" applyFill="1" applyBorder="1" applyAlignment="1">
      <alignment horizontal="left" vertical="top" wrapText="1"/>
    </xf>
    <xf numFmtId="0" fontId="13" fillId="2" borderId="7" xfId="0" applyFont="1" applyFill="1" applyBorder="1" applyAlignment="1">
      <alignment horizontal="left" vertical="top" wrapText="1"/>
    </xf>
    <xf numFmtId="0" fontId="13" fillId="2" borderId="14" xfId="0" applyFont="1" applyFill="1" applyBorder="1" applyAlignment="1">
      <alignment horizontal="left" vertical="top" wrapText="1"/>
    </xf>
    <xf numFmtId="49" fontId="11" fillId="0" borderId="2" xfId="0" applyNumberFormat="1" applyFont="1" applyBorder="1" applyAlignment="1">
      <alignment horizontal="center" vertical="center"/>
    </xf>
    <xf numFmtId="0" fontId="0" fillId="0" borderId="2" xfId="0" applyBorder="1"/>
    <xf numFmtId="0" fontId="11" fillId="0" borderId="2" xfId="0" applyFont="1" applyBorder="1" applyAlignment="1">
      <alignment horizontal="left" vertical="center"/>
    </xf>
    <xf numFmtId="0" fontId="0" fillId="0" borderId="2" xfId="0" applyBorder="1" applyAlignment="1">
      <alignment vertical="center"/>
    </xf>
    <xf numFmtId="0" fontId="0" fillId="11" borderId="2" xfId="0" applyFill="1" applyBorder="1" applyAlignment="1">
      <alignment horizontal="center"/>
    </xf>
    <xf numFmtId="0" fontId="20" fillId="0" borderId="18" xfId="0" applyFont="1" applyBorder="1" applyAlignment="1">
      <alignment horizontal="left" wrapText="1"/>
    </xf>
    <xf numFmtId="0" fontId="20" fillId="0" borderId="1" xfId="0" applyFont="1" applyBorder="1" applyAlignment="1">
      <alignment horizontal="left" wrapText="1"/>
    </xf>
    <xf numFmtId="0" fontId="20" fillId="0" borderId="12" xfId="0" applyFont="1" applyBorder="1" applyAlignment="1">
      <alignment horizontal="left" wrapText="1"/>
    </xf>
    <xf numFmtId="0" fontId="0" fillId="0" borderId="13" xfId="0" applyBorder="1" applyAlignment="1">
      <alignment horizontal="left" vertical="center"/>
    </xf>
    <xf numFmtId="0" fontId="0" fillId="0" borderId="12" xfId="0" applyBorder="1" applyAlignment="1">
      <alignment horizontal="left" vertical="center"/>
    </xf>
    <xf numFmtId="0" fontId="0" fillId="6" borderId="10" xfId="0" applyFill="1" applyBorder="1" applyAlignment="1">
      <alignment horizontal="left"/>
    </xf>
    <xf numFmtId="0" fontId="0" fillId="6" borderId="13" xfId="0" applyFill="1" applyBorder="1" applyAlignment="1">
      <alignment horizontal="left"/>
    </xf>
    <xf numFmtId="0" fontId="0" fillId="6" borderId="12" xfId="0" applyFill="1" applyBorder="1" applyAlignment="1">
      <alignment horizontal="left"/>
    </xf>
    <xf numFmtId="0" fontId="61" fillId="0" borderId="10" xfId="0" applyFont="1" applyBorder="1" applyAlignment="1">
      <alignment horizontal="left" vertical="top" wrapText="1"/>
    </xf>
    <xf numFmtId="0" fontId="61" fillId="0" borderId="13" xfId="0" applyFont="1" applyBorder="1" applyAlignment="1">
      <alignment horizontal="left" vertical="top" wrapText="1"/>
    </xf>
    <xf numFmtId="0" fontId="61" fillId="0" borderId="12" xfId="0" applyFont="1" applyBorder="1" applyAlignment="1">
      <alignment horizontal="left" vertical="top" wrapText="1"/>
    </xf>
    <xf numFmtId="0" fontId="0" fillId="0" borderId="1" xfId="0" applyBorder="1"/>
    <xf numFmtId="0" fontId="0" fillId="0" borderId="17" xfId="0" applyBorder="1"/>
    <xf numFmtId="49" fontId="0" fillId="0" borderId="10" xfId="0" applyNumberFormat="1" applyBorder="1" applyAlignment="1">
      <alignment horizontal="center" vertical="center"/>
    </xf>
    <xf numFmtId="49" fontId="0" fillId="0" borderId="13" xfId="0" applyNumberFormat="1" applyBorder="1" applyAlignment="1">
      <alignment horizontal="center" vertical="center"/>
    </xf>
    <xf numFmtId="49" fontId="0" fillId="0" borderId="12" xfId="0" applyNumberFormat="1" applyBorder="1" applyAlignment="1">
      <alignment horizontal="center" vertical="center"/>
    </xf>
    <xf numFmtId="0" fontId="20" fillId="0" borderId="10"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2" xfId="0" applyFont="1" applyBorder="1" applyAlignment="1">
      <alignment horizontal="center" vertical="center" wrapText="1"/>
    </xf>
    <xf numFmtId="0" fontId="99" fillId="5" borderId="10" xfId="0" applyFont="1" applyFill="1" applyBorder="1" applyAlignment="1">
      <alignment horizontal="center"/>
    </xf>
    <xf numFmtId="0" fontId="19" fillId="5" borderId="13" xfId="0" applyFont="1" applyFill="1" applyBorder="1" applyAlignment="1">
      <alignment horizontal="center"/>
    </xf>
    <xf numFmtId="0" fontId="19" fillId="5" borderId="12" xfId="0" applyFont="1" applyFill="1" applyBorder="1" applyAlignment="1">
      <alignment horizontal="center"/>
    </xf>
    <xf numFmtId="0" fontId="78" fillId="12" borderId="10" xfId="0" applyFont="1" applyFill="1" applyBorder="1" applyAlignment="1">
      <alignment horizontal="center" vertical="center"/>
    </xf>
    <xf numFmtId="0" fontId="78" fillId="12" borderId="12" xfId="0" applyFont="1" applyFill="1" applyBorder="1" applyAlignment="1">
      <alignment horizontal="center" vertical="center"/>
    </xf>
    <xf numFmtId="0" fontId="12" fillId="2" borderId="10"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2" xfId="0" applyFont="1" applyFill="1" applyBorder="1" applyAlignment="1">
      <alignment horizontal="left" vertical="top" wrapText="1"/>
    </xf>
    <xf numFmtId="0" fontId="128" fillId="3" borderId="10" xfId="0" applyFont="1" applyFill="1" applyBorder="1" applyAlignment="1">
      <alignment horizontal="left" vertical="top" wrapText="1"/>
    </xf>
    <xf numFmtId="0" fontId="128" fillId="3" borderId="13" xfId="0" applyFont="1" applyFill="1" applyBorder="1" applyAlignment="1">
      <alignment horizontal="left" vertical="top" wrapText="1"/>
    </xf>
    <xf numFmtId="0" fontId="128" fillId="3" borderId="12" xfId="0" applyFont="1" applyFill="1" applyBorder="1" applyAlignment="1">
      <alignment horizontal="left" vertical="top" wrapText="1"/>
    </xf>
    <xf numFmtId="49" fontId="0" fillId="3" borderId="10" xfId="0" applyNumberFormat="1" applyFill="1" applyBorder="1" applyAlignment="1">
      <alignment horizontal="center" vertical="center"/>
    </xf>
    <xf numFmtId="49" fontId="0" fillId="3" borderId="13"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0" fillId="3" borderId="13" xfId="0" applyFill="1" applyBorder="1" applyAlignment="1">
      <alignment horizontal="center" vertical="center"/>
    </xf>
    <xf numFmtId="0" fontId="0" fillId="3" borderId="13" xfId="0" applyFill="1" applyBorder="1" applyAlignment="1">
      <alignment horizontal="left" vertical="center"/>
    </xf>
    <xf numFmtId="0" fontId="0" fillId="3" borderId="12" xfId="0" applyFill="1" applyBorder="1" applyAlignment="1">
      <alignment horizontal="left" vertical="center"/>
    </xf>
    <xf numFmtId="0" fontId="11" fillId="6" borderId="2" xfId="0" applyFont="1" applyFill="1" applyBorder="1" applyAlignment="1">
      <alignment horizontal="center" vertical="top" wrapText="1"/>
    </xf>
    <xf numFmtId="0" fontId="70" fillId="0" borderId="15" xfId="0" applyFont="1" applyBorder="1" applyAlignment="1">
      <alignment horizontal="left" vertical="top" wrapText="1"/>
    </xf>
    <xf numFmtId="0" fontId="20" fillId="0" borderId="2" xfId="0" applyFont="1" applyBorder="1" applyAlignment="1">
      <alignment horizontal="center" vertical="center" wrapText="1"/>
    </xf>
    <xf numFmtId="0" fontId="11" fillId="5" borderId="10" xfId="0" applyFont="1" applyFill="1" applyBorder="1" applyAlignment="1">
      <alignment horizontal="center"/>
    </xf>
    <xf numFmtId="0" fontId="11" fillId="5" borderId="13" xfId="0" applyFont="1" applyFill="1" applyBorder="1" applyAlignment="1">
      <alignment horizontal="center"/>
    </xf>
    <xf numFmtId="0" fontId="11" fillId="5" borderId="12" xfId="0" applyFont="1" applyFill="1" applyBorder="1" applyAlignment="1">
      <alignment horizontal="center"/>
    </xf>
    <xf numFmtId="0" fontId="18" fillId="0" borderId="4" xfId="3" applyFont="1" applyBorder="1" applyAlignment="1">
      <alignment horizontal="center" vertical="center" wrapText="1"/>
    </xf>
    <xf numFmtId="0" fontId="18" fillId="0" borderId="5" xfId="3" applyFont="1" applyBorder="1" applyAlignment="1">
      <alignment horizontal="center" vertical="center" wrapText="1"/>
    </xf>
    <xf numFmtId="0" fontId="18" fillId="0" borderId="6" xfId="3" applyFont="1" applyBorder="1" applyAlignment="1">
      <alignment horizontal="center" vertical="center" wrapText="1"/>
    </xf>
    <xf numFmtId="0" fontId="134" fillId="9" borderId="10" xfId="0" applyFont="1" applyFill="1" applyBorder="1" applyAlignment="1">
      <alignment horizontal="right" vertical="center"/>
    </xf>
    <xf numFmtId="0" fontId="134" fillId="9" borderId="13" xfId="0" applyFont="1" applyFill="1" applyBorder="1" applyAlignment="1">
      <alignment horizontal="right" vertical="center"/>
    </xf>
    <xf numFmtId="0" fontId="134" fillId="9" borderId="12" xfId="0" applyFont="1" applyFill="1" applyBorder="1" applyAlignment="1">
      <alignment horizontal="right" vertical="center"/>
    </xf>
    <xf numFmtId="0" fontId="13" fillId="9" borderId="10" xfId="0" applyFont="1" applyFill="1" applyBorder="1" applyAlignment="1">
      <alignment horizontal="right" vertical="center"/>
    </xf>
    <xf numFmtId="0" fontId="13" fillId="9" borderId="13" xfId="0" applyFont="1" applyFill="1" applyBorder="1" applyAlignment="1">
      <alignment horizontal="right" vertical="center"/>
    </xf>
    <xf numFmtId="0" fontId="13" fillId="9" borderId="12" xfId="0" applyFont="1" applyFill="1" applyBorder="1" applyAlignment="1">
      <alignment horizontal="right" vertical="center"/>
    </xf>
    <xf numFmtId="0" fontId="13" fillId="2" borderId="2" xfId="3" applyFont="1" applyFill="1" applyBorder="1" applyAlignment="1">
      <alignment horizontal="left" vertical="top" wrapText="1"/>
    </xf>
    <xf numFmtId="0" fontId="84" fillId="0" borderId="2" xfId="8" applyFont="1" applyBorder="1" applyAlignment="1">
      <alignment horizontal="center" vertical="center" wrapText="1"/>
    </xf>
    <xf numFmtId="0" fontId="17" fillId="0" borderId="2" xfId="8" applyFont="1" applyBorder="1" applyAlignment="1">
      <alignment horizontal="center" vertical="center" wrapText="1"/>
    </xf>
    <xf numFmtId="0" fontId="13" fillId="0" borderId="2" xfId="8" applyFont="1" applyBorder="1" applyAlignment="1">
      <alignment horizontal="center" vertical="center" wrapText="1"/>
    </xf>
    <xf numFmtId="0" fontId="13" fillId="0" borderId="2" xfId="3" applyFont="1" applyBorder="1" applyAlignment="1">
      <alignment horizontal="center" vertical="top"/>
    </xf>
    <xf numFmtId="0" fontId="13" fillId="0" borderId="2" xfId="3" applyFont="1" applyBorder="1" applyAlignment="1">
      <alignment horizontal="center" vertical="center" wrapText="1"/>
    </xf>
    <xf numFmtId="0" fontId="128" fillId="6" borderId="2" xfId="3" applyFont="1" applyFill="1" applyBorder="1" applyAlignment="1">
      <alignment horizontal="left" vertical="top" wrapText="1"/>
    </xf>
    <xf numFmtId="0" fontId="135" fillId="6" borderId="2" xfId="3" applyFont="1" applyFill="1" applyBorder="1" applyAlignment="1">
      <alignment horizontal="center" vertical="top"/>
    </xf>
    <xf numFmtId="0" fontId="18" fillId="0" borderId="4" xfId="3" quotePrefix="1" applyFont="1" applyBorder="1" applyAlignment="1">
      <alignment horizontal="center" vertical="center" wrapText="1"/>
    </xf>
    <xf numFmtId="0" fontId="18" fillId="0" borderId="5" xfId="3" quotePrefix="1" applyFont="1" applyBorder="1" applyAlignment="1">
      <alignment horizontal="center" vertical="center" wrapText="1"/>
    </xf>
    <xf numFmtId="0" fontId="18" fillId="0" borderId="6" xfId="3" quotePrefix="1" applyFont="1" applyBorder="1" applyAlignment="1">
      <alignment horizontal="center" vertical="center" wrapText="1"/>
    </xf>
    <xf numFmtId="0" fontId="11" fillId="6" borderId="4" xfId="3" applyFont="1" applyFill="1" applyBorder="1" applyAlignment="1">
      <alignment horizontal="center" vertical="center" wrapText="1"/>
    </xf>
    <xf numFmtId="0" fontId="11" fillId="6" borderId="5" xfId="3" applyFont="1" applyFill="1" applyBorder="1" applyAlignment="1">
      <alignment horizontal="center" vertical="center" wrapText="1"/>
    </xf>
    <xf numFmtId="0" fontId="11" fillId="6" borderId="6" xfId="3" applyFont="1" applyFill="1" applyBorder="1" applyAlignment="1">
      <alignment horizontal="center" vertical="center" wrapText="1"/>
    </xf>
    <xf numFmtId="0" fontId="18" fillId="0" borderId="0" xfId="0" applyFont="1" applyAlignment="1">
      <alignment horizontal="left"/>
    </xf>
    <xf numFmtId="0" fontId="11" fillId="5" borderId="11" xfId="0" applyFont="1" applyFill="1" applyBorder="1" applyAlignment="1">
      <alignment horizontal="left" vertical="top" wrapText="1"/>
    </xf>
    <xf numFmtId="0" fontId="11" fillId="5" borderId="15" xfId="0" applyFont="1" applyFill="1" applyBorder="1" applyAlignment="1">
      <alignment horizontal="left" vertical="top" wrapText="1"/>
    </xf>
    <xf numFmtId="0" fontId="11" fillId="5" borderId="16" xfId="0" applyFont="1" applyFill="1" applyBorder="1" applyAlignment="1">
      <alignment horizontal="left" vertical="top" wrapText="1"/>
    </xf>
    <xf numFmtId="0" fontId="11" fillId="5" borderId="18" xfId="0" applyFont="1" applyFill="1" applyBorder="1" applyAlignment="1">
      <alignment horizontal="left" vertical="top" wrapText="1"/>
    </xf>
    <xf numFmtId="0" fontId="11" fillId="5" borderId="1" xfId="0" applyFont="1" applyFill="1" applyBorder="1" applyAlignment="1">
      <alignment horizontal="left" vertical="top" wrapText="1"/>
    </xf>
    <xf numFmtId="0" fontId="11" fillId="5" borderId="17" xfId="0" applyFont="1" applyFill="1" applyBorder="1" applyAlignment="1">
      <alignment horizontal="left" vertical="top" wrapText="1"/>
    </xf>
    <xf numFmtId="0" fontId="46" fillId="0" borderId="10" xfId="0" applyFont="1" applyBorder="1" applyAlignment="1">
      <alignment horizontal="left" vertical="top" wrapText="1"/>
    </xf>
    <xf numFmtId="0" fontId="46" fillId="0" borderId="13" xfId="0" applyFont="1" applyBorder="1" applyAlignment="1">
      <alignment horizontal="left" vertical="top" wrapText="1"/>
    </xf>
    <xf numFmtId="0" fontId="46" fillId="0" borderId="12" xfId="0" applyFont="1" applyBorder="1" applyAlignment="1">
      <alignment horizontal="left" vertical="top" wrapText="1"/>
    </xf>
    <xf numFmtId="0" fontId="11" fillId="12" borderId="11" xfId="0" applyFont="1" applyFill="1" applyBorder="1" applyAlignment="1">
      <alignment horizontal="left" vertical="top" wrapText="1"/>
    </xf>
    <xf numFmtId="0" fontId="11" fillId="12" borderId="15" xfId="0" applyFont="1" applyFill="1" applyBorder="1" applyAlignment="1">
      <alignment horizontal="left" vertical="top" wrapText="1"/>
    </xf>
    <xf numFmtId="0" fontId="11" fillId="12" borderId="16" xfId="0" applyFont="1" applyFill="1" applyBorder="1" applyAlignment="1">
      <alignment horizontal="left" vertical="top" wrapText="1"/>
    </xf>
    <xf numFmtId="0" fontId="11" fillId="12" borderId="18" xfId="0" applyFont="1" applyFill="1" applyBorder="1" applyAlignment="1">
      <alignment horizontal="left" vertical="top" wrapText="1"/>
    </xf>
    <xf numFmtId="0" fontId="11" fillId="12" borderId="1" xfId="0" applyFont="1" applyFill="1" applyBorder="1" applyAlignment="1">
      <alignment horizontal="left" vertical="top" wrapText="1"/>
    </xf>
    <xf numFmtId="0" fontId="11" fillId="12" borderId="17" xfId="0" applyFont="1" applyFill="1" applyBorder="1" applyAlignment="1">
      <alignment horizontal="left" vertical="top" wrapText="1"/>
    </xf>
    <xf numFmtId="0" fontId="22" fillId="5" borderId="2" xfId="1" applyFont="1" applyFill="1" applyBorder="1" applyAlignment="1">
      <alignment horizontal="center" vertical="center" wrapText="1"/>
    </xf>
    <xf numFmtId="0" fontId="68" fillId="5" borderId="4" xfId="1" applyFont="1" applyFill="1" applyBorder="1" applyAlignment="1">
      <alignment horizontal="center" vertical="center" wrapText="1"/>
    </xf>
    <xf numFmtId="0" fontId="68" fillId="5" borderId="6" xfId="1" applyFont="1" applyFill="1" applyBorder="1" applyAlignment="1">
      <alignment horizontal="center" vertical="center" wrapText="1"/>
    </xf>
    <xf numFmtId="0" fontId="78" fillId="3" borderId="2" xfId="1" applyFont="1" applyFill="1" applyBorder="1" applyAlignment="1">
      <alignment horizontal="center" vertical="center" wrapText="1"/>
    </xf>
    <xf numFmtId="0" fontId="28" fillId="3" borderId="2" xfId="1" applyFont="1" applyFill="1" applyBorder="1" applyAlignment="1">
      <alignment horizontal="center" vertical="center" wrapText="1"/>
    </xf>
    <xf numFmtId="0" fontId="51" fillId="3" borderId="4" xfId="1" applyFont="1" applyFill="1" applyBorder="1" applyAlignment="1">
      <alignment horizontal="center" vertical="center" wrapText="1"/>
    </xf>
    <xf numFmtId="0" fontId="51" fillId="3" borderId="6" xfId="1" applyFont="1" applyFill="1" applyBorder="1" applyAlignment="1">
      <alignment horizontal="center" vertical="center" wrapText="1"/>
    </xf>
    <xf numFmtId="0" fontId="44" fillId="0" borderId="0" xfId="1" applyFont="1" applyAlignment="1">
      <alignment horizontal="left" vertical="top" wrapText="1"/>
    </xf>
    <xf numFmtId="0" fontId="18" fillId="12" borderId="10" xfId="2" applyFont="1" applyFill="1" applyBorder="1" applyAlignment="1">
      <alignment horizontal="left" vertical="center"/>
    </xf>
    <xf numFmtId="0" fontId="18" fillId="12" borderId="13" xfId="2" applyFont="1" applyFill="1" applyBorder="1" applyAlignment="1">
      <alignment horizontal="left" vertical="center"/>
    </xf>
    <xf numFmtId="0" fontId="18" fillId="12" borderId="12" xfId="2" applyFont="1" applyFill="1" applyBorder="1" applyAlignment="1">
      <alignment horizontal="left" vertical="center"/>
    </xf>
    <xf numFmtId="0" fontId="53" fillId="3" borderId="10" xfId="1" applyFont="1" applyFill="1" applyBorder="1" applyAlignment="1">
      <alignment horizontal="center" vertical="center" wrapText="1"/>
    </xf>
    <xf numFmtId="0" fontId="53" fillId="3" borderId="12" xfId="1" applyFont="1" applyFill="1" applyBorder="1" applyAlignment="1">
      <alignment horizontal="center" vertical="center" wrapText="1"/>
    </xf>
    <xf numFmtId="165" fontId="104" fillId="12" borderId="2" xfId="1" applyNumberFormat="1" applyFont="1" applyFill="1" applyBorder="1" applyAlignment="1">
      <alignment horizontal="center" vertical="top" wrapText="1"/>
    </xf>
    <xf numFmtId="165" fontId="104" fillId="12" borderId="10" xfId="1" applyNumberFormat="1" applyFont="1" applyFill="1" applyBorder="1" applyAlignment="1">
      <alignment horizontal="center" vertical="top" wrapText="1"/>
    </xf>
    <xf numFmtId="0" fontId="28" fillId="3" borderId="20" xfId="1" applyFont="1" applyFill="1" applyBorder="1" applyAlignment="1">
      <alignment horizontal="center" vertical="center" wrapText="1"/>
    </xf>
    <xf numFmtId="0" fontId="28" fillId="3" borderId="19" xfId="1" applyFont="1" applyFill="1" applyBorder="1" applyAlignment="1">
      <alignment horizontal="center" vertical="center" wrapText="1"/>
    </xf>
    <xf numFmtId="0" fontId="28" fillId="3" borderId="0" xfId="1" applyFont="1" applyFill="1" applyAlignment="1">
      <alignment horizontal="center" vertical="center" wrapText="1"/>
    </xf>
    <xf numFmtId="0" fontId="28" fillId="3" borderId="4" xfId="1" applyFont="1" applyFill="1" applyBorder="1" applyAlignment="1">
      <alignment horizontal="center" vertical="center" wrapText="1"/>
    </xf>
    <xf numFmtId="0" fontId="28" fillId="3" borderId="6" xfId="1" applyFont="1" applyFill="1" applyBorder="1" applyAlignment="1">
      <alignment horizontal="center" vertical="center" wrapText="1"/>
    </xf>
    <xf numFmtId="0" fontId="28" fillId="3" borderId="24" xfId="1" applyFont="1" applyFill="1" applyBorder="1" applyAlignment="1">
      <alignment horizontal="center" vertical="center" wrapText="1"/>
    </xf>
    <xf numFmtId="0" fontId="28" fillId="3" borderId="23" xfId="1" applyFont="1" applyFill="1" applyBorder="1" applyAlignment="1">
      <alignment horizontal="center" vertical="center" wrapText="1"/>
    </xf>
    <xf numFmtId="0" fontId="37" fillId="6" borderId="0" xfId="1" applyFont="1" applyFill="1" applyAlignment="1">
      <alignment horizontal="left" vertical="top"/>
    </xf>
    <xf numFmtId="0" fontId="12" fillId="2" borderId="2" xfId="0" applyFont="1" applyFill="1" applyBorder="1" applyAlignment="1">
      <alignment horizontal="left" vertical="top" wrapText="1"/>
    </xf>
    <xf numFmtId="0" fontId="136" fillId="3" borderId="2" xfId="1" applyFont="1" applyFill="1" applyBorder="1" applyAlignment="1">
      <alignment horizontal="left" vertical="center" wrapText="1"/>
    </xf>
    <xf numFmtId="0" fontId="128" fillId="3" borderId="2" xfId="1" applyFont="1" applyFill="1" applyBorder="1" applyAlignment="1">
      <alignment horizontal="left" vertical="center" wrapText="1"/>
    </xf>
    <xf numFmtId="0" fontId="86" fillId="3" borderId="2" xfId="1" applyFont="1" applyFill="1" applyBorder="1" applyAlignment="1">
      <alignment horizontal="left" vertical="top" wrapText="1"/>
    </xf>
    <xf numFmtId="49" fontId="89" fillId="3" borderId="10" xfId="1" applyNumberFormat="1" applyFont="1" applyFill="1" applyBorder="1" applyAlignment="1">
      <alignment horizontal="center" vertical="top" wrapText="1"/>
    </xf>
    <xf numFmtId="49" fontId="89" fillId="3" borderId="13" xfId="1" applyNumberFormat="1" applyFont="1" applyFill="1" applyBorder="1" applyAlignment="1">
      <alignment horizontal="center" vertical="top" wrapText="1"/>
    </xf>
    <xf numFmtId="49" fontId="89" fillId="3" borderId="12" xfId="1" applyNumberFormat="1" applyFont="1" applyFill="1" applyBorder="1" applyAlignment="1">
      <alignment horizontal="center" vertical="top" wrapText="1"/>
    </xf>
    <xf numFmtId="49" fontId="89" fillId="3" borderId="11" xfId="1" applyNumberFormat="1" applyFont="1" applyFill="1" applyBorder="1" applyAlignment="1">
      <alignment horizontal="center" vertical="top" wrapText="1"/>
    </xf>
    <xf numFmtId="49" fontId="89" fillId="3" borderId="16" xfId="1" applyNumberFormat="1" applyFont="1" applyFill="1" applyBorder="1" applyAlignment="1">
      <alignment horizontal="center" vertical="top" wrapText="1"/>
    </xf>
    <xf numFmtId="0" fontId="113" fillId="0" borderId="0" xfId="0" applyFont="1" applyAlignment="1">
      <alignment horizontal="left"/>
    </xf>
    <xf numFmtId="0" fontId="112" fillId="0" borderId="0" xfId="0" applyFont="1" applyAlignment="1">
      <alignment horizontal="left"/>
    </xf>
    <xf numFmtId="0" fontId="52" fillId="5" borderId="1" xfId="0" applyFont="1" applyFill="1" applyBorder="1" applyAlignment="1">
      <alignment horizontal="center"/>
    </xf>
    <xf numFmtId="0" fontId="53" fillId="0" borderId="10" xfId="0" applyFont="1" applyBorder="1" applyAlignment="1">
      <alignment horizontal="center"/>
    </xf>
    <xf numFmtId="0" fontId="53" fillId="0" borderId="13" xfId="0" applyFont="1" applyBorder="1" applyAlignment="1">
      <alignment horizontal="center"/>
    </xf>
    <xf numFmtId="0" fontId="53" fillId="0" borderId="12" xfId="0" applyFont="1" applyBorder="1" applyAlignment="1">
      <alignment horizontal="center"/>
    </xf>
    <xf numFmtId="0" fontId="0" fillId="6" borderId="0" xfId="0" applyFill="1" applyAlignment="1">
      <alignment horizontal="left"/>
    </xf>
    <xf numFmtId="0" fontId="52" fillId="5" borderId="0" xfId="0" applyFont="1" applyFill="1" applyAlignment="1">
      <alignment horizontal="center"/>
    </xf>
    <xf numFmtId="0" fontId="52" fillId="5" borderId="2" xfId="0" applyFont="1" applyFill="1" applyBorder="1" applyAlignment="1">
      <alignment horizontal="center"/>
    </xf>
    <xf numFmtId="0" fontId="53" fillId="0" borderId="2" xfId="0" applyFont="1" applyBorder="1" applyAlignment="1">
      <alignment horizontal="center"/>
    </xf>
    <xf numFmtId="0" fontId="0" fillId="6" borderId="15" xfId="0" applyFill="1" applyBorder="1" applyAlignment="1">
      <alignment horizontal="center"/>
    </xf>
    <xf numFmtId="0" fontId="45" fillId="0" borderId="0" xfId="0" applyFont="1" applyAlignment="1">
      <alignment horizontal="center" vertical="center" wrapText="1"/>
    </xf>
    <xf numFmtId="49" fontId="11" fillId="3" borderId="10" xfId="0" applyNumberFormat="1" applyFont="1" applyFill="1" applyBorder="1" applyAlignment="1">
      <alignment horizontal="center"/>
    </xf>
    <xf numFmtId="49" fontId="11" fillId="3" borderId="12" xfId="0" applyNumberFormat="1" applyFont="1" applyFill="1" applyBorder="1" applyAlignment="1">
      <alignment horizontal="center"/>
    </xf>
    <xf numFmtId="164" fontId="53" fillId="3" borderId="10" xfId="1" applyNumberFormat="1" applyFont="1" applyFill="1" applyBorder="1" applyAlignment="1">
      <alignment horizontal="center" vertical="center" wrapText="1"/>
    </xf>
    <xf numFmtId="164" fontId="53" fillId="3" borderId="13" xfId="1" applyNumberFormat="1" applyFont="1" applyFill="1" applyBorder="1" applyAlignment="1">
      <alignment horizontal="center" vertical="center" wrapText="1"/>
    </xf>
    <xf numFmtId="0" fontId="52" fillId="5" borderId="2" xfId="0" applyFont="1" applyFill="1" applyBorder="1" applyAlignment="1">
      <alignment horizontal="center" vertical="center"/>
    </xf>
    <xf numFmtId="0" fontId="53" fillId="3" borderId="2" xfId="1" applyFont="1" applyFill="1" applyBorder="1" applyAlignment="1">
      <alignment horizontal="center" vertical="center"/>
    </xf>
    <xf numFmtId="0" fontId="6" fillId="3" borderId="10" xfId="0" applyFont="1" applyFill="1" applyBorder="1" applyAlignment="1">
      <alignment horizontal="left"/>
    </xf>
    <xf numFmtId="0" fontId="6" fillId="3" borderId="13" xfId="0" applyFont="1" applyFill="1" applyBorder="1" applyAlignment="1">
      <alignment horizontal="left"/>
    </xf>
    <xf numFmtId="0" fontId="6" fillId="3" borderId="12" xfId="0" applyFont="1" applyFill="1" applyBorder="1" applyAlignment="1">
      <alignment horizontal="left"/>
    </xf>
    <xf numFmtId="164" fontId="53" fillId="3" borderId="12" xfId="1" applyNumberFormat="1" applyFont="1" applyFill="1" applyBorder="1" applyAlignment="1">
      <alignment horizontal="center" vertical="center" wrapText="1"/>
    </xf>
    <xf numFmtId="0" fontId="53" fillId="3" borderId="4" xfId="0" applyFont="1" applyFill="1" applyBorder="1" applyAlignment="1">
      <alignment horizontal="center" vertical="center" wrapText="1"/>
    </xf>
    <xf numFmtId="0" fontId="108" fillId="18" borderId="11" xfId="0" applyFont="1" applyFill="1" applyBorder="1" applyAlignment="1">
      <alignment horizontal="center" vertical="center" wrapText="1"/>
    </xf>
    <xf numFmtId="0" fontId="108" fillId="18" borderId="15" xfId="0" applyFont="1" applyFill="1" applyBorder="1" applyAlignment="1">
      <alignment horizontal="center" vertical="center" wrapText="1"/>
    </xf>
    <xf numFmtId="0" fontId="37" fillId="3" borderId="10" xfId="0" applyFont="1" applyFill="1" applyBorder="1" applyAlignment="1">
      <alignment horizontal="left" vertical="center" wrapText="1"/>
    </xf>
    <xf numFmtId="0" fontId="37" fillId="3" borderId="13" xfId="0" applyFont="1" applyFill="1" applyBorder="1" applyAlignment="1">
      <alignment horizontal="left" vertical="center" wrapText="1"/>
    </xf>
    <xf numFmtId="0" fontId="37" fillId="3" borderId="12" xfId="0" applyFont="1" applyFill="1" applyBorder="1" applyAlignment="1">
      <alignment horizontal="left" vertical="center" wrapText="1"/>
    </xf>
    <xf numFmtId="0" fontId="53" fillId="3" borderId="2" xfId="0" applyFont="1" applyFill="1" applyBorder="1" applyAlignment="1">
      <alignment horizontal="center" vertical="center" wrapText="1"/>
    </xf>
    <xf numFmtId="49" fontId="11" fillId="3" borderId="13" xfId="0" applyNumberFormat="1" applyFont="1" applyFill="1" applyBorder="1" applyAlignment="1">
      <alignment horizontal="center"/>
    </xf>
    <xf numFmtId="49" fontId="11" fillId="3" borderId="2" xfId="0" applyNumberFormat="1" applyFont="1" applyFill="1" applyBorder="1" applyAlignment="1">
      <alignment horizontal="center"/>
    </xf>
    <xf numFmtId="49" fontId="18" fillId="3" borderId="2" xfId="0" applyNumberFormat="1" applyFont="1" applyFill="1" applyBorder="1" applyAlignment="1">
      <alignment horizontal="center"/>
    </xf>
    <xf numFmtId="0" fontId="52" fillId="5" borderId="10" xfId="0" applyFont="1" applyFill="1" applyBorder="1" applyAlignment="1">
      <alignment horizontal="center" vertical="center"/>
    </xf>
    <xf numFmtId="0" fontId="52" fillId="5" borderId="12" xfId="0" applyFont="1" applyFill="1" applyBorder="1" applyAlignment="1">
      <alignment horizontal="center" vertical="center"/>
    </xf>
    <xf numFmtId="164" fontId="53" fillId="3" borderId="2" xfId="1" applyNumberFormat="1" applyFont="1" applyFill="1" applyBorder="1" applyAlignment="1">
      <alignment horizontal="center" vertical="center" wrapText="1"/>
    </xf>
    <xf numFmtId="0" fontId="45" fillId="19" borderId="2" xfId="1" applyFont="1" applyFill="1" applyBorder="1" applyAlignment="1">
      <alignment horizontal="center" vertical="top" wrapText="1"/>
    </xf>
    <xf numFmtId="0" fontId="23" fillId="19" borderId="2" xfId="1" applyFont="1" applyFill="1" applyBorder="1" applyAlignment="1">
      <alignment horizontal="center" vertical="top" wrapText="1"/>
    </xf>
    <xf numFmtId="0" fontId="22" fillId="3" borderId="2" xfId="1" applyFont="1" applyFill="1" applyBorder="1" applyAlignment="1">
      <alignment horizontal="center" vertical="center" wrapText="1"/>
    </xf>
    <xf numFmtId="0" fontId="23" fillId="0" borderId="2" xfId="1" applyFont="1" applyBorder="1" applyAlignment="1">
      <alignment horizontal="center" vertical="top" wrapText="1"/>
    </xf>
    <xf numFmtId="0" fontId="148" fillId="0" borderId="2" xfId="1" applyFont="1" applyBorder="1" applyAlignment="1">
      <alignment horizontal="center" vertical="top" wrapText="1"/>
    </xf>
    <xf numFmtId="0" fontId="11" fillId="6" borderId="2" xfId="1" applyFont="1" applyFill="1" applyBorder="1" applyAlignment="1">
      <alignment horizontal="center" vertical="top"/>
    </xf>
    <xf numFmtId="0" fontId="11" fillId="6" borderId="2" xfId="1" applyFont="1" applyFill="1" applyBorder="1" applyAlignment="1">
      <alignment horizontal="center" vertical="top" wrapText="1"/>
    </xf>
    <xf numFmtId="0" fontId="104" fillId="5" borderId="2" xfId="1" applyFont="1" applyFill="1" applyBorder="1" applyAlignment="1">
      <alignment horizontal="center" vertical="top" wrapText="1"/>
    </xf>
    <xf numFmtId="0" fontId="142" fillId="5" borderId="2" xfId="1" applyFont="1" applyFill="1" applyBorder="1" applyAlignment="1">
      <alignment horizontal="center" vertical="center" wrapText="1"/>
    </xf>
    <xf numFmtId="0" fontId="21" fillId="19" borderId="2" xfId="1" applyFont="1" applyFill="1" applyBorder="1" applyAlignment="1">
      <alignment horizontal="left" vertical="top" wrapText="1"/>
    </xf>
    <xf numFmtId="0" fontId="45" fillId="18" borderId="2" xfId="1" applyFont="1" applyFill="1" applyBorder="1" applyAlignment="1">
      <alignment horizontal="center" vertical="top" wrapText="1"/>
    </xf>
    <xf numFmtId="0" fontId="68" fillId="3" borderId="2" xfId="1" applyFont="1" applyFill="1" applyBorder="1" applyAlignment="1">
      <alignment horizontal="center" vertical="center" wrapText="1"/>
    </xf>
    <xf numFmtId="0" fontId="10" fillId="0" borderId="2" xfId="1" applyFont="1" applyBorder="1" applyAlignment="1">
      <alignment horizontal="left" vertical="center" wrapText="1"/>
    </xf>
    <xf numFmtId="49" fontId="35" fillId="3" borderId="2" xfId="1" applyNumberFormat="1" applyFont="1" applyFill="1" applyBorder="1" applyAlignment="1">
      <alignment horizontal="center" vertical="top" wrapText="1"/>
    </xf>
    <xf numFmtId="0" fontId="47" fillId="0" borderId="0" xfId="1" applyFont="1" applyAlignment="1">
      <alignment horizontal="center" vertical="top" wrapText="1"/>
    </xf>
    <xf numFmtId="0" fontId="11" fillId="20" borderId="10" xfId="1" applyFont="1" applyFill="1" applyBorder="1" applyAlignment="1">
      <alignment horizontal="center" vertical="top" wrapText="1"/>
    </xf>
    <xf numFmtId="0" fontId="11" fillId="20" borderId="13" xfId="1" applyFont="1" applyFill="1" applyBorder="1" applyAlignment="1">
      <alignment horizontal="center" vertical="top" wrapText="1"/>
    </xf>
    <xf numFmtId="0" fontId="11" fillId="20" borderId="12" xfId="1" applyFont="1" applyFill="1" applyBorder="1" applyAlignment="1">
      <alignment horizontal="center" vertical="top" wrapText="1"/>
    </xf>
    <xf numFmtId="0" fontId="18" fillId="0" borderId="0" xfId="1" applyFont="1" applyAlignment="1">
      <alignment horizontal="center" vertical="top" wrapText="1"/>
    </xf>
    <xf numFmtId="0" fontId="11" fillId="6" borderId="10" xfId="1" applyFont="1" applyFill="1" applyBorder="1" applyAlignment="1">
      <alignment horizontal="center" vertical="top" wrapText="1"/>
    </xf>
    <xf numFmtId="0" fontId="0" fillId="6" borderId="2" xfId="0" applyFill="1" applyBorder="1" applyAlignment="1">
      <alignment horizontal="center" wrapText="1"/>
    </xf>
    <xf numFmtId="0" fontId="24" fillId="0" borderId="0" xfId="0" applyFont="1" applyAlignment="1">
      <alignment horizontal="center" wrapText="1"/>
    </xf>
    <xf numFmtId="0" fontId="47" fillId="6" borderId="0" xfId="1" applyFont="1" applyFill="1" applyAlignment="1">
      <alignment horizontal="center" vertical="top" wrapText="1"/>
    </xf>
    <xf numFmtId="0" fontId="53" fillId="3" borderId="11" xfId="1" applyFont="1" applyFill="1" applyBorder="1" applyAlignment="1">
      <alignment horizontal="center" vertical="center" wrapText="1"/>
    </xf>
    <xf numFmtId="0" fontId="53" fillId="3" borderId="16" xfId="1" applyFont="1" applyFill="1" applyBorder="1" applyAlignment="1">
      <alignment horizontal="center" vertical="center" wrapText="1"/>
    </xf>
    <xf numFmtId="0" fontId="53" fillId="3" borderId="18" xfId="1" applyFont="1" applyFill="1" applyBorder="1" applyAlignment="1">
      <alignment horizontal="center" vertical="center" wrapText="1"/>
    </xf>
    <xf numFmtId="0" fontId="53" fillId="3" borderId="17" xfId="1" applyFont="1" applyFill="1" applyBorder="1" applyAlignment="1">
      <alignment horizontal="center" vertical="center" wrapText="1"/>
    </xf>
    <xf numFmtId="0" fontId="19" fillId="5" borderId="10" xfId="2" applyFont="1" applyFill="1" applyBorder="1" applyAlignment="1">
      <alignment horizontal="center"/>
    </xf>
    <xf numFmtId="0" fontId="19" fillId="5" borderId="13" xfId="2" applyFont="1" applyFill="1" applyBorder="1" applyAlignment="1">
      <alignment horizontal="center"/>
    </xf>
    <xf numFmtId="0" fontId="19" fillId="5" borderId="12" xfId="2" applyFont="1" applyFill="1" applyBorder="1" applyAlignment="1">
      <alignment horizontal="center"/>
    </xf>
    <xf numFmtId="0" fontId="11" fillId="0" borderId="0" xfId="2" applyFont="1" applyAlignment="1">
      <alignment horizontal="center"/>
    </xf>
    <xf numFmtId="0" fontId="16" fillId="7" borderId="10" xfId="2" applyFont="1" applyFill="1" applyBorder="1" applyAlignment="1">
      <alignment horizontal="left"/>
    </xf>
    <xf numFmtId="0" fontId="16" fillId="7" borderId="13" xfId="2" applyFont="1" applyFill="1" applyBorder="1" applyAlignment="1">
      <alignment horizontal="left"/>
    </xf>
    <xf numFmtId="0" fontId="16" fillId="7" borderId="12" xfId="2" applyFont="1" applyFill="1" applyBorder="1" applyAlignment="1">
      <alignment horizontal="left"/>
    </xf>
    <xf numFmtId="0" fontId="37" fillId="3" borderId="18" xfId="2" applyFont="1" applyFill="1" applyBorder="1" applyAlignment="1">
      <alignment horizontal="left" vertical="top" wrapText="1"/>
    </xf>
    <xf numFmtId="0" fontId="37" fillId="3" borderId="1" xfId="2" applyFont="1" applyFill="1" applyBorder="1" applyAlignment="1">
      <alignment horizontal="left" vertical="top" wrapText="1"/>
    </xf>
    <xf numFmtId="0" fontId="37" fillId="3" borderId="17" xfId="2" applyFont="1" applyFill="1" applyBorder="1" applyAlignment="1">
      <alignment horizontal="left" vertical="top" wrapText="1"/>
    </xf>
    <xf numFmtId="0" fontId="6" fillId="3" borderId="10" xfId="2" applyFont="1" applyFill="1" applyBorder="1" applyAlignment="1">
      <alignment horizontal="left"/>
    </xf>
    <xf numFmtId="0" fontId="6" fillId="3" borderId="13" xfId="2" applyFont="1" applyFill="1" applyBorder="1" applyAlignment="1">
      <alignment horizontal="left"/>
    </xf>
    <xf numFmtId="0" fontId="6" fillId="3" borderId="12" xfId="2" applyFont="1" applyFill="1" applyBorder="1" applyAlignment="1">
      <alignment horizontal="left"/>
    </xf>
    <xf numFmtId="49" fontId="34" fillId="3" borderId="10" xfId="1" applyNumberFormat="1" applyFont="1" applyFill="1" applyBorder="1" applyAlignment="1">
      <alignment horizontal="center" vertical="top" wrapText="1"/>
    </xf>
    <xf numFmtId="49" fontId="34" fillId="3" borderId="12" xfId="1" applyNumberFormat="1" applyFont="1" applyFill="1" applyBorder="1" applyAlignment="1">
      <alignment horizontal="center" vertical="top" wrapText="1"/>
    </xf>
    <xf numFmtId="49" fontId="11" fillId="3" borderId="10" xfId="2" applyNumberFormat="1" applyFont="1" applyFill="1" applyBorder="1" applyAlignment="1">
      <alignment horizontal="center"/>
    </xf>
    <xf numFmtId="49" fontId="11" fillId="3" borderId="13" xfId="2" applyNumberFormat="1" applyFont="1" applyFill="1" applyBorder="1" applyAlignment="1">
      <alignment horizontal="center"/>
    </xf>
    <xf numFmtId="49" fontId="11" fillId="3" borderId="12" xfId="2" applyNumberFormat="1" applyFont="1" applyFill="1" applyBorder="1" applyAlignment="1">
      <alignment horizontal="center"/>
    </xf>
    <xf numFmtId="0" fontId="11" fillId="6" borderId="13" xfId="1" applyFont="1" applyFill="1" applyBorder="1" applyAlignment="1">
      <alignment horizontal="center" vertical="top" wrapText="1"/>
    </xf>
    <xf numFmtId="0" fontId="11" fillId="6" borderId="12" xfId="1" applyFont="1" applyFill="1" applyBorder="1" applyAlignment="1">
      <alignment horizontal="center" vertical="top" wrapText="1"/>
    </xf>
    <xf numFmtId="0" fontId="53" fillId="3" borderId="4" xfId="2" applyFont="1" applyFill="1" applyBorder="1" applyAlignment="1">
      <alignment horizontal="center" vertical="center"/>
    </xf>
    <xf numFmtId="0" fontId="53" fillId="3" borderId="5" xfId="2" applyFont="1" applyFill="1" applyBorder="1" applyAlignment="1">
      <alignment horizontal="center" vertical="center"/>
    </xf>
    <xf numFmtId="0" fontId="53" fillId="3" borderId="6" xfId="2" applyFont="1" applyFill="1" applyBorder="1" applyAlignment="1">
      <alignment horizontal="center" vertical="center"/>
    </xf>
    <xf numFmtId="0" fontId="53" fillId="3" borderId="11" xfId="2" applyFont="1" applyFill="1" applyBorder="1" applyAlignment="1">
      <alignment horizontal="center" vertical="center" wrapText="1"/>
    </xf>
    <xf numFmtId="0" fontId="53" fillId="3" borderId="15" xfId="2" applyFont="1" applyFill="1" applyBorder="1" applyAlignment="1">
      <alignment horizontal="center" vertical="center" wrapText="1"/>
    </xf>
    <xf numFmtId="0" fontId="53" fillId="3" borderId="16" xfId="2" applyFont="1" applyFill="1" applyBorder="1" applyAlignment="1">
      <alignment horizontal="center" vertical="center" wrapText="1"/>
    </xf>
    <xf numFmtId="0" fontId="53" fillId="3" borderId="8" xfId="2" applyFont="1" applyFill="1" applyBorder="1" applyAlignment="1">
      <alignment horizontal="center" vertical="center" wrapText="1"/>
    </xf>
    <xf numFmtId="0" fontId="53" fillId="3" borderId="0" xfId="2" applyFont="1" applyFill="1" applyAlignment="1">
      <alignment horizontal="center" vertical="center" wrapText="1"/>
    </xf>
    <xf numFmtId="0" fontId="53" fillId="3" borderId="9" xfId="2" applyFont="1" applyFill="1" applyBorder="1" applyAlignment="1">
      <alignment horizontal="center" vertical="center" wrapText="1"/>
    </xf>
    <xf numFmtId="49" fontId="51" fillId="3" borderId="18" xfId="2" quotePrefix="1" applyNumberFormat="1" applyFont="1" applyFill="1" applyBorder="1" applyAlignment="1">
      <alignment horizontal="center" wrapText="1"/>
    </xf>
    <xf numFmtId="49" fontId="51" fillId="3" borderId="1" xfId="2" quotePrefix="1" applyNumberFormat="1" applyFont="1" applyFill="1" applyBorder="1" applyAlignment="1">
      <alignment horizontal="center" wrapText="1"/>
    </xf>
    <xf numFmtId="49" fontId="51" fillId="3" borderId="17" xfId="2" quotePrefix="1" applyNumberFormat="1" applyFont="1" applyFill="1" applyBorder="1" applyAlignment="1">
      <alignment horizontal="center" wrapText="1"/>
    </xf>
    <xf numFmtId="49" fontId="51" fillId="3" borderId="8" xfId="2" quotePrefix="1" applyNumberFormat="1" applyFont="1" applyFill="1" applyBorder="1" applyAlignment="1">
      <alignment horizontal="center" wrapText="1"/>
    </xf>
    <xf numFmtId="49" fontId="51" fillId="3" borderId="0" xfId="2" quotePrefix="1" applyNumberFormat="1" applyFont="1" applyFill="1" applyAlignment="1">
      <alignment horizontal="center" wrapText="1"/>
    </xf>
    <xf numFmtId="49" fontId="51" fillId="3" borderId="9" xfId="2" quotePrefix="1" applyNumberFormat="1" applyFont="1" applyFill="1" applyBorder="1" applyAlignment="1">
      <alignment horizontal="center" wrapText="1"/>
    </xf>
    <xf numFmtId="0" fontId="18" fillId="0" borderId="2" xfId="1" applyFont="1" applyBorder="1" applyAlignment="1">
      <alignment horizontal="center" vertical="top"/>
    </xf>
    <xf numFmtId="0" fontId="18" fillId="20" borderId="2" xfId="1" applyFont="1" applyFill="1" applyBorder="1" applyAlignment="1">
      <alignment horizontal="center" vertical="top"/>
    </xf>
    <xf numFmtId="0" fontId="0" fillId="3" borderId="2" xfId="0" applyFill="1" applyBorder="1" applyAlignment="1">
      <alignment horizontal="left"/>
    </xf>
    <xf numFmtId="49" fontId="9" fillId="3" borderId="2" xfId="0" applyNumberFormat="1" applyFont="1" applyFill="1" applyBorder="1" applyAlignment="1">
      <alignment horizontal="center" vertical="center" wrapText="1"/>
    </xf>
    <xf numFmtId="49" fontId="10" fillId="3" borderId="2" xfId="0"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49" fontId="9" fillId="3" borderId="13" xfId="0" applyNumberFormat="1" applyFont="1" applyFill="1" applyBorder="1" applyAlignment="1">
      <alignment horizontal="center" vertical="center" wrapText="1"/>
    </xf>
    <xf numFmtId="49" fontId="9" fillId="3" borderId="12" xfId="0" applyNumberFormat="1" applyFont="1" applyFill="1" applyBorder="1" applyAlignment="1">
      <alignment horizontal="center" vertical="center" wrapText="1"/>
    </xf>
    <xf numFmtId="0" fontId="134" fillId="9" borderId="2" xfId="0" applyFont="1" applyFill="1" applyBorder="1" applyAlignment="1">
      <alignment horizontal="left" vertical="top"/>
    </xf>
    <xf numFmtId="0" fontId="37" fillId="3" borderId="11" xfId="0" applyFont="1" applyFill="1" applyBorder="1" applyAlignment="1">
      <alignment horizontal="left" vertical="center" wrapText="1"/>
    </xf>
    <xf numFmtId="0" fontId="37" fillId="3" borderId="15" xfId="0" applyFont="1" applyFill="1" applyBorder="1" applyAlignment="1">
      <alignment horizontal="left" vertical="center" wrapText="1"/>
    </xf>
    <xf numFmtId="0" fontId="37" fillId="3" borderId="16" xfId="0" applyFont="1" applyFill="1" applyBorder="1" applyAlignment="1">
      <alignment horizontal="left" vertical="center" wrapText="1"/>
    </xf>
    <xf numFmtId="0" fontId="37" fillId="3" borderId="8" xfId="0" applyFont="1" applyFill="1" applyBorder="1" applyAlignment="1">
      <alignment horizontal="left" vertical="center" wrapText="1"/>
    </xf>
    <xf numFmtId="0" fontId="37" fillId="3" borderId="0" xfId="0" applyFont="1" applyFill="1" applyAlignment="1">
      <alignment horizontal="left" vertical="center" wrapText="1"/>
    </xf>
    <xf numFmtId="0" fontId="37" fillId="3" borderId="9" xfId="0" applyFont="1" applyFill="1" applyBorder="1" applyAlignment="1">
      <alignment horizontal="left" vertical="center" wrapText="1"/>
    </xf>
    <xf numFmtId="0" fontId="37" fillId="3" borderId="18" xfId="0" applyFont="1" applyFill="1" applyBorder="1" applyAlignment="1">
      <alignment horizontal="left" vertical="center" wrapText="1"/>
    </xf>
    <xf numFmtId="0" fontId="37" fillId="3" borderId="1" xfId="0" applyFont="1" applyFill="1" applyBorder="1" applyAlignment="1">
      <alignment horizontal="left" vertical="center" wrapText="1"/>
    </xf>
    <xf numFmtId="0" fontId="37" fillId="3" borderId="17" xfId="0" applyFont="1" applyFill="1" applyBorder="1" applyAlignment="1">
      <alignment horizontal="left" vertical="center" wrapText="1"/>
    </xf>
    <xf numFmtId="0" fontId="9" fillId="3" borderId="2" xfId="0" quotePrefix="1" applyFont="1" applyFill="1" applyBorder="1" applyAlignment="1">
      <alignment horizontal="center" vertical="top"/>
    </xf>
    <xf numFmtId="0" fontId="9" fillId="3" borderId="2" xfId="0" applyFont="1" applyFill="1" applyBorder="1" applyAlignment="1">
      <alignment horizontal="center" vertical="top"/>
    </xf>
    <xf numFmtId="0" fontId="10" fillId="12" borderId="4" xfId="0" applyFont="1" applyFill="1" applyBorder="1" applyAlignment="1">
      <alignment horizontal="center" vertical="center" wrapText="1"/>
    </xf>
    <xf numFmtId="0" fontId="10" fillId="12" borderId="6" xfId="0" applyFont="1" applyFill="1" applyBorder="1" applyAlignment="1">
      <alignment horizontal="center" vertical="center" wrapText="1"/>
    </xf>
    <xf numFmtId="0" fontId="10" fillId="12" borderId="2"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0" fillId="12" borderId="5" xfId="0" applyFont="1" applyFill="1" applyBorder="1" applyAlignment="1">
      <alignment horizontal="center" vertical="center" wrapText="1"/>
    </xf>
    <xf numFmtId="0" fontId="11" fillId="12" borderId="2" xfId="0" applyFont="1" applyFill="1" applyBorder="1" applyAlignment="1">
      <alignment horizontal="center" vertical="top" wrapText="1"/>
    </xf>
    <xf numFmtId="0" fontId="6" fillId="0" borderId="0" xfId="0" applyFont="1" applyAlignment="1">
      <alignment horizontal="right" vertical="center"/>
    </xf>
    <xf numFmtId="0" fontId="6" fillId="0" borderId="9" xfId="0" applyFont="1" applyBorder="1" applyAlignment="1">
      <alignment horizontal="right" vertical="center"/>
    </xf>
    <xf numFmtId="0" fontId="37" fillId="6" borderId="15" xfId="0" applyFont="1" applyFill="1" applyBorder="1" applyAlignment="1">
      <alignment horizontal="left" wrapText="1"/>
    </xf>
    <xf numFmtId="0" fontId="37" fillId="6" borderId="0" xfId="0" applyFont="1" applyFill="1" applyAlignment="1">
      <alignment horizontal="left" wrapText="1"/>
    </xf>
    <xf numFmtId="49" fontId="59" fillId="3" borderId="2" xfId="0" applyNumberFormat="1" applyFont="1" applyFill="1" applyBorder="1" applyAlignment="1">
      <alignment horizontal="center" vertical="center" wrapText="1"/>
    </xf>
    <xf numFmtId="0" fontId="6" fillId="6" borderId="0" xfId="0" applyFont="1" applyFill="1" applyAlignment="1">
      <alignment horizontal="right"/>
    </xf>
    <xf numFmtId="0" fontId="6" fillId="6" borderId="9" xfId="0" applyFont="1" applyFill="1" applyBorder="1" applyAlignment="1">
      <alignment horizontal="right"/>
    </xf>
    <xf numFmtId="0" fontId="24" fillId="6" borderId="0" xfId="0" applyFont="1" applyFill="1" applyAlignment="1">
      <alignment horizontal="right" vertical="center"/>
    </xf>
    <xf numFmtId="0" fontId="24" fillId="6" borderId="9" xfId="0" applyFont="1" applyFill="1" applyBorder="1" applyAlignment="1">
      <alignment horizontal="right" vertical="center"/>
    </xf>
    <xf numFmtId="0" fontId="24" fillId="6" borderId="15" xfId="0" applyFont="1" applyFill="1" applyBorder="1" applyAlignment="1">
      <alignment horizontal="right"/>
    </xf>
    <xf numFmtId="0" fontId="24" fillId="6" borderId="16" xfId="0" applyFont="1" applyFill="1" applyBorder="1" applyAlignment="1">
      <alignment horizontal="right"/>
    </xf>
    <xf numFmtId="0" fontId="116" fillId="0" borderId="0" xfId="0" applyFont="1" applyAlignment="1">
      <alignment horizontal="center" vertical="center" wrapText="1"/>
    </xf>
    <xf numFmtId="0" fontId="18" fillId="12" borderId="2" xfId="0" applyFont="1" applyFill="1" applyBorder="1" applyAlignment="1">
      <alignment horizontal="center" vertical="top" wrapText="1"/>
    </xf>
    <xf numFmtId="49" fontId="10" fillId="3" borderId="10" xfId="0" applyNumberFormat="1" applyFont="1" applyFill="1" applyBorder="1" applyAlignment="1">
      <alignment horizontal="center" vertical="center" wrapText="1"/>
    </xf>
    <xf numFmtId="49" fontId="10" fillId="3" borderId="13" xfId="0" applyNumberFormat="1" applyFont="1" applyFill="1" applyBorder="1" applyAlignment="1">
      <alignment horizontal="center" vertical="center" wrapText="1"/>
    </xf>
    <xf numFmtId="49" fontId="10" fillId="3" borderId="12" xfId="0" applyNumberFormat="1" applyFont="1" applyFill="1" applyBorder="1" applyAlignment="1">
      <alignment horizontal="center" vertical="center" wrapText="1"/>
    </xf>
    <xf numFmtId="0" fontId="18" fillId="3" borderId="10"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52" fillId="12" borderId="2" xfId="0" applyFont="1" applyFill="1" applyBorder="1" applyAlignment="1">
      <alignment horizontal="center"/>
    </xf>
    <xf numFmtId="0" fontId="52" fillId="10" borderId="10" xfId="0" applyFont="1" applyFill="1" applyBorder="1" applyAlignment="1">
      <alignment horizontal="center"/>
    </xf>
    <xf numFmtId="0" fontId="52" fillId="10" borderId="12" xfId="0" applyFont="1" applyFill="1" applyBorder="1" applyAlignment="1">
      <alignment horizontal="center"/>
    </xf>
    <xf numFmtId="0" fontId="18" fillId="10" borderId="10" xfId="0" applyFont="1" applyFill="1" applyBorder="1" applyAlignment="1">
      <alignment horizontal="center" vertical="center" wrapText="1"/>
    </xf>
    <xf numFmtId="0" fontId="18" fillId="10" borderId="12" xfId="0" applyFont="1" applyFill="1" applyBorder="1" applyAlignment="1">
      <alignment horizontal="center" vertical="center" wrapText="1"/>
    </xf>
    <xf numFmtId="0" fontId="11" fillId="6" borderId="15" xfId="0" applyFont="1" applyFill="1" applyBorder="1" applyAlignment="1">
      <alignment horizontal="left" vertical="top" wrapText="1"/>
    </xf>
    <xf numFmtId="0" fontId="11" fillId="6" borderId="0" xfId="0" applyFont="1" applyFill="1" applyAlignment="1">
      <alignment horizontal="left" vertical="top" wrapText="1"/>
    </xf>
    <xf numFmtId="0" fontId="37" fillId="0" borderId="0" xfId="0" applyFont="1" applyAlignment="1">
      <alignment horizontal="left" vertical="top" wrapText="1"/>
    </xf>
    <xf numFmtId="0" fontId="37"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center" vertical="top" wrapText="1"/>
    </xf>
    <xf numFmtId="0" fontId="11" fillId="0" borderId="0" xfId="0" applyFont="1" applyAlignment="1">
      <alignment horizontal="right" vertical="center" wrapText="1"/>
    </xf>
    <xf numFmtId="0" fontId="11" fillId="0" borderId="15" xfId="0" applyFont="1" applyBorder="1" applyAlignment="1">
      <alignment horizontal="right" vertical="center" wrapText="1"/>
    </xf>
    <xf numFmtId="0" fontId="11" fillId="0" borderId="16" xfId="0" applyFont="1" applyBorder="1" applyAlignment="1">
      <alignment horizontal="right" vertical="center" wrapText="1"/>
    </xf>
    <xf numFmtId="0" fontId="12" fillId="2" borderId="2" xfId="0" applyFont="1" applyFill="1" applyBorder="1" applyAlignment="1">
      <alignment horizontal="left" vertical="top"/>
    </xf>
    <xf numFmtId="0" fontId="37" fillId="3" borderId="2" xfId="0" applyFont="1" applyFill="1" applyBorder="1" applyAlignment="1">
      <alignment horizontal="left" vertical="top" wrapText="1"/>
    </xf>
    <xf numFmtId="49" fontId="74" fillId="3" borderId="2" xfId="0" applyNumberFormat="1" applyFont="1" applyFill="1" applyBorder="1" applyAlignment="1">
      <alignment horizontal="center" vertical="center" wrapText="1"/>
    </xf>
    <xf numFmtId="49" fontId="30" fillId="3" borderId="2" xfId="0" applyNumberFormat="1" applyFont="1" applyFill="1" applyBorder="1" applyAlignment="1">
      <alignment horizontal="center" vertical="center" wrapText="1"/>
    </xf>
    <xf numFmtId="0" fontId="18" fillId="0" borderId="15" xfId="0" applyFont="1" applyBorder="1" applyAlignment="1">
      <alignment horizontal="right" vertical="center" wrapText="1"/>
    </xf>
    <xf numFmtId="0" fontId="18" fillId="0" borderId="16" xfId="0" applyFont="1" applyBorder="1" applyAlignment="1">
      <alignment horizontal="right" vertical="center" wrapText="1"/>
    </xf>
    <xf numFmtId="0" fontId="109" fillId="0" borderId="15" xfId="0" applyFont="1" applyBorder="1" applyAlignment="1">
      <alignment horizontal="left" vertical="top" wrapText="1"/>
    </xf>
    <xf numFmtId="0" fontId="37" fillId="0" borderId="2" xfId="0" applyFont="1" applyBorder="1" applyAlignment="1">
      <alignment horizontal="left" vertical="top" wrapText="1"/>
    </xf>
    <xf numFmtId="0" fontId="37" fillId="0" borderId="0" xfId="0" applyFont="1" applyAlignment="1">
      <alignment horizontal="left"/>
    </xf>
    <xf numFmtId="0" fontId="37" fillId="6" borderId="0" xfId="0" applyFont="1" applyFill="1" applyAlignment="1">
      <alignment horizontal="left"/>
    </xf>
    <xf numFmtId="0" fontId="37" fillId="0" borderId="0" xfId="0" applyFont="1" applyAlignment="1">
      <alignment horizontal="left" wrapText="1"/>
    </xf>
    <xf numFmtId="0" fontId="82" fillId="6" borderId="15" xfId="0" applyFont="1" applyFill="1" applyBorder="1" applyAlignment="1">
      <alignment horizontal="left" vertical="top" wrapText="1"/>
    </xf>
    <xf numFmtId="0" fontId="54" fillId="6" borderId="15" xfId="0" applyFont="1" applyFill="1" applyBorder="1" applyAlignment="1">
      <alignment horizontal="left" vertical="top" wrapText="1"/>
    </xf>
    <xf numFmtId="49" fontId="35" fillId="3" borderId="10" xfId="1" applyNumberFormat="1" applyFont="1" applyFill="1" applyBorder="1" applyAlignment="1">
      <alignment horizontal="center" vertical="top" wrapText="1"/>
    </xf>
    <xf numFmtId="49" fontId="35" fillId="3" borderId="12" xfId="1" applyNumberFormat="1" applyFont="1" applyFill="1" applyBorder="1" applyAlignment="1">
      <alignment horizontal="center" vertical="top" wrapText="1"/>
    </xf>
    <xf numFmtId="49" fontId="35" fillId="3" borderId="13" xfId="1" applyNumberFormat="1" applyFont="1" applyFill="1" applyBorder="1" applyAlignment="1">
      <alignment horizontal="center" vertical="top" wrapText="1"/>
    </xf>
    <xf numFmtId="0" fontId="33" fillId="12" borderId="2" xfId="1" applyFont="1" applyFill="1" applyBorder="1" applyAlignment="1">
      <alignment horizontal="center" vertical="top" wrapText="1"/>
    </xf>
    <xf numFmtId="0" fontId="85" fillId="3" borderId="2" xfId="1" applyFont="1" applyFill="1" applyBorder="1" applyAlignment="1">
      <alignment horizontal="left" vertical="top" wrapText="1"/>
    </xf>
    <xf numFmtId="0" fontId="22" fillId="3" borderId="19" xfId="1" applyFont="1" applyFill="1" applyBorder="1" applyAlignment="1">
      <alignment horizontal="center" vertical="center" wrapText="1"/>
    </xf>
    <xf numFmtId="0" fontId="22" fillId="3" borderId="20" xfId="1" applyFont="1" applyFill="1" applyBorder="1" applyAlignment="1">
      <alignment horizontal="center" vertical="center" wrapText="1"/>
    </xf>
    <xf numFmtId="0" fontId="22" fillId="3" borderId="21" xfId="1" applyFont="1" applyFill="1" applyBorder="1" applyAlignment="1">
      <alignment horizontal="center" vertical="center" wrapText="1"/>
    </xf>
    <xf numFmtId="0" fontId="22" fillId="3" borderId="22" xfId="1" applyFont="1" applyFill="1" applyBorder="1" applyAlignment="1">
      <alignment horizontal="center" vertical="center" wrapText="1"/>
    </xf>
    <xf numFmtId="0" fontId="22" fillId="3" borderId="23" xfId="1" applyFont="1" applyFill="1" applyBorder="1" applyAlignment="1">
      <alignment horizontal="center" vertical="center" wrapText="1"/>
    </xf>
    <xf numFmtId="0" fontId="22" fillId="3" borderId="0" xfId="1" applyFont="1" applyFill="1" applyAlignment="1">
      <alignment horizontal="center" vertical="center" wrapText="1"/>
    </xf>
    <xf numFmtId="0" fontId="68" fillId="3" borderId="10" xfId="1" applyFont="1" applyFill="1" applyBorder="1" applyAlignment="1">
      <alignment horizontal="center" vertical="center" wrapText="1"/>
    </xf>
    <xf numFmtId="0" fontId="68" fillId="3" borderId="12" xfId="1" applyFont="1" applyFill="1" applyBorder="1" applyAlignment="1">
      <alignment horizontal="center" vertical="center" wrapText="1"/>
    </xf>
    <xf numFmtId="0" fontId="44" fillId="16" borderId="11" xfId="1" applyFont="1" applyFill="1" applyBorder="1" applyAlignment="1">
      <alignment horizontal="left" vertical="center" wrapText="1"/>
    </xf>
    <xf numFmtId="0" fontId="44" fillId="16" borderId="15" xfId="1" applyFont="1" applyFill="1" applyBorder="1" applyAlignment="1">
      <alignment horizontal="left" vertical="center" wrapText="1"/>
    </xf>
    <xf numFmtId="0" fontId="44" fillId="16" borderId="16" xfId="1" applyFont="1" applyFill="1" applyBorder="1" applyAlignment="1">
      <alignment horizontal="left" vertical="center" wrapText="1"/>
    </xf>
    <xf numFmtId="0" fontId="44" fillId="16" borderId="18" xfId="1" applyFont="1" applyFill="1" applyBorder="1" applyAlignment="1">
      <alignment horizontal="left" vertical="center" wrapText="1"/>
    </xf>
    <xf numFmtId="0" fontId="44" fillId="16" borderId="1" xfId="1" applyFont="1" applyFill="1" applyBorder="1" applyAlignment="1">
      <alignment horizontal="left" vertical="center" wrapText="1"/>
    </xf>
    <xf numFmtId="0" fontId="44" fillId="16" borderId="17" xfId="1" applyFont="1" applyFill="1" applyBorder="1" applyAlignment="1">
      <alignment horizontal="left" vertical="center" wrapText="1"/>
    </xf>
    <xf numFmtId="0" fontId="96" fillId="0" borderId="0" xfId="1" applyFont="1" applyAlignment="1">
      <alignment horizontal="left" vertical="top" wrapText="1"/>
    </xf>
    <xf numFmtId="0" fontId="11" fillId="12" borderId="10" xfId="2" applyFont="1" applyFill="1" applyBorder="1" applyAlignment="1">
      <alignment horizontal="left" vertical="center" wrapText="1"/>
    </xf>
    <xf numFmtId="0" fontId="11" fillId="12" borderId="13" xfId="2" applyFont="1" applyFill="1" applyBorder="1" applyAlignment="1">
      <alignment horizontal="left" vertical="center" wrapText="1"/>
    </xf>
    <xf numFmtId="0" fontId="11" fillId="12" borderId="12" xfId="2" applyFont="1" applyFill="1" applyBorder="1" applyAlignment="1">
      <alignment horizontal="left" vertical="center" wrapText="1"/>
    </xf>
    <xf numFmtId="0" fontId="13" fillId="9" borderId="10" xfId="0" applyFont="1" applyFill="1" applyBorder="1" applyAlignment="1">
      <alignment horizontal="left" vertical="top" wrapText="1"/>
    </xf>
    <xf numFmtId="0" fontId="13" fillId="9" borderId="13" xfId="0" applyFont="1" applyFill="1" applyBorder="1" applyAlignment="1">
      <alignment horizontal="left" vertical="top" wrapText="1"/>
    </xf>
    <xf numFmtId="0" fontId="13" fillId="9" borderId="12" xfId="0" applyFont="1" applyFill="1" applyBorder="1" applyAlignment="1">
      <alignment horizontal="left" vertical="top" wrapText="1"/>
    </xf>
    <xf numFmtId="0" fontId="21" fillId="3" borderId="10" xfId="0" applyFont="1" applyFill="1" applyBorder="1" applyAlignment="1">
      <alignment horizontal="left" vertical="top" wrapText="1"/>
    </xf>
    <xf numFmtId="0" fontId="46" fillId="3" borderId="13" xfId="0" applyFont="1" applyFill="1" applyBorder="1" applyAlignment="1">
      <alignment horizontal="left" vertical="top" wrapText="1"/>
    </xf>
    <xf numFmtId="0" fontId="46" fillId="3" borderId="12" xfId="0" applyFont="1" applyFill="1" applyBorder="1" applyAlignment="1">
      <alignment horizontal="left" vertical="top" wrapText="1"/>
    </xf>
    <xf numFmtId="0" fontId="11" fillId="3" borderId="2" xfId="0" applyFont="1" applyFill="1" applyBorder="1" applyAlignment="1">
      <alignment horizontal="center" vertical="center"/>
    </xf>
    <xf numFmtId="0" fontId="11" fillId="3" borderId="4"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6" fillId="15" borderId="10" xfId="47" applyFont="1" applyFill="1" applyBorder="1" applyAlignment="1">
      <alignment horizontal="left" vertical="center"/>
    </xf>
    <xf numFmtId="0" fontId="6" fillId="15" borderId="13" xfId="47" applyFont="1" applyFill="1" applyBorder="1" applyAlignment="1">
      <alignment horizontal="left" vertical="center"/>
    </xf>
    <xf numFmtId="0" fontId="6" fillId="15" borderId="12" xfId="47" applyFont="1" applyFill="1" applyBorder="1" applyAlignment="1">
      <alignment horizontal="left" vertical="center"/>
    </xf>
    <xf numFmtId="0" fontId="14" fillId="0" borderId="8" xfId="0" applyFont="1" applyBorder="1" applyAlignment="1">
      <alignment horizontal="left" vertical="center" wrapText="1"/>
    </xf>
    <xf numFmtId="0" fontId="14" fillId="0" borderId="0" xfId="0" applyFont="1" applyAlignment="1">
      <alignment horizontal="left" vertical="center" wrapText="1"/>
    </xf>
    <xf numFmtId="0" fontId="14" fillId="0" borderId="9" xfId="0" applyFont="1" applyBorder="1" applyAlignment="1">
      <alignment horizontal="left" vertical="center" wrapText="1"/>
    </xf>
    <xf numFmtId="0" fontId="11" fillId="18" borderId="10" xfId="0" applyFont="1" applyFill="1" applyBorder="1" applyAlignment="1">
      <alignment horizontal="center"/>
    </xf>
    <xf numFmtId="0" fontId="11" fillId="18" borderId="13" xfId="0" applyFont="1" applyFill="1" applyBorder="1" applyAlignment="1">
      <alignment horizontal="center"/>
    </xf>
    <xf numFmtId="0" fontId="11" fillId="18" borderId="12" xfId="0" applyFont="1" applyFill="1" applyBorder="1" applyAlignment="1">
      <alignment horizontal="center"/>
    </xf>
  </cellXfs>
  <cellStyles count="48">
    <cellStyle name="Comma 2" xfId="37" xr:uid="{093EF4AB-810C-4D06-A8DA-4B7F3B93DB76}"/>
    <cellStyle name="Date" xfId="43" xr:uid="{9FBB63DD-950F-4427-8376-B2658F5A141D}"/>
    <cellStyle name="Heading 1 2" xfId="39" xr:uid="{09C34BB5-51E9-4137-95A9-984BD93C4E29}"/>
    <cellStyle name="Heading 2 2" xfId="40" xr:uid="{EC1F4DF9-69AD-4E1A-897B-8157BDAEAE89}"/>
    <cellStyle name="Heading 3 2" xfId="41" xr:uid="{27A2B3C1-C1C6-4351-A09D-43A51279A7C7}"/>
    <cellStyle name="Hyperlink 2" xfId="46" xr:uid="{FE03881E-AA40-4153-9B9D-2C834B48EB3E}"/>
    <cellStyle name="Hyperlink 3" xfId="35" xr:uid="{360C4486-725C-48DA-8B5D-14B8F501790C}"/>
    <cellStyle name="Name" xfId="44" xr:uid="{943EB655-E50D-4E67-AB34-A5126EBEE8FA}"/>
    <cellStyle name="Normal" xfId="0" builtinId="0"/>
    <cellStyle name="Normal 2" xfId="1" xr:uid="{00000000-0005-0000-0000-000002000000}"/>
    <cellStyle name="Normal 2 2" xfId="19" xr:uid="{319BED6C-8FF0-44DB-806D-B1E3C0D38384}"/>
    <cellStyle name="Normal 3" xfId="2" xr:uid="{00000000-0005-0000-0000-000003000000}"/>
    <cellStyle name="Normal 3 2" xfId="20" xr:uid="{6A9E4504-E238-4546-94D3-524B9C6349DD}"/>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2 2 2" xfId="32" xr:uid="{9F4CA91A-C064-4A37-B365-8FD571A92EAF}"/>
    <cellStyle name="Normal 5 2 2 3" xfId="24" xr:uid="{92E00DAE-B80D-45CA-A200-5ED608ECB63E}"/>
    <cellStyle name="Normal 5 2 3" xfId="28" xr:uid="{BE09789A-3D20-41B0-96D4-07C85644E0B2}"/>
    <cellStyle name="Normal 5 2 4" xfId="18" xr:uid="{96398FD7-5B5F-42E5-9754-B39B64C06C72}"/>
    <cellStyle name="Normal 5 3" xfId="10" xr:uid="{00000000-0005-0000-0000-00000B000000}"/>
    <cellStyle name="Normal 5 3 2" xfId="29" xr:uid="{5367AC63-23F4-4AAA-B513-CAF62C77AE33}"/>
    <cellStyle name="Normal 5 3 3" xfId="21" xr:uid="{A60F7D2D-8533-47AE-95B9-5B1F29B1DA1A}"/>
    <cellStyle name="Normal 5 4" xfId="25" xr:uid="{254388B8-7C42-4904-B34F-6C826DBD9684}"/>
    <cellStyle name="Normal 5 5" xfId="33" xr:uid="{61FF4DA2-79EC-45EC-955E-3C57C711A9F7}"/>
    <cellStyle name="Normal 5 6" xfId="34" xr:uid="{2753E1FC-5F77-4EB0-A60E-119BBC7A5B70}"/>
    <cellStyle name="Normal 5 7" xfId="15" xr:uid="{71FC1799-E2D5-446C-9AF1-7F6241A085B0}"/>
    <cellStyle name="Normal 6" xfId="5" xr:uid="{00000000-0005-0000-0000-00000C000000}"/>
    <cellStyle name="Normal 6 2" xfId="7" xr:uid="{00000000-0005-0000-0000-00000D000000}"/>
    <cellStyle name="Normal 6 2 2" xfId="13" xr:uid="{00000000-0005-0000-0000-00000E000000}"/>
    <cellStyle name="Normal 6 2 2 2" xfId="31" xr:uid="{F87071F0-AEE6-43E2-8471-83733EA5B678}"/>
    <cellStyle name="Normal 6 2 2 3" xfId="23" xr:uid="{A401C7B5-ED9F-4F57-A81C-B0B7BA16A81C}"/>
    <cellStyle name="Normal 6 2 2 5" xfId="47" xr:uid="{41054FE3-73A4-4A12-A45A-2F5700D9D1E3}"/>
    <cellStyle name="Normal 6 2 3" xfId="27" xr:uid="{AEEED19A-7735-4665-843E-1E11647AD951}"/>
    <cellStyle name="Normal 6 2 4" xfId="17" xr:uid="{28BDD45F-90E9-4BFC-8193-E1A7D812EC0F}"/>
    <cellStyle name="Normal 6 3" xfId="11" xr:uid="{00000000-0005-0000-0000-00000F000000}"/>
    <cellStyle name="Normal 6 3 2" xfId="30" xr:uid="{11FA7856-AB2D-42C7-B6FF-6286739F957E}"/>
    <cellStyle name="Normal 6 3 3" xfId="22" xr:uid="{42003873-1B6D-426E-BA1C-9D60C5E1518A}"/>
    <cellStyle name="Normal 6 4" xfId="26" xr:uid="{9BB35958-684A-46E8-B5B1-299EA8E478EC}"/>
    <cellStyle name="Normal 6 5" xfId="16" xr:uid="{8671A5B7-DE97-4D15-8E3B-6AFF96959CCF}"/>
    <cellStyle name="Project Start" xfId="42" xr:uid="{7FB716FA-7BAE-4934-9E7C-050F686D1DAF}"/>
    <cellStyle name="Task" xfId="45" xr:uid="{8EC59B81-1FE1-4FFB-878C-94764352B312}"/>
    <cellStyle name="Title 2" xfId="38" xr:uid="{0321309E-FD1D-4690-88AA-D30D5F0BCC25}"/>
    <cellStyle name="zHiddenText" xfId="36" xr:uid="{29163045-784F-490E-9A1C-E7405BCE864C}"/>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78CC51F-5721-4E3F-9D05-52E3D331CA82}">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00FF"/>
      <color rgb="FFCC99FF"/>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9.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BB40201B-3266-43B3-B982-563705E23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4AB22CF0-2A4B-4512-AC9C-143169D75106}"/>
            </a:ext>
          </a:extLst>
        </xdr:cNvPr>
        <xdr:cNvSpPr/>
      </xdr:nvSpPr>
      <xdr:spPr>
        <a:xfrm>
          <a:off x="9483725" y="222250"/>
          <a:ext cx="2838450" cy="1606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A2450F59-D3CF-4F4E-AD91-3E14C2BCD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89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1068B987-4C0B-4450-8293-C270276D9ACD}"/>
            </a:ext>
          </a:extLst>
        </xdr:cNvPr>
        <xdr:cNvSpPr/>
      </xdr:nvSpPr>
      <xdr:spPr>
        <a:xfrm>
          <a:off x="9540875" y="2593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11207</xdr:colOff>
      <xdr:row>9</xdr:row>
      <xdr:rowOff>0</xdr:rowOff>
    </xdr:from>
    <xdr:to>
      <xdr:col>24</xdr:col>
      <xdr:colOff>498481</xdr:colOff>
      <xdr:row>40</xdr:row>
      <xdr:rowOff>102342</xdr:rowOff>
    </xdr:to>
    <xdr:pic>
      <xdr:nvPicPr>
        <xdr:cNvPr id="3" name="Picture 2">
          <a:extLst>
            <a:ext uri="{FF2B5EF4-FFF2-40B4-BE49-F238E27FC236}">
              <a16:creationId xmlns:a16="http://schemas.microsoft.com/office/drawing/2014/main" id="{51FBB3F0-F8DB-CE72-2A87-8B6349B75C01}"/>
            </a:ext>
          </a:extLst>
        </xdr:cNvPr>
        <xdr:cNvPicPr>
          <a:picLocks noChangeAspect="1"/>
        </xdr:cNvPicPr>
      </xdr:nvPicPr>
      <xdr:blipFill>
        <a:blip xmlns:r="http://schemas.openxmlformats.org/officeDocument/2006/relationships" r:embed="rId1"/>
        <a:stretch>
          <a:fillRect/>
        </a:stretch>
      </xdr:blipFill>
      <xdr:spPr>
        <a:xfrm>
          <a:off x="11979089" y="1714500"/>
          <a:ext cx="5933333" cy="60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174625</xdr:colOff>
      <xdr:row>9</xdr:row>
      <xdr:rowOff>114300</xdr:rowOff>
    </xdr:from>
    <xdr:to>
      <xdr:col>17</xdr:col>
      <xdr:colOff>279400</xdr:colOff>
      <xdr:row>13</xdr:row>
      <xdr:rowOff>10584</xdr:rowOff>
    </xdr:to>
    <xdr:sp macro="" textlink="">
      <xdr:nvSpPr>
        <xdr:cNvPr id="4" name="Left Arrow 3">
          <a:extLst>
            <a:ext uri="{FF2B5EF4-FFF2-40B4-BE49-F238E27FC236}">
              <a16:creationId xmlns:a16="http://schemas.microsoft.com/office/drawing/2014/main" id="{00000000-0008-0000-0400-000004000000}"/>
            </a:ext>
          </a:extLst>
        </xdr:cNvPr>
        <xdr:cNvSpPr/>
      </xdr:nvSpPr>
      <xdr:spPr>
        <a:xfrm>
          <a:off x="8370358" y="2112433"/>
          <a:ext cx="4981575" cy="1115484"/>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rPr>
            <a:t>Row 12 shows up if "New Lighting System" is selected, or if Altered Lighting</a:t>
          </a:r>
          <a:r>
            <a:rPr lang="en-US" sz="1400" baseline="0">
              <a:solidFill>
                <a:schemeClr val="bg1"/>
              </a:solidFill>
            </a:rPr>
            <a:t> System column 02 is "Yes"</a:t>
          </a:r>
          <a:endParaRPr lang="en-US" sz="14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361950</xdr:colOff>
      <xdr:row>11</xdr:row>
      <xdr:rowOff>190500</xdr:rowOff>
    </xdr:from>
    <xdr:to>
      <xdr:col>1</xdr:col>
      <xdr:colOff>1895475</xdr:colOff>
      <xdr:row>20</xdr:row>
      <xdr:rowOff>0</xdr:rowOff>
    </xdr:to>
    <xdr:sp macro="" textlink="">
      <xdr:nvSpPr>
        <xdr:cNvPr id="34" name="Up Arrow 33">
          <a:extLst>
            <a:ext uri="{FF2B5EF4-FFF2-40B4-BE49-F238E27FC236}">
              <a16:creationId xmlns:a16="http://schemas.microsoft.com/office/drawing/2014/main" id="{00000000-0008-0000-0900-000022000000}"/>
            </a:ext>
          </a:extLst>
        </xdr:cNvPr>
        <xdr:cNvSpPr/>
      </xdr:nvSpPr>
      <xdr:spPr>
        <a:xfrm>
          <a:off x="361950" y="2946400"/>
          <a:ext cx="2339975" cy="18288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Luminaires with "Yes" in  Table F. column</a:t>
          </a:r>
          <a:r>
            <a:rPr lang="en-US" sz="1100" strike="sngStrike"/>
            <a:t>  </a:t>
          </a:r>
          <a:r>
            <a:rPr lang="en-US" sz="1100" u="sng" strike="noStrike" baseline="0"/>
            <a:t>09 </a:t>
          </a:r>
          <a:r>
            <a:rPr lang="en-US" sz="1100" baseline="0"/>
            <a:t>must be transferred to Table G.</a:t>
          </a:r>
          <a:endParaRPr lang="en-US" sz="1100"/>
        </a:p>
      </xdr:txBody>
    </xdr:sp>
    <xdr:clientData/>
  </xdr:twoCellAnchor>
  <xdr:twoCellAnchor editAs="oneCell">
    <xdr:from>
      <xdr:col>21</xdr:col>
      <xdr:colOff>161636</xdr:colOff>
      <xdr:row>5</xdr:row>
      <xdr:rowOff>9126</xdr:rowOff>
    </xdr:from>
    <xdr:to>
      <xdr:col>34</xdr:col>
      <xdr:colOff>552902</xdr:colOff>
      <xdr:row>21</xdr:row>
      <xdr:rowOff>3162</xdr:rowOff>
    </xdr:to>
    <xdr:pic>
      <xdr:nvPicPr>
        <xdr:cNvPr id="3" name="Picture 2">
          <a:extLst>
            <a:ext uri="{FF2B5EF4-FFF2-40B4-BE49-F238E27FC236}">
              <a16:creationId xmlns:a16="http://schemas.microsoft.com/office/drawing/2014/main" id="{EB1DDAE6-A73A-4616-88C2-3A88C572B85F}"/>
            </a:ext>
          </a:extLst>
        </xdr:cNvPr>
        <xdr:cNvPicPr>
          <a:picLocks noChangeAspect="1"/>
        </xdr:cNvPicPr>
      </xdr:nvPicPr>
      <xdr:blipFill>
        <a:blip xmlns:r="http://schemas.openxmlformats.org/officeDocument/2006/relationships" r:embed="rId1"/>
        <a:stretch>
          <a:fillRect/>
        </a:stretch>
      </xdr:blipFill>
      <xdr:spPr>
        <a:xfrm>
          <a:off x="15880772" y="1094399"/>
          <a:ext cx="6510357" cy="3648172"/>
        </a:xfrm>
        <a:prstGeom prst="rect">
          <a:avLst/>
        </a:prstGeom>
      </xdr:spPr>
    </xdr:pic>
    <xdr:clientData/>
  </xdr:twoCellAnchor>
  <xdr:twoCellAnchor editAs="oneCell">
    <xdr:from>
      <xdr:col>21</xdr:col>
      <xdr:colOff>109682</xdr:colOff>
      <xdr:row>20</xdr:row>
      <xdr:rowOff>184375</xdr:rowOff>
    </xdr:from>
    <xdr:to>
      <xdr:col>35</xdr:col>
      <xdr:colOff>285068</xdr:colOff>
      <xdr:row>28</xdr:row>
      <xdr:rowOff>126681</xdr:rowOff>
    </xdr:to>
    <xdr:pic>
      <xdr:nvPicPr>
        <xdr:cNvPr id="4" name="Picture 3">
          <a:extLst>
            <a:ext uri="{FF2B5EF4-FFF2-40B4-BE49-F238E27FC236}">
              <a16:creationId xmlns:a16="http://schemas.microsoft.com/office/drawing/2014/main" id="{39F1708C-51C6-450B-BB56-2D5669C55251}"/>
            </a:ext>
          </a:extLst>
        </xdr:cNvPr>
        <xdr:cNvPicPr>
          <a:picLocks noChangeAspect="1"/>
        </xdr:cNvPicPr>
      </xdr:nvPicPr>
      <xdr:blipFill>
        <a:blip xmlns:r="http://schemas.openxmlformats.org/officeDocument/2006/relationships" r:embed="rId2"/>
        <a:stretch>
          <a:fillRect/>
        </a:stretch>
      </xdr:blipFill>
      <xdr:spPr>
        <a:xfrm>
          <a:off x="15828818" y="4739057"/>
          <a:ext cx="6935250" cy="14232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825501</xdr:colOff>
      <xdr:row>22</xdr:row>
      <xdr:rowOff>61784</xdr:rowOff>
    </xdr:from>
    <xdr:to>
      <xdr:col>22</xdr:col>
      <xdr:colOff>87238</xdr:colOff>
      <xdr:row>41</xdr:row>
      <xdr:rowOff>59916</xdr:rowOff>
    </xdr:to>
    <xdr:pic>
      <xdr:nvPicPr>
        <xdr:cNvPr id="2" name="Picture 1">
          <a:extLst>
            <a:ext uri="{FF2B5EF4-FFF2-40B4-BE49-F238E27FC236}">
              <a16:creationId xmlns:a16="http://schemas.microsoft.com/office/drawing/2014/main" id="{F9DEFC7D-F936-44BE-A6D2-5BEF1B9CFF8E}"/>
            </a:ext>
          </a:extLst>
        </xdr:cNvPr>
        <xdr:cNvPicPr>
          <a:picLocks noChangeAspect="1"/>
        </xdr:cNvPicPr>
      </xdr:nvPicPr>
      <xdr:blipFill>
        <a:blip xmlns:r="http://schemas.openxmlformats.org/officeDocument/2006/relationships" r:embed="rId1"/>
        <a:stretch>
          <a:fillRect/>
        </a:stretch>
      </xdr:blipFill>
      <xdr:spPr>
        <a:xfrm>
          <a:off x="11838215" y="4806141"/>
          <a:ext cx="7299023" cy="3785453"/>
        </a:xfrm>
        <a:prstGeom prst="rect">
          <a:avLst/>
        </a:prstGeom>
      </xdr:spPr>
    </xdr:pic>
    <xdr:clientData/>
  </xdr:twoCellAnchor>
  <xdr:twoCellAnchor editAs="oneCell">
    <xdr:from>
      <xdr:col>0</xdr:col>
      <xdr:colOff>632456</xdr:colOff>
      <xdr:row>32</xdr:row>
      <xdr:rowOff>166545</xdr:rowOff>
    </xdr:from>
    <xdr:to>
      <xdr:col>8</xdr:col>
      <xdr:colOff>979714</xdr:colOff>
      <xdr:row>52</xdr:row>
      <xdr:rowOff>50097</xdr:rowOff>
    </xdr:to>
    <xdr:pic>
      <xdr:nvPicPr>
        <xdr:cNvPr id="5" name="Picture 4">
          <a:extLst>
            <a:ext uri="{FF2B5EF4-FFF2-40B4-BE49-F238E27FC236}">
              <a16:creationId xmlns:a16="http://schemas.microsoft.com/office/drawing/2014/main" id="{4C91879B-3FCB-43C3-BCBE-3A46E7691B5D}"/>
            </a:ext>
          </a:extLst>
        </xdr:cNvPr>
        <xdr:cNvPicPr>
          <a:picLocks noChangeAspect="1"/>
        </xdr:cNvPicPr>
      </xdr:nvPicPr>
      <xdr:blipFill>
        <a:blip xmlns:r="http://schemas.openxmlformats.org/officeDocument/2006/relationships" r:embed="rId2"/>
        <a:stretch>
          <a:fillRect/>
        </a:stretch>
      </xdr:blipFill>
      <xdr:spPr>
        <a:xfrm>
          <a:off x="632456" y="6861259"/>
          <a:ext cx="8293829" cy="3512122"/>
        </a:xfrm>
        <a:prstGeom prst="rect">
          <a:avLst/>
        </a:prstGeom>
      </xdr:spPr>
    </xdr:pic>
    <xdr:clientData/>
  </xdr:twoCellAnchor>
  <xdr:twoCellAnchor editAs="oneCell">
    <xdr:from>
      <xdr:col>29</xdr:col>
      <xdr:colOff>40821</xdr:colOff>
      <xdr:row>22</xdr:row>
      <xdr:rowOff>54428</xdr:rowOff>
    </xdr:from>
    <xdr:to>
      <xdr:col>39</xdr:col>
      <xdr:colOff>603321</xdr:colOff>
      <xdr:row>41</xdr:row>
      <xdr:rowOff>98832</xdr:rowOff>
    </xdr:to>
    <xdr:pic>
      <xdr:nvPicPr>
        <xdr:cNvPr id="3" name="Picture 2">
          <a:extLst>
            <a:ext uri="{FF2B5EF4-FFF2-40B4-BE49-F238E27FC236}">
              <a16:creationId xmlns:a16="http://schemas.microsoft.com/office/drawing/2014/main" id="{26C07BFA-6494-E999-3F3C-410272901859}"/>
            </a:ext>
          </a:extLst>
        </xdr:cNvPr>
        <xdr:cNvPicPr>
          <a:picLocks noChangeAspect="1"/>
        </xdr:cNvPicPr>
      </xdr:nvPicPr>
      <xdr:blipFill>
        <a:blip xmlns:r="http://schemas.openxmlformats.org/officeDocument/2006/relationships" r:embed="rId3"/>
        <a:stretch>
          <a:fillRect/>
        </a:stretch>
      </xdr:blipFill>
      <xdr:spPr>
        <a:xfrm>
          <a:off x="22615071" y="5211535"/>
          <a:ext cx="6685714" cy="39904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846667</xdr:colOff>
      <xdr:row>12</xdr:row>
      <xdr:rowOff>57277</xdr:rowOff>
    </xdr:from>
    <xdr:to>
      <xdr:col>23</xdr:col>
      <xdr:colOff>47122</xdr:colOff>
      <xdr:row>35</xdr:row>
      <xdr:rowOff>30386</xdr:rowOff>
    </xdr:to>
    <xdr:pic>
      <xdr:nvPicPr>
        <xdr:cNvPr id="3" name="Picture 2">
          <a:extLst>
            <a:ext uri="{FF2B5EF4-FFF2-40B4-BE49-F238E27FC236}">
              <a16:creationId xmlns:a16="http://schemas.microsoft.com/office/drawing/2014/main" id="{24E70517-9CD3-413E-8375-0E580DC6130C}"/>
            </a:ext>
          </a:extLst>
        </xdr:cNvPr>
        <xdr:cNvPicPr>
          <a:picLocks noChangeAspect="1"/>
        </xdr:cNvPicPr>
      </xdr:nvPicPr>
      <xdr:blipFill>
        <a:blip xmlns:r="http://schemas.openxmlformats.org/officeDocument/2006/relationships" r:embed="rId1"/>
        <a:stretch>
          <a:fillRect/>
        </a:stretch>
      </xdr:blipFill>
      <xdr:spPr>
        <a:xfrm>
          <a:off x="13296515" y="3376595"/>
          <a:ext cx="7859546" cy="4180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608541</xdr:colOff>
      <xdr:row>12</xdr:row>
      <xdr:rowOff>16582</xdr:rowOff>
    </xdr:from>
    <xdr:to>
      <xdr:col>27</xdr:col>
      <xdr:colOff>26486</xdr:colOff>
      <xdr:row>17</xdr:row>
      <xdr:rowOff>73470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13061597" y="3438526"/>
          <a:ext cx="9075236" cy="982930"/>
        </a:xfrm>
        <a:prstGeom prst="rect">
          <a:avLst/>
        </a:prstGeom>
      </xdr:spPr>
    </xdr:pic>
    <xdr:clientData/>
  </xdr:twoCellAnchor>
  <xdr:twoCellAnchor editAs="oneCell">
    <xdr:from>
      <xdr:col>13</xdr:col>
      <xdr:colOff>1100</xdr:colOff>
      <xdr:row>16</xdr:row>
      <xdr:rowOff>158749</xdr:rowOff>
    </xdr:from>
    <xdr:to>
      <xdr:col>27</xdr:col>
      <xdr:colOff>52839</xdr:colOff>
      <xdr:row>24</xdr:row>
      <xdr:rowOff>141111</xdr:rowOff>
    </xdr:to>
    <xdr:pic>
      <xdr:nvPicPr>
        <xdr:cNvPr id="4" name="Picture 3">
          <a:extLst>
            <a:ext uri="{FF2B5EF4-FFF2-40B4-BE49-F238E27FC236}">
              <a16:creationId xmlns:a16="http://schemas.microsoft.com/office/drawing/2014/main" id="{E6D74673-C4FC-49E9-952A-1B1B921D6C79}"/>
            </a:ext>
          </a:extLst>
        </xdr:cNvPr>
        <xdr:cNvPicPr>
          <a:picLocks noChangeAspect="1"/>
        </xdr:cNvPicPr>
      </xdr:nvPicPr>
      <xdr:blipFill>
        <a:blip xmlns:r="http://schemas.openxmlformats.org/officeDocument/2006/relationships" r:embed="rId2"/>
        <a:stretch>
          <a:fillRect/>
        </a:stretch>
      </xdr:blipFill>
      <xdr:spPr>
        <a:xfrm>
          <a:off x="13097975" y="4321527"/>
          <a:ext cx="9065211" cy="14640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571500</xdr:colOff>
      <xdr:row>7</xdr:row>
      <xdr:rowOff>68580</xdr:rowOff>
    </xdr:from>
    <xdr:to>
      <xdr:col>26</xdr:col>
      <xdr:colOff>8424</xdr:colOff>
      <xdr:row>9</xdr:row>
      <xdr:rowOff>125608</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1"/>
        <a:stretch>
          <a:fillRect/>
        </a:stretch>
      </xdr:blipFill>
      <xdr:spPr>
        <a:xfrm>
          <a:off x="12268200" y="1699260"/>
          <a:ext cx="8809524" cy="971429"/>
        </a:xfrm>
        <a:prstGeom prst="rect">
          <a:avLst/>
        </a:prstGeom>
      </xdr:spPr>
    </xdr:pic>
    <xdr:clientData/>
  </xdr:twoCellAnchor>
  <xdr:twoCellAnchor editAs="oneCell">
    <xdr:from>
      <xdr:col>13</xdr:col>
      <xdr:colOff>-1</xdr:colOff>
      <xdr:row>9</xdr:row>
      <xdr:rowOff>82824</xdr:rowOff>
    </xdr:from>
    <xdr:to>
      <xdr:col>25</xdr:col>
      <xdr:colOff>485380</xdr:colOff>
      <xdr:row>12</xdr:row>
      <xdr:rowOff>36810</xdr:rowOff>
    </xdr:to>
    <xdr:pic>
      <xdr:nvPicPr>
        <xdr:cNvPr id="2" name="Picture 1">
          <a:extLst>
            <a:ext uri="{FF2B5EF4-FFF2-40B4-BE49-F238E27FC236}">
              <a16:creationId xmlns:a16="http://schemas.microsoft.com/office/drawing/2014/main" id="{E0F04FC6-E6DD-4E0B-BCDA-A772C271E253}"/>
            </a:ext>
          </a:extLst>
        </xdr:cNvPr>
        <xdr:cNvPicPr>
          <a:picLocks noChangeAspect="1"/>
        </xdr:cNvPicPr>
      </xdr:nvPicPr>
      <xdr:blipFill>
        <a:blip xmlns:r="http://schemas.openxmlformats.org/officeDocument/2006/relationships" r:embed="rId2"/>
        <a:stretch>
          <a:fillRect/>
        </a:stretch>
      </xdr:blipFill>
      <xdr:spPr>
        <a:xfrm>
          <a:off x="13196956" y="2613621"/>
          <a:ext cx="8215815" cy="9847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601980</xdr:colOff>
      <xdr:row>9</xdr:row>
      <xdr:rowOff>7620</xdr:rowOff>
    </xdr:from>
    <xdr:to>
      <xdr:col>26</xdr:col>
      <xdr:colOff>38904</xdr:colOff>
      <xdr:row>12</xdr:row>
      <xdr:rowOff>57030</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13655040" y="2682240"/>
          <a:ext cx="8809524" cy="971429"/>
        </a:xfrm>
        <a:prstGeom prst="rect">
          <a:avLst/>
        </a:prstGeom>
      </xdr:spPr>
    </xdr:pic>
    <xdr:clientData/>
  </xdr:twoCellAnchor>
  <xdr:twoCellAnchor editAs="oneCell">
    <xdr:from>
      <xdr:col>12</xdr:col>
      <xdr:colOff>233452</xdr:colOff>
      <xdr:row>12</xdr:row>
      <xdr:rowOff>1781</xdr:rowOff>
    </xdr:from>
    <xdr:to>
      <xdr:col>26</xdr:col>
      <xdr:colOff>0</xdr:colOff>
      <xdr:row>34</xdr:row>
      <xdr:rowOff>124573</xdr:rowOff>
    </xdr:to>
    <xdr:pic>
      <xdr:nvPicPr>
        <xdr:cNvPr id="6" name="Picture 5">
          <a:extLst>
            <a:ext uri="{FF2B5EF4-FFF2-40B4-BE49-F238E27FC236}">
              <a16:creationId xmlns:a16="http://schemas.microsoft.com/office/drawing/2014/main" id="{B64DA9A6-7F26-4E89-8242-1704A369484D}"/>
            </a:ext>
          </a:extLst>
        </xdr:cNvPr>
        <xdr:cNvPicPr>
          <a:picLocks noChangeAspect="1"/>
        </xdr:cNvPicPr>
      </xdr:nvPicPr>
      <xdr:blipFill>
        <a:blip xmlns:r="http://schemas.openxmlformats.org/officeDocument/2006/relationships" r:embed="rId2"/>
        <a:stretch>
          <a:fillRect/>
        </a:stretch>
      </xdr:blipFill>
      <xdr:spPr>
        <a:xfrm>
          <a:off x="14171702" y="3629219"/>
          <a:ext cx="8767673" cy="4466192"/>
        </a:xfrm>
        <a:prstGeom prst="rect">
          <a:avLst/>
        </a:prstGeom>
      </xdr:spPr>
    </xdr:pic>
    <xdr:clientData/>
  </xdr:twoCellAnchor>
  <xdr:twoCellAnchor editAs="oneCell">
    <xdr:from>
      <xdr:col>12</xdr:col>
      <xdr:colOff>182399</xdr:colOff>
      <xdr:row>35</xdr:row>
      <xdr:rowOff>31749</xdr:rowOff>
    </xdr:from>
    <xdr:to>
      <xdr:col>26</xdr:col>
      <xdr:colOff>12639</xdr:colOff>
      <xdr:row>62</xdr:row>
      <xdr:rowOff>130824</xdr:rowOff>
    </xdr:to>
    <xdr:pic>
      <xdr:nvPicPr>
        <xdr:cNvPr id="7" name="Picture 6">
          <a:extLst>
            <a:ext uri="{FF2B5EF4-FFF2-40B4-BE49-F238E27FC236}">
              <a16:creationId xmlns:a16="http://schemas.microsoft.com/office/drawing/2014/main" id="{3898FB9B-75A9-47B6-A53A-4A3FC12F48BA}"/>
            </a:ext>
          </a:extLst>
        </xdr:cNvPr>
        <xdr:cNvPicPr>
          <a:picLocks noChangeAspect="1"/>
        </xdr:cNvPicPr>
      </xdr:nvPicPr>
      <xdr:blipFill>
        <a:blip xmlns:r="http://schemas.openxmlformats.org/officeDocument/2006/relationships" r:embed="rId3"/>
        <a:stretch>
          <a:fillRect/>
        </a:stretch>
      </xdr:blipFill>
      <xdr:spPr>
        <a:xfrm>
          <a:off x="14120649" y="8040687"/>
          <a:ext cx="8831365" cy="5028263"/>
        </a:xfrm>
        <a:prstGeom prst="rect">
          <a:avLst/>
        </a:prstGeom>
      </xdr:spPr>
    </xdr:pic>
    <xdr:clientData/>
  </xdr:twoCellAnchor>
  <xdr:twoCellAnchor editAs="oneCell">
    <xdr:from>
      <xdr:col>12</xdr:col>
      <xdr:colOff>254000</xdr:colOff>
      <xdr:row>62</xdr:row>
      <xdr:rowOff>114733</xdr:rowOff>
    </xdr:from>
    <xdr:to>
      <xdr:col>26</xdr:col>
      <xdr:colOff>7874</xdr:colOff>
      <xdr:row>72</xdr:row>
      <xdr:rowOff>139880</xdr:rowOff>
    </xdr:to>
    <xdr:pic>
      <xdr:nvPicPr>
        <xdr:cNvPr id="8" name="Picture 7">
          <a:extLst>
            <a:ext uri="{FF2B5EF4-FFF2-40B4-BE49-F238E27FC236}">
              <a16:creationId xmlns:a16="http://schemas.microsoft.com/office/drawing/2014/main" id="{7561559C-70CE-45D5-9DC4-2E975D108B70}"/>
            </a:ext>
          </a:extLst>
        </xdr:cNvPr>
        <xdr:cNvPicPr>
          <a:picLocks noChangeAspect="1"/>
        </xdr:cNvPicPr>
      </xdr:nvPicPr>
      <xdr:blipFill>
        <a:blip xmlns:r="http://schemas.openxmlformats.org/officeDocument/2006/relationships" r:embed="rId4"/>
        <a:stretch>
          <a:fillRect/>
        </a:stretch>
      </xdr:blipFill>
      <xdr:spPr>
        <a:xfrm>
          <a:off x="14192250" y="13052858"/>
          <a:ext cx="8754999" cy="18571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914400</xdr:colOff>
      <xdr:row>11</xdr:row>
      <xdr:rowOff>35859</xdr:rowOff>
    </xdr:from>
    <xdr:to>
      <xdr:col>4</xdr:col>
      <xdr:colOff>2434815</xdr:colOff>
      <xdr:row>12</xdr:row>
      <xdr:rowOff>8965</xdr:rowOff>
    </xdr:to>
    <xdr:sp macro="" textlink="">
      <xdr:nvSpPr>
        <xdr:cNvPr id="4" name="Rectangle 3">
          <a:extLst>
            <a:ext uri="{FF2B5EF4-FFF2-40B4-BE49-F238E27FC236}">
              <a16:creationId xmlns:a16="http://schemas.microsoft.com/office/drawing/2014/main" id="{631199CA-28C8-4156-9D7C-06E33F6449CB}"/>
            </a:ext>
          </a:extLst>
        </xdr:cNvPr>
        <xdr:cNvSpPr/>
      </xdr:nvSpPr>
      <xdr:spPr>
        <a:xfrm>
          <a:off x="7924800" y="5055534"/>
          <a:ext cx="1225140"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3</xdr:col>
      <xdr:colOff>1076325</xdr:colOff>
      <xdr:row>11</xdr:row>
      <xdr:rowOff>52667</xdr:rowOff>
    </xdr:from>
    <xdr:to>
      <xdr:col>4</xdr:col>
      <xdr:colOff>904652</xdr:colOff>
      <xdr:row>12</xdr:row>
      <xdr:rowOff>9525</xdr:rowOff>
    </xdr:to>
    <xdr:sp macro="" textlink="">
      <xdr:nvSpPr>
        <xdr:cNvPr id="5" name="Rectangle 4">
          <a:extLst>
            <a:ext uri="{FF2B5EF4-FFF2-40B4-BE49-F238E27FC236}">
              <a16:creationId xmlns:a16="http://schemas.microsoft.com/office/drawing/2014/main" id="{DDB5EF0B-8AD0-4B39-A011-7D11E5053EA1}"/>
            </a:ext>
          </a:extLst>
        </xdr:cNvPr>
        <xdr:cNvSpPr/>
      </xdr:nvSpPr>
      <xdr:spPr>
        <a:xfrm>
          <a:off x="6296025" y="5072342"/>
          <a:ext cx="1619027" cy="14735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LTO/2022/2022%20LMCC-LTO%20Mock%20Up-8.18.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
      <sheetName val="J. Per Application"/>
      <sheetName val="K. Sales Frontage"/>
      <sheetName val="L. Ornamental"/>
      <sheetName val="M. Per Specific Area"/>
      <sheetName val="N. Exist. Cond."/>
      <sheetName val="O. NRCI"/>
      <sheetName val="P.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Lee, Simon@Energy" id="{F8ADA4E0-501B-4769-9E39-1138686DDDF4}" userId="S::simon.lee@energy.ca.gov::903c83c1-35a3-41a9-a5a0-9907541062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23" dT="2024-10-17T00:02:30.81" personId="{F8ADA4E0-501B-4769-9E39-1138686DDDF4}" id="{4302BCA4-7EBE-4781-92DC-C65DD2F6CC81}">
    <text xml:space="preserve">Inserted a copy of Table 10-114-A of the 15-Day language of the 2025 Code development. </text>
  </threadedComment>
</ThreadedComments>
</file>

<file path=xl/threadedComments/threadedComment2.xml><?xml version="1.0" encoding="utf-8"?>
<ThreadedComments xmlns="http://schemas.microsoft.com/office/spreadsheetml/2018/threadedcomments" xmlns:x="http://schemas.openxmlformats.org/spreadsheetml/2006/main">
  <threadedComment ref="R16" dT="2024-11-01T00:10:32.44" personId="{F8ADA4E0-501B-4769-9E39-1138686DDDF4}" id="{26E136E9-B153-40A6-92A8-7CB705AD0686}">
    <text>Façade Lighting is exempt from the motion sensing controls requirement regardless of the mounting height.</text>
  </threadedComment>
  <threadedComment ref="R22" dT="2024-10-31T23:22:02.05" personId="{F8ADA4E0-501B-4769-9E39-1138686DDDF4}" id="{7CA2E50F-BF8A-4AE4-A758-C0DA14B78D8F}">
    <text>Question: Is this "Parking lot luminaire &lt; 78W" exception from ASHRAE or from which Energy Code section?</text>
  </threadedComment>
  <threadedComment ref="A46" dT="2024-11-04T17:23:06.48" personId="{F8ADA4E0-501B-4769-9E39-1138686DDDF4}" id="{81684717-AF84-40DE-8902-FE66C0A12809}">
    <text xml:space="preserve">Table 160.5-A is now deleted from the 2025 Energy Code. Refer to Section 160.5(a)1A for the compliant light source technologies.
</text>
  </threadedComment>
</ThreadedComments>
</file>

<file path=xl/threadedComments/threadedComment3.xml><?xml version="1.0" encoding="utf-8"?>
<ThreadedComments xmlns="http://schemas.microsoft.com/office/spreadsheetml/2018/threadedcomments" xmlns:x="http://schemas.openxmlformats.org/spreadsheetml/2006/main">
  <threadedComment ref="AK32" dT="2024-10-16T23:56:53.94" personId="{F8ADA4E0-501B-4769-9E39-1138686DDDF4}" id="{918CAD0A-D958-482A-A91E-DB3D0E8CC030}">
    <text xml:space="preserve">Inserted a copy of Table 140.7-A (2025 Code 15Day). Also added a note about the table. </text>
  </threadedComment>
</ThreadedComments>
</file>

<file path=xl/threadedComments/threadedComment4.xml><?xml version="1.0" encoding="utf-8"?>
<ThreadedComments xmlns="http://schemas.microsoft.com/office/spreadsheetml/2018/threadedcomments" xmlns:x="http://schemas.openxmlformats.org/spreadsheetml/2006/main">
  <threadedComment ref="J7" dT="2024-10-31T23:49:14.01" personId="{F8ADA4E0-501B-4769-9E39-1138686DDDF4}" id="{AA5E50E4-C14C-4FA3-9B5D-EF6B9D44AEFD}">
    <text>About outdoor lighting alteration and the compliance approach documented on this table "existing conditions power allowance", the installed lighting wattage should not be increased (the installed wattage is no greater than the existing wattage).
Question: Is there anywhere in Table-N that this is checked / compared? Or a manual check by the plan-checker / building-inspector?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15.bin"/><Relationship Id="rId5" Type="http://schemas.microsoft.com/office/2017/10/relationships/threadedComment" Target="../threadedComments/threadedComment3.xml"/><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7.xml"/><Relationship Id="rId1" Type="http://schemas.openxmlformats.org/officeDocument/2006/relationships/printerSettings" Target="../printerSettings/printerSettings16.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0.xml"/><Relationship Id="rId1" Type="http://schemas.openxmlformats.org/officeDocument/2006/relationships/printerSettings" Target="../printerSettings/printerSettings19.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 Id="rId4" Type="http://schemas.microsoft.com/office/2017/10/relationships/threadedComment" Target="../threadedComments/threadedComment4.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4F91-BC58-4529-9A2B-FA855A61E88B}">
  <dimension ref="A1:D26"/>
  <sheetViews>
    <sheetView zoomScale="115" zoomScaleNormal="115" workbookViewId="0">
      <selection activeCell="C15" sqref="C15:D15"/>
    </sheetView>
  </sheetViews>
  <sheetFormatPr defaultRowHeight="15"/>
  <cols>
    <col min="1" max="1" width="14.5703125" style="80" customWidth="1"/>
    <col min="2" max="2" width="23.85546875" customWidth="1"/>
    <col min="3" max="3" width="40.42578125" customWidth="1"/>
    <col min="4" max="4" width="23.7109375" customWidth="1"/>
  </cols>
  <sheetData>
    <row r="1" spans="1:4">
      <c r="A1" s="232" t="s">
        <v>0</v>
      </c>
      <c r="B1" s="233" t="s">
        <v>1</v>
      </c>
      <c r="C1" s="233" t="s">
        <v>2</v>
      </c>
      <c r="D1" s="233" t="s">
        <v>3</v>
      </c>
    </row>
    <row r="2" spans="1:4">
      <c r="A2" s="290">
        <v>45412</v>
      </c>
      <c r="B2" s="292" t="s">
        <v>4</v>
      </c>
      <c r="C2" s="292" t="s">
        <v>5</v>
      </c>
      <c r="D2" s="294" t="s">
        <v>6</v>
      </c>
    </row>
    <row r="3" spans="1:4">
      <c r="A3" s="291">
        <v>45412</v>
      </c>
      <c r="B3" s="292" t="s">
        <v>7</v>
      </c>
      <c r="C3" s="292" t="s">
        <v>8</v>
      </c>
      <c r="D3" s="295" t="s">
        <v>6</v>
      </c>
    </row>
    <row r="4" spans="1:4">
      <c r="A4" s="290">
        <v>45412</v>
      </c>
      <c r="B4" s="292" t="s">
        <v>9</v>
      </c>
      <c r="C4" s="292" t="s">
        <v>10</v>
      </c>
      <c r="D4" s="295" t="s">
        <v>6</v>
      </c>
    </row>
    <row r="5" spans="1:4">
      <c r="A5" s="290">
        <v>45080</v>
      </c>
      <c r="B5" s="293" t="s">
        <v>11</v>
      </c>
      <c r="C5" s="293" t="s">
        <v>12</v>
      </c>
      <c r="D5" s="295" t="s">
        <v>6</v>
      </c>
    </row>
    <row r="6" spans="1:4">
      <c r="A6" s="290">
        <v>45469</v>
      </c>
      <c r="B6" s="292" t="s">
        <v>7</v>
      </c>
      <c r="C6" s="301" t="s">
        <v>13</v>
      </c>
      <c r="D6" s="302" t="s">
        <v>6</v>
      </c>
    </row>
    <row r="7" spans="1:4">
      <c r="A7" s="290">
        <v>45471</v>
      </c>
      <c r="B7" s="292" t="s">
        <v>14</v>
      </c>
      <c r="C7" s="292" t="s">
        <v>15</v>
      </c>
      <c r="D7" s="302" t="s">
        <v>6</v>
      </c>
    </row>
    <row r="8" spans="1:4">
      <c r="A8" s="290"/>
      <c r="B8" s="292"/>
      <c r="C8" s="292"/>
      <c r="D8" s="292"/>
    </row>
    <row r="9" spans="1:4">
      <c r="A9" s="290"/>
      <c r="B9" s="292"/>
      <c r="C9" s="292"/>
      <c r="D9" s="292"/>
    </row>
    <row r="10" spans="1:4">
      <c r="A10" s="339" t="s">
        <v>16</v>
      </c>
      <c r="B10" s="292"/>
      <c r="C10" s="292"/>
      <c r="D10" s="292"/>
    </row>
    <row r="11" spans="1:4" ht="30">
      <c r="A11" s="290">
        <v>45581</v>
      </c>
      <c r="B11" s="292" t="s">
        <v>17</v>
      </c>
      <c r="C11" s="340" t="s">
        <v>18</v>
      </c>
      <c r="D11" s="292"/>
    </row>
    <row r="12" spans="1:4" ht="45">
      <c r="A12" s="290">
        <v>45581</v>
      </c>
      <c r="B12" s="292" t="s">
        <v>19</v>
      </c>
      <c r="C12" s="340" t="s">
        <v>518</v>
      </c>
      <c r="D12" s="292"/>
    </row>
    <row r="13" spans="1:4" ht="30">
      <c r="A13" s="290">
        <v>45596</v>
      </c>
      <c r="B13" s="292" t="s">
        <v>514</v>
      </c>
      <c r="C13" s="340" t="s">
        <v>515</v>
      </c>
      <c r="D13" s="345" t="s">
        <v>517</v>
      </c>
    </row>
    <row r="14" spans="1:4" ht="30">
      <c r="A14" s="290">
        <v>45596</v>
      </c>
      <c r="B14" s="292" t="s">
        <v>516</v>
      </c>
      <c r="C14" s="340" t="s">
        <v>521</v>
      </c>
      <c r="D14" s="292"/>
    </row>
    <row r="15" spans="1:4" ht="45">
      <c r="A15" s="290">
        <v>45600</v>
      </c>
      <c r="B15" s="292" t="s">
        <v>513</v>
      </c>
      <c r="C15" s="340" t="s">
        <v>520</v>
      </c>
      <c r="D15" s="346" t="s">
        <v>519</v>
      </c>
    </row>
    <row r="16" spans="1:4">
      <c r="A16" s="290"/>
      <c r="B16" s="292"/>
      <c r="C16" s="292"/>
      <c r="D16" s="292"/>
    </row>
    <row r="17" spans="1:4">
      <c r="A17" s="290"/>
      <c r="B17" s="292"/>
      <c r="C17" s="292"/>
      <c r="D17" s="292"/>
    </row>
    <row r="18" spans="1:4">
      <c r="A18" s="290"/>
      <c r="B18" s="292"/>
      <c r="C18" s="292"/>
      <c r="D18" s="292"/>
    </row>
    <row r="19" spans="1:4">
      <c r="A19" s="290"/>
      <c r="B19" s="292"/>
      <c r="C19" s="292"/>
      <c r="D19" s="292"/>
    </row>
    <row r="20" spans="1:4">
      <c r="A20" s="290"/>
      <c r="B20" s="292"/>
      <c r="C20" s="292"/>
      <c r="D20" s="292"/>
    </row>
    <row r="21" spans="1:4">
      <c r="A21" s="290"/>
      <c r="B21" s="292"/>
      <c r="C21" s="292"/>
      <c r="D21" s="292"/>
    </row>
    <row r="22" spans="1:4">
      <c r="A22" s="290"/>
    </row>
    <row r="23" spans="1:4">
      <c r="A23" s="290"/>
    </row>
    <row r="24" spans="1:4">
      <c r="A24" s="290"/>
    </row>
    <row r="25" spans="1:4">
      <c r="A25" s="290"/>
    </row>
    <row r="26" spans="1:4">
      <c r="A26" s="29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A11" sqref="A11:XFD11"/>
    </sheetView>
  </sheetViews>
  <sheetFormatPr defaultColWidth="9.140625" defaultRowHeight="14.25"/>
  <cols>
    <col min="1" max="1" width="17" style="17" customWidth="1"/>
    <col min="2" max="2" width="63.42578125" style="17" customWidth="1"/>
    <col min="3" max="3" width="17.140625" style="17" customWidth="1"/>
    <col min="4" max="16384" width="9.140625" style="17"/>
  </cols>
  <sheetData>
    <row r="1" spans="1:4" ht="15">
      <c r="A1" s="16" t="s">
        <v>20</v>
      </c>
      <c r="B1" s="16" t="s">
        <v>21</v>
      </c>
      <c r="C1" s="16" t="s">
        <v>22</v>
      </c>
      <c r="D1" s="96"/>
    </row>
    <row r="2" spans="1:4">
      <c r="A2" s="17" t="s">
        <v>14</v>
      </c>
      <c r="B2" s="17" t="s">
        <v>23</v>
      </c>
      <c r="C2" s="17" t="s">
        <v>24</v>
      </c>
      <c r="D2" s="96"/>
    </row>
    <row r="3" spans="1:4">
      <c r="A3" s="17" t="s">
        <v>25</v>
      </c>
      <c r="B3" s="17" t="s">
        <v>26</v>
      </c>
      <c r="C3" s="17" t="s">
        <v>24</v>
      </c>
      <c r="D3" s="96"/>
    </row>
    <row r="4" spans="1:4">
      <c r="A4" s="17" t="s">
        <v>27</v>
      </c>
      <c r="B4" s="17" t="s">
        <v>28</v>
      </c>
      <c r="C4" s="17" t="s">
        <v>24</v>
      </c>
      <c r="D4" s="96"/>
    </row>
    <row r="5" spans="1:4">
      <c r="A5" s="17" t="s">
        <v>29</v>
      </c>
      <c r="B5" s="17" t="s">
        <v>30</v>
      </c>
      <c r="C5" s="17" t="s">
        <v>24</v>
      </c>
      <c r="D5" s="96"/>
    </row>
    <row r="6" spans="1:4">
      <c r="A6" s="17" t="s">
        <v>31</v>
      </c>
      <c r="B6" s="17" t="s">
        <v>32</v>
      </c>
      <c r="C6" s="17" t="s">
        <v>24</v>
      </c>
      <c r="D6" s="96"/>
    </row>
    <row r="7" spans="1:4">
      <c r="A7" s="17" t="s">
        <v>33</v>
      </c>
      <c r="B7" s="96" t="s">
        <v>34</v>
      </c>
      <c r="C7" s="96" t="s">
        <v>25</v>
      </c>
      <c r="D7" s="96"/>
    </row>
    <row r="8" spans="1:4">
      <c r="A8" s="17" t="s">
        <v>35</v>
      </c>
      <c r="B8" s="96" t="s">
        <v>36</v>
      </c>
      <c r="C8" s="96" t="s">
        <v>33</v>
      </c>
      <c r="D8" s="96"/>
    </row>
    <row r="9" spans="1:4">
      <c r="A9" s="17" t="s">
        <v>37</v>
      </c>
      <c r="B9" s="96" t="s">
        <v>38</v>
      </c>
      <c r="C9" s="96" t="s">
        <v>25</v>
      </c>
      <c r="D9" s="96"/>
    </row>
    <row r="10" spans="1:4">
      <c r="A10" s="17" t="s">
        <v>39</v>
      </c>
      <c r="B10" s="96" t="s">
        <v>40</v>
      </c>
      <c r="C10" s="96" t="s">
        <v>25</v>
      </c>
      <c r="D10" s="96"/>
    </row>
    <row r="11" spans="1:4">
      <c r="A11" s="96" t="s">
        <v>41</v>
      </c>
      <c r="B11" s="96" t="s">
        <v>42</v>
      </c>
      <c r="C11" s="96" t="s">
        <v>39</v>
      </c>
      <c r="D11" s="96"/>
    </row>
    <row r="12" spans="1:4">
      <c r="A12" s="96" t="s">
        <v>43</v>
      </c>
      <c r="B12" s="96" t="s">
        <v>44</v>
      </c>
      <c r="C12" s="96" t="s">
        <v>39</v>
      </c>
    </row>
    <row r="13" spans="1:4">
      <c r="A13" s="96" t="s">
        <v>45</v>
      </c>
      <c r="B13" s="96" t="s">
        <v>46</v>
      </c>
      <c r="C13" s="96" t="s">
        <v>39</v>
      </c>
    </row>
    <row r="14" spans="1:4">
      <c r="A14" s="96" t="s">
        <v>47</v>
      </c>
      <c r="B14" s="96" t="s">
        <v>48</v>
      </c>
      <c r="C14" s="96" t="s">
        <v>39</v>
      </c>
    </row>
    <row r="15" spans="1:4">
      <c r="A15" s="96" t="s">
        <v>49</v>
      </c>
      <c r="B15" s="96" t="s">
        <v>50</v>
      </c>
      <c r="C15" s="17" t="s">
        <v>25</v>
      </c>
    </row>
    <row r="16" spans="1:4">
      <c r="A16" s="96" t="s">
        <v>51</v>
      </c>
      <c r="B16" s="17" t="s">
        <v>52</v>
      </c>
      <c r="C16" s="17" t="s">
        <v>24</v>
      </c>
    </row>
    <row r="17" spans="1:3">
      <c r="A17" s="96" t="s">
        <v>53</v>
      </c>
      <c r="B17" s="17" t="s">
        <v>54</v>
      </c>
      <c r="C17" s="17" t="s">
        <v>24</v>
      </c>
    </row>
    <row r="18" spans="1:3">
      <c r="A18" s="18" t="s">
        <v>55</v>
      </c>
      <c r="B18" s="17" t="s">
        <v>56</v>
      </c>
      <c r="C18" s="17" t="s">
        <v>24</v>
      </c>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zoomScaleNormal="100" workbookViewId="0">
      <selection activeCell="F19" sqref="F19"/>
    </sheetView>
  </sheetViews>
  <sheetFormatPr defaultColWidth="9.140625" defaultRowHeight="14.25"/>
  <cols>
    <col min="1" max="1" width="41.42578125" style="17" customWidth="1"/>
    <col min="2" max="2" width="45.85546875" style="17" customWidth="1"/>
    <col min="3" max="16384" width="9.140625" style="17"/>
  </cols>
  <sheetData>
    <row r="1" spans="1:3" ht="15">
      <c r="A1" s="92" t="s">
        <v>20</v>
      </c>
      <c r="B1" s="92" t="s">
        <v>57</v>
      </c>
      <c r="C1" s="96"/>
    </row>
    <row r="2" spans="1:3">
      <c r="A2" s="96" t="s">
        <v>58</v>
      </c>
      <c r="B2" s="96" t="s">
        <v>59</v>
      </c>
      <c r="C2" s="96"/>
    </row>
    <row r="3" spans="1:3">
      <c r="A3" s="96" t="s">
        <v>60</v>
      </c>
      <c r="B3" s="96" t="s">
        <v>59</v>
      </c>
      <c r="C3" s="96"/>
    </row>
    <row r="4" spans="1:3">
      <c r="A4" s="96" t="s">
        <v>61</v>
      </c>
      <c r="B4" s="96" t="s">
        <v>62</v>
      </c>
      <c r="C4" s="96"/>
    </row>
    <row r="5" spans="1:3">
      <c r="A5" s="96" t="s">
        <v>63</v>
      </c>
      <c r="B5" s="96" t="s">
        <v>64</v>
      </c>
      <c r="C5" s="96"/>
    </row>
    <row r="6" spans="1:3">
      <c r="A6" s="96" t="s">
        <v>65</v>
      </c>
      <c r="B6" s="96" t="s">
        <v>66</v>
      </c>
      <c r="C6" s="96"/>
    </row>
    <row r="7" spans="1:3">
      <c r="A7" s="96" t="s">
        <v>67</v>
      </c>
      <c r="B7" s="96" t="s">
        <v>68</v>
      </c>
      <c r="C7" s="96"/>
    </row>
    <row r="8" spans="1:3">
      <c r="A8" s="96" t="s">
        <v>69</v>
      </c>
      <c r="B8" s="96" t="s">
        <v>70</v>
      </c>
      <c r="C8" s="96"/>
    </row>
    <row r="9" spans="1:3">
      <c r="A9" s="96" t="s">
        <v>71</v>
      </c>
      <c r="B9" s="96" t="s">
        <v>70</v>
      </c>
      <c r="C9" s="96"/>
    </row>
    <row r="10" spans="1:3">
      <c r="A10" s="96" t="s">
        <v>72</v>
      </c>
      <c r="B10" s="96" t="s">
        <v>73</v>
      </c>
      <c r="C10" s="96"/>
    </row>
    <row r="11" spans="1:3">
      <c r="A11" s="96" t="s">
        <v>74</v>
      </c>
      <c r="B11" s="96" t="s">
        <v>73</v>
      </c>
      <c r="C11" s="96"/>
    </row>
    <row r="12" spans="1:3">
      <c r="A12" s="96" t="s">
        <v>75</v>
      </c>
      <c r="B12" s="96" t="s">
        <v>73</v>
      </c>
    </row>
    <row r="13" spans="1:3">
      <c r="A13" s="96" t="s">
        <v>76</v>
      </c>
      <c r="B13" s="96" t="s">
        <v>77</v>
      </c>
    </row>
    <row r="14" spans="1:3">
      <c r="A14" s="96" t="s">
        <v>78</v>
      </c>
      <c r="B14" s="96" t="s">
        <v>79</v>
      </c>
    </row>
    <row r="15" spans="1:3">
      <c r="A15" s="96" t="s">
        <v>78</v>
      </c>
      <c r="B15" s="96" t="s">
        <v>80</v>
      </c>
    </row>
    <row r="16" spans="1:3">
      <c r="A16" s="96" t="s">
        <v>78</v>
      </c>
      <c r="B16" s="96" t="s">
        <v>81</v>
      </c>
    </row>
    <row r="17" spans="1:2">
      <c r="A17" s="96" t="s">
        <v>78</v>
      </c>
      <c r="B17" s="96" t="s">
        <v>82</v>
      </c>
    </row>
    <row r="18" spans="1:2">
      <c r="A18" s="96" t="s">
        <v>83</v>
      </c>
      <c r="B18" s="96" t="s">
        <v>84</v>
      </c>
    </row>
    <row r="19" spans="1:2">
      <c r="A19" s="96" t="s">
        <v>85</v>
      </c>
      <c r="B19" s="96" t="s">
        <v>84</v>
      </c>
    </row>
    <row r="20" spans="1:2">
      <c r="A20" s="96" t="s">
        <v>86</v>
      </c>
      <c r="B20" s="96" t="s">
        <v>87</v>
      </c>
    </row>
    <row r="21" spans="1:2">
      <c r="A21" s="96" t="s">
        <v>65</v>
      </c>
    </row>
    <row r="22" spans="1:2">
      <c r="A22" s="96" t="s">
        <v>88</v>
      </c>
    </row>
    <row r="23" spans="1:2" ht="16.5" customHeight="1">
      <c r="A23" s="96" t="s">
        <v>89</v>
      </c>
    </row>
    <row r="24" spans="1:2" ht="12" customHeight="1">
      <c r="A24" s="96" t="s">
        <v>90</v>
      </c>
    </row>
    <row r="25" spans="1:2">
      <c r="A25" s="96" t="s">
        <v>91</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1" zoomScaleNormal="100" workbookViewId="0">
      <selection activeCell="A6" sqref="A6:K6"/>
    </sheetView>
  </sheetViews>
  <sheetFormatPr defaultColWidth="8.7109375" defaultRowHeight="15"/>
  <cols>
    <col min="1" max="1" width="4.7109375" style="133" customWidth="1"/>
    <col min="2" max="4" width="10.7109375" style="133" customWidth="1"/>
    <col min="5" max="6" width="12.7109375" style="133" customWidth="1"/>
    <col min="7" max="7" width="4.7109375" style="133" customWidth="1"/>
    <col min="8" max="8" width="3.7109375" style="133" customWidth="1"/>
    <col min="9" max="9" width="25.7109375" style="133" customWidth="1"/>
    <col min="10" max="10" width="3.7109375" style="133" customWidth="1"/>
    <col min="11" max="11" width="24.7109375" style="133" customWidth="1"/>
    <col min="12" max="16384" width="8.7109375" style="133"/>
  </cols>
  <sheetData>
    <row r="1" spans="1:11">
      <c r="A1" s="136"/>
      <c r="B1" s="133" t="s">
        <v>92</v>
      </c>
      <c r="C1" s="137"/>
      <c r="D1" s="133" t="s">
        <v>93</v>
      </c>
      <c r="F1" s="358"/>
      <c r="G1" s="358"/>
      <c r="H1" s="133" t="s">
        <v>94</v>
      </c>
      <c r="J1" s="138"/>
      <c r="K1" s="133" t="s">
        <v>95</v>
      </c>
    </row>
    <row r="2" spans="1:11">
      <c r="A2" s="27" t="s">
        <v>96</v>
      </c>
      <c r="B2" s="27"/>
      <c r="C2" s="27"/>
      <c r="F2" s="139"/>
      <c r="G2" s="139"/>
    </row>
    <row r="3" spans="1:11" ht="15.75">
      <c r="A3" s="1" t="s">
        <v>97</v>
      </c>
      <c r="B3" s="1"/>
      <c r="C3" s="1"/>
      <c r="D3" s="140"/>
      <c r="E3" s="27"/>
      <c r="F3" s="27"/>
      <c r="G3" s="27"/>
      <c r="H3" s="140"/>
      <c r="I3" s="140"/>
      <c r="J3" s="140"/>
      <c r="K3" s="140"/>
    </row>
    <row r="4" spans="1:11" ht="15.75">
      <c r="A4" s="366" t="s">
        <v>98</v>
      </c>
      <c r="B4" s="366"/>
      <c r="C4" s="366"/>
      <c r="D4" s="366"/>
      <c r="E4" s="239"/>
      <c r="F4" s="239"/>
      <c r="G4" s="239"/>
      <c r="H4" s="240"/>
      <c r="I4" s="352" t="s">
        <v>99</v>
      </c>
      <c r="J4" s="352"/>
      <c r="K4" s="352"/>
    </row>
    <row r="5" spans="1:11">
      <c r="A5" s="234" t="s">
        <v>100</v>
      </c>
      <c r="B5" s="235"/>
      <c r="C5" s="235"/>
      <c r="D5" s="236"/>
      <c r="E5" s="235"/>
      <c r="F5" s="235"/>
      <c r="G5" s="235"/>
      <c r="H5" s="236"/>
      <c r="I5" s="237"/>
      <c r="J5" s="237"/>
      <c r="K5" s="238" t="s">
        <v>101</v>
      </c>
    </row>
    <row r="6" spans="1:11" ht="45.95" customHeight="1">
      <c r="A6" s="359" t="s">
        <v>102</v>
      </c>
      <c r="B6" s="360"/>
      <c r="C6" s="360"/>
      <c r="D6" s="360"/>
      <c r="E6" s="360"/>
      <c r="F6" s="360"/>
      <c r="G6" s="360"/>
      <c r="H6" s="360"/>
      <c r="I6" s="360"/>
      <c r="J6" s="360"/>
      <c r="K6" s="361"/>
    </row>
    <row r="7" spans="1:11">
      <c r="A7" s="364" t="s">
        <v>103</v>
      </c>
      <c r="B7" s="365"/>
      <c r="C7" s="362"/>
      <c r="D7" s="363"/>
      <c r="E7" s="363"/>
      <c r="F7" s="363"/>
      <c r="G7" s="308"/>
      <c r="H7" s="144"/>
      <c r="I7" s="349" t="s">
        <v>104</v>
      </c>
      <c r="J7" s="350"/>
      <c r="K7" s="145" t="s">
        <v>105</v>
      </c>
    </row>
    <row r="8" spans="1:11">
      <c r="A8" s="364" t="s">
        <v>106</v>
      </c>
      <c r="B8" s="365"/>
      <c r="C8" s="367"/>
      <c r="D8" s="368"/>
      <c r="E8" s="368"/>
      <c r="F8" s="368"/>
      <c r="G8" s="368"/>
      <c r="H8" s="369"/>
      <c r="I8" s="349" t="s">
        <v>107</v>
      </c>
      <c r="J8" s="350"/>
      <c r="K8" s="146"/>
    </row>
    <row r="9" spans="1:11">
      <c r="A9" s="114"/>
      <c r="B9" s="114"/>
      <c r="C9" s="114"/>
      <c r="D9" s="114"/>
      <c r="E9" s="114"/>
      <c r="F9" s="114"/>
      <c r="G9" s="114"/>
      <c r="H9" s="114"/>
      <c r="I9" s="147"/>
      <c r="J9" s="147"/>
      <c r="K9" s="114"/>
    </row>
    <row r="10" spans="1:11">
      <c r="A10" s="114"/>
      <c r="B10" s="114" t="s">
        <v>108</v>
      </c>
      <c r="C10" s="114"/>
      <c r="D10" s="114"/>
      <c r="E10" s="114"/>
      <c r="F10" s="114"/>
      <c r="G10" s="114"/>
      <c r="H10" s="114"/>
      <c r="I10" s="147"/>
      <c r="J10" s="147"/>
      <c r="K10" s="114"/>
    </row>
    <row r="11" spans="1:11">
      <c r="A11" s="114"/>
      <c r="B11" s="114"/>
      <c r="C11" s="114"/>
      <c r="D11" s="114"/>
      <c r="E11" s="114"/>
      <c r="F11" s="114"/>
      <c r="G11" s="114"/>
      <c r="H11" s="114"/>
      <c r="I11" s="147"/>
      <c r="J11" s="147"/>
      <c r="K11" s="114"/>
    </row>
    <row r="12" spans="1:11">
      <c r="A12" s="114"/>
      <c r="B12" s="114"/>
      <c r="C12" s="114"/>
      <c r="D12" s="114"/>
      <c r="E12" s="114"/>
      <c r="F12" s="114"/>
      <c r="G12" s="114"/>
      <c r="H12" s="114"/>
      <c r="I12" s="147"/>
      <c r="J12" s="147"/>
      <c r="K12" s="114"/>
    </row>
    <row r="13" spans="1:11">
      <c r="A13" s="27" t="s">
        <v>96</v>
      </c>
      <c r="B13" s="27"/>
      <c r="C13" s="27"/>
      <c r="F13" s="139"/>
      <c r="G13" s="139"/>
    </row>
    <row r="14" spans="1:11" ht="15.75">
      <c r="A14" s="239" t="s">
        <v>97</v>
      </c>
      <c r="B14" s="239"/>
      <c r="C14" s="239"/>
      <c r="D14" s="240"/>
      <c r="E14" s="241"/>
      <c r="F14" s="241"/>
      <c r="G14" s="241"/>
      <c r="H14" s="240"/>
      <c r="I14" s="240"/>
      <c r="J14" s="240"/>
      <c r="K14" s="240"/>
    </row>
    <row r="15" spans="1:11" ht="15.75">
      <c r="A15" s="351" t="s">
        <v>101</v>
      </c>
      <c r="B15" s="351"/>
      <c r="C15" s="351"/>
      <c r="D15" s="240"/>
      <c r="E15" s="239"/>
      <c r="F15" s="239"/>
      <c r="G15" s="239"/>
      <c r="H15" s="240"/>
      <c r="I15" s="352" t="s">
        <v>99</v>
      </c>
      <c r="J15" s="352"/>
      <c r="K15" s="352"/>
    </row>
    <row r="16" spans="1:11">
      <c r="A16" s="141" t="s">
        <v>100</v>
      </c>
      <c r="B16" s="34"/>
      <c r="C16" s="34"/>
      <c r="D16" s="142"/>
      <c r="E16" s="34"/>
      <c r="F16" s="34"/>
      <c r="G16" s="34"/>
      <c r="H16" s="142"/>
      <c r="I16" s="143"/>
      <c r="J16" s="143"/>
      <c r="K16" s="227" t="s">
        <v>101</v>
      </c>
    </row>
    <row r="17" spans="1:11">
      <c r="A17" s="347" t="s">
        <v>103</v>
      </c>
      <c r="B17" s="348"/>
      <c r="C17" s="353"/>
      <c r="D17" s="354"/>
      <c r="E17" s="354"/>
      <c r="F17" s="354"/>
      <c r="G17" s="308"/>
      <c r="H17" s="144"/>
      <c r="I17" s="349" t="s">
        <v>104</v>
      </c>
      <c r="J17" s="350"/>
      <c r="K17" s="145" t="s">
        <v>105</v>
      </c>
    </row>
    <row r="18" spans="1:11">
      <c r="A18" s="347" t="s">
        <v>106</v>
      </c>
      <c r="B18" s="348"/>
      <c r="C18" s="355"/>
      <c r="D18" s="356"/>
      <c r="E18" s="356"/>
      <c r="F18" s="356"/>
      <c r="G18" s="356"/>
      <c r="H18" s="357"/>
      <c r="I18" s="349" t="s">
        <v>107</v>
      </c>
      <c r="J18" s="350"/>
      <c r="K18" s="148"/>
    </row>
    <row r="19" spans="1:11">
      <c r="A19" s="149"/>
      <c r="B19" s="114"/>
      <c r="C19" s="114"/>
      <c r="D19" s="114"/>
      <c r="E19" s="114"/>
      <c r="F19" s="114"/>
      <c r="G19" s="149"/>
      <c r="H19" s="114"/>
      <c r="I19" s="114"/>
      <c r="J19" s="150"/>
      <c r="K19" s="150"/>
    </row>
    <row r="20" spans="1:11">
      <c r="A20" s="149"/>
      <c r="B20" s="114"/>
      <c r="C20" s="114"/>
      <c r="D20" s="114"/>
      <c r="E20" s="114"/>
      <c r="F20" s="114"/>
      <c r="G20" s="149"/>
      <c r="H20" s="114"/>
      <c r="I20" s="114"/>
      <c r="J20" s="150"/>
      <c r="K20" s="150"/>
    </row>
    <row r="21" spans="1:11">
      <c r="A21" s="149"/>
      <c r="B21" s="114"/>
      <c r="C21" s="114"/>
      <c r="D21" s="114"/>
      <c r="E21" s="114"/>
      <c r="F21" s="114"/>
      <c r="G21" s="149"/>
      <c r="H21" s="114"/>
      <c r="I21" s="114"/>
      <c r="J21" s="150"/>
      <c r="K21" s="150"/>
    </row>
    <row r="22" spans="1:11" ht="15" customHeight="1">
      <c r="A22" s="151"/>
      <c r="B22" s="114"/>
      <c r="C22" s="114"/>
      <c r="D22" s="114"/>
      <c r="E22" s="114"/>
      <c r="F22" s="114"/>
      <c r="G22" s="114"/>
      <c r="H22" s="114"/>
      <c r="I22" s="114"/>
      <c r="J22" s="114"/>
      <c r="K22" s="114"/>
    </row>
    <row r="23" spans="1:11">
      <c r="A23" s="114"/>
      <c r="B23" s="114"/>
      <c r="C23" s="114"/>
      <c r="D23" s="114"/>
      <c r="E23" s="114"/>
      <c r="F23" s="114"/>
      <c r="G23" s="114"/>
      <c r="H23" s="114"/>
      <c r="I23" s="114"/>
      <c r="J23" s="114"/>
      <c r="K23" s="114"/>
    </row>
    <row r="24" spans="1:11">
      <c r="A24" s="114"/>
      <c r="B24" s="114"/>
      <c r="C24" s="114"/>
      <c r="D24" s="114"/>
      <c r="E24" s="114"/>
      <c r="F24" s="114"/>
      <c r="G24" s="114"/>
      <c r="H24" s="114"/>
      <c r="I24" s="114"/>
      <c r="J24" s="114"/>
      <c r="K24" s="114"/>
    </row>
    <row r="25" spans="1:11">
      <c r="A25" s="114"/>
      <c r="B25" s="114"/>
      <c r="C25" s="114"/>
      <c r="D25" s="114"/>
      <c r="E25" s="114"/>
      <c r="F25" s="114"/>
      <c r="G25" s="114"/>
      <c r="H25" s="114"/>
      <c r="I25" s="114"/>
      <c r="J25" s="114"/>
      <c r="K25" s="114"/>
    </row>
    <row r="26" spans="1:11">
      <c r="A26" s="114"/>
      <c r="B26" s="114"/>
      <c r="C26" s="114"/>
      <c r="D26" s="114"/>
      <c r="E26" s="114"/>
      <c r="F26" s="114"/>
      <c r="G26" s="114"/>
      <c r="H26" s="114"/>
      <c r="I26" s="114"/>
      <c r="J26" s="114"/>
      <c r="K26" s="114"/>
    </row>
    <row r="27" spans="1:11">
      <c r="A27" s="114"/>
      <c r="B27" s="114"/>
      <c r="C27" s="114"/>
      <c r="D27" s="114"/>
      <c r="E27" s="114"/>
      <c r="F27" s="114"/>
      <c r="G27" s="114"/>
      <c r="H27" s="114"/>
      <c r="I27" s="114"/>
      <c r="J27" s="114"/>
      <c r="K27" s="114"/>
    </row>
    <row r="28" spans="1:11">
      <c r="A28" s="114"/>
      <c r="B28" s="114"/>
      <c r="C28" s="114"/>
      <c r="D28" s="114"/>
      <c r="E28" s="114"/>
      <c r="F28" s="114"/>
      <c r="G28" s="114"/>
      <c r="H28" s="114"/>
      <c r="I28" s="114"/>
      <c r="J28" s="114"/>
      <c r="K28" s="114"/>
    </row>
  </sheetData>
  <mergeCells count="18">
    <mergeCell ref="F1:G1"/>
    <mergeCell ref="A6:K6"/>
    <mergeCell ref="I4:K4"/>
    <mergeCell ref="I7:J7"/>
    <mergeCell ref="I8:J8"/>
    <mergeCell ref="C7:F7"/>
    <mergeCell ref="A7:B7"/>
    <mergeCell ref="A8:B8"/>
    <mergeCell ref="A4:D4"/>
    <mergeCell ref="C8:H8"/>
    <mergeCell ref="A18:B18"/>
    <mergeCell ref="I18:J18"/>
    <mergeCell ref="A15:C15"/>
    <mergeCell ref="I15:K15"/>
    <mergeCell ref="A17:B17"/>
    <mergeCell ref="C17:F17"/>
    <mergeCell ref="I17:J17"/>
    <mergeCell ref="C18:H18"/>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E042-C87E-421A-9908-3019E63797E9}">
  <dimension ref="A1:K28"/>
  <sheetViews>
    <sheetView zoomScale="90" zoomScaleNormal="90" workbookViewId="0">
      <selection activeCell="A6" sqref="A6:K6"/>
    </sheetView>
  </sheetViews>
  <sheetFormatPr defaultColWidth="8.7109375" defaultRowHeight="15"/>
  <cols>
    <col min="1" max="1" width="4.7109375" style="133" customWidth="1"/>
    <col min="2" max="4" width="10.7109375" style="133" customWidth="1"/>
    <col min="5" max="6" width="12.7109375" style="133" customWidth="1"/>
    <col min="7" max="7" width="4.7109375" style="133" customWidth="1"/>
    <col min="8" max="8" width="3.7109375" style="133" customWidth="1"/>
    <col min="9" max="9" width="25.7109375" style="133" customWidth="1"/>
    <col min="10" max="10" width="3.7109375" style="133" customWidth="1"/>
    <col min="11" max="11" width="24.7109375" style="133" customWidth="1"/>
    <col min="12" max="16384" width="8.7109375" style="133"/>
  </cols>
  <sheetData>
    <row r="1" spans="1:11">
      <c r="A1" s="136"/>
      <c r="B1" s="133" t="s">
        <v>92</v>
      </c>
      <c r="C1" s="137"/>
      <c r="D1" s="133" t="s">
        <v>93</v>
      </c>
      <c r="F1" s="358"/>
      <c r="G1" s="358"/>
      <c r="H1" s="133" t="s">
        <v>94</v>
      </c>
      <c r="J1" s="138"/>
      <c r="K1" s="133" t="s">
        <v>95</v>
      </c>
    </row>
    <row r="2" spans="1:11">
      <c r="A2" s="27" t="s">
        <v>96</v>
      </c>
      <c r="B2" s="27"/>
      <c r="C2" s="27"/>
      <c r="F2" s="139"/>
      <c r="G2" s="139"/>
    </row>
    <row r="3" spans="1:11" ht="15.75">
      <c r="A3" s="1" t="s">
        <v>97</v>
      </c>
      <c r="B3" s="1"/>
      <c r="C3" s="1"/>
      <c r="D3" s="140"/>
      <c r="E3" s="27"/>
      <c r="F3" s="27"/>
      <c r="G3" s="27"/>
      <c r="H3" s="140"/>
      <c r="I3" s="140"/>
      <c r="J3" s="140"/>
      <c r="K3" s="140"/>
    </row>
    <row r="4" spans="1:11">
      <c r="A4" s="372" t="s">
        <v>109</v>
      </c>
      <c r="B4" s="372"/>
      <c r="C4" s="372"/>
      <c r="D4" s="372"/>
      <c r="E4" s="249"/>
      <c r="F4" s="249"/>
      <c r="G4" s="249"/>
      <c r="H4" s="243"/>
      <c r="I4" s="371" t="s">
        <v>99</v>
      </c>
      <c r="J4" s="371"/>
      <c r="K4" s="371"/>
    </row>
    <row r="5" spans="1:11">
      <c r="A5" s="244" t="s">
        <v>100</v>
      </c>
      <c r="B5" s="245"/>
      <c r="C5" s="245"/>
      <c r="D5" s="246"/>
      <c r="E5" s="245"/>
      <c r="F5" s="245"/>
      <c r="G5" s="245"/>
      <c r="H5" s="246"/>
      <c r="I5" s="247"/>
      <c r="J5" s="247"/>
      <c r="K5" s="248" t="s">
        <v>109</v>
      </c>
    </row>
    <row r="6" spans="1:11" ht="57" customHeight="1">
      <c r="A6" s="359" t="s">
        <v>110</v>
      </c>
      <c r="B6" s="360"/>
      <c r="C6" s="360"/>
      <c r="D6" s="360"/>
      <c r="E6" s="360"/>
      <c r="F6" s="360"/>
      <c r="G6" s="360"/>
      <c r="H6" s="360"/>
      <c r="I6" s="360"/>
      <c r="J6" s="360"/>
      <c r="K6" s="361"/>
    </row>
    <row r="7" spans="1:11">
      <c r="A7" s="364" t="s">
        <v>103</v>
      </c>
      <c r="B7" s="365"/>
      <c r="C7" s="362"/>
      <c r="D7" s="363"/>
      <c r="E7" s="363"/>
      <c r="F7" s="363"/>
      <c r="G7" s="308"/>
      <c r="H7" s="144"/>
      <c r="I7" s="349" t="s">
        <v>104</v>
      </c>
      <c r="J7" s="350"/>
      <c r="K7" s="145" t="s">
        <v>105</v>
      </c>
    </row>
    <row r="8" spans="1:11">
      <c r="A8" s="364" t="s">
        <v>106</v>
      </c>
      <c r="B8" s="365"/>
      <c r="C8" s="367"/>
      <c r="D8" s="368"/>
      <c r="E8" s="368"/>
      <c r="F8" s="368"/>
      <c r="G8" s="368"/>
      <c r="H8" s="369"/>
      <c r="I8" s="349" t="s">
        <v>107</v>
      </c>
      <c r="J8" s="350"/>
      <c r="K8" s="146"/>
    </row>
    <row r="9" spans="1:11">
      <c r="A9" s="114"/>
      <c r="B9" s="114"/>
      <c r="C9" s="114"/>
      <c r="D9" s="114"/>
      <c r="E9" s="114"/>
      <c r="F9" s="114"/>
      <c r="G9" s="114"/>
      <c r="H9" s="114"/>
      <c r="I9" s="147"/>
      <c r="J9" s="147"/>
      <c r="K9" s="114"/>
    </row>
    <row r="10" spans="1:11">
      <c r="A10" s="114"/>
      <c r="B10" s="114" t="s">
        <v>108</v>
      </c>
      <c r="C10" s="114"/>
      <c r="D10" s="114"/>
      <c r="E10" s="114"/>
      <c r="F10" s="114"/>
      <c r="G10" s="114"/>
      <c r="H10" s="114"/>
      <c r="I10" s="147"/>
      <c r="J10" s="147"/>
      <c r="K10" s="114"/>
    </row>
    <row r="11" spans="1:11">
      <c r="A11" s="114"/>
      <c r="B11" s="114"/>
      <c r="C11" s="114"/>
      <c r="D11" s="114"/>
      <c r="E11" s="114"/>
      <c r="F11" s="114"/>
      <c r="G11" s="114"/>
      <c r="H11" s="114"/>
      <c r="I11" s="147"/>
      <c r="J11" s="147"/>
      <c r="K11" s="114"/>
    </row>
    <row r="12" spans="1:11">
      <c r="A12" s="114"/>
      <c r="B12" s="114"/>
      <c r="C12" s="114"/>
      <c r="D12" s="114"/>
      <c r="E12" s="114"/>
      <c r="F12" s="114"/>
      <c r="G12" s="114"/>
      <c r="H12" s="114"/>
      <c r="I12" s="147"/>
      <c r="J12" s="147"/>
      <c r="K12" s="114"/>
    </row>
    <row r="13" spans="1:11">
      <c r="A13" s="250" t="s">
        <v>96</v>
      </c>
      <c r="B13" s="250"/>
      <c r="C13" s="250"/>
      <c r="D13" s="124"/>
      <c r="E13" s="124"/>
      <c r="F13" s="251"/>
      <c r="G13" s="251"/>
      <c r="H13" s="124"/>
      <c r="I13" s="124"/>
      <c r="J13" s="124"/>
      <c r="K13" s="124"/>
    </row>
    <row r="14" spans="1:11" ht="15.75">
      <c r="A14" s="242" t="s">
        <v>97</v>
      </c>
      <c r="B14" s="249"/>
      <c r="C14" s="249"/>
      <c r="D14" s="243"/>
      <c r="E14" s="250"/>
      <c r="F14" s="250"/>
      <c r="G14" s="250"/>
      <c r="H14" s="243"/>
      <c r="I14" s="243"/>
      <c r="J14" s="243"/>
      <c r="K14" s="243"/>
    </row>
    <row r="15" spans="1:11">
      <c r="A15" s="370" t="s">
        <v>109</v>
      </c>
      <c r="B15" s="370"/>
      <c r="C15" s="370"/>
      <c r="D15" s="243"/>
      <c r="E15" s="249"/>
      <c r="F15" s="249"/>
      <c r="G15" s="249"/>
      <c r="H15" s="243"/>
      <c r="I15" s="371" t="s">
        <v>99</v>
      </c>
      <c r="J15" s="371"/>
      <c r="K15" s="371"/>
    </row>
    <row r="16" spans="1:11">
      <c r="A16" s="244" t="s">
        <v>100</v>
      </c>
      <c r="B16" s="245"/>
      <c r="C16" s="245"/>
      <c r="D16" s="246"/>
      <c r="E16" s="245"/>
      <c r="F16" s="245"/>
      <c r="G16" s="245"/>
      <c r="H16" s="246"/>
      <c r="I16" s="247"/>
      <c r="J16" s="247"/>
      <c r="K16" s="248" t="s">
        <v>109</v>
      </c>
    </row>
    <row r="17" spans="1:11">
      <c r="A17" s="347" t="s">
        <v>103</v>
      </c>
      <c r="B17" s="348"/>
      <c r="C17" s="353"/>
      <c r="D17" s="354"/>
      <c r="E17" s="354"/>
      <c r="F17" s="354"/>
      <c r="G17" s="308"/>
      <c r="H17" s="144"/>
      <c r="I17" s="349" t="s">
        <v>104</v>
      </c>
      <c r="J17" s="350"/>
      <c r="K17" s="145" t="s">
        <v>105</v>
      </c>
    </row>
    <row r="18" spans="1:11">
      <c r="A18" s="347" t="s">
        <v>106</v>
      </c>
      <c r="B18" s="348"/>
      <c r="C18" s="355"/>
      <c r="D18" s="356"/>
      <c r="E18" s="356"/>
      <c r="F18" s="356"/>
      <c r="G18" s="356"/>
      <c r="H18" s="357"/>
      <c r="I18" s="349" t="s">
        <v>107</v>
      </c>
      <c r="J18" s="350"/>
      <c r="K18" s="148"/>
    </row>
    <row r="19" spans="1:11">
      <c r="A19" s="149"/>
      <c r="B19" s="114"/>
      <c r="C19" s="114"/>
      <c r="D19" s="114"/>
      <c r="E19" s="114"/>
      <c r="F19" s="114"/>
      <c r="G19" s="149"/>
      <c r="H19" s="114"/>
      <c r="I19" s="114"/>
      <c r="J19" s="150"/>
      <c r="K19" s="150"/>
    </row>
    <row r="20" spans="1:11">
      <c r="A20" s="149"/>
      <c r="B20" s="114"/>
      <c r="C20" s="114"/>
      <c r="D20" s="114"/>
      <c r="E20" s="114"/>
      <c r="F20" s="114"/>
      <c r="G20" s="149"/>
      <c r="H20" s="114"/>
      <c r="I20" s="114"/>
      <c r="J20" s="150"/>
      <c r="K20" s="150"/>
    </row>
    <row r="21" spans="1:11">
      <c r="A21" s="149"/>
      <c r="B21" s="114"/>
      <c r="C21" s="114"/>
      <c r="D21" s="114"/>
      <c r="E21" s="114"/>
      <c r="F21" s="114"/>
      <c r="G21" s="149"/>
      <c r="H21" s="114"/>
      <c r="I21" s="114"/>
      <c r="J21" s="150"/>
      <c r="K21" s="150"/>
    </row>
    <row r="22" spans="1:11" ht="15" customHeight="1">
      <c r="A22" s="151"/>
      <c r="B22" s="114"/>
      <c r="C22" s="114"/>
      <c r="D22" s="114"/>
      <c r="E22" s="114"/>
      <c r="F22" s="114"/>
      <c r="G22" s="114"/>
      <c r="H22" s="114"/>
      <c r="I22" s="114"/>
      <c r="J22" s="114"/>
      <c r="K22" s="114"/>
    </row>
    <row r="23" spans="1:11">
      <c r="A23" s="114"/>
      <c r="B23" s="114"/>
      <c r="C23" s="114"/>
      <c r="D23" s="114"/>
      <c r="E23" s="114"/>
      <c r="F23" s="114"/>
      <c r="G23" s="114"/>
      <c r="H23" s="114"/>
      <c r="I23" s="114"/>
      <c r="J23" s="114"/>
      <c r="K23" s="114"/>
    </row>
    <row r="24" spans="1:11">
      <c r="A24" s="114"/>
      <c r="B24" s="114"/>
      <c r="C24" s="114"/>
      <c r="D24" s="114"/>
      <c r="E24" s="114"/>
      <c r="F24" s="114"/>
      <c r="G24" s="114"/>
      <c r="H24" s="114"/>
      <c r="I24" s="114"/>
      <c r="J24" s="114"/>
      <c r="K24" s="114"/>
    </row>
    <row r="25" spans="1:11">
      <c r="A25" s="114"/>
      <c r="B25" s="114"/>
      <c r="C25" s="114"/>
      <c r="D25" s="114"/>
      <c r="E25" s="114"/>
      <c r="F25" s="114"/>
      <c r="G25" s="114"/>
      <c r="H25" s="114"/>
      <c r="I25" s="114"/>
      <c r="J25" s="114"/>
      <c r="K25" s="114"/>
    </row>
    <row r="26" spans="1:11">
      <c r="A26" s="114"/>
      <c r="B26" s="114"/>
      <c r="C26" s="114"/>
      <c r="D26" s="114"/>
      <c r="E26" s="114"/>
      <c r="F26" s="114"/>
      <c r="G26" s="114"/>
      <c r="H26" s="114"/>
      <c r="I26" s="114"/>
      <c r="J26" s="114"/>
      <c r="K26" s="114"/>
    </row>
    <row r="27" spans="1:11">
      <c r="A27" s="114"/>
      <c r="B27" s="114"/>
      <c r="C27" s="114"/>
      <c r="D27" s="114"/>
      <c r="E27" s="114"/>
      <c r="F27" s="114"/>
      <c r="G27" s="114"/>
      <c r="H27" s="114"/>
      <c r="I27" s="114"/>
      <c r="J27" s="114"/>
      <c r="K27" s="114"/>
    </row>
    <row r="28" spans="1:11">
      <c r="A28" s="114"/>
      <c r="B28" s="114"/>
      <c r="C28" s="114"/>
      <c r="D28" s="114"/>
      <c r="E28" s="114"/>
      <c r="F28" s="114"/>
      <c r="G28" s="114"/>
      <c r="H28" s="114"/>
      <c r="I28" s="114"/>
      <c r="J28" s="114"/>
      <c r="K28" s="114"/>
    </row>
  </sheetData>
  <mergeCells count="18">
    <mergeCell ref="F1:G1"/>
    <mergeCell ref="A4:D4"/>
    <mergeCell ref="I4:K4"/>
    <mergeCell ref="A6:K6"/>
    <mergeCell ref="A7:B7"/>
    <mergeCell ref="C7:F7"/>
    <mergeCell ref="I7:J7"/>
    <mergeCell ref="A18:B18"/>
    <mergeCell ref="I18:J18"/>
    <mergeCell ref="A8:B8"/>
    <mergeCell ref="I8:J8"/>
    <mergeCell ref="A15:C15"/>
    <mergeCell ref="I15:K15"/>
    <mergeCell ref="A17:B17"/>
    <mergeCell ref="C17:F17"/>
    <mergeCell ref="I17:J17"/>
    <mergeCell ref="C8:H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F9D3-590B-4937-ACDB-2BDB18C2514F}">
  <dimension ref="A1:L9"/>
  <sheetViews>
    <sheetView zoomScaleNormal="100" workbookViewId="0"/>
  </sheetViews>
  <sheetFormatPr defaultColWidth="8.85546875" defaultRowHeight="15"/>
  <cols>
    <col min="2" max="2" width="10.28515625" customWidth="1"/>
    <col min="5" max="5" width="7.7109375" customWidth="1"/>
    <col min="6" max="6" width="10.140625" customWidth="1"/>
    <col min="8" max="8" width="9.5703125" customWidth="1"/>
    <col min="11" max="11" width="10.42578125" customWidth="1"/>
  </cols>
  <sheetData>
    <row r="1" spans="1:12">
      <c r="A1" s="28"/>
      <c r="B1" t="s">
        <v>92</v>
      </c>
      <c r="C1" s="29"/>
      <c r="D1" t="s">
        <v>93</v>
      </c>
      <c r="F1" s="312"/>
      <c r="G1" t="s">
        <v>94</v>
      </c>
      <c r="I1" s="30"/>
      <c r="J1" t="s">
        <v>95</v>
      </c>
    </row>
    <row r="4" spans="1:12">
      <c r="A4" s="114" t="s">
        <v>111</v>
      </c>
      <c r="B4" s="2"/>
      <c r="C4" s="2"/>
      <c r="D4" s="2"/>
      <c r="E4" s="2"/>
      <c r="F4" s="230"/>
      <c r="G4" s="2"/>
      <c r="H4" s="2"/>
      <c r="I4" s="5"/>
      <c r="J4" s="5"/>
    </row>
    <row r="5" spans="1:12">
      <c r="A5" s="114"/>
      <c r="B5" s="2"/>
      <c r="C5" s="2"/>
      <c r="D5" s="2"/>
      <c r="E5" s="2"/>
      <c r="F5" s="230"/>
      <c r="G5" s="2"/>
      <c r="H5" s="2"/>
      <c r="I5" s="5"/>
      <c r="J5" s="5"/>
    </row>
    <row r="6" spans="1:12">
      <c r="A6" s="374" t="s">
        <v>112</v>
      </c>
      <c r="B6" s="375"/>
      <c r="C6" s="253"/>
      <c r="D6" s="253"/>
      <c r="E6" s="376" t="s">
        <v>113</v>
      </c>
      <c r="F6" s="376"/>
      <c r="G6" s="253"/>
      <c r="H6" s="253"/>
      <c r="I6" s="375" t="s">
        <v>114</v>
      </c>
      <c r="J6" s="375"/>
      <c r="K6" s="254"/>
    </row>
    <row r="7" spans="1:12">
      <c r="A7" s="255"/>
      <c r="B7" s="252"/>
      <c r="C7" s="124"/>
      <c r="D7" s="124"/>
      <c r="E7" s="377" t="s">
        <v>115</v>
      </c>
      <c r="F7" s="377"/>
      <c r="G7" s="124"/>
      <c r="H7" s="124"/>
      <c r="I7" s="373" t="s">
        <v>116</v>
      </c>
      <c r="J7" s="373"/>
      <c r="K7" s="256"/>
    </row>
    <row r="8" spans="1:12">
      <c r="A8" s="255"/>
      <c r="B8" s="252"/>
      <c r="C8" s="252"/>
      <c r="D8" s="252"/>
      <c r="E8" s="373" t="s">
        <v>117</v>
      </c>
      <c r="F8" s="373"/>
      <c r="G8" s="124"/>
      <c r="H8" s="252"/>
      <c r="I8" s="373" t="s">
        <v>118</v>
      </c>
      <c r="J8" s="373"/>
      <c r="K8" s="256"/>
    </row>
    <row r="9" spans="1:12">
      <c r="A9" s="296" t="s">
        <v>119</v>
      </c>
      <c r="B9" s="297"/>
      <c r="C9" s="297"/>
      <c r="D9" s="297"/>
      <c r="E9" s="297"/>
      <c r="F9" s="297"/>
      <c r="G9" s="297"/>
      <c r="H9" s="309"/>
      <c r="I9" s="309"/>
      <c r="J9" s="257"/>
      <c r="K9" s="258"/>
      <c r="L9" s="2"/>
    </row>
  </sheetData>
  <mergeCells count="7">
    <mergeCell ref="E8:F8"/>
    <mergeCell ref="I8:J8"/>
    <mergeCell ref="A6:B6"/>
    <mergeCell ref="E6:F6"/>
    <mergeCell ref="I6:J6"/>
    <mergeCell ref="E7:F7"/>
    <mergeCell ref="I7:J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1C6F-48A0-42A2-8273-307C29380C64}">
  <dimension ref="A1:K9"/>
  <sheetViews>
    <sheetView workbookViewId="0">
      <selection activeCell="J12" sqref="J12"/>
    </sheetView>
  </sheetViews>
  <sheetFormatPr defaultRowHeight="15"/>
  <cols>
    <col min="9" max="9" width="11.85546875" customWidth="1"/>
  </cols>
  <sheetData>
    <row r="1" spans="1:11">
      <c r="A1" s="28"/>
      <c r="B1" t="s">
        <v>92</v>
      </c>
      <c r="C1" s="29"/>
      <c r="D1" t="s">
        <v>93</v>
      </c>
      <c r="F1" s="312"/>
      <c r="G1" t="s">
        <v>94</v>
      </c>
      <c r="I1" s="30"/>
      <c r="J1" t="s">
        <v>95</v>
      </c>
    </row>
    <row r="4" spans="1:11">
      <c r="A4" s="114" t="s">
        <v>111</v>
      </c>
      <c r="B4" s="2"/>
      <c r="C4" s="2"/>
      <c r="D4" s="2"/>
      <c r="E4" s="2"/>
      <c r="F4" s="230"/>
      <c r="G4" s="2"/>
      <c r="H4" s="2"/>
      <c r="I4" s="5"/>
      <c r="J4" s="5"/>
    </row>
    <row r="5" spans="1:11">
      <c r="A5" s="114"/>
      <c r="B5" s="2"/>
      <c r="C5" s="2"/>
      <c r="D5" s="2"/>
      <c r="E5" s="2"/>
      <c r="F5" s="230"/>
      <c r="G5" s="2"/>
      <c r="H5" s="2"/>
      <c r="I5" s="5"/>
      <c r="J5" s="5"/>
    </row>
    <row r="6" spans="1:11">
      <c r="A6" s="379" t="s">
        <v>112</v>
      </c>
      <c r="B6" s="379"/>
      <c r="C6" s="29"/>
      <c r="E6" s="380" t="s">
        <v>113</v>
      </c>
      <c r="F6" s="380"/>
      <c r="G6" s="29"/>
      <c r="I6" s="379" t="s">
        <v>120</v>
      </c>
      <c r="J6" s="379"/>
      <c r="K6" s="29"/>
    </row>
    <row r="7" spans="1:11">
      <c r="A7" s="114"/>
      <c r="B7" s="2"/>
      <c r="E7" s="379" t="s">
        <v>115</v>
      </c>
      <c r="F7" s="379"/>
      <c r="G7" s="29"/>
      <c r="I7" s="379" t="s">
        <v>116</v>
      </c>
      <c r="J7" s="379"/>
      <c r="K7" s="29"/>
    </row>
    <row r="8" spans="1:11">
      <c r="A8" s="114"/>
      <c r="B8" s="2"/>
      <c r="C8" s="2"/>
      <c r="D8" s="2"/>
      <c r="E8" s="378" t="s">
        <v>117</v>
      </c>
      <c r="F8" s="378"/>
      <c r="G8" s="29"/>
      <c r="H8" s="2"/>
      <c r="I8" s="378" t="s">
        <v>118</v>
      </c>
      <c r="J8" s="378"/>
      <c r="K8" s="29"/>
    </row>
    <row r="9" spans="1:11">
      <c r="A9" s="296" t="s">
        <v>121</v>
      </c>
      <c r="B9" s="296"/>
      <c r="C9" s="296"/>
      <c r="D9" s="296"/>
      <c r="E9" s="296"/>
      <c r="F9" s="296"/>
      <c r="G9" s="296"/>
      <c r="H9" s="298"/>
      <c r="I9" s="298"/>
      <c r="J9" s="299"/>
      <c r="K9" s="298"/>
    </row>
  </sheetData>
  <mergeCells count="7">
    <mergeCell ref="E8:F8"/>
    <mergeCell ref="I8:J8"/>
    <mergeCell ref="A6:B6"/>
    <mergeCell ref="E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3"/>
  <sheetViews>
    <sheetView tabSelected="1" zoomScaleNormal="100" workbookViewId="0">
      <selection activeCell="AI23" sqref="AI23"/>
    </sheetView>
  </sheetViews>
  <sheetFormatPr defaultRowHeight="15"/>
  <cols>
    <col min="1" max="1" width="4.7109375" customWidth="1"/>
    <col min="2" max="3" width="10.7109375" customWidth="1"/>
    <col min="4" max="4" width="13.42578125" customWidth="1"/>
    <col min="5" max="5" width="5" customWidth="1"/>
    <col min="6" max="6" width="34.42578125" customWidth="1"/>
    <col min="7" max="7" width="4.7109375" customWidth="1"/>
    <col min="8" max="8" width="3.7109375" customWidth="1"/>
    <col min="9" max="9" width="27.28515625" customWidth="1"/>
    <col min="10" max="10" width="3.7109375" customWidth="1"/>
    <col min="11" max="11" width="24.7109375" customWidth="1"/>
  </cols>
  <sheetData>
    <row r="1" spans="1:12">
      <c r="B1" s="28"/>
      <c r="C1" t="s">
        <v>92</v>
      </c>
      <c r="D1" s="29"/>
      <c r="E1" t="s">
        <v>93</v>
      </c>
      <c r="G1" s="398"/>
      <c r="H1" s="398"/>
      <c r="I1" t="s">
        <v>94</v>
      </c>
      <c r="K1" s="30"/>
      <c r="L1" t="s">
        <v>95</v>
      </c>
    </row>
    <row r="2" spans="1:12">
      <c r="A2" s="2"/>
      <c r="B2" s="2"/>
      <c r="C2" s="2"/>
      <c r="D2" s="2"/>
      <c r="E2" s="2"/>
      <c r="F2" s="2"/>
      <c r="G2" s="2"/>
      <c r="H2" s="2"/>
      <c r="I2" s="2"/>
      <c r="J2" s="2"/>
      <c r="K2" s="2"/>
    </row>
    <row r="3" spans="1:12">
      <c r="A3" s="399" t="s">
        <v>122</v>
      </c>
      <c r="B3" s="400"/>
      <c r="C3" s="400"/>
      <c r="D3" s="400"/>
      <c r="E3" s="400"/>
      <c r="F3" s="400"/>
      <c r="G3" s="400"/>
      <c r="H3" s="400"/>
      <c r="I3" s="400"/>
      <c r="J3" s="400"/>
      <c r="K3" s="401"/>
    </row>
    <row r="4" spans="1:12">
      <c r="A4" s="313" t="s">
        <v>123</v>
      </c>
      <c r="B4" s="389" t="s">
        <v>124</v>
      </c>
      <c r="C4" s="389"/>
      <c r="D4" s="389"/>
      <c r="E4" s="390"/>
      <c r="F4" s="390"/>
      <c r="G4" s="402" t="s">
        <v>125</v>
      </c>
      <c r="H4" s="404" t="s">
        <v>126</v>
      </c>
      <c r="I4" s="404"/>
      <c r="J4" s="406"/>
      <c r="K4" s="406"/>
    </row>
    <row r="5" spans="1:12">
      <c r="A5" s="313" t="s">
        <v>127</v>
      </c>
      <c r="B5" s="389" t="s">
        <v>128</v>
      </c>
      <c r="C5" s="389"/>
      <c r="D5" s="389"/>
      <c r="E5" s="390"/>
      <c r="F5" s="390"/>
      <c r="G5" s="403"/>
      <c r="H5" s="405"/>
      <c r="I5" s="405"/>
      <c r="J5" s="403"/>
      <c r="K5" s="403"/>
    </row>
    <row r="6" spans="1:12">
      <c r="A6" s="313" t="s">
        <v>129</v>
      </c>
      <c r="B6" s="391" t="s">
        <v>130</v>
      </c>
      <c r="C6" s="392"/>
      <c r="D6" s="392"/>
      <c r="E6" s="392"/>
      <c r="F6" s="392"/>
      <c r="G6" s="392"/>
      <c r="H6" s="392"/>
      <c r="I6" s="392"/>
      <c r="J6" s="392"/>
      <c r="K6" s="393"/>
    </row>
    <row r="7" spans="1:12">
      <c r="A7" s="40" t="s">
        <v>131</v>
      </c>
      <c r="B7" s="384" t="s">
        <v>132</v>
      </c>
      <c r="C7" s="384"/>
      <c r="D7" s="384"/>
      <c r="E7" s="41" t="s">
        <v>131</v>
      </c>
      <c r="F7" s="259" t="s">
        <v>133</v>
      </c>
      <c r="G7" s="41" t="s">
        <v>131</v>
      </c>
      <c r="H7" s="394" t="s">
        <v>134</v>
      </c>
      <c r="I7" s="394"/>
      <c r="J7" s="394"/>
      <c r="K7" s="395"/>
    </row>
    <row r="8" spans="1:12">
      <c r="A8" s="31" t="s">
        <v>131</v>
      </c>
      <c r="B8" s="385" t="s">
        <v>135</v>
      </c>
      <c r="C8" s="385"/>
      <c r="D8" s="385"/>
      <c r="E8" s="32" t="s">
        <v>131</v>
      </c>
      <c r="F8" s="20" t="s">
        <v>136</v>
      </c>
      <c r="G8" s="42"/>
      <c r="H8" s="396"/>
      <c r="I8" s="396"/>
      <c r="J8" s="396"/>
      <c r="K8" s="397"/>
    </row>
    <row r="9" spans="1:12">
      <c r="A9" s="260" t="s">
        <v>137</v>
      </c>
      <c r="B9" s="383" t="s">
        <v>138</v>
      </c>
      <c r="C9" s="383"/>
      <c r="D9" s="383"/>
      <c r="E9" s="383"/>
      <c r="F9" s="383"/>
      <c r="G9" s="383"/>
      <c r="H9" s="383"/>
      <c r="I9" s="383"/>
      <c r="J9" s="383"/>
      <c r="K9" s="383"/>
    </row>
    <row r="10" spans="1:12" ht="17.25" customHeight="1">
      <c r="A10" s="386"/>
      <c r="B10" s="387"/>
      <c r="C10" s="387"/>
      <c r="D10" s="387"/>
      <c r="E10" s="387"/>
      <c r="F10" s="387"/>
      <c r="G10" s="387"/>
      <c r="H10" s="387"/>
      <c r="I10" s="387"/>
      <c r="J10" s="387"/>
      <c r="K10" s="388"/>
    </row>
    <row r="11" spans="1:12" ht="14.45" customHeight="1">
      <c r="A11" s="228"/>
      <c r="B11" s="381"/>
      <c r="C11" s="381"/>
      <c r="D11" s="381"/>
      <c r="E11" s="228"/>
      <c r="F11" s="229"/>
      <c r="G11" s="228"/>
      <c r="H11" s="382"/>
      <c r="I11" s="382"/>
      <c r="J11" s="228"/>
      <c r="K11" s="226"/>
    </row>
    <row r="12" spans="1:12" ht="14.45" customHeight="1">
      <c r="A12" s="228"/>
      <c r="B12" s="381"/>
      <c r="C12" s="381"/>
      <c r="D12" s="381"/>
      <c r="E12" s="228"/>
      <c r="F12" s="229"/>
      <c r="G12" s="228"/>
      <c r="H12" s="382"/>
      <c r="I12" s="382"/>
      <c r="J12" s="228"/>
      <c r="K12" s="226"/>
    </row>
    <row r="13" spans="1:12">
      <c r="A13" s="228"/>
      <c r="B13" s="381"/>
      <c r="C13" s="381"/>
      <c r="D13" s="381"/>
      <c r="E13" s="228"/>
      <c r="F13" s="229"/>
      <c r="G13" s="228"/>
      <c r="H13" s="382"/>
      <c r="I13" s="382"/>
      <c r="J13" s="228"/>
      <c r="K13" s="226"/>
    </row>
    <row r="14" spans="1:12">
      <c r="A14" s="228"/>
      <c r="B14" s="381"/>
      <c r="C14" s="381"/>
      <c r="D14" s="381"/>
      <c r="E14" s="228"/>
      <c r="F14" s="229"/>
      <c r="G14" s="228"/>
      <c r="H14" s="382"/>
      <c r="I14" s="382"/>
      <c r="J14" s="228"/>
      <c r="K14" s="226"/>
    </row>
    <row r="15" spans="1:12">
      <c r="A15" s="228"/>
      <c r="B15" s="381"/>
      <c r="C15" s="381"/>
      <c r="D15" s="381"/>
      <c r="E15" s="228"/>
      <c r="F15" s="229"/>
      <c r="G15" s="228"/>
      <c r="H15" s="382"/>
      <c r="I15" s="382"/>
      <c r="J15" s="228"/>
    </row>
    <row r="17" spans="6:35">
      <c r="F17" t="s">
        <v>139</v>
      </c>
    </row>
    <row r="18" spans="6:35">
      <c r="F18" s="21"/>
    </row>
    <row r="23" spans="6:35"/>
  </sheetData>
  <mergeCells count="25">
    <mergeCell ref="B5:D5"/>
    <mergeCell ref="E5:F5"/>
    <mergeCell ref="B6:K6"/>
    <mergeCell ref="H7:K8"/>
    <mergeCell ref="G1:H1"/>
    <mergeCell ref="A3:K3"/>
    <mergeCell ref="B4:D4"/>
    <mergeCell ref="E4:F4"/>
    <mergeCell ref="G4:G5"/>
    <mergeCell ref="H4:I5"/>
    <mergeCell ref="J4:K5"/>
    <mergeCell ref="B9:K9"/>
    <mergeCell ref="B7:D7"/>
    <mergeCell ref="B8:D8"/>
    <mergeCell ref="A10:K10"/>
    <mergeCell ref="B14:D14"/>
    <mergeCell ref="H14:I14"/>
    <mergeCell ref="B15:D15"/>
    <mergeCell ref="H15:I15"/>
    <mergeCell ref="B11:D11"/>
    <mergeCell ref="H11:I11"/>
    <mergeCell ref="B12:D12"/>
    <mergeCell ref="H12:I12"/>
    <mergeCell ref="B13:D13"/>
    <mergeCell ref="H13:I13"/>
  </mergeCells>
  <pageMargins left="0.5" right="0.5" top="0.75" bottom="0.75" header="0.3" footer="0.3"/>
  <pageSetup orientation="landscape" r:id="rId1"/>
  <ignoredErrors>
    <ignoredError sqref="G4" numberStoredAsText="1"/>
  </ignoredError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5"/>
  <sheetViews>
    <sheetView zoomScale="90" zoomScaleNormal="90" workbookViewId="0">
      <selection activeCell="J31" sqref="J31"/>
    </sheetView>
  </sheetViews>
  <sheetFormatPr defaultRowHeight="15"/>
  <cols>
    <col min="1" max="1" width="4.7109375" customWidth="1"/>
    <col min="2" max="2" width="8" customWidth="1"/>
    <col min="3" max="3" width="17.140625" customWidth="1"/>
    <col min="4" max="4" width="11.28515625" customWidth="1"/>
    <col min="5" max="5" width="22" customWidth="1"/>
    <col min="6" max="6" width="10.7109375" customWidth="1"/>
    <col min="7" max="7" width="21.42578125" customWidth="1"/>
    <col min="8" max="8" width="11" customWidth="1"/>
    <col min="9" max="9" width="10.7109375" customWidth="1"/>
  </cols>
  <sheetData>
    <row r="1" spans="1:14">
      <c r="B1" s="28"/>
      <c r="C1" t="s">
        <v>92</v>
      </c>
      <c r="D1" s="29"/>
      <c r="E1" t="s">
        <v>93</v>
      </c>
      <c r="G1" s="398"/>
      <c r="H1" s="398"/>
      <c r="I1" t="s">
        <v>94</v>
      </c>
      <c r="K1" s="30"/>
      <c r="L1" t="s">
        <v>95</v>
      </c>
    </row>
    <row r="2" spans="1:14">
      <c r="A2" s="2"/>
      <c r="B2" s="2"/>
      <c r="C2" s="2"/>
      <c r="D2" s="2"/>
      <c r="E2" s="2"/>
      <c r="F2" s="2"/>
      <c r="G2" s="2"/>
      <c r="H2" s="2"/>
      <c r="I2" s="2"/>
    </row>
    <row r="3" spans="1:14" ht="15" customHeight="1">
      <c r="A3" s="431" t="s">
        <v>140</v>
      </c>
      <c r="B3" s="432"/>
      <c r="C3" s="432"/>
      <c r="D3" s="432"/>
      <c r="E3" s="432"/>
      <c r="F3" s="432"/>
      <c r="G3" s="432"/>
      <c r="H3" s="432"/>
      <c r="I3" s="433"/>
    </row>
    <row r="4" spans="1:14" ht="34.5" customHeight="1">
      <c r="A4" s="434" t="s">
        <v>141</v>
      </c>
      <c r="B4" s="435"/>
      <c r="C4" s="435"/>
      <c r="D4" s="435"/>
      <c r="E4" s="435"/>
      <c r="F4" s="435"/>
      <c r="G4" s="435"/>
      <c r="H4" s="435"/>
      <c r="I4" s="436"/>
      <c r="J4" s="21"/>
    </row>
    <row r="5" spans="1:14" ht="15" customHeight="1">
      <c r="A5" s="441" t="s">
        <v>142</v>
      </c>
      <c r="B5" s="441"/>
      <c r="C5" s="441"/>
      <c r="D5" s="441"/>
      <c r="E5" s="441"/>
      <c r="F5" s="441"/>
      <c r="G5" s="441"/>
      <c r="H5" s="441"/>
      <c r="I5" s="442"/>
    </row>
    <row r="6" spans="1:14" ht="18" customHeight="1">
      <c r="A6" s="437" t="s">
        <v>123</v>
      </c>
      <c r="B6" s="438"/>
      <c r="C6" s="439"/>
      <c r="D6" s="440" t="s">
        <v>127</v>
      </c>
      <c r="E6" s="440"/>
      <c r="F6" s="440"/>
      <c r="G6" s="440"/>
      <c r="H6" s="440"/>
      <c r="I6" s="440"/>
    </row>
    <row r="7" spans="1:14">
      <c r="A7" s="225" t="s">
        <v>131</v>
      </c>
      <c r="B7" s="410" t="s">
        <v>143</v>
      </c>
      <c r="C7" s="411"/>
      <c r="D7" s="412" t="s">
        <v>144</v>
      </c>
      <c r="E7" s="413"/>
      <c r="F7" s="413"/>
      <c r="G7" s="413"/>
      <c r="H7" s="413"/>
      <c r="I7" s="414"/>
    </row>
    <row r="8" spans="1:14" ht="15" customHeight="1">
      <c r="A8" s="47" t="s">
        <v>131</v>
      </c>
      <c r="B8" s="418" t="s">
        <v>145</v>
      </c>
      <c r="C8" s="419"/>
      <c r="D8" s="407" t="s">
        <v>146</v>
      </c>
      <c r="E8" s="408"/>
      <c r="F8" s="408"/>
      <c r="G8" s="409"/>
      <c r="H8" s="103" t="s">
        <v>147</v>
      </c>
      <c r="I8" s="43" t="s">
        <v>148</v>
      </c>
    </row>
    <row r="9" spans="1:14">
      <c r="A9" s="420" t="s">
        <v>129</v>
      </c>
      <c r="B9" s="421"/>
      <c r="C9" s="421"/>
      <c r="D9" s="422"/>
      <c r="E9" s="315" t="s">
        <v>125</v>
      </c>
      <c r="F9" s="420" t="s">
        <v>137</v>
      </c>
      <c r="G9" s="421"/>
      <c r="H9" s="421"/>
      <c r="I9" s="422"/>
      <c r="J9" s="44"/>
      <c r="M9" s="2"/>
    </row>
    <row r="10" spans="1:14" ht="30.75" customHeight="1">
      <c r="A10" s="445" t="s">
        <v>149</v>
      </c>
      <c r="B10" s="445"/>
      <c r="C10" s="445"/>
      <c r="D10" s="445"/>
      <c r="E10" s="316" t="s">
        <v>150</v>
      </c>
      <c r="F10" s="423" t="s">
        <v>151</v>
      </c>
      <c r="G10" s="424"/>
      <c r="H10" s="424"/>
      <c r="I10" s="425"/>
      <c r="J10" s="45"/>
      <c r="L10" s="5"/>
      <c r="M10" s="5"/>
      <c r="N10" s="5"/>
    </row>
    <row r="11" spans="1:14">
      <c r="A11" s="429" t="s">
        <v>152</v>
      </c>
      <c r="B11" s="430"/>
      <c r="C11" s="102" t="s">
        <v>153</v>
      </c>
      <c r="D11" s="317" t="s">
        <v>154</v>
      </c>
      <c r="E11" s="28"/>
      <c r="F11" s="426" t="s">
        <v>155</v>
      </c>
      <c r="G11" s="427"/>
      <c r="H11" s="427"/>
      <c r="I11" s="428"/>
      <c r="J11" s="46"/>
      <c r="L11" s="5"/>
      <c r="M11" s="5"/>
      <c r="N11" s="5"/>
    </row>
    <row r="12" spans="1:14" ht="21" customHeight="1">
      <c r="A12" s="415" t="s">
        <v>156</v>
      </c>
      <c r="B12" s="416"/>
      <c r="C12" s="416"/>
      <c r="D12" s="416"/>
      <c r="E12" s="416"/>
      <c r="F12" s="416"/>
      <c r="G12" s="416"/>
      <c r="H12" s="416"/>
      <c r="I12" s="417"/>
    </row>
    <row r="13" spans="1:14" ht="29.25" customHeight="1">
      <c r="A13" s="444" t="s">
        <v>157</v>
      </c>
      <c r="B13" s="444"/>
      <c r="C13" s="444"/>
      <c r="D13" s="444"/>
      <c r="E13" s="444"/>
      <c r="F13" s="444"/>
      <c r="G13" s="444"/>
      <c r="H13" s="444"/>
      <c r="I13" s="444"/>
    </row>
    <row r="14" spans="1:14" ht="24" customHeight="1">
      <c r="A14" s="114"/>
      <c r="B14" s="114"/>
      <c r="C14" s="114"/>
      <c r="D14" s="133"/>
      <c r="E14" s="133"/>
      <c r="F14" s="5"/>
      <c r="G14" s="5"/>
      <c r="H14" s="5"/>
      <c r="I14" s="2"/>
    </row>
    <row r="15" spans="1:14">
      <c r="A15" s="3"/>
      <c r="B15" s="3"/>
      <c r="C15" s="3"/>
      <c r="D15" s="133"/>
      <c r="E15" s="152" t="s">
        <v>158</v>
      </c>
      <c r="F15" s="446" t="s">
        <v>159</v>
      </c>
      <c r="G15" s="447"/>
      <c r="H15" s="447"/>
      <c r="I15" s="448"/>
      <c r="J15" s="133"/>
      <c r="K15" s="133"/>
    </row>
    <row r="16" spans="1:14">
      <c r="A16" s="153"/>
      <c r="B16" s="153"/>
      <c r="C16" s="153"/>
      <c r="D16" s="153"/>
      <c r="E16" s="153"/>
      <c r="F16" s="443" t="s">
        <v>160</v>
      </c>
      <c r="G16" s="443"/>
      <c r="H16" s="443"/>
      <c r="I16" s="443"/>
      <c r="J16" s="154" t="s">
        <v>161</v>
      </c>
      <c r="K16" s="133"/>
    </row>
    <row r="17" spans="1:11">
      <c r="A17" s="153"/>
      <c r="B17" s="153"/>
      <c r="C17" s="153"/>
      <c r="D17" s="153"/>
      <c r="E17" s="153"/>
      <c r="F17" s="443" t="s">
        <v>162</v>
      </c>
      <c r="G17" s="443"/>
      <c r="H17" s="443"/>
      <c r="I17" s="443"/>
      <c r="J17" s="154" t="s">
        <v>163</v>
      </c>
      <c r="K17" s="133"/>
    </row>
    <row r="18" spans="1:11">
      <c r="A18" s="114"/>
      <c r="B18" s="114"/>
      <c r="C18" s="114"/>
      <c r="D18" s="114"/>
      <c r="E18" s="114"/>
      <c r="F18" s="2"/>
      <c r="G18" s="2"/>
      <c r="H18" s="2"/>
      <c r="I18" s="2"/>
      <c r="J18" s="133"/>
      <c r="K18" s="133"/>
    </row>
    <row r="19" spans="1:11" ht="14.45" customHeight="1">
      <c r="A19" s="114"/>
      <c r="B19" s="114"/>
      <c r="C19" s="114"/>
      <c r="D19" s="114"/>
      <c r="E19" s="152" t="s">
        <v>164</v>
      </c>
      <c r="F19" s="446" t="s">
        <v>159</v>
      </c>
      <c r="G19" s="447"/>
      <c r="H19" s="447"/>
      <c r="I19" s="448"/>
      <c r="J19" s="133"/>
      <c r="K19" s="133"/>
    </row>
    <row r="20" spans="1:11" ht="30.95" customHeight="1">
      <c r="A20" s="2"/>
      <c r="B20" s="2"/>
      <c r="C20" s="2"/>
      <c r="D20" s="2"/>
      <c r="E20" s="2"/>
      <c r="F20" s="443" t="s">
        <v>165</v>
      </c>
      <c r="G20" s="443"/>
      <c r="H20" s="443"/>
      <c r="I20" s="443"/>
      <c r="J20" s="154" t="s">
        <v>163</v>
      </c>
      <c r="K20" s="133"/>
    </row>
    <row r="21" spans="1:11">
      <c r="A21" s="2"/>
      <c r="B21" s="2"/>
      <c r="C21" s="2"/>
      <c r="D21" s="2"/>
      <c r="E21" s="2"/>
      <c r="F21" s="2"/>
      <c r="G21" s="2"/>
      <c r="H21" s="2"/>
      <c r="I21" s="2"/>
    </row>
    <row r="22" spans="1:11">
      <c r="A22" s="2"/>
      <c r="B22" s="2"/>
      <c r="C22" s="2"/>
      <c r="D22" s="2"/>
      <c r="E22" s="2"/>
      <c r="F22" s="2"/>
      <c r="G22" s="2"/>
      <c r="H22" s="2"/>
      <c r="I22" s="2"/>
    </row>
    <row r="23" spans="1:11">
      <c r="A23" s="2"/>
      <c r="B23" s="2"/>
      <c r="C23" s="2"/>
      <c r="D23" s="2"/>
      <c r="E23" s="2"/>
      <c r="F23" s="2"/>
      <c r="G23" s="79"/>
      <c r="H23" s="2"/>
      <c r="I23" s="2"/>
    </row>
    <row r="24" spans="1:11">
      <c r="A24" s="2"/>
      <c r="B24" s="2"/>
      <c r="C24" s="2"/>
      <c r="D24" s="2"/>
      <c r="E24" s="2"/>
      <c r="F24" s="2"/>
      <c r="G24" s="2"/>
      <c r="H24" s="2"/>
      <c r="I24" s="2"/>
    </row>
    <row r="25" spans="1:11">
      <c r="A25" s="2"/>
      <c r="B25" s="45"/>
      <c r="C25" s="45"/>
      <c r="D25" s="2"/>
      <c r="E25" s="2"/>
      <c r="F25" s="2"/>
      <c r="G25" s="2"/>
      <c r="H25" s="2"/>
      <c r="I25" s="2"/>
    </row>
  </sheetData>
  <mergeCells count="23">
    <mergeCell ref="F20:I20"/>
    <mergeCell ref="A13:I13"/>
    <mergeCell ref="A9:D9"/>
    <mergeCell ref="A10:D10"/>
    <mergeCell ref="F19:I19"/>
    <mergeCell ref="F15:I15"/>
    <mergeCell ref="F16:I16"/>
    <mergeCell ref="F17:I17"/>
    <mergeCell ref="G1:H1"/>
    <mergeCell ref="A3:I3"/>
    <mergeCell ref="A4:I4"/>
    <mergeCell ref="A6:C6"/>
    <mergeCell ref="D6:I6"/>
    <mergeCell ref="A5:I5"/>
    <mergeCell ref="D8:G8"/>
    <mergeCell ref="B7:C7"/>
    <mergeCell ref="D7:I7"/>
    <mergeCell ref="A12:I12"/>
    <mergeCell ref="B8:C8"/>
    <mergeCell ref="F9:I9"/>
    <mergeCell ref="F10:I10"/>
    <mergeCell ref="F11:I11"/>
    <mergeCell ref="A11:B11"/>
  </mergeCells>
  <pageMargins left="0.5" right="0.5" top="0.75" bottom="0.75" header="0.3" footer="0.3"/>
  <pageSetup scale="9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8"/>
  <sheetViews>
    <sheetView zoomScaleNormal="100" workbookViewId="0">
      <selection activeCell="P20" sqref="P20"/>
    </sheetView>
  </sheetViews>
  <sheetFormatPr defaultColWidth="9.140625" defaultRowHeight="12.75"/>
  <cols>
    <col min="1" max="1" width="11" style="7" customWidth="1"/>
    <col min="2" max="2" width="2.85546875" style="7" customWidth="1"/>
    <col min="3" max="3" width="11" style="7" customWidth="1"/>
    <col min="4" max="4" width="2.85546875" style="7" customWidth="1"/>
    <col min="5" max="5" width="11" style="7" customWidth="1"/>
    <col min="6" max="6" width="2.85546875" style="7" customWidth="1"/>
    <col min="7" max="7" width="11" style="7" customWidth="1"/>
    <col min="8" max="8" width="2.85546875" style="7" customWidth="1"/>
    <col min="9" max="9" width="11.28515625" style="7" customWidth="1"/>
    <col min="10" max="10" width="3.5703125" style="7" customWidth="1"/>
    <col min="11" max="11" width="11.140625" style="7" customWidth="1"/>
    <col min="12" max="12" width="2.85546875" style="7" customWidth="1"/>
    <col min="13" max="13" width="15.85546875" style="7" customWidth="1"/>
    <col min="14" max="14" width="3.5703125" style="7" customWidth="1"/>
    <col min="15" max="15" width="18" style="7" customWidth="1"/>
    <col min="16" max="16" width="21.5703125" style="7" customWidth="1"/>
    <col min="17" max="16384" width="9.140625" style="7"/>
  </cols>
  <sheetData>
    <row r="1" spans="1:16" customFormat="1" ht="15">
      <c r="A1" s="28"/>
      <c r="B1" t="s">
        <v>92</v>
      </c>
      <c r="D1" s="29"/>
      <c r="E1" t="s">
        <v>93</v>
      </c>
      <c r="G1" s="312"/>
      <c r="H1" s="312"/>
      <c r="I1" t="s">
        <v>94</v>
      </c>
      <c r="L1" s="30"/>
      <c r="M1" t="s">
        <v>95</v>
      </c>
    </row>
    <row r="3" spans="1:16" s="10" customFormat="1" ht="15.95" customHeight="1">
      <c r="A3" s="304"/>
      <c r="B3" s="304"/>
      <c r="C3" s="304"/>
      <c r="D3" s="304"/>
      <c r="E3" s="304"/>
      <c r="F3" s="304"/>
      <c r="G3" s="304"/>
      <c r="H3" s="304"/>
      <c r="I3" s="304"/>
      <c r="J3" s="304"/>
      <c r="K3" s="304"/>
      <c r="L3" s="304"/>
      <c r="M3" s="304"/>
      <c r="N3" s="304"/>
      <c r="O3" s="14"/>
      <c r="P3" s="305"/>
    </row>
    <row r="4" spans="1:16" ht="17.100000000000001" customHeight="1">
      <c r="A4" s="458" t="s">
        <v>166</v>
      </c>
      <c r="B4" s="458"/>
      <c r="C4" s="458"/>
      <c r="D4" s="458"/>
      <c r="E4" s="458"/>
      <c r="F4" s="458"/>
      <c r="G4" s="458"/>
      <c r="H4" s="458"/>
      <c r="I4" s="458"/>
      <c r="J4" s="458"/>
      <c r="K4" s="458"/>
      <c r="L4" s="458"/>
      <c r="M4" s="458"/>
      <c r="N4" s="458"/>
      <c r="O4" s="458"/>
      <c r="P4" s="458"/>
    </row>
    <row r="5" spans="1:16" ht="33.6" customHeight="1">
      <c r="A5" s="464" t="s">
        <v>167</v>
      </c>
      <c r="B5" s="464"/>
      <c r="C5" s="464"/>
      <c r="D5" s="464"/>
      <c r="E5" s="464"/>
      <c r="F5" s="464"/>
      <c r="G5" s="464"/>
      <c r="H5" s="464"/>
      <c r="I5" s="464"/>
      <c r="J5" s="464"/>
      <c r="K5" s="464"/>
      <c r="L5" s="464"/>
      <c r="M5" s="464"/>
      <c r="N5" s="464"/>
      <c r="O5" s="464"/>
      <c r="P5" s="464"/>
    </row>
    <row r="6" spans="1:16" ht="15.95" customHeight="1">
      <c r="A6" s="465" t="s">
        <v>168</v>
      </c>
      <c r="B6" s="465"/>
      <c r="C6" s="465"/>
      <c r="D6" s="465"/>
      <c r="E6" s="465"/>
      <c r="F6" s="465"/>
      <c r="G6" s="465"/>
      <c r="H6" s="465"/>
      <c r="I6" s="465"/>
      <c r="J6" s="465"/>
      <c r="K6" s="465"/>
      <c r="L6" s="465"/>
      <c r="M6" s="462" t="s">
        <v>28</v>
      </c>
      <c r="N6" s="462"/>
      <c r="O6" s="462"/>
      <c r="P6" s="462"/>
    </row>
    <row r="7" spans="1:16" ht="15.95" customHeight="1">
      <c r="A7" s="33" t="s">
        <v>123</v>
      </c>
      <c r="B7" s="449" t="s">
        <v>169</v>
      </c>
      <c r="C7" s="262" t="s">
        <v>127</v>
      </c>
      <c r="D7" s="469" t="s">
        <v>169</v>
      </c>
      <c r="E7" s="262" t="s">
        <v>129</v>
      </c>
      <c r="F7" s="469" t="s">
        <v>169</v>
      </c>
      <c r="G7" s="262" t="s">
        <v>125</v>
      </c>
      <c r="H7" s="469" t="s">
        <v>169</v>
      </c>
      <c r="I7" s="262" t="s">
        <v>137</v>
      </c>
      <c r="J7" s="469" t="s">
        <v>170</v>
      </c>
      <c r="K7" s="262" t="s">
        <v>171</v>
      </c>
      <c r="L7" s="466" t="s">
        <v>172</v>
      </c>
      <c r="M7" s="48" t="s">
        <v>173</v>
      </c>
      <c r="N7" s="459" t="s">
        <v>174</v>
      </c>
      <c r="O7" s="48" t="s">
        <v>175</v>
      </c>
      <c r="P7" s="48" t="s">
        <v>176</v>
      </c>
    </row>
    <row r="8" spans="1:16" s="11" customFormat="1" ht="64.5" customHeight="1">
      <c r="A8" s="261" t="s">
        <v>177</v>
      </c>
      <c r="B8" s="450"/>
      <c r="C8" s="261" t="s">
        <v>178</v>
      </c>
      <c r="D8" s="470"/>
      <c r="E8" s="261" t="s">
        <v>179</v>
      </c>
      <c r="F8" s="470"/>
      <c r="G8" s="261" t="s">
        <v>180</v>
      </c>
      <c r="H8" s="470"/>
      <c r="I8" s="261" t="s">
        <v>181</v>
      </c>
      <c r="J8" s="470"/>
      <c r="K8" s="261" t="s">
        <v>182</v>
      </c>
      <c r="L8" s="467"/>
      <c r="M8" s="461" t="s">
        <v>183</v>
      </c>
      <c r="N8" s="460"/>
      <c r="O8" s="318" t="s">
        <v>184</v>
      </c>
      <c r="P8" s="463" t="s">
        <v>185</v>
      </c>
    </row>
    <row r="9" spans="1:16" s="11" customFormat="1" ht="15.75" customHeight="1">
      <c r="A9" s="49" t="s">
        <v>186</v>
      </c>
      <c r="B9" s="451"/>
      <c r="C9" s="261" t="s">
        <v>187</v>
      </c>
      <c r="D9" s="471"/>
      <c r="E9" s="261" t="s">
        <v>188</v>
      </c>
      <c r="F9" s="471"/>
      <c r="G9" s="261" t="s">
        <v>189</v>
      </c>
      <c r="H9" s="471"/>
      <c r="I9" s="261" t="s">
        <v>190</v>
      </c>
      <c r="J9" s="471"/>
      <c r="K9" s="261" t="s">
        <v>191</v>
      </c>
      <c r="L9" s="468"/>
      <c r="M9" s="461"/>
      <c r="N9" s="460"/>
      <c r="O9" s="50" t="s">
        <v>192</v>
      </c>
      <c r="P9" s="463"/>
    </row>
    <row r="10" spans="1:16" s="10" customFormat="1" ht="41.45" customHeight="1">
      <c r="A10" s="155"/>
      <c r="B10" s="51" t="s">
        <v>169</v>
      </c>
      <c r="C10" s="155" t="str">
        <f>'J. Per Application'!J12</f>
        <v>sum of column 10 (J10)</v>
      </c>
      <c r="D10" s="51" t="s">
        <v>169</v>
      </c>
      <c r="E10" s="155" t="str">
        <f>'K. Sales Frontage'!I12</f>
        <v>sum of column 09 (K09)</v>
      </c>
      <c r="F10" s="51" t="s">
        <v>169</v>
      </c>
      <c r="G10" s="155" t="str">
        <f>'L. Ornamental'!I12</f>
        <v>sum of column 09 (L09)</v>
      </c>
      <c r="H10" s="51" t="s">
        <v>169</v>
      </c>
      <c r="I10" s="155" t="str">
        <f>'M. Per Specific Area'!J12</f>
        <v>sum of column 10 (M10)</v>
      </c>
      <c r="J10" s="156" t="s">
        <v>170</v>
      </c>
      <c r="K10" s="155">
        <f>'N. Exist. Cond.'!J11</f>
        <v>0</v>
      </c>
      <c r="L10" s="157" t="s">
        <v>172</v>
      </c>
      <c r="M10" s="158" t="e">
        <f>A10+C10+E10+G10+I10+K10</f>
        <v>#VALUE!</v>
      </c>
      <c r="N10" s="52" t="s">
        <v>174</v>
      </c>
      <c r="O10" s="159" t="str">
        <f>'F. Lighting Schedule'!L10</f>
        <v>sum of column 08</v>
      </c>
      <c r="P10" s="53" t="s">
        <v>193</v>
      </c>
    </row>
    <row r="11" spans="1:16" ht="13.5" customHeight="1">
      <c r="A11" s="452" t="s">
        <v>194</v>
      </c>
      <c r="B11" s="453"/>
      <c r="C11" s="453"/>
      <c r="D11" s="453"/>
      <c r="E11" s="453"/>
      <c r="F11" s="453"/>
      <c r="G11" s="453"/>
      <c r="H11" s="453"/>
      <c r="I11" s="453"/>
      <c r="J11" s="454"/>
      <c r="K11" s="160"/>
      <c r="L11" s="161"/>
      <c r="M11" s="162"/>
      <c r="N11" s="163"/>
      <c r="O11" s="163"/>
      <c r="P11" s="164" t="s">
        <v>195</v>
      </c>
    </row>
    <row r="12" spans="1:16" ht="13.5" customHeight="1">
      <c r="A12" s="455" t="s">
        <v>196</v>
      </c>
      <c r="B12" s="456"/>
      <c r="C12" s="456"/>
      <c r="D12" s="456"/>
      <c r="E12" s="456"/>
      <c r="F12" s="456"/>
      <c r="G12" s="456"/>
      <c r="H12" s="456"/>
      <c r="I12" s="456"/>
      <c r="J12" s="457"/>
      <c r="K12" s="163"/>
      <c r="L12" s="163"/>
      <c r="M12" s="163"/>
      <c r="N12" s="163"/>
      <c r="O12" s="163"/>
      <c r="P12" s="164" t="s">
        <v>197</v>
      </c>
    </row>
    <row r="13" spans="1:16" ht="17.100000000000001" customHeight="1">
      <c r="A13" s="8"/>
      <c r="B13" s="8"/>
      <c r="C13" s="8"/>
      <c r="D13" s="8"/>
      <c r="E13" s="8"/>
      <c r="F13" s="8"/>
      <c r="G13" s="8"/>
      <c r="H13" s="8"/>
      <c r="I13" s="8"/>
      <c r="J13" s="8"/>
      <c r="K13" s="8"/>
      <c r="L13" s="8"/>
      <c r="M13" s="8"/>
      <c r="N13" s="8"/>
      <c r="O13" s="8"/>
      <c r="P13" s="8"/>
    </row>
    <row r="14" spans="1:16" ht="21.75" customHeight="1">
      <c r="A14" s="9"/>
      <c r="B14" s="8"/>
      <c r="C14" s="9"/>
      <c r="D14" s="8"/>
      <c r="E14" s="9"/>
      <c r="F14" s="8"/>
      <c r="G14" s="9"/>
      <c r="H14" s="8"/>
      <c r="I14" s="9"/>
      <c r="J14" s="8"/>
      <c r="K14" s="8"/>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8"/>
      <c r="N17" s="8"/>
      <c r="O17" s="8"/>
      <c r="P17" s="8"/>
    </row>
    <row r="18" spans="1:16" ht="15.75">
      <c r="A18" s="130"/>
    </row>
  </sheetData>
  <mergeCells count="15">
    <mergeCell ref="B7:B9"/>
    <mergeCell ref="A11:J11"/>
    <mergeCell ref="A12:J12"/>
    <mergeCell ref="A4:P4"/>
    <mergeCell ref="N7:N9"/>
    <mergeCell ref="M8:M9"/>
    <mergeCell ref="M6:P6"/>
    <mergeCell ref="P8:P9"/>
    <mergeCell ref="A5:P5"/>
    <mergeCell ref="A6:L6"/>
    <mergeCell ref="L7:L9"/>
    <mergeCell ref="J7:J9"/>
    <mergeCell ref="H7:H9"/>
    <mergeCell ref="F7:F9"/>
    <mergeCell ref="D7:D9"/>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zoomScale="98" zoomScaleNormal="100" workbookViewId="0">
      <selection activeCell="B20" sqref="B20"/>
    </sheetView>
  </sheetViews>
  <sheetFormatPr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4">
      <c r="A1" s="28"/>
      <c r="B1" t="s">
        <v>92</v>
      </c>
      <c r="D1" s="29"/>
      <c r="E1" t="s">
        <v>93</v>
      </c>
      <c r="G1" s="398"/>
      <c r="H1" s="398"/>
      <c r="I1" t="s">
        <v>94</v>
      </c>
      <c r="L1" s="30"/>
      <c r="M1" t="s">
        <v>95</v>
      </c>
    </row>
    <row r="2" spans="1:14">
      <c r="A2" s="2"/>
      <c r="B2" s="2"/>
      <c r="C2" s="2"/>
      <c r="D2" s="2"/>
      <c r="E2" s="2"/>
      <c r="F2" s="2"/>
      <c r="G2" s="2"/>
      <c r="H2" s="2"/>
      <c r="I2" s="2"/>
      <c r="J2" s="2"/>
      <c r="K2" s="2"/>
    </row>
    <row r="3" spans="1:14" ht="15" customHeight="1">
      <c r="A3" s="431" t="s">
        <v>198</v>
      </c>
      <c r="B3" s="432"/>
      <c r="C3" s="432"/>
      <c r="D3" s="432"/>
      <c r="E3" s="432"/>
      <c r="F3" s="432"/>
      <c r="G3" s="432"/>
      <c r="H3" s="432"/>
      <c r="I3" s="432"/>
      <c r="J3" s="432"/>
      <c r="K3" s="433"/>
    </row>
    <row r="4" spans="1:14" ht="15" customHeight="1">
      <c r="A4" s="479" t="s">
        <v>199</v>
      </c>
      <c r="B4" s="480"/>
      <c r="C4" s="480"/>
      <c r="D4" s="480"/>
      <c r="E4" s="480"/>
      <c r="F4" s="480"/>
      <c r="G4" s="480"/>
      <c r="H4" s="480"/>
      <c r="I4" s="480"/>
      <c r="J4" s="480"/>
      <c r="K4" s="481"/>
    </row>
    <row r="5" spans="1:14" ht="15" customHeight="1">
      <c r="A5" s="473"/>
      <c r="B5" s="474"/>
      <c r="C5" s="474"/>
      <c r="D5" s="474"/>
      <c r="E5" s="474"/>
      <c r="F5" s="474"/>
      <c r="G5" s="474"/>
      <c r="H5" s="474"/>
      <c r="I5" s="474"/>
      <c r="J5" s="474"/>
      <c r="K5" s="475"/>
    </row>
    <row r="6" spans="1:14">
      <c r="A6" s="476"/>
      <c r="B6" s="477"/>
      <c r="C6" s="477"/>
      <c r="D6" s="477"/>
      <c r="E6" s="477"/>
      <c r="F6" s="477"/>
      <c r="G6" s="477"/>
      <c r="H6" s="477"/>
      <c r="I6" s="477"/>
      <c r="J6" s="477"/>
      <c r="K6" s="478"/>
    </row>
    <row r="7" spans="1:14">
      <c r="A7" s="2"/>
      <c r="B7" s="2"/>
      <c r="C7" s="2"/>
      <c r="D7" s="2"/>
      <c r="E7" s="2"/>
      <c r="F7" s="2"/>
      <c r="G7" s="2"/>
      <c r="H7" s="2"/>
      <c r="I7" s="2"/>
      <c r="J7" s="2"/>
      <c r="K7" s="2"/>
    </row>
    <row r="8" spans="1:14">
      <c r="A8" s="2"/>
      <c r="B8" s="46" t="s">
        <v>200</v>
      </c>
      <c r="C8" s="2"/>
      <c r="D8" s="2"/>
      <c r="E8" s="2"/>
      <c r="F8" s="2"/>
      <c r="G8" s="2"/>
      <c r="H8" s="2"/>
      <c r="I8" s="2"/>
      <c r="J8" s="2"/>
      <c r="K8" s="2"/>
    </row>
    <row r="9" spans="1:14">
      <c r="A9" s="2"/>
      <c r="B9" s="472" t="s">
        <v>201</v>
      </c>
      <c r="C9" s="472"/>
      <c r="D9" s="472"/>
      <c r="E9" s="472"/>
      <c r="F9" s="472"/>
      <c r="G9" s="472"/>
      <c r="H9" s="472"/>
      <c r="I9" s="472"/>
      <c r="J9" s="472"/>
      <c r="K9" s="472"/>
      <c r="L9" s="472"/>
      <c r="M9" s="472"/>
      <c r="N9" s="472"/>
    </row>
    <row r="10" spans="1:14">
      <c r="A10" s="2"/>
      <c r="B10" s="114" t="s">
        <v>202</v>
      </c>
      <c r="C10" s="2"/>
      <c r="D10" s="2"/>
      <c r="E10" s="2"/>
      <c r="F10" s="2"/>
      <c r="G10" s="2"/>
      <c r="H10" s="2"/>
      <c r="I10" s="2"/>
      <c r="J10" s="2"/>
      <c r="K10" s="2"/>
    </row>
    <row r="11" spans="1:14">
      <c r="A11" s="2"/>
      <c r="B11" s="114" t="s">
        <v>203</v>
      </c>
      <c r="C11" s="2"/>
      <c r="D11" s="2"/>
      <c r="E11" s="2"/>
      <c r="F11" s="2"/>
      <c r="G11" s="2"/>
      <c r="H11" s="2"/>
      <c r="I11" s="2"/>
      <c r="J11" s="2"/>
      <c r="K11" s="2"/>
    </row>
    <row r="12" spans="1:14">
      <c r="A12" s="2"/>
      <c r="B12" s="114" t="s">
        <v>204</v>
      </c>
      <c r="C12" s="2"/>
      <c r="D12" s="2"/>
      <c r="E12" s="2"/>
      <c r="F12" s="2"/>
      <c r="G12" s="2"/>
      <c r="H12" s="2"/>
      <c r="I12" s="2"/>
      <c r="J12" s="2"/>
      <c r="K12" s="2"/>
    </row>
    <row r="13" spans="1:14">
      <c r="A13" s="2"/>
      <c r="B13" s="114" t="s">
        <v>205</v>
      </c>
      <c r="C13" s="2"/>
      <c r="D13" s="2"/>
      <c r="E13" s="2"/>
      <c r="F13" s="2"/>
      <c r="G13" s="2"/>
      <c r="H13" s="2"/>
      <c r="I13" s="2"/>
      <c r="J13" s="2"/>
      <c r="K13" s="2"/>
    </row>
    <row r="14" spans="1:14">
      <c r="A14" s="2"/>
      <c r="B14" s="133" t="s">
        <v>206</v>
      </c>
      <c r="C14" s="2"/>
      <c r="D14" s="2"/>
      <c r="E14" s="2"/>
      <c r="F14" s="2"/>
      <c r="G14" s="2"/>
      <c r="H14" s="2"/>
      <c r="I14" s="2"/>
      <c r="J14" s="2"/>
      <c r="K14" s="2"/>
    </row>
    <row r="15" spans="1:14">
      <c r="A15" s="2"/>
      <c r="B15" s="36"/>
      <c r="C15" s="2"/>
      <c r="D15" s="2"/>
      <c r="E15" s="2"/>
      <c r="F15" s="2"/>
      <c r="G15" s="2"/>
      <c r="H15" s="2"/>
      <c r="I15" s="2"/>
      <c r="J15" s="2"/>
      <c r="K15" s="2"/>
    </row>
  </sheetData>
  <mergeCells count="5">
    <mergeCell ref="B9:N9"/>
    <mergeCell ref="A3:K3"/>
    <mergeCell ref="A5:K6"/>
    <mergeCell ref="A4:K4"/>
    <mergeCell ref="G1:H1"/>
  </mergeCells>
  <pageMargins left="0.5" right="0.5" top="0.75" bottom="0.75" header="0.3" footer="0.3"/>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Normal="100" workbookViewId="0">
      <selection activeCell="C16" sqref="C16"/>
    </sheetView>
  </sheetViews>
  <sheetFormatPr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28"/>
      <c r="B1" t="s">
        <v>92</v>
      </c>
      <c r="D1" s="29"/>
      <c r="E1" t="s">
        <v>93</v>
      </c>
      <c r="G1" s="398"/>
      <c r="H1" s="398"/>
      <c r="I1" t="s">
        <v>94</v>
      </c>
      <c r="L1" s="30"/>
      <c r="M1" t="s">
        <v>95</v>
      </c>
    </row>
    <row r="2" spans="1:13">
      <c r="A2" s="2"/>
      <c r="B2" s="2"/>
      <c r="C2" s="2"/>
      <c r="D2" s="2"/>
      <c r="E2" s="2"/>
      <c r="F2" s="2"/>
      <c r="G2" s="2"/>
      <c r="H2" s="2"/>
      <c r="I2" s="2"/>
      <c r="J2" s="2"/>
      <c r="K2" s="2"/>
    </row>
    <row r="3" spans="1:13">
      <c r="A3" s="2"/>
      <c r="B3" s="2"/>
      <c r="C3" s="2"/>
      <c r="D3" s="2"/>
      <c r="E3" s="2"/>
      <c r="F3" s="2"/>
      <c r="G3" s="2"/>
      <c r="H3" s="2"/>
      <c r="I3" s="2"/>
      <c r="J3" s="2"/>
      <c r="K3" s="2"/>
    </row>
    <row r="4" spans="1:13" ht="15" customHeight="1">
      <c r="A4" s="431" t="s">
        <v>207</v>
      </c>
      <c r="B4" s="432"/>
      <c r="C4" s="432"/>
      <c r="D4" s="432"/>
      <c r="E4" s="432"/>
      <c r="F4" s="432"/>
      <c r="G4" s="432"/>
      <c r="H4" s="432"/>
      <c r="I4" s="432"/>
      <c r="J4" s="432"/>
      <c r="K4" s="433"/>
    </row>
    <row r="5" spans="1:13" ht="15" customHeight="1">
      <c r="A5" s="479" t="s">
        <v>208</v>
      </c>
      <c r="B5" s="480"/>
      <c r="C5" s="480"/>
      <c r="D5" s="480"/>
      <c r="E5" s="480"/>
      <c r="F5" s="480"/>
      <c r="G5" s="480"/>
      <c r="H5" s="480"/>
      <c r="I5" s="480"/>
      <c r="J5" s="480"/>
      <c r="K5" s="481"/>
    </row>
    <row r="6" spans="1:13" ht="15" customHeight="1">
      <c r="A6" s="482"/>
      <c r="B6" s="483"/>
      <c r="C6" s="483"/>
      <c r="D6" s="483"/>
      <c r="E6" s="483"/>
      <c r="F6" s="483"/>
      <c r="G6" s="483"/>
      <c r="H6" s="483"/>
      <c r="I6" s="483"/>
      <c r="J6" s="483"/>
      <c r="K6" s="484"/>
    </row>
    <row r="7" spans="1:13">
      <c r="A7" s="485"/>
      <c r="B7" s="486"/>
      <c r="C7" s="486"/>
      <c r="D7" s="486"/>
      <c r="E7" s="486"/>
      <c r="F7" s="486"/>
      <c r="G7" s="486"/>
      <c r="H7" s="486"/>
      <c r="I7" s="486"/>
      <c r="J7" s="486"/>
      <c r="K7" s="487"/>
    </row>
    <row r="8" spans="1:13">
      <c r="A8" s="2"/>
      <c r="B8" s="2"/>
      <c r="C8" s="2"/>
      <c r="D8" s="2"/>
      <c r="E8" s="2"/>
      <c r="F8" s="2"/>
      <c r="G8" s="2"/>
      <c r="H8" s="2"/>
      <c r="I8" s="2"/>
      <c r="J8" s="2"/>
      <c r="K8" s="2"/>
    </row>
    <row r="9" spans="1:13">
      <c r="A9" s="2"/>
      <c r="B9" s="2"/>
      <c r="C9" s="2"/>
      <c r="D9" s="2"/>
      <c r="E9" s="2"/>
      <c r="F9" s="2"/>
      <c r="G9" s="2"/>
      <c r="H9" s="2"/>
      <c r="I9" s="2"/>
      <c r="J9" s="2"/>
      <c r="K9" s="2"/>
    </row>
    <row r="10" spans="1:13">
      <c r="A10" s="2"/>
      <c r="B10" s="2"/>
      <c r="C10" s="2"/>
      <c r="D10" s="2"/>
      <c r="E10" s="2"/>
      <c r="F10" s="2"/>
      <c r="G10" s="2"/>
      <c r="H10" s="2"/>
      <c r="I10" s="2"/>
      <c r="J10" s="2"/>
      <c r="K10" s="2"/>
    </row>
    <row r="11" spans="1:13">
      <c r="A11" s="2"/>
      <c r="B11" s="2"/>
      <c r="C11" s="2"/>
      <c r="D11" s="2"/>
      <c r="E11" s="2"/>
      <c r="F11" s="2"/>
      <c r="G11" s="2"/>
      <c r="H11" s="2"/>
      <c r="I11" s="2"/>
      <c r="J11" s="2"/>
      <c r="K11" s="2"/>
    </row>
    <row r="12" spans="1:13">
      <c r="A12" s="2"/>
      <c r="B12" s="2"/>
      <c r="C12" s="2"/>
      <c r="D12" s="2"/>
      <c r="E12" s="2"/>
      <c r="F12" s="2"/>
      <c r="G12" s="2"/>
      <c r="H12" s="2"/>
      <c r="I12" s="2"/>
      <c r="J12" s="2"/>
      <c r="K12" s="2"/>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1"/>
  <sheetViews>
    <sheetView topLeftCell="A17" zoomScale="90" zoomScaleNormal="90" workbookViewId="0">
      <selection activeCell="M31" sqref="M31"/>
    </sheetView>
  </sheetViews>
  <sheetFormatPr defaultColWidth="9.140625" defaultRowHeight="12.75"/>
  <cols>
    <col min="1" max="1" width="16.140625" style="13" customWidth="1"/>
    <col min="2" max="2" width="27.7109375" style="13" customWidth="1"/>
    <col min="3" max="3" width="11.140625" style="13" customWidth="1"/>
    <col min="4" max="4" width="13.140625" style="13" customWidth="1"/>
    <col min="5" max="5" width="12" style="13" customWidth="1"/>
    <col min="6" max="6" width="4.7109375" style="13" customWidth="1"/>
    <col min="7" max="7" width="6.85546875" style="13" customWidth="1"/>
    <col min="8" max="8" width="3.85546875" style="13" customWidth="1"/>
    <col min="9" max="9" width="0.7109375" style="13" hidden="1" customWidth="1"/>
    <col min="10" max="10" width="15.7109375" style="13" customWidth="1"/>
    <col min="11" max="11" width="12" style="13" customWidth="1"/>
    <col min="12" max="12" width="16" style="13" customWidth="1"/>
    <col min="13" max="13" width="15.85546875" style="13" customWidth="1"/>
    <col min="14" max="14" width="10.85546875" style="12" customWidth="1"/>
    <col min="15" max="15" width="10.5703125" style="12" customWidth="1"/>
    <col min="16" max="16384" width="9.140625" style="12"/>
  </cols>
  <sheetData>
    <row r="1" spans="1:27" customFormat="1" ht="15">
      <c r="A1" s="28"/>
      <c r="B1" t="s">
        <v>92</v>
      </c>
      <c r="C1" s="29"/>
      <c r="D1" t="s">
        <v>93</v>
      </c>
      <c r="F1" s="398"/>
      <c r="G1" s="398"/>
      <c r="H1" t="s">
        <v>94</v>
      </c>
      <c r="L1" s="30"/>
      <c r="M1" t="s">
        <v>95</v>
      </c>
    </row>
    <row r="3" spans="1:27" ht="15">
      <c r="A3" s="511" t="s">
        <v>209</v>
      </c>
      <c r="B3" s="511"/>
      <c r="C3" s="511"/>
      <c r="D3" s="511"/>
      <c r="E3" s="511"/>
      <c r="F3" s="511"/>
      <c r="G3" s="511"/>
      <c r="H3" s="511"/>
      <c r="I3" s="511"/>
      <c r="J3" s="511"/>
      <c r="K3" s="511"/>
      <c r="L3" s="511"/>
      <c r="M3" s="511"/>
      <c r="N3" s="511"/>
      <c r="O3" s="511"/>
    </row>
    <row r="4" spans="1:27" ht="47.45" customHeight="1">
      <c r="A4" s="512" t="s">
        <v>210</v>
      </c>
      <c r="B4" s="513"/>
      <c r="C4" s="513"/>
      <c r="D4" s="513"/>
      <c r="E4" s="513"/>
      <c r="F4" s="513"/>
      <c r="G4" s="513"/>
      <c r="H4" s="513"/>
      <c r="I4" s="513"/>
      <c r="J4" s="513"/>
      <c r="K4" s="513"/>
      <c r="L4" s="513"/>
      <c r="M4" s="513"/>
      <c r="N4" s="513"/>
      <c r="O4" s="513"/>
    </row>
    <row r="5" spans="1:27">
      <c r="A5" s="514" t="s">
        <v>211</v>
      </c>
      <c r="B5" s="514"/>
      <c r="C5" s="514"/>
      <c r="D5" s="514"/>
      <c r="E5" s="514"/>
      <c r="F5" s="514"/>
      <c r="G5" s="514"/>
      <c r="H5" s="514"/>
      <c r="I5" s="514"/>
      <c r="J5" s="514"/>
      <c r="K5" s="514"/>
      <c r="L5" s="514"/>
      <c r="M5" s="514"/>
      <c r="N5" s="514"/>
      <c r="O5" s="514"/>
    </row>
    <row r="6" spans="1:27">
      <c r="A6" s="106" t="s">
        <v>123</v>
      </c>
      <c r="B6" s="518" t="s">
        <v>127</v>
      </c>
      <c r="C6" s="519"/>
      <c r="D6" s="320" t="s">
        <v>129</v>
      </c>
      <c r="E6" s="106" t="s">
        <v>125</v>
      </c>
      <c r="F6" s="515" t="s">
        <v>137</v>
      </c>
      <c r="G6" s="516"/>
      <c r="H6" s="516"/>
      <c r="I6" s="516"/>
      <c r="J6" s="106" t="s">
        <v>171</v>
      </c>
      <c r="K6" s="107" t="s">
        <v>173</v>
      </c>
      <c r="L6" s="107" t="s">
        <v>175</v>
      </c>
      <c r="M6" s="106" t="s">
        <v>176</v>
      </c>
      <c r="N6" s="515" t="s">
        <v>212</v>
      </c>
      <c r="O6" s="517"/>
    </row>
    <row r="7" spans="1:27" ht="33" customHeight="1">
      <c r="A7" s="503" t="s">
        <v>213</v>
      </c>
      <c r="B7" s="492" t="s">
        <v>214</v>
      </c>
      <c r="C7" s="492"/>
      <c r="D7" s="508" t="s">
        <v>215</v>
      </c>
      <c r="E7" s="504" t="s">
        <v>216</v>
      </c>
      <c r="F7" s="503" t="s">
        <v>217</v>
      </c>
      <c r="G7" s="505"/>
      <c r="H7" s="505"/>
      <c r="I7" s="505"/>
      <c r="J7" s="506" t="s">
        <v>218</v>
      </c>
      <c r="K7" s="491" t="s">
        <v>219</v>
      </c>
      <c r="L7" s="492" t="s">
        <v>220</v>
      </c>
      <c r="M7" s="493" t="s">
        <v>221</v>
      </c>
      <c r="N7" s="499" t="s">
        <v>222</v>
      </c>
      <c r="O7" s="500"/>
      <c r="Q7" s="56"/>
      <c r="R7" s="56"/>
    </row>
    <row r="8" spans="1:27" ht="33" customHeight="1">
      <c r="A8" s="503"/>
      <c r="B8" s="492"/>
      <c r="C8" s="492"/>
      <c r="D8" s="509"/>
      <c r="E8" s="504"/>
      <c r="F8" s="503"/>
      <c r="G8" s="505"/>
      <c r="H8" s="505"/>
      <c r="I8" s="505"/>
      <c r="J8" s="507"/>
      <c r="K8" s="491"/>
      <c r="L8" s="492"/>
      <c r="M8" s="494"/>
      <c r="N8" s="326" t="s">
        <v>223</v>
      </c>
      <c r="O8" s="326" t="s">
        <v>224</v>
      </c>
    </row>
    <row r="9" spans="1:27" ht="26.25" customHeight="1">
      <c r="A9" s="165"/>
      <c r="B9" s="166"/>
      <c r="C9" s="167" t="s">
        <v>225</v>
      </c>
      <c r="D9" s="168"/>
      <c r="E9" s="169" t="s">
        <v>226</v>
      </c>
      <c r="F9" s="501"/>
      <c r="G9" s="501"/>
      <c r="H9" s="501"/>
      <c r="I9" s="502"/>
      <c r="J9" s="169" t="s">
        <v>226</v>
      </c>
      <c r="K9" s="167" t="s">
        <v>227</v>
      </c>
      <c r="L9" s="170"/>
      <c r="M9" s="169" t="s">
        <v>226</v>
      </c>
      <c r="N9" s="171" t="s">
        <v>227</v>
      </c>
      <c r="O9" s="171" t="s">
        <v>227</v>
      </c>
      <c r="P9" s="55"/>
      <c r="Q9" s="55"/>
      <c r="R9" s="55"/>
      <c r="S9" s="55"/>
      <c r="T9" s="55"/>
    </row>
    <row r="10" spans="1:27" ht="15">
      <c r="A10" s="172"/>
      <c r="B10" s="172"/>
      <c r="C10" s="173"/>
      <c r="D10" s="173"/>
      <c r="E10" s="173"/>
      <c r="F10" s="173"/>
      <c r="G10" s="173"/>
      <c r="H10" s="173"/>
      <c r="I10" s="173"/>
      <c r="J10" s="174"/>
      <c r="K10" s="175" t="s">
        <v>228</v>
      </c>
      <c r="L10" s="176" t="s">
        <v>229</v>
      </c>
      <c r="M10" s="177"/>
      <c r="N10" s="178"/>
      <c r="O10" s="179"/>
    </row>
    <row r="11" spans="1:27" s="15" customFormat="1" ht="15.75">
      <c r="A11" s="180" t="s">
        <v>230</v>
      </c>
      <c r="B11" s="181"/>
      <c r="C11" s="181"/>
      <c r="D11" s="181"/>
      <c r="E11" s="181"/>
      <c r="F11" s="181"/>
      <c r="G11" s="181"/>
      <c r="H11" s="181"/>
      <c r="I11" s="181"/>
      <c r="J11" s="181"/>
      <c r="K11" s="181"/>
      <c r="L11" s="181"/>
      <c r="M11" s="181"/>
      <c r="N11" s="181"/>
      <c r="O11" s="182"/>
      <c r="P11" s="88"/>
      <c r="Q11" s="88"/>
      <c r="R11" s="88"/>
      <c r="S11" s="88"/>
      <c r="T11" s="88"/>
      <c r="U11" s="88"/>
      <c r="V11" s="88"/>
      <c r="W11" s="89"/>
      <c r="X11" s="89"/>
      <c r="Y11" s="89"/>
      <c r="Z11" s="89"/>
      <c r="AA11" s="89"/>
    </row>
    <row r="12" spans="1:27" s="15" customFormat="1" ht="15.75">
      <c r="A12" s="183" t="s">
        <v>231</v>
      </c>
      <c r="B12" s="184"/>
      <c r="C12" s="184"/>
      <c r="D12" s="184"/>
      <c r="E12" s="184"/>
      <c r="F12" s="184"/>
      <c r="G12" s="184"/>
      <c r="H12" s="184"/>
      <c r="I12" s="184"/>
      <c r="J12" s="184"/>
      <c r="K12" s="184"/>
      <c r="L12" s="184"/>
      <c r="M12" s="184"/>
      <c r="N12" s="185"/>
      <c r="O12" s="186"/>
      <c r="P12" s="90"/>
      <c r="Q12" s="90"/>
      <c r="R12" s="90"/>
      <c r="S12" s="90"/>
      <c r="T12" s="90"/>
      <c r="U12" s="90"/>
      <c r="V12" s="90"/>
      <c r="W12" s="89"/>
      <c r="X12" s="89"/>
      <c r="Y12" s="89"/>
      <c r="Z12" s="89"/>
      <c r="AA12" s="89"/>
    </row>
    <row r="13" spans="1:27" s="15" customFormat="1" ht="109.15" customHeight="1">
      <c r="A13" s="187" t="s">
        <v>232</v>
      </c>
      <c r="B13" s="496" t="s">
        <v>233</v>
      </c>
      <c r="C13" s="497"/>
      <c r="D13" s="497"/>
      <c r="E13" s="497"/>
      <c r="F13" s="497"/>
      <c r="G13" s="497"/>
      <c r="H13" s="497"/>
      <c r="I13" s="497"/>
      <c r="J13" s="497"/>
      <c r="K13" s="497"/>
      <c r="L13" s="497"/>
      <c r="M13" s="497"/>
      <c r="N13" s="497"/>
      <c r="O13" s="498"/>
      <c r="P13" s="91"/>
      <c r="Q13" s="91"/>
      <c r="R13" s="91"/>
      <c r="S13" s="91"/>
      <c r="T13" s="91"/>
      <c r="U13" s="91"/>
      <c r="V13" s="91"/>
      <c r="W13" s="89"/>
      <c r="X13" s="89"/>
      <c r="Y13" s="89"/>
      <c r="Z13" s="89"/>
      <c r="AA13" s="89"/>
    </row>
    <row r="14" spans="1:27" ht="15.75" customHeight="1">
      <c r="A14" s="319" t="s">
        <v>234</v>
      </c>
      <c r="B14" s="263"/>
      <c r="C14" s="263"/>
      <c r="D14" s="263"/>
      <c r="E14" s="263"/>
      <c r="F14" s="263"/>
      <c r="G14" s="263"/>
      <c r="H14" s="263"/>
      <c r="I14" s="263"/>
      <c r="J14" s="263"/>
      <c r="M14" s="99"/>
      <c r="N14" s="99"/>
      <c r="O14" s="128"/>
      <c r="P14" s="57"/>
      <c r="Q14" s="57"/>
    </row>
    <row r="15" spans="1:27" ht="15.75" customHeight="1">
      <c r="A15" s="19" t="s">
        <v>235</v>
      </c>
      <c r="M15" s="99"/>
      <c r="N15" s="99"/>
      <c r="O15" s="128"/>
      <c r="P15" s="57"/>
      <c r="Q15" s="57"/>
    </row>
    <row r="16" spans="1:27" ht="41.25" customHeight="1">
      <c r="A16" s="495" t="s">
        <v>236</v>
      </c>
      <c r="B16" s="495"/>
      <c r="C16" s="495"/>
      <c r="D16" s="495"/>
      <c r="E16" s="495"/>
      <c r="F16" s="495"/>
      <c r="G16" s="495"/>
      <c r="H16" s="495"/>
      <c r="I16" s="495"/>
      <c r="J16" s="495"/>
      <c r="K16" s="495"/>
      <c r="L16" s="495"/>
    </row>
    <row r="17" spans="1:20" ht="15">
      <c r="A17" s="510" t="s">
        <v>237</v>
      </c>
      <c r="B17" s="510"/>
      <c r="C17" s="510"/>
      <c r="D17" s="510"/>
      <c r="E17" s="510"/>
      <c r="F17" s="510"/>
      <c r="G17" s="510"/>
      <c r="H17" s="510"/>
      <c r="I17" s="510"/>
      <c r="J17" s="510"/>
      <c r="K17" s="510"/>
      <c r="L17" s="12"/>
    </row>
    <row r="18" spans="1:20">
      <c r="A18" s="19"/>
      <c r="B18" s="12"/>
      <c r="C18" s="12"/>
      <c r="D18" s="12"/>
      <c r="E18" s="12"/>
      <c r="F18" s="12"/>
      <c r="G18" s="12"/>
      <c r="H18" s="12"/>
      <c r="I18" s="12"/>
      <c r="J18" s="12"/>
      <c r="K18" s="12"/>
      <c r="L18" s="12"/>
    </row>
    <row r="19" spans="1:20" ht="12.75" customHeight="1">
      <c r="E19" s="488" t="s">
        <v>238</v>
      </c>
      <c r="J19" s="488" t="s">
        <v>239</v>
      </c>
      <c r="M19" s="489" t="s">
        <v>240</v>
      </c>
    </row>
    <row r="20" spans="1:20" ht="34.5" customHeight="1">
      <c r="E20" s="488"/>
      <c r="J20" s="488"/>
      <c r="M20" s="490"/>
    </row>
    <row r="21" spans="1:20" ht="15">
      <c r="E21" s="54" t="s">
        <v>241</v>
      </c>
      <c r="J21" s="54" t="s">
        <v>242</v>
      </c>
      <c r="M21" s="54" t="s">
        <v>243</v>
      </c>
      <c r="N21" s="154" t="s">
        <v>244</v>
      </c>
    </row>
    <row r="22" spans="1:20" ht="15">
      <c r="E22" s="54" t="s">
        <v>245</v>
      </c>
      <c r="J22" s="54" t="s">
        <v>246</v>
      </c>
      <c r="M22" s="54" t="s">
        <v>247</v>
      </c>
      <c r="N22" s="13"/>
      <c r="O22" s="13"/>
      <c r="P22" s="13"/>
      <c r="Q22" s="13"/>
      <c r="R22" s="13"/>
      <c r="S22" s="13"/>
      <c r="T22" s="13"/>
    </row>
    <row r="23" spans="1:20">
      <c r="E23" s="54" t="s">
        <v>248</v>
      </c>
      <c r="J23" s="54" t="s">
        <v>249</v>
      </c>
      <c r="M23" s="330" t="s">
        <v>250</v>
      </c>
      <c r="N23" s="13"/>
      <c r="O23" s="13"/>
      <c r="P23" s="13"/>
      <c r="Q23" s="13"/>
      <c r="R23" s="13"/>
      <c r="S23" s="13"/>
      <c r="T23" s="13"/>
    </row>
    <row r="24" spans="1:20">
      <c r="J24" s="54" t="s">
        <v>251</v>
      </c>
      <c r="M24" s="328" t="s">
        <v>252</v>
      </c>
    </row>
    <row r="25" spans="1:20" ht="51">
      <c r="M25" s="328" t="s">
        <v>253</v>
      </c>
    </row>
    <row r="26" spans="1:20" ht="52.5" customHeight="1">
      <c r="A26" s="115"/>
      <c r="M26" s="328" t="s">
        <v>254</v>
      </c>
      <c r="N26" s="13"/>
      <c r="O26" s="13"/>
      <c r="P26" s="13"/>
      <c r="Q26" s="13"/>
      <c r="R26" s="13"/>
      <c r="S26" s="13"/>
      <c r="T26" s="13"/>
    </row>
    <row r="27" spans="1:20" ht="25.5">
      <c r="A27" s="218"/>
      <c r="B27" s="218"/>
      <c r="C27" s="218"/>
      <c r="D27" s="218"/>
      <c r="E27" s="218"/>
      <c r="F27" s="218"/>
      <c r="G27" s="218"/>
      <c r="H27" s="218"/>
      <c r="I27" s="218"/>
      <c r="J27" s="218"/>
      <c r="M27" s="328" t="s">
        <v>255</v>
      </c>
    </row>
    <row r="28" spans="1:20" ht="63.75">
      <c r="A28" s="93"/>
      <c r="M28" s="328" t="s">
        <v>256</v>
      </c>
    </row>
    <row r="29" spans="1:20" ht="38.25">
      <c r="A29" s="93"/>
      <c r="M29" s="328" t="s">
        <v>257</v>
      </c>
    </row>
    <row r="30" spans="1:20" ht="38.25">
      <c r="M30" s="328" t="s">
        <v>258</v>
      </c>
    </row>
    <row r="31" spans="1:20" ht="69" customHeight="1">
      <c r="M31" s="341" t="s">
        <v>259</v>
      </c>
    </row>
  </sheetData>
  <mergeCells count="24">
    <mergeCell ref="A17:K17"/>
    <mergeCell ref="F1:G1"/>
    <mergeCell ref="A3:O3"/>
    <mergeCell ref="A4:O4"/>
    <mergeCell ref="A5:O5"/>
    <mergeCell ref="F6:I6"/>
    <mergeCell ref="N6:O6"/>
    <mergeCell ref="B6:C6"/>
    <mergeCell ref="E19:E20"/>
    <mergeCell ref="M19:M20"/>
    <mergeCell ref="K7:K8"/>
    <mergeCell ref="L7:L8"/>
    <mergeCell ref="M7:M8"/>
    <mergeCell ref="J19:J20"/>
    <mergeCell ref="A16:L16"/>
    <mergeCell ref="B13:O13"/>
    <mergeCell ref="N7:O7"/>
    <mergeCell ref="F9:I9"/>
    <mergeCell ref="A7:A8"/>
    <mergeCell ref="E7:E8"/>
    <mergeCell ref="F7:I8"/>
    <mergeCell ref="J7:J8"/>
    <mergeCell ref="D7:D8"/>
    <mergeCell ref="B7:C8"/>
  </mergeCells>
  <pageMargins left="0.5" right="0.5" top="0.75" bottom="0.75" header="0.3" footer="0.3"/>
  <pageSetup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H229"/>
  <sheetViews>
    <sheetView zoomScaleNormal="100" workbookViewId="0">
      <selection activeCell="C43" sqref="C43"/>
    </sheetView>
  </sheetViews>
  <sheetFormatPr defaultColWidth="9.140625" defaultRowHeight="15"/>
  <cols>
    <col min="1" max="1" width="11.5703125" customWidth="1"/>
    <col min="2" max="2" width="32" customWidth="1"/>
    <col min="3" max="3" width="10.5703125" customWidth="1"/>
    <col min="4" max="4" width="21.85546875" style="124" customWidth="1"/>
    <col min="5" max="5" width="2" style="124" customWidth="1"/>
    <col min="6" max="7" width="10.5703125" style="124" customWidth="1"/>
    <col min="8" max="8" width="12.28515625" customWidth="1"/>
    <col min="9" max="11" width="10.28515625" customWidth="1"/>
    <col min="12" max="12" width="10.5703125" customWidth="1"/>
    <col min="13" max="13" width="11.140625" customWidth="1"/>
    <col min="14" max="14" width="11.42578125" customWidth="1"/>
    <col min="15" max="16" width="10.140625" customWidth="1"/>
    <col min="17" max="17" width="5.85546875" customWidth="1"/>
    <col min="18" max="18" width="6.42578125" customWidth="1"/>
    <col min="19" max="22" width="5.7109375" customWidth="1"/>
    <col min="23" max="26" width="4.7109375" customWidth="1"/>
    <col min="27" max="27" width="4.140625" customWidth="1"/>
    <col min="28" max="28" width="4.7109375" customWidth="1"/>
    <col min="29" max="29" width="5.7109375" customWidth="1"/>
    <col min="30" max="30" width="11.7109375" customWidth="1"/>
  </cols>
  <sheetData>
    <row r="1" spans="1:34">
      <c r="A1" s="28"/>
      <c r="B1" t="s">
        <v>92</v>
      </c>
      <c r="I1" s="29"/>
      <c r="J1" s="29"/>
      <c r="K1" s="29"/>
      <c r="L1" t="s">
        <v>93</v>
      </c>
      <c r="N1" s="312"/>
      <c r="O1" s="312"/>
      <c r="P1" s="312"/>
      <c r="Q1" t="s">
        <v>94</v>
      </c>
      <c r="T1" s="30"/>
      <c r="U1" t="s">
        <v>95</v>
      </c>
    </row>
    <row r="2" spans="1:34">
      <c r="A2" s="26"/>
      <c r="B2" s="26"/>
      <c r="C2" s="26"/>
      <c r="D2" s="125"/>
      <c r="E2" s="125"/>
      <c r="F2" s="125"/>
      <c r="G2" s="125"/>
      <c r="H2" s="26"/>
      <c r="I2" s="26"/>
      <c r="J2" s="26"/>
      <c r="K2" s="26"/>
      <c r="L2" s="26"/>
      <c r="M2" s="26"/>
      <c r="N2" s="26"/>
      <c r="O2" s="24"/>
      <c r="P2" s="24"/>
      <c r="Q2" s="24"/>
      <c r="R2" s="24"/>
      <c r="S2" s="24"/>
      <c r="T2" s="24"/>
      <c r="X2" s="24"/>
      <c r="Y2" s="24"/>
      <c r="Z2" s="24"/>
      <c r="AA2" s="24"/>
      <c r="AB2" s="24"/>
    </row>
    <row r="3" spans="1:34" ht="15" customHeight="1">
      <c r="A3" s="538" t="s">
        <v>260</v>
      </c>
      <c r="B3" s="539"/>
      <c r="C3" s="539"/>
      <c r="D3" s="539"/>
      <c r="E3" s="539"/>
      <c r="F3" s="539"/>
      <c r="G3" s="539"/>
      <c r="H3" s="539"/>
      <c r="I3" s="539"/>
      <c r="J3" s="539"/>
      <c r="K3" s="539"/>
      <c r="L3" s="539"/>
      <c r="M3" s="539"/>
      <c r="N3" s="539"/>
      <c r="O3" s="539"/>
      <c r="P3" s="539"/>
      <c r="Q3" s="539"/>
      <c r="R3" s="540"/>
      <c r="S3" s="67"/>
      <c r="T3" s="67"/>
      <c r="U3" s="67"/>
      <c r="V3" s="67"/>
      <c r="W3" s="67"/>
      <c r="X3" s="67"/>
      <c r="Y3" s="67"/>
      <c r="Z3" s="67"/>
      <c r="AA3" s="67"/>
      <c r="AB3" s="67"/>
      <c r="AC3" s="67"/>
      <c r="AD3" s="67"/>
    </row>
    <row r="4" spans="1:34" ht="26.45" customHeight="1">
      <c r="A4" s="545" t="s">
        <v>261</v>
      </c>
      <c r="B4" s="546"/>
      <c r="C4" s="546"/>
      <c r="D4" s="546"/>
      <c r="E4" s="546"/>
      <c r="F4" s="546"/>
      <c r="G4" s="546"/>
      <c r="H4" s="546"/>
      <c r="I4" s="546"/>
      <c r="J4" s="546"/>
      <c r="K4" s="546"/>
      <c r="L4" s="546"/>
      <c r="M4" s="546"/>
      <c r="N4" s="546"/>
      <c r="O4" s="546"/>
      <c r="P4" s="546"/>
      <c r="Q4" s="546"/>
      <c r="R4" s="547"/>
      <c r="S4" s="2"/>
      <c r="T4" s="2"/>
      <c r="U4" s="2"/>
      <c r="V4" s="2"/>
      <c r="W4" s="46" t="s">
        <v>262</v>
      </c>
      <c r="X4" s="2"/>
      <c r="Y4" s="2"/>
      <c r="Z4" s="2"/>
      <c r="AA4" s="2"/>
      <c r="AB4" s="2"/>
      <c r="AC4" s="2"/>
      <c r="AD4" s="2"/>
    </row>
    <row r="5" spans="1:34" ht="15" customHeight="1">
      <c r="A5" s="323" t="s">
        <v>123</v>
      </c>
      <c r="B5" s="323" t="s">
        <v>127</v>
      </c>
      <c r="C5" s="532" t="s">
        <v>129</v>
      </c>
      <c r="D5" s="549"/>
      <c r="E5" s="549"/>
      <c r="F5" s="323" t="s">
        <v>125</v>
      </c>
      <c r="G5" s="325" t="s">
        <v>137</v>
      </c>
      <c r="H5" s="550" t="s">
        <v>171</v>
      </c>
      <c r="I5" s="550"/>
      <c r="J5" s="323" t="s">
        <v>173</v>
      </c>
      <c r="K5" s="325" t="s">
        <v>175</v>
      </c>
      <c r="L5" s="551" t="s">
        <v>176</v>
      </c>
      <c r="M5" s="551"/>
      <c r="N5" s="551"/>
      <c r="O5" s="323" t="s">
        <v>212</v>
      </c>
      <c r="P5" s="323" t="s">
        <v>263</v>
      </c>
      <c r="Q5" s="532" t="s">
        <v>264</v>
      </c>
      <c r="R5" s="533"/>
      <c r="S5" s="68"/>
      <c r="T5" s="68"/>
      <c r="U5" s="68"/>
      <c r="V5" s="68"/>
      <c r="W5" s="68"/>
      <c r="X5" s="68"/>
      <c r="Y5" s="68"/>
      <c r="Z5" s="68"/>
      <c r="AA5" s="68"/>
      <c r="AB5" s="68"/>
      <c r="AC5" s="68"/>
    </row>
    <row r="6" spans="1:34" ht="27" customHeight="1">
      <c r="A6" s="548" t="s">
        <v>213</v>
      </c>
      <c r="B6" s="548" t="s">
        <v>265</v>
      </c>
      <c r="C6" s="554" t="s">
        <v>266</v>
      </c>
      <c r="D6" s="554"/>
      <c r="E6" s="554"/>
      <c r="F6" s="554"/>
      <c r="G6" s="554"/>
      <c r="H6" s="534" t="s">
        <v>267</v>
      </c>
      <c r="I6" s="535"/>
      <c r="J6" s="535"/>
      <c r="K6" s="541"/>
      <c r="L6" s="537" t="s">
        <v>268</v>
      </c>
      <c r="M6" s="537"/>
      <c r="N6" s="537"/>
      <c r="O6" s="537"/>
      <c r="P6" s="537"/>
      <c r="Q6" s="499" t="s">
        <v>222</v>
      </c>
      <c r="R6" s="500"/>
      <c r="S6" s="188"/>
      <c r="T6" s="58"/>
      <c r="U6" s="58"/>
      <c r="V6" s="58"/>
      <c r="W6" s="58"/>
      <c r="X6" s="58"/>
      <c r="Y6" s="58"/>
      <c r="Z6" s="58"/>
      <c r="AA6" s="58"/>
      <c r="AB6" s="58"/>
      <c r="AC6" s="58"/>
      <c r="AD6" s="39"/>
      <c r="AE6" s="531"/>
      <c r="AF6" s="531"/>
      <c r="AG6" s="531"/>
      <c r="AH6" s="531"/>
    </row>
    <row r="7" spans="1:34" ht="50.25">
      <c r="A7" s="548"/>
      <c r="B7" s="548"/>
      <c r="C7" s="554" t="s">
        <v>269</v>
      </c>
      <c r="D7" s="554"/>
      <c r="E7" s="554"/>
      <c r="F7" s="324" t="s">
        <v>270</v>
      </c>
      <c r="G7" s="324" t="s">
        <v>271</v>
      </c>
      <c r="H7" s="534" t="s">
        <v>272</v>
      </c>
      <c r="I7" s="541"/>
      <c r="J7" s="324" t="s">
        <v>273</v>
      </c>
      <c r="K7" s="322" t="s">
        <v>274</v>
      </c>
      <c r="L7" s="534" t="s">
        <v>269</v>
      </c>
      <c r="M7" s="535"/>
      <c r="N7" s="535"/>
      <c r="O7" s="324" t="s">
        <v>275</v>
      </c>
      <c r="P7" s="322" t="s">
        <v>276</v>
      </c>
      <c r="Q7" s="326" t="s">
        <v>223</v>
      </c>
      <c r="R7" s="326" t="s">
        <v>224</v>
      </c>
      <c r="S7" s="188"/>
      <c r="T7" s="58"/>
      <c r="U7" s="58"/>
      <c r="V7" s="58"/>
      <c r="W7" s="58"/>
      <c r="X7" s="58"/>
      <c r="Y7" s="58"/>
      <c r="Z7" s="58"/>
      <c r="AA7" s="58"/>
      <c r="AB7" s="58"/>
      <c r="AC7" s="58"/>
      <c r="AD7" s="39"/>
      <c r="AE7" s="531"/>
      <c r="AF7" s="531"/>
      <c r="AG7" s="531"/>
      <c r="AH7" s="531"/>
    </row>
    <row r="8" spans="1:34" ht="22.5">
      <c r="A8" s="189" t="s">
        <v>277</v>
      </c>
      <c r="B8" s="189" t="s">
        <v>278</v>
      </c>
      <c r="C8" s="536" t="s">
        <v>279</v>
      </c>
      <c r="D8" s="536"/>
      <c r="E8" s="536"/>
      <c r="F8" s="190"/>
      <c r="G8" s="191"/>
      <c r="H8" s="552" t="s">
        <v>279</v>
      </c>
      <c r="I8" s="553"/>
      <c r="J8" s="190"/>
      <c r="K8" s="191"/>
      <c r="L8" s="536" t="s">
        <v>279</v>
      </c>
      <c r="M8" s="536"/>
      <c r="N8" s="536"/>
      <c r="O8" s="190"/>
      <c r="P8" s="191"/>
      <c r="Q8" s="171" t="s">
        <v>227</v>
      </c>
      <c r="R8" s="171" t="s">
        <v>227</v>
      </c>
      <c r="S8" s="192"/>
      <c r="T8" s="62"/>
      <c r="U8" s="62"/>
      <c r="V8" s="62"/>
      <c r="W8" s="62"/>
      <c r="X8" s="62"/>
      <c r="Y8" s="62"/>
      <c r="Z8" s="62"/>
      <c r="AA8" s="62"/>
      <c r="AB8" s="62"/>
      <c r="AC8" s="62"/>
      <c r="AD8" s="61"/>
      <c r="AE8" s="531"/>
      <c r="AF8" s="531"/>
      <c r="AG8" s="531"/>
      <c r="AH8" s="531"/>
    </row>
    <row r="9" spans="1:34" ht="18.75" hidden="1" customHeight="1">
      <c r="A9" s="543"/>
      <c r="B9" s="544"/>
      <c r="C9" s="219"/>
      <c r="D9" s="219"/>
      <c r="E9" s="219"/>
      <c r="F9" s="219"/>
      <c r="G9" s="219"/>
      <c r="H9" s="219"/>
      <c r="I9" s="219"/>
      <c r="J9" s="219"/>
      <c r="K9" s="219"/>
      <c r="L9" s="220"/>
      <c r="M9" s="221"/>
      <c r="N9" s="221"/>
      <c r="O9" s="221"/>
      <c r="P9" s="221"/>
      <c r="Q9" s="542"/>
      <c r="R9" s="542"/>
      <c r="S9" s="188"/>
      <c r="T9" s="63"/>
      <c r="U9" s="58"/>
      <c r="V9" s="58"/>
      <c r="W9" s="58"/>
      <c r="X9" s="58"/>
      <c r="Y9" s="38"/>
      <c r="Z9" s="58"/>
      <c r="AA9" s="58"/>
      <c r="AB9" s="39"/>
      <c r="AC9" s="58"/>
      <c r="AD9" s="61"/>
      <c r="AE9" s="25"/>
      <c r="AF9" s="25"/>
      <c r="AG9" s="25"/>
      <c r="AH9" s="25"/>
    </row>
    <row r="10" spans="1:34" ht="15.75">
      <c r="A10" s="264" t="s">
        <v>280</v>
      </c>
      <c r="B10" s="265"/>
      <c r="C10" s="265"/>
      <c r="D10" s="265"/>
      <c r="E10" s="265"/>
      <c r="F10" s="265"/>
      <c r="G10" s="265"/>
      <c r="H10" s="265"/>
      <c r="I10" s="265"/>
      <c r="J10" s="265"/>
      <c r="K10" s="265"/>
      <c r="L10" s="266"/>
      <c r="M10" s="267"/>
      <c r="N10" s="192"/>
      <c r="O10" s="192"/>
      <c r="P10" s="192"/>
      <c r="Q10" s="64"/>
      <c r="R10" s="99"/>
      <c r="S10" s="192"/>
      <c r="T10" s="65"/>
      <c r="V10" s="58"/>
      <c r="W10" s="62"/>
      <c r="X10" s="62"/>
      <c r="Y10" s="64"/>
      <c r="Z10" s="66"/>
      <c r="AA10" s="66"/>
      <c r="AB10" s="4"/>
      <c r="AC10" s="66"/>
      <c r="AD10" s="61"/>
    </row>
    <row r="11" spans="1:34" ht="18.75" customHeight="1">
      <c r="A11" s="526" t="s">
        <v>281</v>
      </c>
      <c r="B11" s="526"/>
      <c r="C11" s="526"/>
      <c r="D11" s="526"/>
      <c r="E11" s="526"/>
      <c r="F11" s="526"/>
      <c r="G11" s="526"/>
      <c r="H11" s="526"/>
      <c r="I11" s="526"/>
      <c r="J11" s="526"/>
      <c r="K11" s="526"/>
      <c r="L11" s="526"/>
      <c r="M11" s="526"/>
      <c r="N11" s="59"/>
      <c r="O11" s="59"/>
      <c r="P11" s="59"/>
      <c r="Q11" s="59"/>
      <c r="R11" s="59"/>
      <c r="S11" s="59"/>
      <c r="T11" s="60"/>
      <c r="U11" s="60"/>
      <c r="V11" s="60"/>
      <c r="W11" s="58"/>
      <c r="X11" s="58"/>
      <c r="Y11" s="38"/>
      <c r="Z11" s="58"/>
      <c r="AA11" s="58"/>
      <c r="AB11" s="39"/>
      <c r="AC11" s="58"/>
      <c r="AD11" s="61"/>
    </row>
    <row r="12" spans="1:34" ht="15.75" customHeight="1">
      <c r="A12" s="520" t="s">
        <v>282</v>
      </c>
      <c r="B12" s="521"/>
      <c r="C12" s="521"/>
      <c r="D12" s="521"/>
      <c r="E12" s="521"/>
      <c r="F12" s="521"/>
      <c r="G12" s="521"/>
      <c r="H12" s="521"/>
      <c r="I12" s="521"/>
      <c r="J12" s="521"/>
      <c r="K12" s="521"/>
      <c r="L12" s="521"/>
      <c r="M12" s="521"/>
      <c r="N12" s="521"/>
      <c r="O12" s="521"/>
      <c r="P12" s="521"/>
      <c r="Q12" s="192"/>
      <c r="R12" s="192"/>
      <c r="S12" s="192"/>
      <c r="T12" s="62"/>
      <c r="U12" s="62"/>
      <c r="V12" s="60"/>
      <c r="W12" s="62"/>
      <c r="X12" s="62"/>
      <c r="Y12" s="64"/>
      <c r="Z12" s="60"/>
      <c r="AA12" s="60"/>
      <c r="AB12" s="4"/>
      <c r="AC12" s="66"/>
      <c r="AD12" s="61"/>
    </row>
    <row r="13" spans="1:34" ht="24.95" customHeight="1">
      <c r="A13" s="133"/>
      <c r="B13" s="133"/>
      <c r="C13" s="133"/>
      <c r="D13" s="133"/>
      <c r="E13" s="133"/>
      <c r="F13" s="133"/>
      <c r="G13" s="133"/>
      <c r="H13" s="133"/>
      <c r="I13" s="133"/>
      <c r="J13" s="133"/>
      <c r="K13" s="133"/>
      <c r="L13" s="59"/>
      <c r="M13" s="188"/>
      <c r="N13" s="59"/>
      <c r="O13" s="59"/>
      <c r="P13" s="59"/>
      <c r="Q13" s="59"/>
      <c r="R13" s="59"/>
      <c r="S13" s="59"/>
      <c r="T13" s="60"/>
      <c r="U13" s="60"/>
      <c r="V13" s="60"/>
      <c r="W13" s="58"/>
      <c r="X13" s="58"/>
      <c r="Y13" s="58"/>
      <c r="Z13" s="58"/>
      <c r="AA13" s="58"/>
      <c r="AB13" s="58"/>
      <c r="AC13" s="58"/>
      <c r="AD13" s="61"/>
    </row>
    <row r="14" spans="1:34">
      <c r="A14" s="133"/>
      <c r="B14" s="133"/>
      <c r="C14" s="522" t="s">
        <v>283</v>
      </c>
      <c r="D14" s="522"/>
      <c r="E14" s="522"/>
      <c r="F14" s="133"/>
      <c r="G14" s="133"/>
      <c r="H14" s="528" t="s">
        <v>279</v>
      </c>
      <c r="I14" s="528"/>
      <c r="J14" s="193"/>
      <c r="K14" s="193"/>
      <c r="L14" s="527" t="s">
        <v>283</v>
      </c>
      <c r="M14" s="527"/>
      <c r="N14" s="527"/>
      <c r="O14" s="133"/>
      <c r="P14" s="133"/>
      <c r="Q14" s="133"/>
      <c r="R14" s="133"/>
      <c r="S14" s="133"/>
    </row>
    <row r="15" spans="1:34">
      <c r="A15" s="133"/>
      <c r="B15" s="133"/>
      <c r="C15" s="523" t="s">
        <v>284</v>
      </c>
      <c r="D15" s="524"/>
      <c r="E15" s="525"/>
      <c r="F15" s="133"/>
      <c r="G15" s="133"/>
      <c r="H15" s="529" t="s">
        <v>285</v>
      </c>
      <c r="I15" s="529"/>
      <c r="J15" s="194"/>
      <c r="K15" s="194"/>
      <c r="L15" s="529" t="s">
        <v>284</v>
      </c>
      <c r="M15" s="529"/>
      <c r="N15" s="529"/>
      <c r="O15" s="133"/>
      <c r="P15" s="133"/>
      <c r="Q15" s="133"/>
      <c r="R15" s="133"/>
      <c r="S15" s="133"/>
    </row>
    <row r="16" spans="1:34">
      <c r="A16" s="133"/>
      <c r="B16" s="133"/>
      <c r="C16" s="523" t="s">
        <v>286</v>
      </c>
      <c r="D16" s="524"/>
      <c r="E16" s="525"/>
      <c r="F16" s="133"/>
      <c r="G16" s="133"/>
      <c r="H16" s="523" t="s">
        <v>287</v>
      </c>
      <c r="I16" s="525"/>
      <c r="J16" s="194"/>
      <c r="K16" s="194"/>
      <c r="L16" s="529" t="s">
        <v>288</v>
      </c>
      <c r="M16" s="529"/>
      <c r="N16" s="529"/>
      <c r="O16" s="133"/>
      <c r="P16" s="133"/>
      <c r="Q16" s="133"/>
      <c r="R16" s="133"/>
      <c r="S16" s="133"/>
    </row>
    <row r="17" spans="1:19">
      <c r="A17" s="133"/>
      <c r="B17" s="133"/>
      <c r="C17" s="523" t="s">
        <v>289</v>
      </c>
      <c r="D17" s="524"/>
      <c r="E17" s="525"/>
      <c r="F17" s="133"/>
      <c r="G17" s="133"/>
      <c r="H17" s="133"/>
      <c r="I17" s="133"/>
      <c r="J17" s="133"/>
      <c r="K17" s="133"/>
      <c r="L17" s="529" t="s">
        <v>290</v>
      </c>
      <c r="M17" s="529"/>
      <c r="N17" s="529"/>
      <c r="O17" s="133"/>
      <c r="P17" s="133"/>
      <c r="Q17" s="133"/>
      <c r="R17" s="133"/>
      <c r="S17" s="133"/>
    </row>
    <row r="18" spans="1:19">
      <c r="A18" s="133"/>
      <c r="B18" s="133"/>
      <c r="C18" s="523" t="s">
        <v>291</v>
      </c>
      <c r="D18" s="524"/>
      <c r="E18" s="525"/>
      <c r="F18" s="133"/>
      <c r="G18" s="133"/>
      <c r="H18" s="133"/>
      <c r="I18" s="133"/>
      <c r="J18" s="133"/>
      <c r="K18" s="133"/>
      <c r="L18" s="530" t="s">
        <v>292</v>
      </c>
      <c r="M18" s="530"/>
      <c r="N18" s="530"/>
      <c r="O18" s="133"/>
      <c r="P18" s="133"/>
      <c r="Q18" s="133"/>
      <c r="R18" s="133"/>
      <c r="S18" s="133"/>
    </row>
    <row r="19" spans="1:19">
      <c r="A19" s="133"/>
      <c r="B19" s="133"/>
      <c r="C19" s="133"/>
      <c r="D19" s="133"/>
      <c r="E19" s="133"/>
      <c r="F19" s="133"/>
      <c r="G19" s="133"/>
      <c r="H19" s="133"/>
      <c r="I19" s="133"/>
      <c r="J19" s="133"/>
      <c r="K19" s="133"/>
      <c r="L19" s="133"/>
      <c r="M19" s="133"/>
      <c r="N19" s="133"/>
      <c r="O19" s="133"/>
      <c r="P19" s="133"/>
      <c r="Q19" s="133"/>
      <c r="R19" s="133"/>
      <c r="S19" s="133"/>
    </row>
    <row r="20" spans="1:19">
      <c r="A20" s="133"/>
      <c r="B20" s="133"/>
      <c r="C20" s="133"/>
      <c r="D20" s="133"/>
      <c r="E20" s="133"/>
      <c r="F20" s="133"/>
      <c r="G20" s="133"/>
      <c r="H20" s="133"/>
      <c r="I20" s="133"/>
      <c r="J20" s="133"/>
      <c r="K20" s="133"/>
      <c r="L20" s="133"/>
      <c r="M20" s="133"/>
      <c r="N20" s="133"/>
      <c r="O20" s="133"/>
      <c r="P20" s="133"/>
      <c r="Q20" s="133"/>
      <c r="R20" s="133"/>
      <c r="S20" s="133"/>
    </row>
    <row r="21" spans="1:19">
      <c r="D21" s="132" t="s">
        <v>293</v>
      </c>
      <c r="E21"/>
      <c r="F21"/>
      <c r="G21"/>
    </row>
    <row r="22" spans="1:19">
      <c r="D22"/>
      <c r="E22"/>
      <c r="F22"/>
      <c r="G22"/>
    </row>
    <row r="23" spans="1:19">
      <c r="D23"/>
      <c r="E23"/>
      <c r="F23"/>
      <c r="G23"/>
    </row>
    <row r="24" spans="1:19">
      <c r="D24"/>
      <c r="E24"/>
      <c r="F24"/>
      <c r="G24"/>
    </row>
    <row r="25" spans="1:19">
      <c r="D25"/>
      <c r="E25"/>
      <c r="F25"/>
      <c r="G25"/>
    </row>
    <row r="26" spans="1:19">
      <c r="D26"/>
      <c r="E26"/>
      <c r="F26"/>
      <c r="G26"/>
    </row>
    <row r="27" spans="1:19">
      <c r="D27"/>
      <c r="E27"/>
      <c r="F27"/>
      <c r="G27"/>
    </row>
    <row r="28" spans="1:19">
      <c r="D28"/>
      <c r="E28"/>
      <c r="F28"/>
      <c r="G28"/>
    </row>
    <row r="29" spans="1:19">
      <c r="D29"/>
      <c r="E29"/>
      <c r="F29"/>
      <c r="G29"/>
    </row>
    <row r="30" spans="1:19">
      <c r="D30"/>
      <c r="E30"/>
      <c r="F30"/>
      <c r="G30"/>
    </row>
    <row r="31" spans="1:19">
      <c r="D31"/>
      <c r="E31"/>
      <c r="F31"/>
      <c r="G31"/>
    </row>
    <row r="32" spans="1:19">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sheetData>
  <mergeCells count="36">
    <mergeCell ref="A3:R3"/>
    <mergeCell ref="H6:K6"/>
    <mergeCell ref="Q9:R9"/>
    <mergeCell ref="A9:B9"/>
    <mergeCell ref="A4:R4"/>
    <mergeCell ref="A6:A7"/>
    <mergeCell ref="B6:B7"/>
    <mergeCell ref="C8:E8"/>
    <mergeCell ref="C5:E5"/>
    <mergeCell ref="H5:I5"/>
    <mergeCell ref="L5:N5"/>
    <mergeCell ref="H7:I7"/>
    <mergeCell ref="H8:I8"/>
    <mergeCell ref="C6:G6"/>
    <mergeCell ref="C7:E7"/>
    <mergeCell ref="AE6:AH8"/>
    <mergeCell ref="Q5:R5"/>
    <mergeCell ref="Q6:R6"/>
    <mergeCell ref="L7:N7"/>
    <mergeCell ref="L8:N8"/>
    <mergeCell ref="L6:P6"/>
    <mergeCell ref="C18:E18"/>
    <mergeCell ref="H16:I16"/>
    <mergeCell ref="L14:N14"/>
    <mergeCell ref="C15:E15"/>
    <mergeCell ref="H14:I14"/>
    <mergeCell ref="H15:I15"/>
    <mergeCell ref="L15:N15"/>
    <mergeCell ref="L18:N18"/>
    <mergeCell ref="L16:N16"/>
    <mergeCell ref="L17:N17"/>
    <mergeCell ref="A12:P12"/>
    <mergeCell ref="C14:E14"/>
    <mergeCell ref="C16:E16"/>
    <mergeCell ref="C17:E17"/>
    <mergeCell ref="A11:M11"/>
  </mergeCells>
  <pageMargins left="0.25" right="0.25" top="0.75" bottom="0.75" header="0.3" footer="0.3"/>
  <pageSetup scale="32" fitToHeight="0" orientation="landscape"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59"/>
  <sheetViews>
    <sheetView topLeftCell="A34" zoomScaleNormal="100" workbookViewId="0">
      <selection activeCell="A38" sqref="A38:AA38"/>
    </sheetView>
  </sheetViews>
  <sheetFormatPr defaultColWidth="9.140625" defaultRowHeight="15.75"/>
  <cols>
    <col min="1" max="1" width="36.42578125" style="15" customWidth="1"/>
    <col min="2" max="2" width="1.5703125" style="15" customWidth="1"/>
    <col min="3" max="3" width="6.5703125" style="15" customWidth="1"/>
    <col min="4" max="4" width="7.5703125" style="15" customWidth="1"/>
    <col min="5" max="6" width="1.5703125" style="15" customWidth="1"/>
    <col min="7" max="7" width="5.7109375" style="15" customWidth="1"/>
    <col min="8" max="8" width="7.5703125" style="15" customWidth="1"/>
    <col min="9" max="9" width="11.140625" style="15" customWidth="1"/>
    <col min="10" max="10" width="1.5703125" style="15" customWidth="1"/>
    <col min="11" max="11" width="7.42578125" style="15" customWidth="1"/>
    <col min="12" max="12" width="7.85546875" style="15" customWidth="1"/>
    <col min="13" max="13" width="0.85546875" style="15" customWidth="1"/>
    <col min="14" max="14" width="1.5703125" style="15" customWidth="1"/>
    <col min="15" max="15" width="7.42578125" style="15" customWidth="1"/>
    <col min="16" max="16" width="7.5703125" style="15" customWidth="1"/>
    <col min="17" max="18" width="1.5703125" style="15" customWidth="1"/>
    <col min="19" max="19" width="7.42578125" style="15" customWidth="1"/>
    <col min="20" max="20" width="7.5703125" style="15" customWidth="1"/>
    <col min="21" max="21" width="1.85546875" style="15" customWidth="1"/>
    <col min="22" max="22" width="17.5703125" style="15" customWidth="1"/>
    <col min="23" max="24" width="10.85546875" style="15" customWidth="1"/>
    <col min="25" max="16384" width="9.140625" style="15"/>
  </cols>
  <sheetData>
    <row r="1" spans="1:24" customFormat="1" ht="15">
      <c r="A1" s="28"/>
      <c r="B1" t="s">
        <v>92</v>
      </c>
      <c r="D1" s="29"/>
      <c r="E1" t="s">
        <v>93</v>
      </c>
      <c r="G1" s="398"/>
      <c r="H1" s="398"/>
      <c r="I1" t="s">
        <v>94</v>
      </c>
      <c r="O1" s="30"/>
      <c r="P1" t="s">
        <v>95</v>
      </c>
    </row>
    <row r="4" spans="1:24">
      <c r="A4" s="586" t="s">
        <v>294</v>
      </c>
      <c r="B4" s="587"/>
      <c r="C4" s="587"/>
      <c r="D4" s="587"/>
      <c r="E4" s="587"/>
      <c r="F4" s="587"/>
      <c r="G4" s="587"/>
      <c r="H4" s="587"/>
      <c r="I4" s="587"/>
      <c r="J4" s="587"/>
      <c r="K4" s="587"/>
      <c r="L4" s="587"/>
      <c r="M4" s="587"/>
      <c r="N4" s="587"/>
      <c r="O4" s="587"/>
      <c r="P4" s="587"/>
      <c r="Q4" s="587"/>
      <c r="R4" s="587"/>
      <c r="S4" s="587"/>
      <c r="T4" s="587"/>
      <c r="U4" s="587"/>
      <c r="V4" s="587"/>
      <c r="W4" s="587"/>
      <c r="X4" s="588"/>
    </row>
    <row r="5" spans="1:24" ht="69.599999999999994" customHeight="1">
      <c r="A5" s="589" t="s">
        <v>295</v>
      </c>
      <c r="B5" s="590"/>
      <c r="C5" s="590"/>
      <c r="D5" s="590"/>
      <c r="E5" s="590"/>
      <c r="F5" s="590"/>
      <c r="G5" s="590"/>
      <c r="H5" s="590"/>
      <c r="I5" s="590"/>
      <c r="J5" s="590"/>
      <c r="K5" s="590"/>
      <c r="L5" s="590"/>
      <c r="M5" s="590"/>
      <c r="N5" s="590"/>
      <c r="O5" s="590"/>
      <c r="P5" s="590"/>
      <c r="Q5" s="590"/>
      <c r="R5" s="590"/>
      <c r="S5" s="590"/>
      <c r="T5" s="590"/>
      <c r="U5" s="590"/>
      <c r="V5" s="590"/>
      <c r="W5" s="590"/>
      <c r="X5" s="591"/>
    </row>
    <row r="6" spans="1:24">
      <c r="A6" s="592" t="s">
        <v>296</v>
      </c>
      <c r="B6" s="593"/>
      <c r="C6" s="593"/>
      <c r="D6" s="593"/>
      <c r="E6" s="593"/>
      <c r="F6" s="593"/>
      <c r="G6" s="593"/>
      <c r="H6" s="593"/>
      <c r="I6" s="593"/>
      <c r="J6" s="593"/>
      <c r="K6" s="593"/>
      <c r="L6" s="593"/>
      <c r="M6" s="593"/>
      <c r="N6" s="593"/>
      <c r="O6" s="593"/>
      <c r="P6" s="593"/>
      <c r="Q6" s="593"/>
      <c r="R6" s="593"/>
      <c r="S6" s="593"/>
      <c r="T6" s="593"/>
      <c r="U6" s="593"/>
      <c r="V6" s="593"/>
      <c r="W6" s="593"/>
      <c r="X6" s="594"/>
    </row>
    <row r="7" spans="1:24">
      <c r="A7" s="108" t="s">
        <v>123</v>
      </c>
      <c r="B7" s="597" t="s">
        <v>127</v>
      </c>
      <c r="C7" s="598"/>
      <c r="D7" s="598"/>
      <c r="E7" s="598"/>
      <c r="F7" s="598"/>
      <c r="G7" s="598"/>
      <c r="H7" s="598"/>
      <c r="I7" s="599"/>
      <c r="J7" s="597" t="s">
        <v>129</v>
      </c>
      <c r="K7" s="598"/>
      <c r="L7" s="598"/>
      <c r="M7" s="598"/>
      <c r="N7" s="598"/>
      <c r="O7" s="598"/>
      <c r="P7" s="598"/>
      <c r="Q7" s="599"/>
      <c r="R7" s="597" t="s">
        <v>125</v>
      </c>
      <c r="S7" s="598"/>
      <c r="T7" s="598"/>
      <c r="U7" s="598"/>
      <c r="V7" s="599"/>
      <c r="W7" s="595" t="s">
        <v>137</v>
      </c>
      <c r="X7" s="596"/>
    </row>
    <row r="8" spans="1:24" ht="15.75" customHeight="1">
      <c r="A8" s="602" t="s">
        <v>297</v>
      </c>
      <c r="B8" s="608" t="s">
        <v>298</v>
      </c>
      <c r="C8" s="609"/>
      <c r="D8" s="609"/>
      <c r="E8" s="609"/>
      <c r="F8" s="609"/>
      <c r="G8" s="609"/>
      <c r="H8" s="609"/>
      <c r="I8" s="610"/>
      <c r="J8" s="605" t="s">
        <v>299</v>
      </c>
      <c r="K8" s="606"/>
      <c r="L8" s="606"/>
      <c r="M8" s="606"/>
      <c r="N8" s="606"/>
      <c r="O8" s="606"/>
      <c r="P8" s="606"/>
      <c r="Q8" s="607"/>
      <c r="R8" s="605" t="s">
        <v>300</v>
      </c>
      <c r="S8" s="606"/>
      <c r="T8" s="606"/>
      <c r="U8" s="606"/>
      <c r="V8" s="607"/>
      <c r="W8" s="578" t="s">
        <v>222</v>
      </c>
      <c r="X8" s="579"/>
    </row>
    <row r="9" spans="1:24">
      <c r="A9" s="603"/>
      <c r="B9" s="608"/>
      <c r="C9" s="609"/>
      <c r="D9" s="609"/>
      <c r="E9" s="609"/>
      <c r="F9" s="609"/>
      <c r="G9" s="609"/>
      <c r="H9" s="609"/>
      <c r="I9" s="610"/>
      <c r="J9" s="608"/>
      <c r="K9" s="609"/>
      <c r="L9" s="609"/>
      <c r="M9" s="609"/>
      <c r="N9" s="609"/>
      <c r="O9" s="609"/>
      <c r="P9" s="609"/>
      <c r="Q9" s="610"/>
      <c r="R9" s="608"/>
      <c r="S9" s="609"/>
      <c r="T9" s="609"/>
      <c r="U9" s="609"/>
      <c r="V9" s="610"/>
      <c r="W9" s="580"/>
      <c r="X9" s="581"/>
    </row>
    <row r="10" spans="1:24">
      <c r="A10" s="604"/>
      <c r="B10" s="614" t="s">
        <v>301</v>
      </c>
      <c r="C10" s="615"/>
      <c r="D10" s="615"/>
      <c r="E10" s="615"/>
      <c r="F10" s="615"/>
      <c r="G10" s="615"/>
      <c r="H10" s="615"/>
      <c r="I10" s="616"/>
      <c r="J10" s="611" t="s">
        <v>302</v>
      </c>
      <c r="K10" s="612"/>
      <c r="L10" s="612"/>
      <c r="M10" s="612"/>
      <c r="N10" s="612"/>
      <c r="O10" s="612"/>
      <c r="P10" s="612"/>
      <c r="Q10" s="613"/>
      <c r="R10" s="611" t="s">
        <v>303</v>
      </c>
      <c r="S10" s="612"/>
      <c r="T10" s="612"/>
      <c r="U10" s="612"/>
      <c r="V10" s="613"/>
      <c r="W10" s="326" t="s">
        <v>223</v>
      </c>
      <c r="X10" s="326" t="s">
        <v>224</v>
      </c>
    </row>
    <row r="11" spans="1:24">
      <c r="A11" s="271"/>
      <c r="B11" s="582" t="s">
        <v>304</v>
      </c>
      <c r="C11" s="583"/>
      <c r="D11" s="583"/>
      <c r="E11" s="583"/>
      <c r="F11" s="583"/>
      <c r="G11" s="583"/>
      <c r="H11" s="583"/>
      <c r="I11" s="584"/>
      <c r="J11" s="582" t="s">
        <v>304</v>
      </c>
      <c r="K11" s="583"/>
      <c r="L11" s="583"/>
      <c r="M11" s="583"/>
      <c r="N11" s="583"/>
      <c r="O11" s="583"/>
      <c r="P11" s="583"/>
      <c r="Q11" s="584"/>
      <c r="R11" s="582" t="s">
        <v>304</v>
      </c>
      <c r="S11" s="583"/>
      <c r="T11" s="583"/>
      <c r="U11" s="583"/>
      <c r="V11" s="584"/>
      <c r="W11" s="171" t="s">
        <v>227</v>
      </c>
      <c r="X11" s="171" t="s">
        <v>227</v>
      </c>
    </row>
    <row r="12" spans="1:24">
      <c r="F12" s="585"/>
      <c r="G12" s="585"/>
      <c r="H12" s="585"/>
      <c r="I12" s="585"/>
      <c r="V12" s="269"/>
      <c r="W12" s="269"/>
      <c r="X12" s="270"/>
    </row>
    <row r="13" spans="1:24">
      <c r="F13" s="268"/>
      <c r="G13" s="268"/>
      <c r="H13" s="268"/>
      <c r="I13" s="268"/>
      <c r="V13" s="269"/>
      <c r="W13" s="269"/>
      <c r="X13" s="270"/>
    </row>
    <row r="14" spans="1:24" ht="41.25" customHeight="1">
      <c r="B14" s="488" t="s">
        <v>305</v>
      </c>
      <c r="C14" s="488"/>
      <c r="D14" s="488"/>
      <c r="E14" s="488"/>
      <c r="F14" s="488" t="s">
        <v>306</v>
      </c>
      <c r="G14" s="488"/>
      <c r="H14" s="488"/>
      <c r="I14" s="488"/>
      <c r="R14" s="488" t="s">
        <v>307</v>
      </c>
      <c r="S14" s="488"/>
      <c r="T14" s="488"/>
      <c r="U14" s="488"/>
      <c r="V14" s="127"/>
    </row>
    <row r="15" spans="1:24">
      <c r="A15" s="87"/>
      <c r="B15" s="617" t="s">
        <v>308</v>
      </c>
      <c r="C15" s="617"/>
      <c r="D15" s="617"/>
      <c r="E15" s="617"/>
      <c r="F15" s="617" t="s">
        <v>243</v>
      </c>
      <c r="G15" s="617"/>
      <c r="H15" s="617"/>
      <c r="I15" s="617"/>
      <c r="R15" s="617" t="s">
        <v>243</v>
      </c>
      <c r="S15" s="617"/>
      <c r="T15" s="617"/>
      <c r="U15" s="617"/>
      <c r="V15" s="126"/>
    </row>
    <row r="16" spans="1:24">
      <c r="A16" s="87"/>
      <c r="B16" s="617" t="s">
        <v>309</v>
      </c>
      <c r="C16" s="617"/>
      <c r="D16" s="617"/>
      <c r="E16" s="617"/>
      <c r="F16" s="617" t="s">
        <v>310</v>
      </c>
      <c r="G16" s="617"/>
      <c r="H16" s="617"/>
      <c r="I16" s="617"/>
      <c r="R16" s="618" t="s">
        <v>311</v>
      </c>
      <c r="S16" s="618"/>
      <c r="T16" s="618"/>
      <c r="U16" s="618"/>
      <c r="V16" s="126"/>
    </row>
    <row r="17" spans="1:22" ht="30.6" customHeight="1">
      <c r="A17" s="87"/>
      <c r="B17" s="561" t="s">
        <v>312</v>
      </c>
      <c r="C17" s="561"/>
      <c r="D17" s="561"/>
      <c r="E17" s="561"/>
      <c r="F17" s="561" t="s">
        <v>254</v>
      </c>
      <c r="G17" s="561"/>
      <c r="H17" s="561"/>
      <c r="I17" s="561"/>
      <c r="R17" s="617" t="s">
        <v>313</v>
      </c>
      <c r="S17" s="617"/>
      <c r="T17" s="617"/>
      <c r="U17" s="617"/>
      <c r="V17" s="126"/>
    </row>
    <row r="18" spans="1:22" ht="32.1" customHeight="1">
      <c r="A18" s="87"/>
      <c r="B18" s="574" t="s">
        <v>254</v>
      </c>
      <c r="C18" s="600"/>
      <c r="D18" s="600"/>
      <c r="E18" s="601"/>
      <c r="F18" s="561" t="s">
        <v>314</v>
      </c>
      <c r="G18" s="561"/>
      <c r="H18" s="561"/>
      <c r="I18" s="561"/>
      <c r="R18" s="561" t="s">
        <v>315</v>
      </c>
      <c r="S18" s="561"/>
      <c r="T18" s="561"/>
      <c r="U18" s="561"/>
      <c r="V18" s="126"/>
    </row>
    <row r="19" spans="1:22" ht="31.5" customHeight="1">
      <c r="A19" s="87"/>
      <c r="B19" s="561" t="s">
        <v>314</v>
      </c>
      <c r="C19" s="561"/>
      <c r="D19" s="561"/>
      <c r="E19" s="574"/>
      <c r="F19" s="561" t="s">
        <v>316</v>
      </c>
      <c r="G19" s="561"/>
      <c r="H19" s="561"/>
      <c r="I19" s="561"/>
      <c r="N19" s="573"/>
      <c r="O19" s="573"/>
      <c r="P19" s="573"/>
      <c r="Q19" s="573"/>
      <c r="R19" s="561" t="s">
        <v>254</v>
      </c>
      <c r="S19" s="561"/>
      <c r="T19" s="561"/>
      <c r="U19" s="561"/>
      <c r="V19" s="126"/>
    </row>
    <row r="20" spans="1:22" ht="30.95" customHeight="1">
      <c r="A20" s="87"/>
      <c r="B20" s="561" t="s">
        <v>316</v>
      </c>
      <c r="C20" s="561"/>
      <c r="D20" s="561"/>
      <c r="E20" s="561"/>
      <c r="F20" s="575" t="s">
        <v>317</v>
      </c>
      <c r="G20" s="575"/>
      <c r="H20" s="575"/>
      <c r="I20" s="575"/>
      <c r="N20" s="573"/>
      <c r="O20" s="573"/>
      <c r="P20" s="573"/>
      <c r="Q20" s="573"/>
      <c r="R20" s="561" t="s">
        <v>314</v>
      </c>
      <c r="S20" s="561"/>
      <c r="T20" s="561"/>
      <c r="U20" s="561"/>
      <c r="V20" s="126"/>
    </row>
    <row r="21" spans="1:22" ht="30.95" customHeight="1">
      <c r="A21" s="87"/>
      <c r="B21" s="577"/>
      <c r="C21" s="577"/>
      <c r="D21" s="577"/>
      <c r="E21" s="577"/>
      <c r="F21" s="576"/>
      <c r="G21" s="576"/>
      <c r="H21" s="576"/>
      <c r="I21" s="576"/>
      <c r="N21" s="573"/>
      <c r="O21" s="573"/>
      <c r="P21" s="573"/>
      <c r="Q21" s="573"/>
      <c r="R21" s="561" t="s">
        <v>318</v>
      </c>
      <c r="S21" s="561"/>
      <c r="T21" s="561"/>
      <c r="U21" s="561"/>
      <c r="V21" s="126"/>
    </row>
    <row r="22" spans="1:22" ht="31.5" customHeight="1">
      <c r="A22" s="87"/>
      <c r="B22" s="569"/>
      <c r="C22" s="569"/>
      <c r="D22" s="569"/>
      <c r="E22" s="569"/>
      <c r="F22" s="87"/>
      <c r="G22" s="87"/>
      <c r="H22" s="87"/>
      <c r="I22" s="87"/>
      <c r="R22" s="570" t="s">
        <v>319</v>
      </c>
      <c r="S22" s="571"/>
      <c r="T22" s="571"/>
      <c r="U22" s="572"/>
      <c r="V22" s="126"/>
    </row>
    <row r="23" spans="1:22" ht="32.450000000000003" customHeight="1">
      <c r="A23" s="217"/>
      <c r="B23" s="87"/>
      <c r="C23" s="87"/>
      <c r="D23" s="87"/>
      <c r="E23" s="87"/>
      <c r="F23" s="217"/>
      <c r="G23" s="217"/>
      <c r="H23" s="217"/>
      <c r="I23" s="217"/>
      <c r="R23" s="561" t="s">
        <v>320</v>
      </c>
      <c r="S23" s="561"/>
      <c r="T23" s="561"/>
      <c r="U23" s="561"/>
      <c r="V23" s="126"/>
    </row>
    <row r="24" spans="1:22" ht="27.95" customHeight="1">
      <c r="A24" s="87"/>
      <c r="B24" s="217"/>
      <c r="C24" s="217"/>
      <c r="D24" s="217"/>
      <c r="E24" s="217"/>
      <c r="F24" s="87"/>
      <c r="G24" s="87"/>
      <c r="H24" s="87"/>
      <c r="I24" s="87"/>
      <c r="R24" s="561" t="s">
        <v>321</v>
      </c>
      <c r="S24" s="561"/>
      <c r="T24" s="561"/>
      <c r="U24" s="561"/>
      <c r="V24" s="126"/>
    </row>
    <row r="25" spans="1:22" ht="39" customHeight="1">
      <c r="A25" s="87"/>
      <c r="B25" s="87"/>
      <c r="C25" s="87"/>
      <c r="D25" s="87"/>
      <c r="E25" s="87"/>
      <c r="F25" s="87"/>
      <c r="G25" s="87"/>
      <c r="H25" s="87"/>
      <c r="I25" s="87"/>
      <c r="R25" s="561" t="s">
        <v>322</v>
      </c>
      <c r="S25" s="561"/>
      <c r="T25" s="561"/>
      <c r="U25" s="561"/>
      <c r="V25" s="126"/>
    </row>
    <row r="26" spans="1:22" ht="29.1" customHeight="1">
      <c r="A26" s="87"/>
      <c r="B26" s="87"/>
      <c r="C26" s="87"/>
      <c r="D26" s="87"/>
      <c r="E26" s="87"/>
      <c r="F26" s="87"/>
      <c r="G26" s="87"/>
      <c r="H26" s="87"/>
      <c r="I26" s="87"/>
      <c r="P26" s="15">
        <v>1</v>
      </c>
      <c r="R26" s="561" t="s">
        <v>323</v>
      </c>
      <c r="S26" s="561"/>
      <c r="T26" s="561"/>
      <c r="U26" s="561"/>
      <c r="V26" s="126"/>
    </row>
    <row r="27" spans="1:22" ht="30.6" customHeight="1">
      <c r="A27" s="87"/>
      <c r="B27" s="87"/>
      <c r="C27" s="87"/>
      <c r="D27" s="87"/>
      <c r="E27" s="87"/>
      <c r="F27" s="87"/>
      <c r="G27" s="87"/>
      <c r="H27" s="87"/>
      <c r="I27" s="87"/>
      <c r="R27" s="561" t="s">
        <v>324</v>
      </c>
      <c r="S27" s="561"/>
      <c r="T27" s="561"/>
      <c r="U27" s="561"/>
      <c r="V27" s="126"/>
    </row>
    <row r="28" spans="1:22">
      <c r="A28" s="87"/>
      <c r="B28" s="87"/>
      <c r="C28" s="87"/>
      <c r="D28" s="87"/>
      <c r="E28" s="87"/>
      <c r="F28" s="87"/>
      <c r="G28" s="87"/>
      <c r="H28" s="87"/>
      <c r="I28" s="87"/>
      <c r="R28" s="561" t="s">
        <v>325</v>
      </c>
      <c r="S28" s="561"/>
      <c r="T28" s="561"/>
      <c r="U28" s="561"/>
      <c r="V28" s="126"/>
    </row>
    <row r="29" spans="1:22" ht="30.95" customHeight="1">
      <c r="A29" s="87"/>
      <c r="B29" s="87"/>
      <c r="C29" s="87"/>
      <c r="D29" s="87"/>
      <c r="E29" s="87"/>
      <c r="F29" s="87"/>
      <c r="G29" s="87"/>
      <c r="H29" s="87"/>
      <c r="I29" s="87"/>
      <c r="R29" s="561" t="s">
        <v>326</v>
      </c>
      <c r="S29" s="561"/>
      <c r="T29" s="561"/>
      <c r="U29" s="561"/>
      <c r="V29" s="126"/>
    </row>
    <row r="30" spans="1:22" ht="31.5" customHeight="1">
      <c r="A30" s="87"/>
      <c r="B30" s="87"/>
      <c r="C30" s="87"/>
      <c r="D30" s="87"/>
      <c r="E30" s="87"/>
      <c r="F30" s="87"/>
      <c r="G30" s="87"/>
      <c r="H30" s="87"/>
      <c r="I30" s="87"/>
      <c r="R30" s="561" t="s">
        <v>327</v>
      </c>
      <c r="S30" s="561"/>
      <c r="T30" s="561"/>
      <c r="U30" s="561"/>
      <c r="V30" s="126"/>
    </row>
    <row r="31" spans="1:22" ht="29.45" customHeight="1">
      <c r="A31" s="87"/>
      <c r="B31" s="87"/>
      <c r="C31" s="87"/>
      <c r="D31" s="87"/>
      <c r="E31" s="87"/>
      <c r="F31" s="87"/>
      <c r="G31" s="87"/>
      <c r="H31" s="87"/>
      <c r="I31" s="87"/>
      <c r="R31" s="561" t="s">
        <v>328</v>
      </c>
      <c r="S31" s="561"/>
      <c r="T31" s="561"/>
      <c r="U31" s="561"/>
      <c r="V31" s="126"/>
    </row>
    <row r="32" spans="1:22">
      <c r="A32" s="87"/>
      <c r="B32" s="87"/>
      <c r="C32" s="87"/>
      <c r="D32" s="87"/>
      <c r="E32" s="87"/>
      <c r="F32" s="87"/>
      <c r="G32" s="87"/>
      <c r="H32" s="87"/>
      <c r="I32" s="87"/>
      <c r="R32" s="561" t="s">
        <v>329</v>
      </c>
      <c r="S32" s="561"/>
      <c r="T32" s="561"/>
      <c r="U32" s="561"/>
      <c r="V32" s="126"/>
    </row>
    <row r="33" spans="1:27" ht="28.5" customHeight="1">
      <c r="B33" s="87"/>
      <c r="C33" s="87"/>
      <c r="D33" s="87"/>
      <c r="E33" s="87"/>
      <c r="R33" s="561" t="s">
        <v>330</v>
      </c>
      <c r="S33" s="561"/>
      <c r="T33" s="561"/>
      <c r="U33" s="561"/>
      <c r="V33" s="126"/>
    </row>
    <row r="34" spans="1:27" ht="29.1" customHeight="1">
      <c r="R34" s="561" t="s">
        <v>316</v>
      </c>
      <c r="S34" s="561"/>
      <c r="T34" s="561"/>
      <c r="U34" s="561"/>
      <c r="V34" s="126"/>
    </row>
    <row r="35" spans="1:27" ht="27.6" customHeight="1">
      <c r="R35" s="565" t="s">
        <v>331</v>
      </c>
      <c r="S35" s="565"/>
      <c r="T35" s="565"/>
      <c r="U35" s="565"/>
      <c r="V35" s="126"/>
    </row>
    <row r="36" spans="1:27">
      <c r="R36" s="565" t="s">
        <v>332</v>
      </c>
      <c r="S36" s="565"/>
      <c r="T36" s="565"/>
      <c r="U36" s="565"/>
      <c r="V36" s="126"/>
    </row>
    <row r="37" spans="1:27">
      <c r="A37" s="273" t="s">
        <v>333</v>
      </c>
      <c r="B37" s="273"/>
      <c r="C37" s="272"/>
      <c r="D37" s="272"/>
      <c r="E37" s="272"/>
      <c r="F37" s="272"/>
      <c r="G37" s="272"/>
      <c r="H37" s="272"/>
      <c r="I37" s="272"/>
      <c r="J37" s="272"/>
      <c r="K37" s="272"/>
      <c r="L37" s="272"/>
      <c r="M37" s="272"/>
      <c r="N37" s="272"/>
      <c r="O37" s="272"/>
      <c r="P37" s="272"/>
    </row>
    <row r="38" spans="1:27" s="12" customFormat="1" ht="15" customHeight="1">
      <c r="A38" s="511" t="s">
        <v>334</v>
      </c>
      <c r="B38" s="511"/>
      <c r="C38" s="511"/>
      <c r="D38" s="511"/>
      <c r="E38" s="511"/>
      <c r="F38" s="511"/>
      <c r="G38" s="511"/>
      <c r="H38" s="511"/>
      <c r="I38" s="511"/>
      <c r="J38" s="511"/>
      <c r="K38" s="511"/>
      <c r="L38" s="511"/>
      <c r="M38" s="511"/>
      <c r="N38" s="511"/>
      <c r="O38" s="511"/>
      <c r="P38" s="511"/>
      <c r="Q38" s="511"/>
      <c r="R38" s="511"/>
      <c r="S38" s="511"/>
      <c r="T38" s="511"/>
      <c r="U38" s="511"/>
      <c r="V38" s="511"/>
      <c r="W38" s="511"/>
      <c r="X38" s="511"/>
      <c r="Y38" s="511"/>
      <c r="Z38" s="511"/>
      <c r="AA38" s="511"/>
    </row>
    <row r="39" spans="1:27" s="12" customFormat="1" ht="35.450000000000003" customHeight="1">
      <c r="A39" s="567" t="s">
        <v>335</v>
      </c>
      <c r="B39" s="567"/>
      <c r="C39" s="567"/>
      <c r="D39" s="567"/>
      <c r="E39" s="567"/>
      <c r="F39" s="567"/>
      <c r="G39" s="567"/>
      <c r="H39" s="567"/>
      <c r="I39" s="567"/>
      <c r="J39" s="567"/>
      <c r="K39" s="567"/>
      <c r="L39" s="567"/>
      <c r="M39" s="567"/>
      <c r="N39" s="567"/>
      <c r="O39" s="567"/>
      <c r="P39" s="567"/>
      <c r="Q39" s="567"/>
      <c r="R39" s="567"/>
      <c r="S39" s="567"/>
      <c r="T39" s="567"/>
      <c r="U39" s="567"/>
      <c r="V39" s="567"/>
      <c r="W39" s="567"/>
      <c r="X39" s="567"/>
      <c r="Y39" s="567"/>
      <c r="Z39" s="567"/>
      <c r="AA39" s="567"/>
    </row>
    <row r="40" spans="1:27" s="12" customFormat="1" ht="16.5" customHeight="1">
      <c r="A40" s="329" t="s">
        <v>123</v>
      </c>
      <c r="B40" s="568" t="s">
        <v>127</v>
      </c>
      <c r="C40" s="568"/>
      <c r="D40" s="568"/>
      <c r="E40" s="568"/>
      <c r="F40" s="568"/>
      <c r="G40" s="568"/>
      <c r="H40" s="568" t="s">
        <v>129</v>
      </c>
      <c r="I40" s="568"/>
      <c r="J40" s="568"/>
      <c r="K40" s="568"/>
      <c r="L40" s="568"/>
      <c r="M40" s="568" t="s">
        <v>125</v>
      </c>
      <c r="N40" s="568"/>
      <c r="O40" s="568"/>
      <c r="P40" s="568"/>
      <c r="Q40" s="568"/>
      <c r="R40" s="568"/>
      <c r="S40" s="568"/>
      <c r="T40" s="568"/>
      <c r="U40" s="568"/>
      <c r="V40" s="568"/>
      <c r="W40" s="568"/>
      <c r="X40" s="568"/>
      <c r="Y40" s="568"/>
      <c r="Z40" s="568"/>
      <c r="AA40" s="568"/>
    </row>
    <row r="41" spans="1:27" s="12" customFormat="1" ht="17.25" customHeight="1">
      <c r="A41" s="557" t="s">
        <v>336</v>
      </c>
      <c r="B41" s="557" t="s">
        <v>337</v>
      </c>
      <c r="C41" s="557"/>
      <c r="D41" s="557"/>
      <c r="E41" s="557"/>
      <c r="F41" s="557"/>
      <c r="G41" s="557"/>
      <c r="H41" s="566" t="s">
        <v>338</v>
      </c>
      <c r="I41" s="566"/>
      <c r="J41" s="566"/>
      <c r="K41" s="566"/>
      <c r="L41" s="566"/>
      <c r="M41" s="557" t="s">
        <v>339</v>
      </c>
      <c r="N41" s="557"/>
      <c r="O41" s="557"/>
      <c r="P41" s="557"/>
      <c r="Q41" s="557"/>
      <c r="R41" s="557"/>
      <c r="S41" s="557"/>
      <c r="T41" s="557"/>
      <c r="U41" s="557"/>
      <c r="V41" s="557"/>
      <c r="W41" s="557"/>
      <c r="X41" s="557"/>
      <c r="Y41" s="557"/>
      <c r="Z41" s="557"/>
      <c r="AA41" s="557"/>
    </row>
    <row r="42" spans="1:27" s="12" customFormat="1" ht="28.5" customHeight="1">
      <c r="A42" s="557"/>
      <c r="B42" s="557"/>
      <c r="C42" s="557"/>
      <c r="D42" s="557"/>
      <c r="E42" s="557"/>
      <c r="F42" s="557"/>
      <c r="G42" s="557"/>
      <c r="H42" s="557" t="s">
        <v>340</v>
      </c>
      <c r="I42" s="557"/>
      <c r="J42" s="557"/>
      <c r="K42" s="557"/>
      <c r="L42" s="557"/>
      <c r="M42" s="557"/>
      <c r="N42" s="557"/>
      <c r="O42" s="557"/>
      <c r="P42" s="557"/>
      <c r="Q42" s="557"/>
      <c r="R42" s="557"/>
      <c r="S42" s="557"/>
      <c r="T42" s="557"/>
      <c r="U42" s="557"/>
      <c r="V42" s="557"/>
      <c r="W42" s="557"/>
      <c r="X42" s="557"/>
      <c r="Y42" s="557"/>
      <c r="Z42" s="557"/>
      <c r="AA42" s="557"/>
    </row>
    <row r="43" spans="1:27" s="55" customFormat="1" ht="43.5" customHeight="1">
      <c r="A43" s="224"/>
      <c r="B43" s="562"/>
      <c r="C43" s="562"/>
      <c r="D43" s="562"/>
      <c r="E43" s="562"/>
      <c r="F43" s="562"/>
      <c r="G43" s="562"/>
      <c r="H43" s="563" t="s">
        <v>341</v>
      </c>
      <c r="I43" s="563"/>
      <c r="J43" s="563"/>
      <c r="K43" s="563"/>
      <c r="L43" s="563"/>
      <c r="M43" s="564" t="s">
        <v>342</v>
      </c>
      <c r="N43" s="564"/>
      <c r="O43" s="564"/>
      <c r="P43" s="564"/>
      <c r="Q43" s="564"/>
      <c r="R43" s="564"/>
      <c r="S43" s="564"/>
      <c r="T43" s="564"/>
      <c r="U43" s="564"/>
      <c r="V43" s="564"/>
      <c r="W43" s="564"/>
      <c r="X43" s="564"/>
      <c r="Y43" s="564"/>
      <c r="Z43" s="564"/>
      <c r="AA43" s="564"/>
    </row>
    <row r="44" spans="1:27" s="55" customFormat="1" ht="45.6" customHeight="1">
      <c r="A44" s="224"/>
      <c r="B44" s="562"/>
      <c r="C44" s="562"/>
      <c r="D44" s="562"/>
      <c r="E44" s="562"/>
      <c r="F44" s="562"/>
      <c r="G44" s="562"/>
      <c r="H44" s="563" t="s">
        <v>341</v>
      </c>
      <c r="I44" s="563"/>
      <c r="J44" s="563"/>
      <c r="K44" s="563"/>
      <c r="L44" s="563"/>
      <c r="M44" s="564"/>
      <c r="N44" s="564"/>
      <c r="O44" s="564"/>
      <c r="P44" s="564"/>
      <c r="Q44" s="564"/>
      <c r="R44" s="564"/>
      <c r="S44" s="564"/>
      <c r="T44" s="564"/>
      <c r="U44" s="564"/>
      <c r="V44" s="564"/>
      <c r="W44" s="564"/>
      <c r="X44" s="564"/>
      <c r="Y44" s="564"/>
      <c r="Z44" s="564"/>
      <c r="AA44" s="564"/>
    </row>
    <row r="45" spans="1:27" s="55" customFormat="1" ht="45" customHeight="1">
      <c r="A45" s="224"/>
      <c r="B45" s="562"/>
      <c r="C45" s="562"/>
      <c r="D45" s="562"/>
      <c r="E45" s="562"/>
      <c r="F45" s="562"/>
      <c r="G45" s="562"/>
      <c r="H45" s="563" t="s">
        <v>341</v>
      </c>
      <c r="I45" s="563"/>
      <c r="J45" s="563"/>
      <c r="K45" s="563"/>
      <c r="L45" s="563"/>
      <c r="M45" s="564"/>
      <c r="N45" s="564"/>
      <c r="O45" s="564"/>
      <c r="P45" s="564"/>
      <c r="Q45" s="564"/>
      <c r="R45" s="564"/>
      <c r="S45" s="564"/>
      <c r="T45" s="564"/>
      <c r="U45" s="564"/>
      <c r="V45" s="564"/>
      <c r="W45" s="564"/>
      <c r="X45" s="564"/>
      <c r="Y45" s="564"/>
      <c r="Z45" s="564"/>
      <c r="AA45" s="564"/>
    </row>
    <row r="46" spans="1:27" s="12" customFormat="1" ht="15">
      <c r="A46" s="342" t="s">
        <v>343</v>
      </c>
      <c r="B46" s="343"/>
      <c r="C46" s="343"/>
      <c r="D46" s="343"/>
      <c r="E46" s="344"/>
      <c r="F46" s="344"/>
      <c r="G46" s="344"/>
      <c r="H46" s="344"/>
      <c r="I46" s="344"/>
      <c r="J46" s="344"/>
      <c r="K46" s="344"/>
      <c r="L46" s="344"/>
      <c r="M46" s="344"/>
      <c r="N46" s="344"/>
      <c r="O46" s="344"/>
      <c r="P46" s="344"/>
      <c r="Q46" s="344"/>
      <c r="R46" s="344"/>
      <c r="S46" s="344"/>
    </row>
    <row r="47" spans="1:27" s="12" customFormat="1" ht="15">
      <c r="A47" s="19" t="s">
        <v>344</v>
      </c>
      <c r="B47" s="13"/>
      <c r="C47" s="13"/>
      <c r="D47" s="13"/>
    </row>
    <row r="48" spans="1:27" s="12" customFormat="1" ht="15">
      <c r="A48" s="19" t="s">
        <v>345</v>
      </c>
      <c r="B48" s="13"/>
      <c r="C48" s="13"/>
      <c r="D48" s="13"/>
    </row>
    <row r="49" spans="1:12" s="12" customFormat="1" ht="12.75">
      <c r="A49" s="19"/>
      <c r="B49" s="13"/>
      <c r="C49" s="13"/>
      <c r="D49" s="13"/>
    </row>
    <row r="50" spans="1:12" s="12" customFormat="1" ht="25.5" customHeight="1">
      <c r="A50" s="13"/>
      <c r="B50" s="488" t="s">
        <v>346</v>
      </c>
      <c r="C50" s="488"/>
      <c r="D50" s="488"/>
      <c r="E50" s="488"/>
      <c r="F50" s="488"/>
      <c r="G50" s="488"/>
      <c r="H50" s="488" t="s">
        <v>347</v>
      </c>
      <c r="I50" s="488"/>
      <c r="J50" s="488"/>
      <c r="K50" s="488"/>
      <c r="L50" s="488"/>
    </row>
    <row r="51" spans="1:12" s="12" customFormat="1" ht="35.450000000000003" customHeight="1">
      <c r="A51" s="13"/>
      <c r="B51" s="556" t="s">
        <v>348</v>
      </c>
      <c r="C51" s="556"/>
      <c r="D51" s="556"/>
      <c r="E51" s="556"/>
      <c r="F51" s="556"/>
      <c r="G51" s="556"/>
      <c r="H51" s="561" t="s">
        <v>349</v>
      </c>
      <c r="I51" s="561"/>
      <c r="J51" s="561"/>
      <c r="K51" s="561"/>
      <c r="L51" s="561"/>
    </row>
    <row r="52" spans="1:12" s="12" customFormat="1" ht="30" customHeight="1">
      <c r="A52" s="13"/>
      <c r="B52" s="556" t="s">
        <v>350</v>
      </c>
      <c r="C52" s="556"/>
      <c r="D52" s="556"/>
      <c r="E52" s="556"/>
      <c r="F52" s="556"/>
      <c r="G52" s="556"/>
      <c r="H52" s="560" t="s">
        <v>351</v>
      </c>
      <c r="I52" s="560"/>
      <c r="J52" s="560"/>
      <c r="K52" s="560"/>
      <c r="L52" s="560"/>
    </row>
    <row r="53" spans="1:12" s="12" customFormat="1" ht="30" customHeight="1">
      <c r="A53" s="13"/>
      <c r="B53" s="555" t="s">
        <v>352</v>
      </c>
      <c r="C53" s="556"/>
      <c r="D53" s="556"/>
      <c r="E53" s="556"/>
      <c r="F53" s="556"/>
      <c r="G53" s="556"/>
      <c r="H53" s="330"/>
      <c r="I53" s="330"/>
      <c r="J53" s="330"/>
      <c r="K53" s="330"/>
      <c r="L53" s="330"/>
    </row>
    <row r="54" spans="1:12" s="12" customFormat="1" ht="30.6" customHeight="1">
      <c r="A54" s="13"/>
      <c r="B54" s="559" t="s">
        <v>353</v>
      </c>
      <c r="C54" s="559"/>
      <c r="D54" s="559"/>
      <c r="E54" s="559"/>
      <c r="F54" s="559"/>
      <c r="G54" s="559"/>
      <c r="H54" s="560" t="s">
        <v>354</v>
      </c>
      <c r="I54" s="560"/>
      <c r="J54" s="560"/>
      <c r="K54" s="560"/>
      <c r="L54" s="560"/>
    </row>
    <row r="55" spans="1:12" s="12" customFormat="1" ht="35.450000000000003" customHeight="1">
      <c r="A55" s="13"/>
      <c r="B55" s="558" t="s">
        <v>355</v>
      </c>
      <c r="C55" s="558"/>
      <c r="D55" s="558"/>
      <c r="E55" s="558"/>
      <c r="F55" s="558"/>
      <c r="G55" s="558"/>
      <c r="H55" s="561" t="s">
        <v>356</v>
      </c>
      <c r="I55" s="561"/>
      <c r="J55" s="561"/>
      <c r="K55" s="561"/>
      <c r="L55" s="561"/>
    </row>
    <row r="56" spans="1:12" ht="30" customHeight="1">
      <c r="B56" s="556" t="s">
        <v>357</v>
      </c>
      <c r="C56" s="556"/>
      <c r="D56" s="556"/>
      <c r="E56" s="556"/>
      <c r="F56" s="556"/>
      <c r="G56" s="556"/>
    </row>
    <row r="57" spans="1:12" ht="30" customHeight="1">
      <c r="B57" s="558" t="s">
        <v>358</v>
      </c>
      <c r="C57" s="558"/>
      <c r="D57" s="558"/>
      <c r="E57" s="558"/>
      <c r="F57" s="558"/>
      <c r="G57" s="558"/>
    </row>
    <row r="58" spans="1:12" ht="30" customHeight="1">
      <c r="B58" s="555" t="s">
        <v>359</v>
      </c>
      <c r="C58" s="556"/>
      <c r="D58" s="556"/>
      <c r="E58" s="556"/>
      <c r="F58" s="556"/>
      <c r="G58" s="556"/>
    </row>
    <row r="59" spans="1:12" ht="27.6" customHeight="1"/>
  </sheetData>
  <mergeCells count="94">
    <mergeCell ref="R25:U25"/>
    <mergeCell ref="R16:U16"/>
    <mergeCell ref="F19:I19"/>
    <mergeCell ref="F18:I18"/>
    <mergeCell ref="R19:U19"/>
    <mergeCell ref="R18:U18"/>
    <mergeCell ref="B18:E18"/>
    <mergeCell ref="A8:A10"/>
    <mergeCell ref="R8:V9"/>
    <mergeCell ref="R10:V10"/>
    <mergeCell ref="J8:Q9"/>
    <mergeCell ref="J10:Q10"/>
    <mergeCell ref="B8:I9"/>
    <mergeCell ref="B10:I10"/>
    <mergeCell ref="B17:E17"/>
    <mergeCell ref="B15:E15"/>
    <mergeCell ref="F15:I15"/>
    <mergeCell ref="R15:U15"/>
    <mergeCell ref="R17:U17"/>
    <mergeCell ref="F17:I17"/>
    <mergeCell ref="B16:E16"/>
    <mergeCell ref="F16:I16"/>
    <mergeCell ref="G1:H1"/>
    <mergeCell ref="A4:X4"/>
    <mergeCell ref="A5:X5"/>
    <mergeCell ref="A6:X6"/>
    <mergeCell ref="W7:X7"/>
    <mergeCell ref="R7:V7"/>
    <mergeCell ref="J7:Q7"/>
    <mergeCell ref="B7:I7"/>
    <mergeCell ref="W8:X9"/>
    <mergeCell ref="R11:V11"/>
    <mergeCell ref="J11:Q11"/>
    <mergeCell ref="F12:I12"/>
    <mergeCell ref="B14:E14"/>
    <mergeCell ref="F14:I14"/>
    <mergeCell ref="R14:U14"/>
    <mergeCell ref="B11:I11"/>
    <mergeCell ref="B20:E20"/>
    <mergeCell ref="R21:U21"/>
    <mergeCell ref="N20:Q20"/>
    <mergeCell ref="B19:E19"/>
    <mergeCell ref="N19:Q19"/>
    <mergeCell ref="F20:I20"/>
    <mergeCell ref="N21:Q21"/>
    <mergeCell ref="F21:I21"/>
    <mergeCell ref="R20:U20"/>
    <mergeCell ref="B21:E21"/>
    <mergeCell ref="R26:U26"/>
    <mergeCell ref="R35:U35"/>
    <mergeCell ref="B22:E22"/>
    <mergeCell ref="R23:U23"/>
    <mergeCell ref="B40:G40"/>
    <mergeCell ref="R24:U24"/>
    <mergeCell ref="R31:U31"/>
    <mergeCell ref="R30:U30"/>
    <mergeCell ref="R22:U22"/>
    <mergeCell ref="R33:U33"/>
    <mergeCell ref="R34:U34"/>
    <mergeCell ref="R27:U27"/>
    <mergeCell ref="H40:L40"/>
    <mergeCell ref="R32:U32"/>
    <mergeCell ref="R28:U28"/>
    <mergeCell ref="R29:U29"/>
    <mergeCell ref="H50:L50"/>
    <mergeCell ref="H51:L51"/>
    <mergeCell ref="M43:AA45"/>
    <mergeCell ref="B43:G43"/>
    <mergeCell ref="R36:U36"/>
    <mergeCell ref="H44:L44"/>
    <mergeCell ref="H45:L45"/>
    <mergeCell ref="H41:L41"/>
    <mergeCell ref="A38:AA38"/>
    <mergeCell ref="A39:AA39"/>
    <mergeCell ref="M40:AA40"/>
    <mergeCell ref="M41:AA42"/>
    <mergeCell ref="A41:A42"/>
    <mergeCell ref="B41:G42"/>
    <mergeCell ref="B58:G58"/>
    <mergeCell ref="B53:G53"/>
    <mergeCell ref="H42:L42"/>
    <mergeCell ref="B57:G57"/>
    <mergeCell ref="B50:G50"/>
    <mergeCell ref="B51:G51"/>
    <mergeCell ref="B54:G54"/>
    <mergeCell ref="B55:G55"/>
    <mergeCell ref="H52:L52"/>
    <mergeCell ref="H54:L54"/>
    <mergeCell ref="H55:L55"/>
    <mergeCell ref="B44:G44"/>
    <mergeCell ref="B45:G45"/>
    <mergeCell ref="H43:L43"/>
    <mergeCell ref="B56:G56"/>
    <mergeCell ref="B52:G52"/>
  </mergeCells>
  <printOptions horizontalCentered="1"/>
  <pageMargins left="0.2" right="0.2" top="0.25" bottom="0.25" header="0.3" footer="0.3"/>
  <pageSetup scale="85"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32"/>
  <sheetViews>
    <sheetView topLeftCell="A12" zoomScaleNormal="100" workbookViewId="0">
      <selection activeCell="A23" sqref="A23:C25"/>
    </sheetView>
  </sheetViews>
  <sheetFormatPr defaultColWidth="9.140625" defaultRowHeight="15"/>
  <cols>
    <col min="1" max="1" width="15" customWidth="1"/>
    <col min="2" max="2" width="15.140625" customWidth="1"/>
    <col min="3" max="3" width="14.5703125" customWidth="1"/>
    <col min="4" max="4" width="14.140625" customWidth="1"/>
    <col min="5" max="5" width="13.5703125" customWidth="1"/>
    <col min="6" max="6" width="13.42578125" customWidth="1"/>
    <col min="7" max="7" width="14" customWidth="1"/>
    <col min="8" max="8" width="13.85546875" customWidth="1"/>
    <col min="9" max="9" width="17.7109375" customWidth="1"/>
    <col min="10" max="10" width="14.5703125" customWidth="1"/>
    <col min="11" max="11" width="13.140625" customWidth="1"/>
    <col min="12" max="14" width="13.85546875" customWidth="1"/>
  </cols>
  <sheetData>
    <row r="1" spans="1:13">
      <c r="B1" s="28"/>
      <c r="C1" t="s">
        <v>92</v>
      </c>
      <c r="D1" s="29"/>
      <c r="E1" t="s">
        <v>93</v>
      </c>
      <c r="G1" s="398"/>
      <c r="H1" s="398"/>
      <c r="I1" t="s">
        <v>94</v>
      </c>
      <c r="L1" s="30"/>
      <c r="M1" t="s">
        <v>95</v>
      </c>
    </row>
    <row r="2" spans="1:13">
      <c r="A2" s="2"/>
      <c r="B2" s="2"/>
      <c r="C2" s="2"/>
      <c r="D2" s="2"/>
      <c r="E2" s="2"/>
      <c r="F2" s="2"/>
      <c r="G2" s="2"/>
      <c r="H2" s="2"/>
      <c r="I2" s="2"/>
      <c r="J2" s="2"/>
    </row>
    <row r="3" spans="1:13" ht="15" customHeight="1">
      <c r="A3" s="625" t="s">
        <v>360</v>
      </c>
      <c r="B3" s="625"/>
      <c r="C3" s="625"/>
      <c r="D3" s="625"/>
      <c r="E3" s="625"/>
      <c r="F3" s="625"/>
      <c r="G3" s="625"/>
      <c r="H3" s="625"/>
      <c r="I3" s="625"/>
      <c r="J3" s="625"/>
      <c r="K3" s="22"/>
    </row>
    <row r="4" spans="1:13" ht="15" customHeight="1">
      <c r="A4" s="626" t="s">
        <v>361</v>
      </c>
      <c r="B4" s="627"/>
      <c r="C4" s="627"/>
      <c r="D4" s="627"/>
      <c r="E4" s="628"/>
      <c r="F4" s="635" t="s">
        <v>123</v>
      </c>
      <c r="G4" s="636"/>
      <c r="H4" s="636"/>
      <c r="I4" s="636"/>
      <c r="J4" s="636"/>
      <c r="K4" s="22"/>
    </row>
    <row r="5" spans="1:13" ht="17.25" customHeight="1">
      <c r="A5" s="629"/>
      <c r="B5" s="630"/>
      <c r="C5" s="630"/>
      <c r="D5" s="630"/>
      <c r="E5" s="631"/>
      <c r="F5" s="637" t="s">
        <v>362</v>
      </c>
      <c r="G5" s="640" t="s">
        <v>363</v>
      </c>
      <c r="H5" s="641"/>
      <c r="I5" s="641"/>
      <c r="J5" s="642"/>
      <c r="K5" s="23"/>
      <c r="M5" s="80"/>
    </row>
    <row r="6" spans="1:13" ht="14.25" customHeight="1">
      <c r="A6" s="629"/>
      <c r="B6" s="630"/>
      <c r="C6" s="630"/>
      <c r="D6" s="630"/>
      <c r="E6" s="631"/>
      <c r="F6" s="643"/>
      <c r="G6" s="637" t="s">
        <v>364</v>
      </c>
      <c r="H6" s="637" t="s">
        <v>365</v>
      </c>
      <c r="I6" s="637" t="s">
        <v>366</v>
      </c>
      <c r="J6" s="639" t="s">
        <v>367</v>
      </c>
      <c r="K6" s="336"/>
    </row>
    <row r="7" spans="1:13" ht="20.25" customHeight="1">
      <c r="A7" s="629"/>
      <c r="B7" s="630"/>
      <c r="C7" s="630"/>
      <c r="D7" s="630"/>
      <c r="E7" s="631"/>
      <c r="F7" s="638"/>
      <c r="G7" s="638"/>
      <c r="H7" s="638"/>
      <c r="I7" s="638"/>
      <c r="J7" s="639"/>
      <c r="K7" s="73"/>
    </row>
    <row r="8" spans="1:13" ht="24" customHeight="1">
      <c r="A8" s="632"/>
      <c r="B8" s="633"/>
      <c r="C8" s="633"/>
      <c r="D8" s="633"/>
      <c r="E8" s="634"/>
      <c r="F8" s="100" t="s">
        <v>368</v>
      </c>
      <c r="G8" s="101" t="s">
        <v>41</v>
      </c>
      <c r="H8" s="101" t="s">
        <v>43</v>
      </c>
      <c r="I8" s="101" t="s">
        <v>45</v>
      </c>
      <c r="J8" s="101" t="s">
        <v>47</v>
      </c>
      <c r="K8" s="73"/>
    </row>
    <row r="9" spans="1:13">
      <c r="A9" s="619" t="s">
        <v>369</v>
      </c>
      <c r="B9" s="619"/>
      <c r="C9" s="619"/>
      <c r="D9" s="619"/>
      <c r="E9" s="619"/>
      <c r="F9" s="619"/>
      <c r="G9" s="619"/>
      <c r="H9" s="619"/>
      <c r="I9" s="619"/>
      <c r="J9" s="619"/>
      <c r="K9" s="2"/>
    </row>
    <row r="10" spans="1:13">
      <c r="A10" s="620" t="s">
        <v>127</v>
      </c>
      <c r="B10" s="620"/>
      <c r="C10" s="620"/>
      <c r="D10" s="334" t="s">
        <v>129</v>
      </c>
      <c r="E10" s="334" t="s">
        <v>125</v>
      </c>
      <c r="F10" s="334" t="s">
        <v>137</v>
      </c>
      <c r="G10" s="334" t="s">
        <v>171</v>
      </c>
      <c r="H10" s="334" t="s">
        <v>173</v>
      </c>
      <c r="I10" s="334" t="s">
        <v>175</v>
      </c>
      <c r="J10" s="334" t="s">
        <v>176</v>
      </c>
      <c r="K10" s="2"/>
    </row>
    <row r="11" spans="1:13" ht="15" customHeight="1">
      <c r="A11" s="622" t="s">
        <v>297</v>
      </c>
      <c r="B11" s="622"/>
      <c r="C11" s="622"/>
      <c r="D11" s="623" t="s">
        <v>370</v>
      </c>
      <c r="E11" s="623"/>
      <c r="F11" s="624"/>
      <c r="G11" s="621" t="s">
        <v>371</v>
      </c>
      <c r="H11" s="621"/>
      <c r="I11" s="621"/>
      <c r="J11" s="622" t="s">
        <v>372</v>
      </c>
      <c r="K11" s="2"/>
    </row>
    <row r="12" spans="1:13" ht="29.25" customHeight="1">
      <c r="A12" s="622"/>
      <c r="B12" s="622"/>
      <c r="C12" s="622"/>
      <c r="D12" s="333" t="s">
        <v>373</v>
      </c>
      <c r="E12" s="335" t="s">
        <v>374</v>
      </c>
      <c r="F12" s="335" t="s">
        <v>375</v>
      </c>
      <c r="G12" s="335" t="s">
        <v>376</v>
      </c>
      <c r="H12" s="335" t="s">
        <v>377</v>
      </c>
      <c r="I12" s="335" t="s">
        <v>378</v>
      </c>
      <c r="J12" s="622"/>
      <c r="K12" s="2"/>
    </row>
    <row r="13" spans="1:13">
      <c r="A13" s="644"/>
      <c r="B13" s="644"/>
      <c r="C13" s="644"/>
      <c r="D13" s="35"/>
      <c r="E13" s="135"/>
      <c r="F13" s="77">
        <f>D13*E13</f>
        <v>0</v>
      </c>
      <c r="G13" s="35"/>
      <c r="H13" s="37"/>
      <c r="I13" s="71">
        <f>G13*H13</f>
        <v>0</v>
      </c>
      <c r="J13" s="77">
        <f>F13+I13</f>
        <v>0</v>
      </c>
      <c r="K13" s="2"/>
    </row>
    <row r="14" spans="1:13">
      <c r="A14" s="647" t="s">
        <v>379</v>
      </c>
      <c r="B14" s="647"/>
      <c r="C14" s="647"/>
      <c r="D14" s="647"/>
      <c r="E14" s="647"/>
      <c r="F14" s="2"/>
      <c r="I14" s="109" t="s">
        <v>380</v>
      </c>
      <c r="J14" s="74"/>
      <c r="K14" s="2"/>
    </row>
    <row r="15" spans="1:13" ht="17.25">
      <c r="A15" s="648"/>
      <c r="B15" s="648"/>
      <c r="C15" s="648"/>
      <c r="D15" s="648"/>
      <c r="E15" s="648"/>
      <c r="F15" s="650" t="s">
        <v>381</v>
      </c>
      <c r="G15" s="650"/>
      <c r="H15" s="650"/>
      <c r="I15" s="651"/>
      <c r="J15" s="277"/>
      <c r="K15" s="2"/>
    </row>
    <row r="16" spans="1:13" ht="37.5" customHeight="1">
      <c r="A16" s="2"/>
      <c r="B16" s="2"/>
      <c r="C16" s="2"/>
      <c r="D16" s="2"/>
      <c r="E16" s="2"/>
      <c r="F16" s="645" t="s">
        <v>382</v>
      </c>
      <c r="G16" s="645"/>
      <c r="H16" s="645"/>
      <c r="I16" s="646"/>
      <c r="J16" s="275" t="s">
        <v>383</v>
      </c>
      <c r="K16" s="2"/>
    </row>
    <row r="18" spans="1:37">
      <c r="A18" s="619" t="s">
        <v>384</v>
      </c>
      <c r="B18" s="619"/>
      <c r="C18" s="619"/>
      <c r="D18" s="619"/>
      <c r="E18" s="619"/>
      <c r="F18" s="619"/>
      <c r="G18" s="619"/>
      <c r="H18" s="619"/>
      <c r="I18" s="619"/>
      <c r="J18" s="619"/>
      <c r="K18" s="133"/>
    </row>
    <row r="19" spans="1:37">
      <c r="A19" s="649" t="s">
        <v>127</v>
      </c>
      <c r="B19" s="649"/>
      <c r="C19" s="649"/>
      <c r="D19" s="649"/>
      <c r="E19" s="649" t="s">
        <v>129</v>
      </c>
      <c r="F19" s="649"/>
      <c r="G19" s="649" t="s">
        <v>125</v>
      </c>
      <c r="H19" s="649"/>
      <c r="I19" s="649" t="s">
        <v>137</v>
      </c>
      <c r="J19" s="649"/>
      <c r="K19" s="276"/>
      <c r="L19" s="129"/>
    </row>
    <row r="20" spans="1:37" ht="15" customHeight="1">
      <c r="A20" s="620" t="s">
        <v>297</v>
      </c>
      <c r="B20" s="620"/>
      <c r="C20" s="620"/>
      <c r="D20" s="620"/>
      <c r="E20" s="658" t="s">
        <v>370</v>
      </c>
      <c r="F20" s="659"/>
      <c r="G20" s="659"/>
      <c r="H20" s="659"/>
      <c r="I20" s="659"/>
      <c r="J20" s="660"/>
      <c r="K20" s="656"/>
    </row>
    <row r="21" spans="1:37" ht="37.5" customHeight="1">
      <c r="A21" s="620"/>
      <c r="B21" s="620"/>
      <c r="C21" s="620"/>
      <c r="D21" s="620"/>
      <c r="E21" s="661" t="s">
        <v>385</v>
      </c>
      <c r="F21" s="662"/>
      <c r="G21" s="661" t="s">
        <v>386</v>
      </c>
      <c r="H21" s="662"/>
      <c r="I21" s="661" t="s">
        <v>375</v>
      </c>
      <c r="J21" s="662"/>
      <c r="K21" s="656"/>
    </row>
    <row r="22" spans="1:37">
      <c r="A22" s="657"/>
      <c r="B22" s="657"/>
      <c r="C22" s="657"/>
      <c r="D22" s="657"/>
      <c r="E22" s="663"/>
      <c r="F22" s="663"/>
      <c r="G22" s="664"/>
      <c r="H22" s="665"/>
      <c r="I22" s="666">
        <f>E22*G22</f>
        <v>0</v>
      </c>
      <c r="J22" s="667"/>
      <c r="K22" s="331"/>
      <c r="M22" s="231" t="s">
        <v>387</v>
      </c>
      <c r="AD22" s="306" t="s">
        <v>388</v>
      </c>
      <c r="AE22" s="307"/>
      <c r="AF22" s="307"/>
      <c r="AG22" s="307"/>
      <c r="AH22" s="307"/>
      <c r="AI22" s="307"/>
      <c r="AJ22" s="307"/>
      <c r="AK22" s="307"/>
    </row>
    <row r="23" spans="1:37">
      <c r="A23" s="668" t="s">
        <v>389</v>
      </c>
      <c r="B23" s="668"/>
      <c r="C23" s="668"/>
      <c r="D23" s="654" t="s">
        <v>380</v>
      </c>
      <c r="E23" s="654"/>
      <c r="F23" s="654"/>
      <c r="G23" s="654"/>
      <c r="H23" s="654"/>
      <c r="I23" s="655"/>
      <c r="J23" s="203"/>
    </row>
    <row r="24" spans="1:37" ht="17.25">
      <c r="A24" s="669"/>
      <c r="B24" s="669"/>
      <c r="C24" s="669"/>
      <c r="D24" s="650" t="s">
        <v>381</v>
      </c>
      <c r="E24" s="650"/>
      <c r="F24" s="650"/>
      <c r="G24" s="650"/>
      <c r="H24" s="650"/>
      <c r="I24" s="651"/>
      <c r="J24" s="278"/>
    </row>
    <row r="25" spans="1:37" ht="38.25">
      <c r="A25" s="669"/>
      <c r="B25" s="669"/>
      <c r="C25" s="669"/>
      <c r="D25" s="652" t="s">
        <v>382</v>
      </c>
      <c r="E25" s="652"/>
      <c r="F25" s="652"/>
      <c r="G25" s="652"/>
      <c r="H25" s="652"/>
      <c r="I25" s="653"/>
      <c r="J25" s="274" t="s">
        <v>390</v>
      </c>
    </row>
    <row r="32" spans="1:37"/>
  </sheetData>
  <mergeCells count="39">
    <mergeCell ref="D24:I24"/>
    <mergeCell ref="D25:I25"/>
    <mergeCell ref="D23:I23"/>
    <mergeCell ref="F15:I15"/>
    <mergeCell ref="K20:K21"/>
    <mergeCell ref="A20:D21"/>
    <mergeCell ref="A22:D22"/>
    <mergeCell ref="E20:J20"/>
    <mergeCell ref="I21:J21"/>
    <mergeCell ref="G21:H21"/>
    <mergeCell ref="E21:F21"/>
    <mergeCell ref="E22:F22"/>
    <mergeCell ref="G22:H22"/>
    <mergeCell ref="I22:J22"/>
    <mergeCell ref="A23:C25"/>
    <mergeCell ref="A13:C13"/>
    <mergeCell ref="F16:I16"/>
    <mergeCell ref="A14:E15"/>
    <mergeCell ref="A19:D19"/>
    <mergeCell ref="E19:F19"/>
    <mergeCell ref="G19:H19"/>
    <mergeCell ref="I19:J19"/>
    <mergeCell ref="A18:J18"/>
    <mergeCell ref="G1:H1"/>
    <mergeCell ref="A3:J3"/>
    <mergeCell ref="A4:E8"/>
    <mergeCell ref="F4:J4"/>
    <mergeCell ref="H6:H7"/>
    <mergeCell ref="I6:I7"/>
    <mergeCell ref="J6:J7"/>
    <mergeCell ref="G5:J5"/>
    <mergeCell ref="F5:F7"/>
    <mergeCell ref="G6:G7"/>
    <mergeCell ref="A9:J9"/>
    <mergeCell ref="A10:C10"/>
    <mergeCell ref="G11:I11"/>
    <mergeCell ref="J11:J12"/>
    <mergeCell ref="D11:F11"/>
    <mergeCell ref="A11:C12"/>
  </mergeCells>
  <pageMargins left="0.5" right="0.5" top="0.75" bottom="0.75" header="0.3" footer="0.3"/>
  <pageSetup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85" zoomScaleNormal="85" workbookViewId="0">
      <selection activeCell="A27" sqref="A27"/>
    </sheetView>
  </sheetViews>
  <sheetFormatPr defaultColWidth="9.140625" defaultRowHeight="15"/>
  <cols>
    <col min="1" max="1" width="36.85546875" customWidth="1"/>
    <col min="2" max="2" width="30.42578125" customWidth="1"/>
    <col min="3" max="3" width="14.5703125" customWidth="1"/>
    <col min="4" max="5" width="13.5703125" customWidth="1"/>
    <col min="6" max="6" width="13.42578125" customWidth="1"/>
    <col min="7" max="7" width="9.140625" customWidth="1"/>
    <col min="8" max="8" width="13.85546875" customWidth="1"/>
    <col min="9" max="9" width="18.28515625" customWidth="1"/>
    <col min="10" max="10" width="14.5703125" customWidth="1"/>
    <col min="11" max="11" width="13.140625" customWidth="1"/>
  </cols>
  <sheetData>
    <row r="1" spans="1:13">
      <c r="B1" s="28"/>
      <c r="C1" t="s">
        <v>92</v>
      </c>
      <c r="D1" s="29"/>
      <c r="E1" t="s">
        <v>93</v>
      </c>
      <c r="G1" s="398"/>
      <c r="H1" s="398"/>
      <c r="I1" t="s">
        <v>94</v>
      </c>
      <c r="L1" s="30"/>
      <c r="M1" t="s">
        <v>95</v>
      </c>
    </row>
    <row r="2" spans="1:13">
      <c r="A2" s="2"/>
      <c r="B2" s="2"/>
      <c r="C2" s="2"/>
      <c r="D2" s="2"/>
      <c r="E2" s="2"/>
      <c r="F2" s="2"/>
      <c r="G2" s="2"/>
      <c r="H2" s="2"/>
      <c r="I2" s="2"/>
      <c r="J2" s="2"/>
    </row>
    <row r="3" spans="1:13" ht="15" customHeight="1">
      <c r="A3" s="677" t="s">
        <v>391</v>
      </c>
      <c r="B3" s="677"/>
      <c r="C3" s="677"/>
      <c r="D3" s="677"/>
      <c r="E3" s="677"/>
      <c r="F3" s="677"/>
      <c r="G3" s="677"/>
      <c r="H3" s="677"/>
      <c r="I3" s="677"/>
      <c r="J3" s="677"/>
      <c r="K3" s="22"/>
    </row>
    <row r="4" spans="1:13">
      <c r="A4" s="678" t="s">
        <v>392</v>
      </c>
      <c r="B4" s="678"/>
      <c r="C4" s="678"/>
      <c r="D4" s="678"/>
      <c r="E4" s="678"/>
      <c r="F4" s="678"/>
      <c r="G4" s="678"/>
      <c r="H4" s="678"/>
      <c r="I4" s="678"/>
      <c r="J4" s="678"/>
      <c r="K4" s="23"/>
    </row>
    <row r="5" spans="1:13">
      <c r="A5" s="332" t="s">
        <v>123</v>
      </c>
      <c r="B5" s="332" t="s">
        <v>127</v>
      </c>
      <c r="C5" s="332" t="s">
        <v>129</v>
      </c>
      <c r="D5" s="334" t="s">
        <v>125</v>
      </c>
      <c r="E5" s="334" t="s">
        <v>137</v>
      </c>
      <c r="F5" s="334" t="s">
        <v>171</v>
      </c>
      <c r="G5" s="334" t="s">
        <v>173</v>
      </c>
      <c r="H5" s="334" t="s">
        <v>175</v>
      </c>
      <c r="I5" s="334" t="s">
        <v>176</v>
      </c>
      <c r="J5" s="334" t="s">
        <v>212</v>
      </c>
      <c r="K5" s="2"/>
    </row>
    <row r="6" spans="1:13">
      <c r="A6" s="620" t="s">
        <v>297</v>
      </c>
      <c r="B6" s="620" t="s">
        <v>393</v>
      </c>
      <c r="C6" s="679" t="s">
        <v>394</v>
      </c>
      <c r="D6" s="679"/>
      <c r="E6" s="679"/>
      <c r="F6" s="680" t="s">
        <v>395</v>
      </c>
      <c r="G6" s="680"/>
      <c r="H6" s="680"/>
      <c r="I6" s="680"/>
      <c r="J6" s="621" t="s">
        <v>396</v>
      </c>
      <c r="K6" s="2"/>
    </row>
    <row r="7" spans="1:13" ht="39" customHeight="1">
      <c r="A7" s="620"/>
      <c r="B7" s="620"/>
      <c r="C7" s="332" t="s">
        <v>397</v>
      </c>
      <c r="D7" s="332" t="s">
        <v>398</v>
      </c>
      <c r="E7" s="332" t="s">
        <v>399</v>
      </c>
      <c r="F7" s="332" t="s">
        <v>400</v>
      </c>
      <c r="G7" s="334" t="s">
        <v>401</v>
      </c>
      <c r="H7" s="334" t="s">
        <v>402</v>
      </c>
      <c r="I7" s="334" t="s">
        <v>220</v>
      </c>
      <c r="J7" s="621"/>
      <c r="K7" s="2"/>
    </row>
    <row r="8" spans="1:13" ht="36" customHeight="1">
      <c r="A8" s="98"/>
      <c r="B8" s="195" t="s">
        <v>403</v>
      </c>
      <c r="C8" s="196"/>
      <c r="D8" s="197" t="s">
        <v>404</v>
      </c>
      <c r="E8" s="197" t="e">
        <f>C8*D8</f>
        <v>#VALUE!</v>
      </c>
      <c r="F8" s="198" t="s">
        <v>405</v>
      </c>
      <c r="G8" s="198" t="s">
        <v>406</v>
      </c>
      <c r="H8" s="76"/>
      <c r="I8" s="77" t="e">
        <f>G8*H8</f>
        <v>#VALUE!</v>
      </c>
      <c r="J8" s="78"/>
      <c r="K8" s="2"/>
    </row>
    <row r="9" spans="1:13" ht="31.5" customHeight="1">
      <c r="A9" s="110"/>
      <c r="B9" s="199"/>
      <c r="C9" s="112"/>
      <c r="D9" s="200"/>
      <c r="E9" s="112"/>
      <c r="F9" s="198" t="s">
        <v>405</v>
      </c>
      <c r="G9" s="198" t="s">
        <v>406</v>
      </c>
      <c r="H9" s="76"/>
      <c r="I9" s="77" t="e">
        <f>G9*H9</f>
        <v>#VALUE!</v>
      </c>
      <c r="J9" s="104"/>
      <c r="K9" s="2"/>
    </row>
    <row r="10" spans="1:13" ht="38.25" customHeight="1">
      <c r="A10" s="673"/>
      <c r="B10" s="673"/>
      <c r="C10" s="673"/>
      <c r="D10" s="6"/>
      <c r="E10" s="674" t="s">
        <v>407</v>
      </c>
      <c r="F10" s="675"/>
      <c r="G10" s="675"/>
      <c r="H10" s="676"/>
      <c r="I10" s="201" t="s">
        <v>408</v>
      </c>
      <c r="J10" s="202" t="s">
        <v>409</v>
      </c>
      <c r="K10" s="114"/>
    </row>
    <row r="11" spans="1:13">
      <c r="A11" s="671" t="s">
        <v>410</v>
      </c>
      <c r="B11" s="672"/>
      <c r="C11" s="672"/>
      <c r="D11" s="672"/>
      <c r="E11" s="672"/>
      <c r="F11" s="672"/>
      <c r="G11" s="672"/>
      <c r="H11" s="672"/>
      <c r="I11" s="72" t="s">
        <v>411</v>
      </c>
      <c r="J11" s="223"/>
      <c r="K11" s="114"/>
    </row>
    <row r="12" spans="1:13" ht="15.75">
      <c r="A12" s="279" t="s">
        <v>412</v>
      </c>
      <c r="B12" s="252"/>
      <c r="C12" s="252"/>
      <c r="D12" s="252"/>
      <c r="E12" s="2"/>
      <c r="F12" s="2"/>
      <c r="I12" s="311" t="s">
        <v>413</v>
      </c>
      <c r="J12" s="203" t="s">
        <v>414</v>
      </c>
      <c r="K12" s="114"/>
      <c r="L12" s="231" t="s">
        <v>415</v>
      </c>
    </row>
    <row r="13" spans="1:13" ht="15" customHeight="1">
      <c r="A13" s="670" t="s">
        <v>416</v>
      </c>
      <c r="B13" s="670"/>
      <c r="C13" s="670"/>
      <c r="D13" s="670"/>
      <c r="E13" s="670"/>
      <c r="F13" s="670"/>
      <c r="G13" s="670"/>
      <c r="H13" s="99"/>
      <c r="I13" s="99"/>
      <c r="J13" s="223"/>
      <c r="K13" s="133"/>
    </row>
    <row r="14" spans="1:13">
      <c r="A14" s="670"/>
      <c r="B14" s="670"/>
      <c r="C14" s="670"/>
      <c r="D14" s="670"/>
      <c r="E14" s="670"/>
      <c r="F14" s="670"/>
      <c r="G14" s="670"/>
      <c r="H14" s="99"/>
      <c r="I14" s="99"/>
      <c r="J14" s="223"/>
    </row>
    <row r="15" spans="1:13">
      <c r="A15" s="2"/>
      <c r="B15" s="321" t="s">
        <v>417</v>
      </c>
      <c r="C15" s="2"/>
      <c r="D15" s="2"/>
      <c r="E15" s="2"/>
      <c r="F15" s="2"/>
      <c r="G15" s="2"/>
      <c r="H15" s="2"/>
      <c r="I15" s="2"/>
      <c r="J15" s="2"/>
    </row>
    <row r="16" spans="1:13">
      <c r="A16" s="2"/>
      <c r="B16" s="54" t="s">
        <v>418</v>
      </c>
      <c r="C16" s="2"/>
      <c r="D16" s="2"/>
      <c r="E16" s="2"/>
      <c r="F16" s="2"/>
      <c r="G16" s="2"/>
      <c r="H16" s="2"/>
      <c r="I16" s="2"/>
      <c r="J16" s="2"/>
    </row>
    <row r="17" spans="2:2">
      <c r="B17" s="54" t="s">
        <v>419</v>
      </c>
    </row>
    <row r="18" spans="2:2">
      <c r="B18" s="54" t="s">
        <v>420</v>
      </c>
    </row>
    <row r="19" spans="2:2">
      <c r="B19" s="54" t="s">
        <v>421</v>
      </c>
    </row>
    <row r="20" spans="2:2">
      <c r="B20" s="54" t="s">
        <v>422</v>
      </c>
    </row>
  </sheetData>
  <mergeCells count="12">
    <mergeCell ref="A13:G14"/>
    <mergeCell ref="A11:H11"/>
    <mergeCell ref="A10:C10"/>
    <mergeCell ref="E10:H10"/>
    <mergeCell ref="G1:H1"/>
    <mergeCell ref="A3:J3"/>
    <mergeCell ref="A4:J4"/>
    <mergeCell ref="A6:A7"/>
    <mergeCell ref="B6:B7"/>
    <mergeCell ref="C6:E6"/>
    <mergeCell ref="F6:I6"/>
    <mergeCell ref="J6:J7"/>
  </mergeCells>
  <pageMargins left="0.5" right="0.5" top="0.75" bottom="0.75" header="0.3" footer="0.3"/>
  <pageSetup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4"/>
  <sheetViews>
    <sheetView zoomScale="72" zoomScaleNormal="100" workbookViewId="0">
      <selection activeCell="N12" sqref="N12"/>
    </sheetView>
  </sheetViews>
  <sheetFormatPr defaultColWidth="9.140625" defaultRowHeight="15"/>
  <cols>
    <col min="1" max="1" width="36.85546875" customWidth="1"/>
    <col min="2" max="2" width="14.5703125" customWidth="1"/>
    <col min="3" max="3" width="12.42578125" customWidth="1"/>
    <col min="4" max="4" width="13.5703125" customWidth="1"/>
    <col min="5" max="5" width="13.42578125" customWidth="1"/>
    <col min="6" max="6" width="9.140625" customWidth="1"/>
    <col min="7" max="7" width="13.85546875" customWidth="1"/>
    <col min="8" max="8" width="18.28515625" customWidth="1"/>
    <col min="9" max="9" width="14.5703125" customWidth="1"/>
    <col min="10" max="10" width="13.140625" customWidth="1"/>
  </cols>
  <sheetData>
    <row r="1" spans="1:14">
      <c r="B1" t="s">
        <v>92</v>
      </c>
      <c r="C1" s="29"/>
      <c r="D1" t="s">
        <v>93</v>
      </c>
      <c r="F1" s="398"/>
      <c r="G1" s="398"/>
      <c r="H1" t="s">
        <v>94</v>
      </c>
      <c r="K1" s="30"/>
      <c r="L1" t="s">
        <v>95</v>
      </c>
    </row>
    <row r="2" spans="1:14">
      <c r="A2" s="2"/>
      <c r="B2" s="2"/>
      <c r="C2" s="2"/>
      <c r="D2" s="2"/>
      <c r="E2" s="2"/>
      <c r="F2" s="2"/>
      <c r="G2" s="2"/>
      <c r="H2" s="2"/>
      <c r="I2" s="2"/>
    </row>
    <row r="3" spans="1:14" ht="15" customHeight="1">
      <c r="A3" s="677" t="s">
        <v>423</v>
      </c>
      <c r="B3" s="677"/>
      <c r="C3" s="677"/>
      <c r="D3" s="677"/>
      <c r="E3" s="677"/>
      <c r="F3" s="677"/>
      <c r="G3" s="677"/>
      <c r="H3" s="677"/>
      <c r="I3" s="677"/>
      <c r="J3" s="22"/>
    </row>
    <row r="4" spans="1:14">
      <c r="A4" s="684" t="s">
        <v>424</v>
      </c>
      <c r="B4" s="684"/>
      <c r="C4" s="684"/>
      <c r="D4" s="684"/>
      <c r="E4" s="684"/>
      <c r="F4" s="684"/>
      <c r="G4" s="684"/>
      <c r="H4" s="684"/>
      <c r="I4" s="684"/>
      <c r="J4" s="23"/>
    </row>
    <row r="5" spans="1:14">
      <c r="A5" s="332" t="s">
        <v>123</v>
      </c>
      <c r="B5" s="332" t="s">
        <v>127</v>
      </c>
      <c r="C5" s="334" t="s">
        <v>129</v>
      </c>
      <c r="D5" s="334" t="s">
        <v>125</v>
      </c>
      <c r="E5" s="334" t="s">
        <v>137</v>
      </c>
      <c r="F5" s="334" t="s">
        <v>171</v>
      </c>
      <c r="G5" s="334" t="s">
        <v>173</v>
      </c>
      <c r="H5" s="334" t="s">
        <v>175</v>
      </c>
      <c r="I5" s="334" t="s">
        <v>176</v>
      </c>
      <c r="J5" s="2"/>
    </row>
    <row r="6" spans="1:14">
      <c r="A6" s="620" t="s">
        <v>297</v>
      </c>
      <c r="B6" s="679" t="s">
        <v>425</v>
      </c>
      <c r="C6" s="679"/>
      <c r="D6" s="679"/>
      <c r="E6" s="680" t="s">
        <v>395</v>
      </c>
      <c r="F6" s="680"/>
      <c r="G6" s="680"/>
      <c r="H6" s="680"/>
      <c r="I6" s="621" t="s">
        <v>396</v>
      </c>
      <c r="J6" s="2"/>
    </row>
    <row r="7" spans="1:14" ht="39" customHeight="1">
      <c r="A7" s="620"/>
      <c r="B7" s="332" t="s">
        <v>426</v>
      </c>
      <c r="C7" s="332" t="s">
        <v>377</v>
      </c>
      <c r="D7" s="332" t="s">
        <v>399</v>
      </c>
      <c r="E7" s="332" t="s">
        <v>400</v>
      </c>
      <c r="F7" s="334" t="s">
        <v>427</v>
      </c>
      <c r="G7" s="334" t="s">
        <v>428</v>
      </c>
      <c r="H7" s="334" t="s">
        <v>220</v>
      </c>
      <c r="I7" s="621"/>
      <c r="J7" s="2"/>
    </row>
    <row r="8" spans="1:14" ht="36" customHeight="1">
      <c r="A8" s="204"/>
      <c r="B8" s="196"/>
      <c r="C8" s="205" t="s">
        <v>404</v>
      </c>
      <c r="D8" s="197" t="e">
        <f>B8*C8</f>
        <v>#VALUE!</v>
      </c>
      <c r="E8" s="206" t="s">
        <v>405</v>
      </c>
      <c r="F8" s="206" t="s">
        <v>406</v>
      </c>
      <c r="G8" s="196"/>
      <c r="H8" s="77" t="e">
        <f>F8*G8</f>
        <v>#VALUE!</v>
      </c>
      <c r="I8" s="78"/>
      <c r="J8" s="2"/>
    </row>
    <row r="9" spans="1:14" ht="36" customHeight="1">
      <c r="A9" s="200"/>
      <c r="B9" s="112"/>
      <c r="C9" s="200"/>
      <c r="D9" s="112"/>
      <c r="E9" s="206" t="s">
        <v>405</v>
      </c>
      <c r="F9" s="206" t="s">
        <v>406</v>
      </c>
      <c r="G9" s="196"/>
      <c r="H9" s="77" t="e">
        <f>F9*G9</f>
        <v>#VALUE!</v>
      </c>
      <c r="I9" s="104"/>
      <c r="J9" s="2"/>
    </row>
    <row r="10" spans="1:14" ht="41.25" customHeight="1">
      <c r="A10" s="683" t="s">
        <v>429</v>
      </c>
      <c r="B10" s="683"/>
      <c r="C10" s="683"/>
      <c r="D10" s="683"/>
      <c r="E10" s="681" t="s">
        <v>407</v>
      </c>
      <c r="F10" s="681"/>
      <c r="G10" s="682"/>
      <c r="H10" s="207" t="s">
        <v>430</v>
      </c>
      <c r="I10" s="208" t="s">
        <v>431</v>
      </c>
      <c r="J10" s="2"/>
    </row>
    <row r="11" spans="1:14">
      <c r="A11" s="2"/>
      <c r="B11" s="2"/>
      <c r="C11" s="2"/>
      <c r="D11" s="2"/>
      <c r="E11" s="2"/>
      <c r="F11" s="2"/>
      <c r="G11" s="75"/>
      <c r="H11" s="72" t="s">
        <v>411</v>
      </c>
      <c r="I11" s="223"/>
      <c r="J11" s="2"/>
      <c r="N11" s="222" t="s">
        <v>432</v>
      </c>
    </row>
    <row r="12" spans="1:14">
      <c r="A12" s="2"/>
      <c r="B12" s="2"/>
      <c r="C12" s="2"/>
      <c r="D12" s="2"/>
      <c r="E12" s="2"/>
      <c r="H12" s="311" t="s">
        <v>413</v>
      </c>
      <c r="I12" s="209" t="s">
        <v>433</v>
      </c>
      <c r="J12" s="2"/>
    </row>
    <row r="13" spans="1:14">
      <c r="A13" s="2"/>
      <c r="B13" s="2"/>
      <c r="C13" s="2"/>
      <c r="D13" s="2"/>
      <c r="E13" s="2"/>
      <c r="F13" s="2"/>
      <c r="G13" s="99"/>
      <c r="H13" s="99"/>
      <c r="I13" s="223"/>
    </row>
    <row r="14" spans="1:14">
      <c r="A14" s="2"/>
      <c r="B14" s="2"/>
      <c r="C14" s="2"/>
      <c r="D14" s="2"/>
      <c r="E14" s="2"/>
      <c r="F14" s="2"/>
      <c r="G14" s="2"/>
      <c r="H14" s="114"/>
      <c r="I14" s="114"/>
    </row>
  </sheetData>
  <mergeCells count="9">
    <mergeCell ref="E10:G10"/>
    <mergeCell ref="A10:D10"/>
    <mergeCell ref="F1:G1"/>
    <mergeCell ref="A3:I3"/>
    <mergeCell ref="A4:I4"/>
    <mergeCell ref="A6:A7"/>
    <mergeCell ref="B6:D6"/>
    <mergeCell ref="E6:H6"/>
    <mergeCell ref="I6:I7"/>
  </mergeCells>
  <pageMargins left="0.5" right="0.5"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zoomScale="80" zoomScaleNormal="80" workbookViewId="0">
      <selection activeCell="N7" sqref="N7"/>
    </sheetView>
  </sheetViews>
  <sheetFormatPr defaultColWidth="9.140625" defaultRowHeight="15"/>
  <cols>
    <col min="1" max="1" width="36.85546875" customWidth="1"/>
    <col min="2" max="2" width="14.5703125" customWidth="1"/>
    <col min="3" max="3" width="12.42578125" customWidth="1"/>
    <col min="4" max="4" width="13.5703125" customWidth="1"/>
    <col min="5" max="5" width="13.42578125" customWidth="1"/>
    <col min="6" max="6" width="10.7109375" customWidth="1"/>
    <col min="7" max="7" width="13.85546875" customWidth="1"/>
    <col min="8" max="8" width="18.28515625" customWidth="1"/>
    <col min="9" max="9" width="14.5703125" customWidth="1"/>
    <col min="10" max="10" width="13.140625" customWidth="1"/>
  </cols>
  <sheetData>
    <row r="1" spans="1:14">
      <c r="A1" s="28"/>
      <c r="B1" t="s">
        <v>92</v>
      </c>
      <c r="C1" s="29"/>
      <c r="D1" t="s">
        <v>93</v>
      </c>
      <c r="F1" s="398"/>
      <c r="G1" s="398"/>
      <c r="H1" t="s">
        <v>94</v>
      </c>
      <c r="K1" s="30"/>
      <c r="L1" t="s">
        <v>95</v>
      </c>
    </row>
    <row r="2" spans="1:14">
      <c r="A2" s="2"/>
      <c r="B2" s="2"/>
      <c r="C2" s="2"/>
      <c r="D2" s="2"/>
      <c r="E2" s="2"/>
      <c r="F2" s="2"/>
      <c r="G2" s="2"/>
      <c r="H2" s="2"/>
      <c r="I2" s="2"/>
    </row>
    <row r="3" spans="1:14" ht="15" customHeight="1">
      <c r="A3" s="677" t="s">
        <v>434</v>
      </c>
      <c r="B3" s="677"/>
      <c r="C3" s="677"/>
      <c r="D3" s="677"/>
      <c r="E3" s="677"/>
      <c r="F3" s="677"/>
      <c r="G3" s="677"/>
      <c r="H3" s="677"/>
      <c r="I3" s="677"/>
      <c r="J3" s="22"/>
    </row>
    <row r="4" spans="1:14">
      <c r="A4" s="678" t="s">
        <v>435</v>
      </c>
      <c r="B4" s="678"/>
      <c r="C4" s="678"/>
      <c r="D4" s="678"/>
      <c r="E4" s="678"/>
      <c r="F4" s="678"/>
      <c r="G4" s="678"/>
      <c r="H4" s="678"/>
      <c r="I4" s="678"/>
      <c r="J4" s="23"/>
    </row>
    <row r="5" spans="1:14">
      <c r="A5" s="332" t="s">
        <v>123</v>
      </c>
      <c r="B5" s="332" t="s">
        <v>127</v>
      </c>
      <c r="C5" s="334" t="s">
        <v>129</v>
      </c>
      <c r="D5" s="334" t="s">
        <v>125</v>
      </c>
      <c r="E5" s="334" t="s">
        <v>137</v>
      </c>
      <c r="F5" s="334" t="s">
        <v>171</v>
      </c>
      <c r="G5" s="334" t="s">
        <v>173</v>
      </c>
      <c r="H5" s="334" t="s">
        <v>175</v>
      </c>
      <c r="I5" s="334" t="s">
        <v>176</v>
      </c>
      <c r="J5" s="2"/>
    </row>
    <row r="6" spans="1:14">
      <c r="A6" s="620" t="s">
        <v>297</v>
      </c>
      <c r="B6" s="679" t="s">
        <v>425</v>
      </c>
      <c r="C6" s="679"/>
      <c r="D6" s="679"/>
      <c r="E6" s="680" t="s">
        <v>395</v>
      </c>
      <c r="F6" s="680"/>
      <c r="G6" s="680"/>
      <c r="H6" s="680"/>
      <c r="I6" s="621" t="s">
        <v>396</v>
      </c>
      <c r="J6" s="2"/>
    </row>
    <row r="7" spans="1:14" ht="39" customHeight="1">
      <c r="A7" s="620"/>
      <c r="B7" s="335" t="s">
        <v>373</v>
      </c>
      <c r="C7" s="335" t="s">
        <v>374</v>
      </c>
      <c r="D7" s="332" t="s">
        <v>399</v>
      </c>
      <c r="E7" s="332" t="s">
        <v>400</v>
      </c>
      <c r="F7" s="334" t="s">
        <v>436</v>
      </c>
      <c r="G7" s="334" t="s">
        <v>437</v>
      </c>
      <c r="H7" s="334" t="s">
        <v>220</v>
      </c>
      <c r="I7" s="621"/>
      <c r="J7" s="2"/>
      <c r="N7" s="231" t="s">
        <v>438</v>
      </c>
    </row>
    <row r="8" spans="1:14" ht="36" customHeight="1">
      <c r="A8" s="95" t="s">
        <v>439</v>
      </c>
      <c r="B8" s="206" t="e">
        <f>'A. General Info'!J4:K5</f>
        <v>#VALUE!</v>
      </c>
      <c r="C8" s="205" t="s">
        <v>404</v>
      </c>
      <c r="D8" s="197" t="e">
        <f>B8*C8</f>
        <v>#VALUE!</v>
      </c>
      <c r="E8" s="206" t="s">
        <v>405</v>
      </c>
      <c r="F8" s="206" t="s">
        <v>406</v>
      </c>
      <c r="G8" s="76"/>
      <c r="H8" s="77" t="e">
        <f>F8*G8</f>
        <v>#VALUE!</v>
      </c>
      <c r="I8" s="111"/>
      <c r="J8" s="2"/>
    </row>
    <row r="9" spans="1:14" ht="36" customHeight="1">
      <c r="A9" s="112"/>
      <c r="B9" s="200"/>
      <c r="C9" s="200"/>
      <c r="D9" s="112"/>
      <c r="E9" s="206" t="s">
        <v>405</v>
      </c>
      <c r="F9" s="206" t="s">
        <v>406</v>
      </c>
      <c r="G9" s="76"/>
      <c r="H9" s="77" t="e">
        <f>F9*G9</f>
        <v>#VALUE!</v>
      </c>
      <c r="I9" s="111"/>
      <c r="J9" s="2"/>
    </row>
    <row r="10" spans="1:14" ht="39.75" customHeight="1">
      <c r="A10" s="673"/>
      <c r="B10" s="673"/>
      <c r="C10" s="6"/>
      <c r="D10" s="674" t="s">
        <v>407</v>
      </c>
      <c r="E10" s="675"/>
      <c r="F10" s="675"/>
      <c r="G10" s="676"/>
      <c r="H10" s="207" t="s">
        <v>430</v>
      </c>
      <c r="I10" s="210" t="s">
        <v>440</v>
      </c>
      <c r="J10" s="2"/>
    </row>
    <row r="11" spans="1:14">
      <c r="B11" s="2"/>
      <c r="C11" s="2"/>
      <c r="D11" s="2"/>
      <c r="E11" s="2"/>
      <c r="F11" s="2"/>
      <c r="G11" s="75"/>
      <c r="H11" s="72" t="s">
        <v>411</v>
      </c>
      <c r="I11" s="223"/>
      <c r="J11" s="2"/>
    </row>
    <row r="12" spans="1:14" ht="26.25">
      <c r="A12" s="2"/>
      <c r="B12" s="2"/>
      <c r="C12" s="2"/>
      <c r="D12" s="2"/>
      <c r="E12" s="2"/>
      <c r="H12" s="211" t="s">
        <v>441</v>
      </c>
      <c r="I12" s="210" t="s">
        <v>442</v>
      </c>
      <c r="J12" s="2"/>
    </row>
    <row r="13" spans="1:14" ht="15.75">
      <c r="A13" s="686" t="s">
        <v>443</v>
      </c>
      <c r="B13" s="686"/>
      <c r="C13" s="686"/>
      <c r="D13" s="686"/>
      <c r="E13" s="686"/>
      <c r="F13" s="686"/>
      <c r="G13" s="686"/>
      <c r="H13" s="686"/>
      <c r="I13" s="686"/>
    </row>
    <row r="14" spans="1:14" ht="15.75">
      <c r="A14" s="685" t="s">
        <v>444</v>
      </c>
      <c r="B14" s="685"/>
      <c r="C14" s="685"/>
      <c r="D14" s="685"/>
      <c r="E14" s="685"/>
      <c r="F14" s="685"/>
      <c r="G14" s="685"/>
      <c r="H14" s="685"/>
      <c r="I14" s="685"/>
      <c r="J14" s="685"/>
    </row>
    <row r="23" spans="12:12">
      <c r="L23" s="97"/>
    </row>
  </sheetData>
  <mergeCells count="11">
    <mergeCell ref="A14:J14"/>
    <mergeCell ref="A10:B10"/>
    <mergeCell ref="D10:G10"/>
    <mergeCell ref="F1:G1"/>
    <mergeCell ref="A3:I3"/>
    <mergeCell ref="A4:I4"/>
    <mergeCell ref="A6:A7"/>
    <mergeCell ref="B6:D6"/>
    <mergeCell ref="E6:H6"/>
    <mergeCell ref="I6:I7"/>
    <mergeCell ref="A13:I13"/>
  </mergeCells>
  <pageMargins left="0.5" right="0.5" top="0.75" bottom="0.75" header="0.3" footer="0.3"/>
  <pageSetup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5"/>
  <sheetViews>
    <sheetView topLeftCell="A5" zoomScale="80" zoomScaleNormal="80" workbookViewId="0">
      <selection activeCell="E22" sqref="E22"/>
    </sheetView>
  </sheetViews>
  <sheetFormatPr defaultColWidth="9.140625" defaultRowHeight="15"/>
  <cols>
    <col min="1" max="1" width="36.85546875" customWidth="1"/>
    <col min="2" max="2" width="30.42578125" customWidth="1"/>
    <col min="3" max="3" width="14.5703125" customWidth="1"/>
    <col min="4" max="4" width="12.42578125" customWidth="1"/>
    <col min="5" max="5" width="13.5703125" customWidth="1"/>
    <col min="6" max="6" width="13.42578125" customWidth="1"/>
    <col min="7" max="7" width="9.140625" customWidth="1"/>
    <col min="8" max="8" width="13.85546875" customWidth="1"/>
    <col min="9" max="9" width="18.28515625" customWidth="1"/>
    <col min="10" max="10" width="14.5703125" customWidth="1"/>
    <col min="11" max="11" width="13.140625" customWidth="1"/>
  </cols>
  <sheetData>
    <row r="1" spans="1:14">
      <c r="B1" s="28"/>
      <c r="C1" t="s">
        <v>92</v>
      </c>
      <c r="D1" s="29"/>
      <c r="E1" t="s">
        <v>93</v>
      </c>
      <c r="G1" s="398"/>
      <c r="H1" s="398"/>
      <c r="I1" t="s">
        <v>94</v>
      </c>
      <c r="L1" s="30"/>
      <c r="M1" t="s">
        <v>95</v>
      </c>
    </row>
    <row r="2" spans="1:14">
      <c r="A2" s="2"/>
      <c r="B2" s="2"/>
      <c r="C2" s="2"/>
      <c r="D2" s="2"/>
      <c r="E2" s="2"/>
      <c r="F2" s="2"/>
      <c r="G2" s="2"/>
      <c r="H2" s="2"/>
      <c r="I2" s="2"/>
      <c r="J2" s="2"/>
    </row>
    <row r="3" spans="1:14" ht="15" customHeight="1">
      <c r="A3" s="677" t="s">
        <v>445</v>
      </c>
      <c r="B3" s="677"/>
      <c r="C3" s="677"/>
      <c r="D3" s="677"/>
      <c r="E3" s="677"/>
      <c r="F3" s="677"/>
      <c r="G3" s="677"/>
      <c r="H3" s="677"/>
      <c r="I3" s="677"/>
      <c r="J3" s="677"/>
      <c r="K3" s="22"/>
    </row>
    <row r="4" spans="1:14" ht="29.1" customHeight="1">
      <c r="A4" s="678" t="s">
        <v>446</v>
      </c>
      <c r="B4" s="678"/>
      <c r="C4" s="678"/>
      <c r="D4" s="678"/>
      <c r="E4" s="678"/>
      <c r="F4" s="678"/>
      <c r="G4" s="678"/>
      <c r="H4" s="678"/>
      <c r="I4" s="678"/>
      <c r="J4" s="678"/>
      <c r="K4" s="23"/>
    </row>
    <row r="5" spans="1:14">
      <c r="A5" s="332" t="s">
        <v>123</v>
      </c>
      <c r="B5" s="332" t="s">
        <v>127</v>
      </c>
      <c r="C5" s="332" t="s">
        <v>129</v>
      </c>
      <c r="D5" s="334" t="s">
        <v>125</v>
      </c>
      <c r="E5" s="334" t="s">
        <v>137</v>
      </c>
      <c r="F5" s="334" t="s">
        <v>171</v>
      </c>
      <c r="G5" s="334" t="s">
        <v>173</v>
      </c>
      <c r="H5" s="334" t="s">
        <v>175</v>
      </c>
      <c r="I5" s="334" t="s">
        <v>176</v>
      </c>
      <c r="J5" s="334" t="s">
        <v>212</v>
      </c>
      <c r="K5" s="2"/>
    </row>
    <row r="6" spans="1:14">
      <c r="A6" s="620" t="s">
        <v>297</v>
      </c>
      <c r="B6" s="620" t="s">
        <v>447</v>
      </c>
      <c r="C6" s="679" t="s">
        <v>425</v>
      </c>
      <c r="D6" s="679"/>
      <c r="E6" s="679"/>
      <c r="F6" s="680" t="s">
        <v>395</v>
      </c>
      <c r="G6" s="680"/>
      <c r="H6" s="680"/>
      <c r="I6" s="680"/>
      <c r="J6" s="621" t="s">
        <v>396</v>
      </c>
      <c r="K6" s="2"/>
    </row>
    <row r="7" spans="1:14" ht="39" customHeight="1">
      <c r="A7" s="620"/>
      <c r="B7" s="620"/>
      <c r="C7" s="335" t="s">
        <v>448</v>
      </c>
      <c r="D7" s="335" t="s">
        <v>374</v>
      </c>
      <c r="E7" s="332" t="s">
        <v>399</v>
      </c>
      <c r="F7" s="332" t="s">
        <v>400</v>
      </c>
      <c r="G7" s="334" t="s">
        <v>449</v>
      </c>
      <c r="H7" s="334" t="s">
        <v>437</v>
      </c>
      <c r="I7" s="334" t="s">
        <v>220</v>
      </c>
      <c r="J7" s="621"/>
      <c r="K7" s="2"/>
    </row>
    <row r="8" spans="1:14" ht="36" customHeight="1">
      <c r="A8" s="98"/>
      <c r="B8" s="195" t="s">
        <v>403</v>
      </c>
      <c r="C8" s="196"/>
      <c r="D8" s="212" t="s">
        <v>404</v>
      </c>
      <c r="E8" s="197" t="e">
        <f>C8*D8</f>
        <v>#VALUE!</v>
      </c>
      <c r="F8" s="206" t="s">
        <v>405</v>
      </c>
      <c r="G8" s="206" t="s">
        <v>406</v>
      </c>
      <c r="H8" s="76"/>
      <c r="I8" s="77" t="e">
        <f>G8*H8</f>
        <v>#VALUE!</v>
      </c>
      <c r="J8" s="78"/>
      <c r="K8" s="2"/>
    </row>
    <row r="9" spans="1:14" ht="36" customHeight="1">
      <c r="A9" s="110"/>
      <c r="B9" s="199"/>
      <c r="C9" s="112"/>
      <c r="D9" s="200"/>
      <c r="E9" s="112"/>
      <c r="F9" s="206" t="s">
        <v>405</v>
      </c>
      <c r="G9" s="206" t="s">
        <v>406</v>
      </c>
      <c r="H9" s="76"/>
      <c r="I9" s="77" t="e">
        <f>G9*H9</f>
        <v>#VALUE!</v>
      </c>
      <c r="J9" s="78"/>
      <c r="K9" s="2"/>
      <c r="N9" s="231" t="s">
        <v>450</v>
      </c>
    </row>
    <row r="10" spans="1:14" ht="43.5" customHeight="1">
      <c r="A10" s="688" t="s">
        <v>451</v>
      </c>
      <c r="B10" s="688"/>
      <c r="C10" s="688"/>
      <c r="D10" s="689"/>
      <c r="E10" s="675" t="s">
        <v>407</v>
      </c>
      <c r="F10" s="675"/>
      <c r="G10" s="675"/>
      <c r="H10" s="676"/>
      <c r="I10" s="207" t="s">
        <v>408</v>
      </c>
      <c r="J10" s="208" t="s">
        <v>452</v>
      </c>
      <c r="K10" s="2"/>
    </row>
    <row r="11" spans="1:14" ht="15" customHeight="1">
      <c r="A11" s="687" t="s">
        <v>453</v>
      </c>
      <c r="B11" s="687"/>
      <c r="C11" s="687"/>
      <c r="D11" s="687"/>
      <c r="E11" s="687"/>
      <c r="F11" s="687"/>
      <c r="G11" s="2"/>
      <c r="H11" s="75"/>
      <c r="I11" s="72" t="s">
        <v>411</v>
      </c>
      <c r="J11" s="223"/>
      <c r="K11" s="2"/>
    </row>
    <row r="12" spans="1:14">
      <c r="A12" s="687"/>
      <c r="B12" s="687"/>
      <c r="C12" s="687"/>
      <c r="D12" s="687"/>
      <c r="E12" s="687"/>
      <c r="F12" s="687"/>
      <c r="I12" s="311" t="s">
        <v>413</v>
      </c>
      <c r="J12" s="209" t="s">
        <v>454</v>
      </c>
      <c r="K12" s="2"/>
    </row>
    <row r="13" spans="1:14">
      <c r="A13" s="2"/>
      <c r="B13" s="2"/>
      <c r="C13" s="2"/>
      <c r="D13" s="2"/>
      <c r="E13" s="2"/>
      <c r="F13" s="2"/>
      <c r="G13" s="2"/>
      <c r="H13" s="99"/>
      <c r="I13" s="99"/>
      <c r="J13" s="223"/>
    </row>
    <row r="14" spans="1:14">
      <c r="A14" s="114"/>
      <c r="B14" s="321" t="s">
        <v>455</v>
      </c>
      <c r="C14" s="2"/>
      <c r="D14" s="2"/>
      <c r="E14" s="2"/>
      <c r="F14" s="2"/>
      <c r="G14" s="2"/>
      <c r="H14" s="2"/>
      <c r="I14" s="2"/>
      <c r="J14" s="2"/>
    </row>
    <row r="15" spans="1:14">
      <c r="A15" s="213" t="s">
        <v>456</v>
      </c>
      <c r="B15" s="327" t="s">
        <v>457</v>
      </c>
      <c r="C15" s="2"/>
      <c r="D15" s="2"/>
      <c r="E15" s="2"/>
      <c r="F15" s="2"/>
      <c r="G15" s="2"/>
      <c r="H15" s="2"/>
      <c r="I15" s="2"/>
      <c r="J15" s="2"/>
    </row>
    <row r="16" spans="1:14">
      <c r="A16" s="152"/>
      <c r="B16" s="327" t="s">
        <v>458</v>
      </c>
    </row>
    <row r="17" spans="1:2">
      <c r="A17" s="152"/>
      <c r="B17" s="327" t="s">
        <v>459</v>
      </c>
    </row>
    <row r="18" spans="1:2">
      <c r="A18" s="152"/>
      <c r="B18" s="327" t="s">
        <v>460</v>
      </c>
    </row>
    <row r="19" spans="1:2">
      <c r="A19" s="213" t="s">
        <v>456</v>
      </c>
      <c r="B19" s="327" t="s">
        <v>461</v>
      </c>
    </row>
    <row r="20" spans="1:2">
      <c r="A20" s="152"/>
      <c r="B20" s="327" t="s">
        <v>462</v>
      </c>
    </row>
    <row r="21" spans="1:2">
      <c r="A21" s="152"/>
      <c r="B21" s="327" t="s">
        <v>463</v>
      </c>
    </row>
    <row r="22" spans="1:2">
      <c r="A22" s="213" t="s">
        <v>464</v>
      </c>
      <c r="B22" s="327" t="s">
        <v>465</v>
      </c>
    </row>
    <row r="23" spans="1:2">
      <c r="A23" s="152"/>
      <c r="B23" s="327" t="s">
        <v>466</v>
      </c>
    </row>
    <row r="24" spans="1:2" ht="29.25" customHeight="1">
      <c r="A24" s="213" t="s">
        <v>467</v>
      </c>
      <c r="B24" s="134" t="s">
        <v>468</v>
      </c>
    </row>
    <row r="25" spans="1:2" ht="25.5">
      <c r="A25" s="280" t="s">
        <v>456</v>
      </c>
      <c r="B25" s="328" t="s">
        <v>469</v>
      </c>
    </row>
  </sheetData>
  <mergeCells count="11">
    <mergeCell ref="A11:F12"/>
    <mergeCell ref="E10:H10"/>
    <mergeCell ref="G1:H1"/>
    <mergeCell ref="A3:J3"/>
    <mergeCell ref="A4:J4"/>
    <mergeCell ref="A6:A7"/>
    <mergeCell ref="B6:B7"/>
    <mergeCell ref="C6:E6"/>
    <mergeCell ref="F6:I6"/>
    <mergeCell ref="J6:J7"/>
    <mergeCell ref="A10:D10"/>
  </mergeCells>
  <pageMargins left="0.5" right="0.5" top="0.75" bottom="0.75" header="0.3" footer="0.3"/>
  <pageSetup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
  <sheetViews>
    <sheetView zoomScale="90" zoomScaleNormal="90" workbookViewId="0">
      <selection activeCell="M20" sqref="M20"/>
    </sheetView>
  </sheetViews>
  <sheetFormatPr defaultColWidth="9.140625" defaultRowHeight="12.75"/>
  <cols>
    <col min="1" max="1" width="23.5703125" style="13" customWidth="1"/>
    <col min="2" max="2" width="36.28515625" style="13" customWidth="1"/>
    <col min="3" max="3" width="8.140625" style="13" customWidth="1"/>
    <col min="4" max="4" width="4" style="13" customWidth="1"/>
    <col min="5" max="5" width="14" style="13" customWidth="1"/>
    <col min="6" max="6" width="1.85546875" style="13" customWidth="1"/>
    <col min="7" max="7" width="6.85546875" style="13" customWidth="1"/>
    <col min="8" max="8" width="4.85546875" style="13" customWidth="1"/>
    <col min="9" max="9" width="0.7109375" style="13" hidden="1" customWidth="1"/>
    <col min="10" max="10" width="15.85546875" style="13" customWidth="1"/>
    <col min="11" max="11" width="9.7109375" style="13" customWidth="1"/>
    <col min="12" max="12" width="10.140625" style="13" customWidth="1"/>
    <col min="13" max="16384" width="9.140625" style="12"/>
  </cols>
  <sheetData>
    <row r="1" spans="1:17" customFormat="1" ht="15">
      <c r="A1" s="28"/>
      <c r="B1" t="s">
        <v>92</v>
      </c>
      <c r="C1" s="29"/>
      <c r="D1" t="s">
        <v>93</v>
      </c>
      <c r="F1" s="398"/>
      <c r="G1" s="398"/>
      <c r="H1" t="s">
        <v>94</v>
      </c>
      <c r="K1" s="30"/>
      <c r="L1" t="s">
        <v>95</v>
      </c>
    </row>
    <row r="2" spans="1:17" ht="15" customHeight="1"/>
    <row r="3" spans="1:17" ht="15" customHeight="1">
      <c r="A3" s="511" t="s">
        <v>470</v>
      </c>
      <c r="B3" s="511"/>
      <c r="C3" s="511"/>
      <c r="D3" s="511"/>
      <c r="E3" s="511"/>
      <c r="F3" s="511"/>
      <c r="G3" s="511"/>
      <c r="H3" s="511"/>
      <c r="I3" s="511"/>
      <c r="J3" s="511"/>
      <c r="K3" s="511"/>
      <c r="L3" s="511"/>
    </row>
    <row r="4" spans="1:17" ht="50.1" customHeight="1">
      <c r="A4" s="512" t="s">
        <v>471</v>
      </c>
      <c r="B4" s="513"/>
      <c r="C4" s="513"/>
      <c r="D4" s="513"/>
      <c r="E4" s="513"/>
      <c r="F4" s="513"/>
      <c r="G4" s="513"/>
      <c r="H4" s="513"/>
      <c r="I4" s="513"/>
      <c r="J4" s="513"/>
      <c r="K4" s="513"/>
      <c r="L4" s="513"/>
      <c r="N4" s="131"/>
    </row>
    <row r="5" spans="1:17" ht="16.5" customHeight="1">
      <c r="A5" s="694" t="s">
        <v>472</v>
      </c>
      <c r="B5" s="694"/>
      <c r="C5" s="694"/>
      <c r="D5" s="694"/>
      <c r="E5" s="694"/>
      <c r="F5" s="694"/>
      <c r="G5" s="694"/>
      <c r="H5" s="694"/>
      <c r="I5" s="694"/>
      <c r="J5" s="694"/>
      <c r="K5" s="694"/>
      <c r="L5" s="694"/>
    </row>
    <row r="6" spans="1:17" ht="16.5" customHeight="1">
      <c r="A6" s="329" t="s">
        <v>123</v>
      </c>
      <c r="B6" s="329" t="s">
        <v>127</v>
      </c>
      <c r="C6" s="690" t="s">
        <v>129</v>
      </c>
      <c r="D6" s="691"/>
      <c r="E6" s="329" t="s">
        <v>125</v>
      </c>
      <c r="F6" s="690" t="s">
        <v>137</v>
      </c>
      <c r="G6" s="692"/>
      <c r="H6" s="692"/>
      <c r="I6" s="692"/>
      <c r="J6" s="105" t="s">
        <v>171</v>
      </c>
      <c r="K6" s="690" t="s">
        <v>173</v>
      </c>
      <c r="L6" s="691"/>
    </row>
    <row r="7" spans="1:17" ht="24" customHeight="1">
      <c r="A7" s="695" t="s">
        <v>213</v>
      </c>
      <c r="B7" s="695" t="s">
        <v>214</v>
      </c>
      <c r="C7" s="696" t="s">
        <v>473</v>
      </c>
      <c r="D7" s="697"/>
      <c r="E7" s="695" t="s">
        <v>216</v>
      </c>
      <c r="F7" s="696" t="s">
        <v>474</v>
      </c>
      <c r="G7" s="700"/>
      <c r="H7" s="700"/>
      <c r="I7" s="700"/>
      <c r="J7" s="557" t="s">
        <v>475</v>
      </c>
      <c r="K7" s="701" t="s">
        <v>222</v>
      </c>
      <c r="L7" s="702"/>
      <c r="P7" s="56"/>
      <c r="Q7" s="56"/>
    </row>
    <row r="8" spans="1:17" ht="15" customHeight="1">
      <c r="A8" s="695"/>
      <c r="B8" s="695"/>
      <c r="C8" s="698"/>
      <c r="D8" s="699"/>
      <c r="E8" s="695"/>
      <c r="F8" s="696"/>
      <c r="G8" s="700"/>
      <c r="H8" s="700"/>
      <c r="I8" s="700"/>
      <c r="J8" s="557"/>
      <c r="K8" s="94" t="s">
        <v>223</v>
      </c>
      <c r="L8" s="94" t="s">
        <v>224</v>
      </c>
    </row>
    <row r="9" spans="1:17" s="55" customFormat="1" ht="32.25" customHeight="1">
      <c r="A9" s="337"/>
      <c r="B9" s="337"/>
      <c r="C9" s="693"/>
      <c r="D9" s="693"/>
      <c r="E9" s="214" t="s">
        <v>226</v>
      </c>
      <c r="F9" s="501"/>
      <c r="G9" s="501"/>
      <c r="H9" s="501"/>
      <c r="I9" s="502"/>
      <c r="J9" s="113">
        <f>C9*F9</f>
        <v>0</v>
      </c>
      <c r="K9" s="69" t="s">
        <v>227</v>
      </c>
      <c r="L9" s="69" t="s">
        <v>227</v>
      </c>
    </row>
    <row r="10" spans="1:17" ht="18.75" customHeight="1">
      <c r="A10" s="121"/>
      <c r="B10" s="121"/>
      <c r="C10" s="121"/>
      <c r="D10" s="121"/>
      <c r="E10" s="173"/>
      <c r="F10" s="173"/>
      <c r="G10" s="173"/>
      <c r="H10" s="215" t="s">
        <v>476</v>
      </c>
      <c r="I10" s="173"/>
      <c r="J10" s="216" t="s">
        <v>477</v>
      </c>
      <c r="K10" s="116"/>
      <c r="L10" s="117"/>
    </row>
    <row r="11" spans="1:17" ht="18.75" customHeight="1">
      <c r="A11" s="122"/>
      <c r="B11" s="281"/>
      <c r="C11" s="281"/>
      <c r="D11" s="281"/>
      <c r="E11" s="282"/>
      <c r="F11" s="282"/>
      <c r="G11" s="282"/>
      <c r="H11" s="283" t="s">
        <v>478</v>
      </c>
      <c r="I11" s="70"/>
      <c r="J11" s="118"/>
      <c r="K11" s="119"/>
      <c r="L11" s="120"/>
    </row>
    <row r="12" spans="1:17" ht="18.75" customHeight="1">
      <c r="A12" s="703" t="s">
        <v>230</v>
      </c>
      <c r="B12" s="704"/>
      <c r="C12" s="704"/>
      <c r="D12" s="704"/>
      <c r="E12" s="704"/>
      <c r="F12" s="704"/>
      <c r="G12" s="704"/>
      <c r="H12" s="704"/>
      <c r="I12" s="704"/>
      <c r="J12" s="704"/>
      <c r="K12" s="704"/>
      <c r="L12" s="705"/>
    </row>
    <row r="13" spans="1:17" ht="18.75" customHeight="1">
      <c r="A13" s="706" t="s">
        <v>479</v>
      </c>
      <c r="B13" s="707"/>
      <c r="C13" s="707"/>
      <c r="D13" s="707"/>
      <c r="E13" s="707"/>
      <c r="F13" s="707"/>
      <c r="G13" s="707"/>
      <c r="H13" s="707"/>
      <c r="I13" s="707"/>
      <c r="J13" s="707"/>
      <c r="K13" s="707"/>
      <c r="L13" s="708"/>
    </row>
    <row r="14" spans="1:17" ht="72">
      <c r="A14" s="187" t="s">
        <v>232</v>
      </c>
      <c r="B14" s="710" t="s">
        <v>233</v>
      </c>
      <c r="C14" s="711"/>
      <c r="D14" s="711"/>
      <c r="E14" s="711"/>
      <c r="F14" s="711"/>
      <c r="G14" s="711"/>
      <c r="H14" s="711"/>
      <c r="I14" s="711"/>
      <c r="J14" s="711"/>
      <c r="K14" s="711"/>
      <c r="L14" s="712"/>
      <c r="M14" s="123"/>
      <c r="N14" s="123"/>
      <c r="O14" s="123"/>
    </row>
    <row r="15" spans="1:17" ht="17.25" customHeight="1">
      <c r="A15" s="284" t="s">
        <v>480</v>
      </c>
      <c r="B15" s="285"/>
      <c r="C15" s="285"/>
      <c r="D15" s="285"/>
      <c r="E15" s="285"/>
      <c r="F15" s="285"/>
      <c r="G15" s="285"/>
      <c r="H15" s="273"/>
      <c r="I15" s="273"/>
      <c r="J15" s="286"/>
      <c r="K15" s="286"/>
      <c r="L15" s="287"/>
      <c r="O15" s="57"/>
      <c r="P15" s="57"/>
    </row>
    <row r="16" spans="1:17" ht="21.6" customHeight="1">
      <c r="A16" s="709" t="s">
        <v>481</v>
      </c>
      <c r="B16" s="709"/>
      <c r="C16" s="709"/>
      <c r="D16" s="709"/>
      <c r="E16" s="709"/>
      <c r="F16" s="709"/>
      <c r="G16" s="709"/>
      <c r="H16" s="709"/>
      <c r="I16" s="709"/>
      <c r="J16" s="709"/>
      <c r="K16" s="709"/>
      <c r="L16" s="709"/>
    </row>
    <row r="17" spans="1:17" ht="12.75" customHeight="1">
      <c r="E17" s="488" t="s">
        <v>238</v>
      </c>
    </row>
    <row r="18" spans="1:17" ht="24.75" customHeight="1">
      <c r="E18" s="488"/>
      <c r="L18" s="12"/>
    </row>
    <row r="19" spans="1:17">
      <c r="E19" s="54" t="s">
        <v>241</v>
      </c>
      <c r="L19" s="12"/>
    </row>
    <row r="20" spans="1:17" s="13" customFormat="1" ht="15">
      <c r="E20" s="54" t="s">
        <v>245</v>
      </c>
      <c r="M20" s="12"/>
      <c r="N20" s="12"/>
      <c r="O20" s="12"/>
      <c r="P20" s="12"/>
      <c r="Q20" s="12"/>
    </row>
    <row r="21" spans="1:17" s="13" customFormat="1">
      <c r="E21" s="54" t="s">
        <v>248</v>
      </c>
      <c r="M21" s="12"/>
      <c r="N21" s="12"/>
      <c r="O21" s="12"/>
      <c r="P21" s="12"/>
      <c r="Q21" s="12"/>
    </row>
    <row r="22" spans="1:17">
      <c r="A22" s="93"/>
    </row>
    <row r="23" spans="1:17">
      <c r="A23" s="93"/>
    </row>
    <row r="24" spans="1:17">
      <c r="A24" s="93"/>
    </row>
  </sheetData>
  <mergeCells count="21">
    <mergeCell ref="E17:E18"/>
    <mergeCell ref="A3:L3"/>
    <mergeCell ref="A4:L4"/>
    <mergeCell ref="A5:L5"/>
    <mergeCell ref="K6:L6"/>
    <mergeCell ref="A7:A8"/>
    <mergeCell ref="B7:B8"/>
    <mergeCell ref="C7:D8"/>
    <mergeCell ref="E7:E8"/>
    <mergeCell ref="F7:I8"/>
    <mergeCell ref="J7:J8"/>
    <mergeCell ref="K7:L7"/>
    <mergeCell ref="A12:L12"/>
    <mergeCell ref="A13:L13"/>
    <mergeCell ref="A16:L16"/>
    <mergeCell ref="B14:L14"/>
    <mergeCell ref="F1:G1"/>
    <mergeCell ref="C6:D6"/>
    <mergeCell ref="F6:I6"/>
    <mergeCell ref="C9:D9"/>
    <mergeCell ref="F9:I9"/>
  </mergeCells>
  <pageMargins left="0.5" right="0.5" top="0.75" bottom="0.75" header="0.3" footer="0.3"/>
  <pageSetup orientation="landscape" horizontalDpi="1200" verticalDpi="1200"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5"/>
  <sheetViews>
    <sheetView zoomScale="90" zoomScaleNormal="90" workbookViewId="0">
      <selection activeCell="D15" sqref="D15"/>
    </sheetView>
  </sheetViews>
  <sheetFormatPr defaultColWidth="9.140625" defaultRowHeight="15"/>
  <cols>
    <col min="1" max="1" width="10.85546875" customWidth="1"/>
    <col min="2"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28"/>
      <c r="B1" t="s">
        <v>92</v>
      </c>
      <c r="D1" s="29"/>
      <c r="E1" t="s">
        <v>93</v>
      </c>
      <c r="G1" s="398"/>
      <c r="H1" s="398"/>
      <c r="I1" t="s">
        <v>94</v>
      </c>
      <c r="L1" s="30"/>
      <c r="M1" t="s">
        <v>95</v>
      </c>
    </row>
    <row r="2" spans="1:13">
      <c r="A2" s="2"/>
      <c r="B2" s="2"/>
      <c r="C2" s="2"/>
      <c r="D2" s="2"/>
      <c r="E2" s="2"/>
      <c r="F2" s="2"/>
      <c r="G2" s="2"/>
      <c r="H2" s="2"/>
      <c r="I2" s="2"/>
      <c r="J2" s="2"/>
      <c r="K2" s="2"/>
    </row>
    <row r="3" spans="1:13" ht="15" customHeight="1">
      <c r="A3" s="713" t="s">
        <v>482</v>
      </c>
      <c r="B3" s="714"/>
      <c r="C3" s="714"/>
      <c r="D3" s="714"/>
      <c r="E3" s="715"/>
      <c r="F3" s="82"/>
      <c r="G3" s="82"/>
      <c r="H3" s="82"/>
      <c r="I3" s="82"/>
      <c r="J3" s="82"/>
      <c r="K3" s="82"/>
    </row>
    <row r="4" spans="1:13" ht="45" customHeight="1">
      <c r="A4" s="716" t="s">
        <v>483</v>
      </c>
      <c r="B4" s="717"/>
      <c r="C4" s="717"/>
      <c r="D4" s="717"/>
      <c r="E4" s="718"/>
      <c r="F4" s="81"/>
      <c r="G4" s="81"/>
      <c r="H4" s="81"/>
      <c r="I4" s="81"/>
      <c r="J4" s="81"/>
      <c r="K4" s="81"/>
    </row>
    <row r="5" spans="1:13">
      <c r="A5" s="719" t="s">
        <v>484</v>
      </c>
      <c r="B5" s="719" t="s">
        <v>485</v>
      </c>
      <c r="C5" s="719" t="s">
        <v>486</v>
      </c>
      <c r="D5" s="719" t="s">
        <v>222</v>
      </c>
      <c r="E5" s="719"/>
      <c r="F5" s="2"/>
      <c r="G5" s="2"/>
      <c r="H5" s="2"/>
      <c r="I5" s="2"/>
      <c r="J5" s="2"/>
      <c r="K5" s="2"/>
    </row>
    <row r="6" spans="1:13">
      <c r="A6" s="719"/>
      <c r="B6" s="719"/>
      <c r="C6" s="719"/>
      <c r="D6" s="338" t="s">
        <v>223</v>
      </c>
      <c r="E6" s="338" t="s">
        <v>224</v>
      </c>
      <c r="F6" s="2"/>
      <c r="G6" s="2"/>
      <c r="H6" s="2"/>
      <c r="I6" s="2"/>
      <c r="J6" s="2"/>
      <c r="K6" s="2"/>
    </row>
    <row r="7" spans="1:13" ht="22.5" customHeight="1">
      <c r="A7" s="84" t="s">
        <v>487</v>
      </c>
      <c r="B7" s="86" t="s">
        <v>488</v>
      </c>
      <c r="C7" s="314" t="s">
        <v>489</v>
      </c>
      <c r="D7" s="83" t="s">
        <v>227</v>
      </c>
      <c r="E7" s="83" t="s">
        <v>227</v>
      </c>
      <c r="F7" s="2"/>
      <c r="G7" s="2"/>
      <c r="H7" s="2"/>
      <c r="I7" s="2"/>
      <c r="J7" s="2"/>
      <c r="K7" s="2"/>
    </row>
    <row r="8" spans="1:13">
      <c r="A8" s="2"/>
      <c r="B8" s="2"/>
      <c r="C8" s="2"/>
      <c r="D8" s="2"/>
      <c r="E8" s="2"/>
      <c r="F8" s="2"/>
      <c r="G8" s="2"/>
      <c r="H8" s="2"/>
      <c r="I8" s="2"/>
      <c r="J8" s="2"/>
      <c r="K8" s="2"/>
    </row>
    <row r="9" spans="1:13">
      <c r="A9" s="2"/>
      <c r="B9" s="2"/>
      <c r="C9" s="2"/>
      <c r="D9" s="2"/>
      <c r="E9" s="2"/>
      <c r="F9" s="2"/>
      <c r="G9" s="2"/>
      <c r="H9" s="2"/>
      <c r="I9" s="2"/>
      <c r="J9" s="2"/>
      <c r="K9" s="2"/>
    </row>
    <row r="10" spans="1:13">
      <c r="C10" t="s">
        <v>169</v>
      </c>
    </row>
    <row r="15" spans="1:13">
      <c r="C15" s="21"/>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1499-99A4-44BF-8165-DB55707B4F68}">
  <dimension ref="A1:M15"/>
  <sheetViews>
    <sheetView zoomScale="90" zoomScaleNormal="90" workbookViewId="0">
      <selection activeCell="C18" sqref="C18"/>
    </sheetView>
  </sheetViews>
  <sheetFormatPr defaultColWidth="9.140625" defaultRowHeight="15"/>
  <cols>
    <col min="1" max="1" width="10.85546875" customWidth="1"/>
    <col min="2"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28"/>
      <c r="B1" t="s">
        <v>92</v>
      </c>
      <c r="D1" s="29"/>
      <c r="E1" t="s">
        <v>93</v>
      </c>
      <c r="G1" s="398"/>
      <c r="H1" s="398"/>
      <c r="I1" t="s">
        <v>94</v>
      </c>
      <c r="L1" s="30"/>
      <c r="M1" t="s">
        <v>95</v>
      </c>
    </row>
    <row r="2" spans="1:13">
      <c r="A2" s="2"/>
      <c r="B2" s="2"/>
      <c r="C2" s="2"/>
      <c r="D2" s="2"/>
      <c r="E2" s="2"/>
      <c r="F2" s="2"/>
      <c r="G2" s="2"/>
      <c r="H2" s="2"/>
      <c r="I2" s="2"/>
      <c r="J2" s="2"/>
      <c r="K2" s="2"/>
    </row>
    <row r="3" spans="1:13" ht="15" customHeight="1">
      <c r="A3" s="713" t="s">
        <v>482</v>
      </c>
      <c r="B3" s="714"/>
      <c r="C3" s="714"/>
      <c r="D3" s="714"/>
      <c r="E3" s="715"/>
      <c r="F3" s="82"/>
      <c r="G3" s="82"/>
      <c r="H3" s="82"/>
      <c r="I3" s="82"/>
      <c r="J3" s="82"/>
      <c r="K3" s="82"/>
    </row>
    <row r="4" spans="1:13" ht="45" customHeight="1">
      <c r="A4" s="716" t="s">
        <v>490</v>
      </c>
      <c r="B4" s="717"/>
      <c r="C4" s="717"/>
      <c r="D4" s="717"/>
      <c r="E4" s="718"/>
      <c r="F4" s="81"/>
      <c r="G4" s="81"/>
      <c r="H4" s="81"/>
      <c r="I4" s="81"/>
      <c r="J4" s="81"/>
      <c r="K4" s="81"/>
    </row>
    <row r="5" spans="1:13">
      <c r="A5" s="719" t="s">
        <v>484</v>
      </c>
      <c r="B5" s="719" t="s">
        <v>485</v>
      </c>
      <c r="C5" s="719" t="s">
        <v>486</v>
      </c>
      <c r="D5" s="719" t="s">
        <v>222</v>
      </c>
      <c r="E5" s="719"/>
      <c r="F5" s="2"/>
      <c r="G5" s="2"/>
      <c r="H5" s="2"/>
      <c r="I5" s="2"/>
      <c r="J5" s="2"/>
      <c r="K5" s="2"/>
    </row>
    <row r="6" spans="1:13">
      <c r="A6" s="719"/>
      <c r="B6" s="719"/>
      <c r="C6" s="719"/>
      <c r="D6" s="338" t="s">
        <v>223</v>
      </c>
      <c r="E6" s="338" t="s">
        <v>224</v>
      </c>
      <c r="F6" s="2"/>
      <c r="G6" s="2"/>
      <c r="H6" s="2"/>
      <c r="I6" s="2"/>
      <c r="J6" s="2"/>
      <c r="K6" s="2"/>
    </row>
    <row r="7" spans="1:13" ht="22.5" customHeight="1">
      <c r="A7" s="84" t="s">
        <v>487</v>
      </c>
      <c r="B7" s="86" t="s">
        <v>488</v>
      </c>
      <c r="C7" s="288" t="s">
        <v>491</v>
      </c>
      <c r="D7" s="83" t="s">
        <v>227</v>
      </c>
      <c r="E7" s="83" t="s">
        <v>227</v>
      </c>
      <c r="F7" s="2"/>
      <c r="G7" s="2"/>
      <c r="H7" s="2"/>
      <c r="I7" s="2"/>
      <c r="J7" s="2"/>
      <c r="K7" s="2"/>
    </row>
    <row r="8" spans="1:13">
      <c r="A8" s="2"/>
      <c r="B8" s="2"/>
      <c r="C8" s="2"/>
      <c r="D8" s="2"/>
      <c r="E8" s="2"/>
      <c r="F8" s="2"/>
      <c r="G8" s="2"/>
      <c r="H8" s="2"/>
      <c r="I8" s="2"/>
      <c r="J8" s="2"/>
      <c r="K8" s="2"/>
    </row>
    <row r="9" spans="1:13">
      <c r="A9" s="2"/>
      <c r="B9" s="2"/>
      <c r="C9" s="2"/>
      <c r="D9" s="2"/>
      <c r="E9" s="2"/>
      <c r="F9" s="2"/>
      <c r="G9" s="2"/>
      <c r="H9" s="2"/>
      <c r="I9" s="2"/>
      <c r="J9" s="2"/>
      <c r="K9" s="2"/>
    </row>
    <row r="15" spans="1:13">
      <c r="C15" s="21"/>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3"/>
  <sheetViews>
    <sheetView zoomScale="90" zoomScaleNormal="90" workbookViewId="0">
      <selection activeCell="C10" sqref="C10"/>
    </sheetView>
  </sheetViews>
  <sheetFormatPr defaultColWidth="9.140625" defaultRowHeight="15"/>
  <cols>
    <col min="1" max="1" width="10.85546875" customWidth="1"/>
    <col min="2" max="2" width="10.7109375" customWidth="1"/>
    <col min="3" max="3" width="77" customWidth="1"/>
    <col min="4" max="4" width="27.28515625" customWidth="1"/>
    <col min="5" max="5" width="10.7109375" customWidth="1"/>
    <col min="6" max="6" width="11" customWidth="1"/>
    <col min="7" max="7" width="12.7109375" customWidth="1"/>
    <col min="8" max="8" width="4.7109375" customWidth="1"/>
    <col min="9" max="9" width="3.7109375" customWidth="1"/>
    <col min="10" max="10" width="25.7109375" customWidth="1"/>
    <col min="11" max="11" width="3.7109375" customWidth="1"/>
    <col min="12" max="12" width="24.7109375" customWidth="1"/>
  </cols>
  <sheetData>
    <row r="1" spans="1:14">
      <c r="A1" s="28"/>
      <c r="B1" t="s">
        <v>92</v>
      </c>
      <c r="E1" s="29"/>
      <c r="F1" t="s">
        <v>93</v>
      </c>
      <c r="H1" s="398"/>
      <c r="I1" s="398"/>
      <c r="J1" t="s">
        <v>94</v>
      </c>
      <c r="M1" s="30"/>
      <c r="N1" t="s">
        <v>95</v>
      </c>
    </row>
    <row r="2" spans="1:14">
      <c r="A2" s="2"/>
      <c r="B2" s="2"/>
      <c r="C2" s="2"/>
      <c r="D2" s="2"/>
      <c r="E2" s="2"/>
      <c r="F2" s="2"/>
      <c r="G2" s="2"/>
      <c r="H2" s="2"/>
      <c r="I2" s="2"/>
      <c r="J2" s="2"/>
      <c r="K2" s="2"/>
      <c r="L2" s="2"/>
    </row>
    <row r="3" spans="1:14" ht="15" customHeight="1">
      <c r="A3" s="431" t="s">
        <v>492</v>
      </c>
      <c r="B3" s="432"/>
      <c r="C3" s="432"/>
      <c r="D3" s="432"/>
      <c r="E3" s="432"/>
      <c r="F3" s="433"/>
      <c r="G3" s="82"/>
      <c r="H3" s="82"/>
      <c r="I3" s="82"/>
      <c r="J3" s="82"/>
      <c r="K3" s="82"/>
      <c r="L3" s="82"/>
    </row>
    <row r="4" spans="1:14" ht="42.95" customHeight="1">
      <c r="A4" s="479" t="s">
        <v>493</v>
      </c>
      <c r="B4" s="480"/>
      <c r="C4" s="480"/>
      <c r="D4" s="480"/>
      <c r="E4" s="480"/>
      <c r="F4" s="481"/>
      <c r="G4" s="81"/>
      <c r="H4" s="81"/>
      <c r="I4" s="81"/>
      <c r="J4" s="81"/>
      <c r="K4" s="81"/>
      <c r="L4" s="81"/>
    </row>
    <row r="5" spans="1:14">
      <c r="A5" s="719" t="s">
        <v>484</v>
      </c>
      <c r="B5" s="719" t="s">
        <v>485</v>
      </c>
      <c r="C5" s="719" t="s">
        <v>486</v>
      </c>
      <c r="D5" s="720" t="s">
        <v>494</v>
      </c>
      <c r="E5" s="719" t="s">
        <v>222</v>
      </c>
      <c r="F5" s="719"/>
      <c r="G5" s="2"/>
      <c r="H5" s="2"/>
      <c r="I5" s="2"/>
      <c r="J5" s="2"/>
      <c r="K5" s="2"/>
      <c r="L5" s="2"/>
    </row>
    <row r="6" spans="1:14">
      <c r="A6" s="719"/>
      <c r="B6" s="719"/>
      <c r="C6" s="719"/>
      <c r="D6" s="721"/>
      <c r="E6" s="338" t="s">
        <v>223</v>
      </c>
      <c r="F6" s="338" t="s">
        <v>224</v>
      </c>
      <c r="G6" s="2"/>
      <c r="H6" s="2"/>
      <c r="I6" s="2"/>
      <c r="J6" s="2"/>
      <c r="K6" s="2"/>
      <c r="L6" s="2"/>
    </row>
    <row r="7" spans="1:14" ht="34.5" customHeight="1">
      <c r="A7" s="84" t="s">
        <v>487</v>
      </c>
      <c r="B7" s="86" t="s">
        <v>488</v>
      </c>
      <c r="C7" s="85" t="s">
        <v>495</v>
      </c>
      <c r="D7" s="289"/>
      <c r="E7" s="83" t="s">
        <v>227</v>
      </c>
      <c r="F7" s="83" t="s">
        <v>227</v>
      </c>
      <c r="G7" s="2"/>
      <c r="H7" s="2"/>
      <c r="I7" s="2"/>
      <c r="J7" s="2"/>
      <c r="K7" s="2"/>
      <c r="L7" s="2"/>
    </row>
    <row r="8" spans="1:14">
      <c r="A8" s="2"/>
      <c r="B8" s="2"/>
      <c r="C8" s="2"/>
      <c r="D8" s="2"/>
      <c r="E8" s="2"/>
      <c r="F8" s="2"/>
      <c r="G8" s="2"/>
      <c r="H8" s="2"/>
      <c r="I8" s="2"/>
      <c r="J8" s="2"/>
      <c r="K8" s="2"/>
      <c r="L8" s="2"/>
    </row>
    <row r="9" spans="1:14">
      <c r="A9" s="2"/>
      <c r="B9" s="2"/>
      <c r="C9" s="2"/>
      <c r="D9" s="2"/>
      <c r="E9" s="2"/>
      <c r="F9" s="2"/>
      <c r="G9" s="2"/>
      <c r="H9" s="2"/>
      <c r="I9" s="2"/>
      <c r="J9" s="2"/>
      <c r="K9" s="2"/>
      <c r="L9" s="2"/>
    </row>
    <row r="10" spans="1:14">
      <c r="A10" s="2"/>
      <c r="B10" s="2"/>
      <c r="C10" s="2"/>
      <c r="D10" s="2"/>
      <c r="E10" s="2"/>
      <c r="F10" s="2"/>
      <c r="G10" s="2"/>
      <c r="H10" s="2"/>
      <c r="I10" s="2"/>
      <c r="J10" s="2"/>
      <c r="K10" s="2"/>
      <c r="L10" s="2"/>
    </row>
    <row r="11" spans="1:14">
      <c r="A11" s="2"/>
      <c r="B11" s="2"/>
      <c r="C11" s="2"/>
      <c r="D11" s="2"/>
      <c r="E11" s="2"/>
      <c r="F11" s="2"/>
      <c r="G11" s="2"/>
      <c r="H11" s="2"/>
      <c r="I11" s="2"/>
      <c r="J11" s="2"/>
      <c r="K11" s="2"/>
      <c r="L11" s="2"/>
    </row>
    <row r="13" spans="1:14">
      <c r="C13" s="21"/>
      <c r="D13" s="21"/>
    </row>
  </sheetData>
  <mergeCells count="8">
    <mergeCell ref="H1:I1"/>
    <mergeCell ref="A3:F3"/>
    <mergeCell ref="A4:F4"/>
    <mergeCell ref="A5:A6"/>
    <mergeCell ref="B5:B6"/>
    <mergeCell ref="C5:C6"/>
    <mergeCell ref="E5:F5"/>
    <mergeCell ref="D5:D6"/>
  </mergeCells>
  <pageMargins left="0.5" right="0.5"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D6D90-CCC9-46D1-9D82-E5EAD984C222}">
  <dimension ref="B1:E15"/>
  <sheetViews>
    <sheetView workbookViewId="0">
      <selection activeCell="E22" sqref="E22"/>
    </sheetView>
  </sheetViews>
  <sheetFormatPr defaultRowHeight="15"/>
  <cols>
    <col min="2" max="2" width="27.5703125" customWidth="1"/>
    <col min="3" max="3" width="26.7109375" customWidth="1"/>
    <col min="4" max="4" width="24.7109375" customWidth="1"/>
    <col min="5" max="5" width="29.5703125" customWidth="1"/>
  </cols>
  <sheetData>
    <row r="1" spans="2:5">
      <c r="B1" s="722" t="s">
        <v>496</v>
      </c>
      <c r="C1" s="723"/>
      <c r="D1" s="723"/>
      <c r="E1" s="724"/>
    </row>
    <row r="2" spans="2:5">
      <c r="B2" s="310" t="s">
        <v>497</v>
      </c>
      <c r="C2" s="310"/>
      <c r="D2" s="310" t="s">
        <v>498</v>
      </c>
      <c r="E2" s="310"/>
    </row>
    <row r="3" spans="2:5">
      <c r="B3" s="310" t="s">
        <v>499</v>
      </c>
      <c r="C3" s="310"/>
      <c r="D3" s="310" t="s">
        <v>500</v>
      </c>
      <c r="E3" s="310"/>
    </row>
    <row r="4" spans="2:5">
      <c r="B4" s="310" t="s">
        <v>501</v>
      </c>
      <c r="C4" s="310"/>
      <c r="D4" s="303" t="s">
        <v>502</v>
      </c>
      <c r="E4" s="310"/>
    </row>
    <row r="5" spans="2:5">
      <c r="B5" s="310" t="s">
        <v>503</v>
      </c>
      <c r="C5" s="310"/>
      <c r="D5" s="310" t="s">
        <v>504</v>
      </c>
      <c r="E5" s="310"/>
    </row>
    <row r="6" spans="2:5" ht="184.5" customHeight="1">
      <c r="B6" s="725" t="s">
        <v>505</v>
      </c>
      <c r="C6" s="726"/>
      <c r="D6" s="726"/>
      <c r="E6" s="727"/>
    </row>
    <row r="7" spans="2:5">
      <c r="B7" s="310" t="s">
        <v>506</v>
      </c>
      <c r="C7" s="310"/>
      <c r="D7" s="310" t="s">
        <v>507</v>
      </c>
      <c r="E7" s="310"/>
    </row>
    <row r="8" spans="2:5" ht="15" customHeight="1">
      <c r="B8" s="300" t="s">
        <v>508</v>
      </c>
      <c r="C8" s="728"/>
      <c r="D8" s="729"/>
      <c r="E8" s="730"/>
    </row>
    <row r="9" spans="2:5">
      <c r="B9" s="310" t="s">
        <v>499</v>
      </c>
      <c r="C9" s="310"/>
      <c r="D9" s="310" t="s">
        <v>509</v>
      </c>
      <c r="E9" s="310"/>
    </row>
    <row r="10" spans="2:5">
      <c r="B10" s="310" t="s">
        <v>501</v>
      </c>
      <c r="C10" s="310"/>
      <c r="D10" s="310" t="s">
        <v>510</v>
      </c>
      <c r="E10" s="310"/>
    </row>
    <row r="11" spans="2:5">
      <c r="B11" s="310" t="s">
        <v>503</v>
      </c>
      <c r="C11" s="310"/>
      <c r="D11" s="310" t="s">
        <v>504</v>
      </c>
      <c r="E11" s="310"/>
    </row>
    <row r="14" spans="2:5">
      <c r="B14" s="46" t="s">
        <v>511</v>
      </c>
    </row>
    <row r="15" spans="2:5">
      <c r="B15" s="2" t="s">
        <v>512</v>
      </c>
    </row>
  </sheetData>
  <mergeCells count="3">
    <mergeCell ref="B1:E1"/>
    <mergeCell ref="B6:E6"/>
    <mergeCell ref="C8:E8"/>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2DFDB3-F86C-458D-A1DE-99A21EC01771}">
  <ds:schemaRefs>
    <ds:schemaRef ds:uri="http://schemas.microsoft.com/sharepoint/v3/contenttype/forms"/>
  </ds:schemaRefs>
</ds:datastoreItem>
</file>

<file path=customXml/itemProps2.xml><?xml version="1.0" encoding="utf-8"?>
<ds:datastoreItem xmlns:ds="http://schemas.openxmlformats.org/officeDocument/2006/customXml" ds:itemID="{BD416D28-1C38-4A6A-93BB-A2A62EAC3BB8}">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3.xml><?xml version="1.0" encoding="utf-8"?>
<ds:datastoreItem xmlns:ds="http://schemas.openxmlformats.org/officeDocument/2006/customXml" ds:itemID="{A17F63B5-C02E-4530-AE18-EB7860CCBE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17</vt:i4>
      </vt:variant>
    </vt:vector>
  </HeadingPairs>
  <TitlesOfParts>
    <vt:vector size="42" baseType="lpstr">
      <vt:lpstr>Change Log</vt:lpstr>
      <vt:lpstr>Table Sequence</vt:lpstr>
      <vt:lpstr>Hyperlinks</vt:lpstr>
      <vt:lpstr>NRCC Headers</vt:lpstr>
      <vt:lpstr>LMCC Headers</vt:lpstr>
      <vt:lpstr>NRCC Footer</vt:lpstr>
      <vt:lpstr>Sheet1</vt:lpstr>
      <vt:lpstr>A. General Info</vt:lpstr>
      <vt:lpstr>B. Project Scope</vt:lpstr>
      <vt:lpstr>C. Compliance</vt:lpstr>
      <vt:lpstr>D. Exceptional Conditions</vt:lpstr>
      <vt:lpstr>E. Additional Remarks</vt:lpstr>
      <vt:lpstr>F. Lighting Schedule</vt:lpstr>
      <vt:lpstr>G. BUG</vt:lpstr>
      <vt:lpstr>H. Lighting Controls</vt:lpstr>
      <vt:lpstr>I. Allowance General </vt:lpstr>
      <vt:lpstr>J. Per Application</vt:lpstr>
      <vt:lpstr>K. Sales Frontage</vt:lpstr>
      <vt:lpstr>L. Ornamental</vt:lpstr>
      <vt:lpstr>M. Per Specific Area</vt:lpstr>
      <vt:lpstr>N. Exist. Cond.</vt:lpstr>
      <vt:lpstr>O. NRCI</vt:lpstr>
      <vt:lpstr>O. LMCI</vt:lpstr>
      <vt:lpstr>P. NRCA</vt:lpstr>
      <vt:lpstr>Signature</vt:lpstr>
      <vt:lpstr>'A. General Info'!Print_Area</vt:lpstr>
      <vt:lpstr>'B. Project Scope'!Print_Area</vt:lpstr>
      <vt:lpstr>'C. Compliance'!Print_Area</vt:lpstr>
      <vt:lpstr>'D. Exceptional Conditions'!Print_Area</vt:lpstr>
      <vt:lpstr>'E. Additional Remarks'!Print_Area</vt:lpstr>
      <vt:lpstr>'G. BUG'!Print_Area</vt:lpstr>
      <vt:lpstr>'H. Lighting Controls'!Print_Area</vt:lpstr>
      <vt:lpstr>'I. Allowance General '!Print_Area</vt:lpstr>
      <vt:lpstr>'J. Per Application'!Print_Area</vt:lpstr>
      <vt:lpstr>'K. Sales Frontage'!Print_Area</vt:lpstr>
      <vt:lpstr>'L. Ornamental'!Print_Area</vt:lpstr>
      <vt:lpstr>'LMCC Headers'!Print_Area</vt:lpstr>
      <vt:lpstr>'M. Per Specific Area'!Print_Area</vt:lpstr>
      <vt:lpstr>'NRCC Headers'!Print_Area</vt:lpstr>
      <vt:lpstr>'O. LMCI'!Print_Area</vt:lpstr>
      <vt:lpstr>'O. NRCI'!Print_Area</vt:lpstr>
      <vt:lpstr>'P. NRCA'!Print_Area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2025-05-08T23:30:54Z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2024-04-26T20:32:15Z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7aa2bd97-01e6-415d-b611-dff6c261e8d9</vt:lpwstr>
  </property>
  <property fmtid="{D5CDD505-2E9C-101B-9397-08002B2CF9AE}" pid="8" name="MSIP_Label_b7864bb8-b671-4bed-ba85-9478127ab5e9_ContentBits">
    <vt:lpwstr>0</vt:lpwstr>
  </property>
  <property fmtid="{D5CDD505-2E9C-101B-9397-08002B2CF9AE}" pid="9" name="ContentTypeId">
    <vt:lpwstr>0x01010061DC9A153AAEEE45BACE06E01F8272AC</vt:lpwstr>
  </property>
  <property fmtid="{D5CDD505-2E9C-101B-9397-08002B2CF9AE}" pid="10" name="MediaServiceImageTags">
    <vt:lpwstr/>
  </property>
</Properties>
</file>