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drawings/drawing6.xml" ContentType="application/vnd.openxmlformats-officedocument.drawing+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comments14.xml" ContentType="application/vnd.openxmlformats-officedocument.spreadsheetml.comments+xml"/>
  <Override PartName="/xl/drawings/drawing9.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15"/>
  <workbookPr showInkAnnotation="0" codeName="ThisWorkbook"/>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30" documentId="13_ncr:1_{45EA955C-7B04-4E72-A13C-EE0234E2A98E}" xr6:coauthVersionLast="47" xr6:coauthVersionMax="47" xr10:uidLastSave="{3280F7A2-6712-42C9-A100-87A09DA89ED2}"/>
  <bookViews>
    <workbookView xWindow="-110" yWindow="-110" windowWidth="19420" windowHeight="10420" tabRatio="942" firstSheet="15" activeTab="27" xr2:uid="{00000000-000D-0000-FFFF-FFFF00000000}"/>
  </bookViews>
  <sheets>
    <sheet name="Change Log" sheetId="113" r:id="rId1"/>
    <sheet name="Table Sequence" sheetId="17" r:id="rId2"/>
    <sheet name="Hyperlinks" sheetId="49" r:id="rId3"/>
    <sheet name="NRCC Headers" sheetId="1" r:id="rId4"/>
    <sheet name="LMCC Headers" sheetId="104" r:id="rId5"/>
    <sheet name="NRCC Footers" sheetId="111" r:id="rId6"/>
    <sheet name="LMCC Footers" sheetId="112" r:id="rId7"/>
    <sheet name="NRCC A. General Info" sheetId="78" r:id="rId8"/>
    <sheet name="LMCC A. General Info" sheetId="105" r:id="rId9"/>
    <sheet name="NRCC B. Project Scope" sheetId="108" r:id="rId10"/>
    <sheet name="LMCC B. Project Scope" sheetId="82" r:id="rId11"/>
    <sheet name="C. Compliance" sheetId="102" r:id="rId12"/>
    <sheet name="D. Exceptional Conditions" sheetId="18" r:id="rId13"/>
    <sheet name="E. Additional Remarks" sheetId="19" r:id="rId14"/>
    <sheet name="F. Roof Assembly Schedule" sheetId="88" r:id="rId15"/>
    <sheet name="G. Rated Cool Roof" sheetId="100" r:id="rId16"/>
    <sheet name="H. Wall Assembly Schedule" sheetId="97" r:id="rId17"/>
    <sheet name="I. Floor Assembly Schedule" sheetId="98" r:id="rId18"/>
    <sheet name="J. Door Schedule" sheetId="99" r:id="rId19"/>
    <sheet name="NRCC K. Fenestration Schedule" sheetId="101" r:id="rId20"/>
    <sheet name="LMCC K. Fenestration Schedule" sheetId="106" r:id="rId21"/>
    <sheet name="L. Daylighting" sheetId="80" r:id="rId22"/>
    <sheet name="M. NRCI" sheetId="52" r:id="rId23"/>
    <sheet name="M. LMCI" sheetId="107" r:id="rId24"/>
    <sheet name="N. NRCA" sheetId="53" r:id="rId25"/>
    <sheet name="O. NRCV" sheetId="103" r:id="rId26"/>
    <sheet name="O. LMCV" sheetId="110" r:id="rId27"/>
    <sheet name="Signature" sheetId="114" r:id="rId28"/>
  </sheets>
  <externalReferences>
    <externalReference r:id="rId29"/>
    <externalReference r:id="rId30"/>
  </externalReferences>
  <definedNames>
    <definedName name="CalcMethod" localSheetId="14">#REF!</definedName>
    <definedName name="CalcMethod" localSheetId="15">#REF!</definedName>
    <definedName name="CalcMethod" localSheetId="16">#REF!</definedName>
    <definedName name="CalcMethod" localSheetId="2">#REF!</definedName>
    <definedName name="CalcMethod" localSheetId="17">#REF!</definedName>
    <definedName name="CalcMethod" localSheetId="18">#REF!</definedName>
    <definedName name="CalcMethod" localSheetId="21">#REF!</definedName>
    <definedName name="CalcMethod" localSheetId="8">#REF!</definedName>
    <definedName name="CalcMethod" localSheetId="10">'LMCC B. Project Scope'!#REF!</definedName>
    <definedName name="CalcMethod" localSheetId="6">'[1]NRCC B. Project Scope'!#REF!</definedName>
    <definedName name="CalcMethod" localSheetId="20">#REF!</definedName>
    <definedName name="CalcMethod" localSheetId="23">'[2]B. Project Scope'!#REF!</definedName>
    <definedName name="CalcMethod" localSheetId="22">'[2]B. Project Scope'!#REF!</definedName>
    <definedName name="CalcMethod" localSheetId="24">'[2]B. Project Scope'!#REF!</definedName>
    <definedName name="CalcMethod" localSheetId="7">#REF!</definedName>
    <definedName name="CalcMethod" localSheetId="9">'NRCC B. Project Scope'!#REF!</definedName>
    <definedName name="CalcMethod" localSheetId="5">'[1]NRCC B. Project Scope'!#REF!</definedName>
    <definedName name="CalcMethod" localSheetId="19">#REF!</definedName>
    <definedName name="CalcMethod" localSheetId="26">#REF!</definedName>
    <definedName name="CalcMethod" localSheetId="25">#REF!</definedName>
    <definedName name="CalcMethod">#REF!</definedName>
    <definedName name="_xlnm.Print_Area" localSheetId="11">'C. Compliance'!$A$3:$L$21</definedName>
    <definedName name="_xlnm.Print_Area" localSheetId="12">'D. Exceptional Conditions'!$A$2:$K$7</definedName>
    <definedName name="_xlnm.Print_Area" localSheetId="13">'E. Additional Remarks'!$A$2:$K$7</definedName>
    <definedName name="_xlnm.Print_Area" localSheetId="14">'F. Roof Assembly Schedule'!$A$3:$O$308</definedName>
    <definedName name="_xlnm.Print_Area" localSheetId="15">'G. Rated Cool Roof'!$A$3:$S$35</definedName>
    <definedName name="_xlnm.Print_Area" localSheetId="16">'H. Wall Assembly Schedule'!$A$3:$O$357</definedName>
    <definedName name="_xlnm.Print_Area" localSheetId="17">'I. Floor Assembly Schedule'!$A$3:$O$143</definedName>
    <definedName name="_xlnm.Print_Area" localSheetId="18">'J. Door Schedule'!$A$3:$O$29</definedName>
    <definedName name="_xlnm.Print_Area" localSheetId="21">'L. Daylighting'!$A$3:$M$34</definedName>
    <definedName name="_xlnm.Print_Area" localSheetId="8">'LMCC A. General Info'!$A$4:$U$38</definedName>
    <definedName name="_xlnm.Print_Area" localSheetId="10">'LMCC B. Project Scope'!$A$3:$S$37</definedName>
    <definedName name="_xlnm.Print_Area" localSheetId="4">'LMCC Headers'!$A$3:$K$23</definedName>
    <definedName name="_xlnm.Print_Area" localSheetId="20">'LMCC K. Fenestration Schedule'!$A$1:$K$114</definedName>
    <definedName name="_xlnm.Print_Area" localSheetId="23">'M. LMCI'!$A$2:$K$2</definedName>
    <definedName name="_xlnm.Print_Area" localSheetId="22">'M. NRCI'!$A$2:$K$6</definedName>
    <definedName name="_xlnm.Print_Area" localSheetId="24">'N. NRCA'!$A$2:$K$5</definedName>
    <definedName name="_xlnm.Print_Area" localSheetId="7">'NRCC A. General Info'!$A$4:$U$33</definedName>
    <definedName name="_xlnm.Print_Area" localSheetId="9">'NRCC B. Project Scope'!$A$3:$S$37</definedName>
    <definedName name="_xlnm.Print_Area" localSheetId="3">'NRCC Headers'!$A$4:$K$24</definedName>
    <definedName name="_xlnm.Print_Area" localSheetId="19">'NRCC K. Fenestration Schedule'!$A$1:$K$115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1" i="106" l="1"/>
  <c r="R76" i="106"/>
  <c r="AC58" i="106"/>
  <c r="AC45" i="106"/>
  <c r="D26" i="106"/>
  <c r="D13" i="106"/>
  <c r="D26" i="101"/>
  <c r="I9" i="80"/>
  <c r="D13" i="101"/>
  <c r="M5" i="100"/>
  <c r="P128" i="97"/>
  <c r="C112" i="101"/>
  <c r="F9" i="80"/>
  <c r="G9" i="80"/>
  <c r="N259" i="97"/>
  <c r="H313" i="88"/>
  <c r="I313" i="88" s="1"/>
  <c r="R76" i="101"/>
  <c r="AC58" i="101"/>
  <c r="AD45" i="101"/>
  <c r="R87" i="97"/>
  <c r="I315" i="88"/>
  <c r="J313" i="88"/>
  <c r="J314" i="88"/>
  <c r="J315" i="88"/>
  <c r="I314" i="88"/>
  <c r="H315" i="8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F2D374E5-1070-4C64-974D-E273BB53270A}">
      <text>
        <r>
          <rPr>
            <sz val="9"/>
            <color indexed="81"/>
            <rFont val="Tahoma"/>
            <family val="2"/>
          </rPr>
          <t>This cell grays out on all pages other than Page 1 and the last page.</t>
        </r>
      </text>
    </comment>
    <comment ref="C19" authorId="1" shapeId="0" xr:uid="{F10D95DB-F227-4FB3-9083-179798692C66}">
      <text>
        <r>
          <rPr>
            <sz val="9"/>
            <color indexed="81"/>
            <rFont val="Tahoma"/>
            <family val="2"/>
          </rPr>
          <t>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907C86AF-DD4F-4C26-8F93-9AE140002809}">
      <text>
        <r>
          <rPr>
            <sz val="9"/>
            <color indexed="81"/>
            <rFont val="Tahoma"/>
            <family val="2"/>
          </rPr>
          <t>This cell grays out on all pages other than Page 1 and the last page.</t>
        </r>
      </text>
    </comment>
    <comment ref="C18" authorId="1" shapeId="0" xr:uid="{8022215F-FD9A-4739-81B8-451E79D1185B}">
      <text>
        <r>
          <rPr>
            <sz val="9"/>
            <color indexed="81"/>
            <rFont val="Tahoma"/>
            <family val="2"/>
          </rPr>
          <t>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I9" authorId="0" shapeId="0" xr:uid="{00000000-0006-0000-0300-000001000000}">
      <text>
        <r>
          <rPr>
            <b/>
            <sz val="9"/>
            <color indexed="81"/>
            <rFont val="Tahoma"/>
            <family val="2"/>
          </rPr>
          <t>Sally Blair:</t>
        </r>
        <r>
          <rPr>
            <sz val="9"/>
            <color indexed="81"/>
            <rFont val="Tahoma"/>
            <family val="2"/>
          </rPr>
          <t xml:space="preserve">
Grey out if CZ 1 or 16 is selected in column 03
This button triggers Table L.</t>
        </r>
      </text>
    </comment>
    <comment ref="B10" authorId="1" shapeId="0" xr:uid="{B01BE47E-1780-4DF6-9EBA-41ADFCF3FE37}">
      <text>
        <r>
          <rPr>
            <b/>
            <sz val="9"/>
            <color indexed="81"/>
            <rFont val="Tahoma"/>
            <family val="2"/>
          </rPr>
          <t>10/18/24</t>
        </r>
        <r>
          <rPr>
            <sz val="9"/>
            <color indexed="81"/>
            <rFont val="Tahoma"/>
            <family val="2"/>
          </rPr>
          <t xml:space="preserve">
Only the occupancy types that apply show up in the PDF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EAD7647B-C22D-4535-8632-8B05EDF7B428}">
      <text>
        <r>
          <rPr>
            <b/>
            <sz val="9"/>
            <color indexed="81"/>
            <rFont val="Tahoma"/>
            <family val="2"/>
          </rPr>
          <t>Sally Blair:</t>
        </r>
        <r>
          <rPr>
            <sz val="9"/>
            <color indexed="81"/>
            <rFont val="Tahoma"/>
            <family val="2"/>
          </rPr>
          <t xml:space="preserve">
Grey out if CZ 1 or 16 is selected in column 03
This button triggers Table 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A11" authorId="0" shapeId="0" xr:uid="{3B47BB9B-80DA-4074-B249-D613D0CEA76B}">
      <text>
        <r>
          <rPr>
            <b/>
            <sz val="9"/>
            <color rgb="FF000000"/>
            <rFont val="Tahoma"/>
            <family val="2"/>
          </rPr>
          <t>Sally Blair:</t>
        </r>
        <r>
          <rPr>
            <sz val="9"/>
            <color rgb="FF000000"/>
            <rFont val="Tahoma"/>
            <family val="2"/>
          </rPr>
          <t xml:space="preserve">
</t>
        </r>
        <r>
          <rPr>
            <sz val="9"/>
            <color rgb="FF000000"/>
            <rFont val="Tahoma"/>
            <family val="2"/>
          </rPr>
          <t>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870BC16E-83E6-452E-8F23-773C929A517F}">
      <text>
        <r>
          <rPr>
            <b/>
            <sz val="9"/>
            <color rgb="FF000000"/>
            <rFont val="Tahoma"/>
            <family val="2"/>
          </rPr>
          <t>Sally Blair:</t>
        </r>
        <r>
          <rPr>
            <sz val="9"/>
            <color rgb="FF000000"/>
            <rFont val="Tahoma"/>
            <family val="2"/>
          </rPr>
          <t xml:space="preserve">
</t>
        </r>
        <r>
          <rPr>
            <sz val="9"/>
            <color rgb="FF000000"/>
            <rFont val="Tahoma"/>
            <family val="2"/>
          </rPr>
          <t>Any selection of Roof in column 02 triggers Tables F &amp; G.</t>
        </r>
      </text>
    </comment>
    <comment ref="B12" authorId="0" shapeId="0" xr:uid="{691A1C62-E04A-4376-9274-F079D9647994}">
      <text>
        <r>
          <rPr>
            <b/>
            <sz val="9"/>
            <color rgb="FF000000"/>
            <rFont val="Tahoma"/>
            <family val="2"/>
          </rPr>
          <t>Sally Blair:</t>
        </r>
        <r>
          <rPr>
            <sz val="9"/>
            <color rgb="FF000000"/>
            <rFont val="Tahoma"/>
            <family val="2"/>
          </rPr>
          <t xml:space="preserve">
</t>
        </r>
        <r>
          <rPr>
            <sz val="9"/>
            <color rgb="FF000000"/>
            <rFont val="Tahoma"/>
            <family val="2"/>
          </rPr>
          <t>These three check boxes trigger Table L.  Checkboxes should be greyed out for CZ 1 &amp; 16 from Table A column 03.</t>
        </r>
      </text>
    </comment>
    <comment ref="G12" authorId="1" shapeId="0" xr:uid="{9E8CE801-6190-41E5-BCFB-C91881198BA7}">
      <text>
        <r>
          <rPr>
            <b/>
            <sz val="9"/>
            <color indexed="10"/>
            <rFont val="Tahoma"/>
            <family val="2"/>
          </rPr>
          <t>Alexis Markstrum:</t>
        </r>
        <r>
          <rPr>
            <sz val="9"/>
            <color indexed="10"/>
            <rFont val="Tahoma"/>
            <family val="2"/>
          </rPr>
          <t xml:space="preserve">
For new construction only
If selected, trigger Vestibule subtable in Table J</t>
        </r>
      </text>
    </comment>
    <comment ref="A14" authorId="0" shapeId="0" xr:uid="{A0BC4F9B-1345-416C-B1B8-466D621B6A88}">
      <text>
        <r>
          <rPr>
            <b/>
            <sz val="9"/>
            <color rgb="FF000000"/>
            <rFont val="Tahoma"/>
            <family val="2"/>
          </rPr>
          <t>Sally Blair:</t>
        </r>
        <r>
          <rPr>
            <sz val="9"/>
            <color rgb="FF000000"/>
            <rFont val="Tahoma"/>
            <family val="2"/>
          </rPr>
          <t xml:space="preserve">
</t>
        </r>
        <r>
          <rPr>
            <sz val="9"/>
            <color rgb="FF000000"/>
            <rFont val="Tahoma"/>
            <family val="2"/>
          </rPr>
          <t>Selecting "Addition" or "Alteration" automatically greys out the "New Construction" option in rows 11&amp;12.  A project can have both additions and alterations.</t>
        </r>
      </text>
    </comment>
    <comment ref="E14" authorId="0" shapeId="0" xr:uid="{1B141AB8-BB9B-48F7-BEBA-DBB3D4DCFD0D}">
      <text>
        <r>
          <rPr>
            <b/>
            <sz val="9"/>
            <color rgb="FF000000"/>
            <rFont val="Tahoma"/>
            <family val="2"/>
          </rPr>
          <t>Sally Blair:</t>
        </r>
        <r>
          <rPr>
            <sz val="9"/>
            <color rgb="FF000000"/>
            <rFont val="Tahoma"/>
            <family val="2"/>
          </rPr>
          <t xml:space="preserve">
</t>
        </r>
        <r>
          <rPr>
            <sz val="9"/>
            <color rgb="FF000000"/>
            <rFont val="Tahoma"/>
            <family val="2"/>
          </rPr>
          <t>Any selection of Roof in column 02 triggers Tables F &amp; G.</t>
        </r>
      </text>
    </comment>
    <comment ref="H14" authorId="0" shapeId="0" xr:uid="{11D8C92B-75F1-4ECA-ACE2-565EB2DD07E8}">
      <text>
        <r>
          <rPr>
            <b/>
            <sz val="9"/>
            <color rgb="FF000000"/>
            <rFont val="Tahoma"/>
            <family val="2"/>
          </rPr>
          <t>Sally Blair:</t>
        </r>
        <r>
          <rPr>
            <sz val="9"/>
            <color rgb="FF000000"/>
            <rFont val="Tahoma"/>
            <family val="2"/>
          </rPr>
          <t xml:space="preserve">
Any selection of Doors in column 02 triggers </t>
        </r>
        <r>
          <rPr>
            <sz val="9"/>
            <color indexed="10"/>
            <rFont val="Tahoma"/>
            <family val="2"/>
          </rPr>
          <t>Exterior Opaque Doors</t>
        </r>
        <r>
          <rPr>
            <sz val="9"/>
            <color rgb="FF000000"/>
            <rFont val="Tahoma"/>
            <family val="2"/>
          </rPr>
          <t xml:space="preserve"> in Table J</t>
        </r>
      </text>
    </comment>
    <comment ref="E19" authorId="0" shapeId="0" xr:uid="{B4C8DCCD-14FB-4902-8E28-2657D81C4826}">
      <text>
        <r>
          <rPr>
            <b/>
            <sz val="9"/>
            <color rgb="FF000000"/>
            <rFont val="Tahoma"/>
            <family val="2"/>
          </rPr>
          <t>Sally Blair:</t>
        </r>
        <r>
          <rPr>
            <sz val="9"/>
            <color rgb="FF000000"/>
            <rFont val="Tahoma"/>
            <family val="2"/>
          </rPr>
          <t xml:space="preserve">
</t>
        </r>
        <r>
          <rPr>
            <sz val="9"/>
            <color rgb="FF000000"/>
            <rFont val="Tahoma"/>
            <family val="2"/>
          </rPr>
          <t>Triggers Tables F</t>
        </r>
      </text>
    </comment>
    <comment ref="G19" authorId="0" shapeId="0" xr:uid="{94B4922F-00C1-45AD-AF30-A3EA9119BB0B}">
      <text>
        <r>
          <rPr>
            <b/>
            <sz val="9"/>
            <color rgb="FF000000"/>
            <rFont val="Tahoma"/>
            <family val="2"/>
          </rPr>
          <t>Sally Blair:</t>
        </r>
        <r>
          <rPr>
            <sz val="9"/>
            <color rgb="FF000000"/>
            <rFont val="Tahoma"/>
            <family val="2"/>
          </rPr>
          <t xml:space="preserve">
</t>
        </r>
        <r>
          <rPr>
            <sz val="9"/>
            <color rgb="FF000000"/>
            <rFont val="Tahoma"/>
            <family val="2"/>
          </rPr>
          <t>Any selection of Walls in column 02 triggers Table H.</t>
        </r>
      </text>
    </comment>
    <comment ref="E20" authorId="0" shapeId="0" xr:uid="{BF33F74C-003B-43C6-A577-BD827731FE1C}">
      <text>
        <r>
          <rPr>
            <b/>
            <sz val="9"/>
            <color rgb="FF000000"/>
            <rFont val="Tahoma"/>
            <family val="2"/>
          </rPr>
          <t>9/20/24</t>
        </r>
        <r>
          <rPr>
            <b/>
            <sz val="9"/>
            <color rgb="FFFF0000"/>
            <rFont val="Tahoma"/>
            <family val="2"/>
          </rPr>
          <t xml:space="preserve">
</t>
        </r>
        <r>
          <rPr>
            <b/>
            <sz val="9"/>
            <color rgb="FFFF0000"/>
            <rFont val="Tahoma"/>
            <family val="2"/>
          </rPr>
          <t xml:space="preserve">
</t>
        </r>
        <r>
          <rPr>
            <b/>
            <sz val="9"/>
            <color rgb="FFFF0000"/>
            <rFont val="Tahoma"/>
            <family val="2"/>
          </rPr>
          <t xml:space="preserve">If this is selected when Alteration, ask question in VCA that says "Is any part of your altered roof low-slope?". 
</t>
        </r>
        <r>
          <rPr>
            <b/>
            <sz val="9"/>
            <color rgb="FFFF0000"/>
            <rFont val="Tahoma"/>
            <family val="2"/>
          </rPr>
          <t xml:space="preserve">
</t>
        </r>
        <r>
          <rPr>
            <b/>
            <sz val="9"/>
            <color rgb="FFFF0000"/>
            <rFont val="Tahoma"/>
            <family val="2"/>
          </rPr>
          <t xml:space="preserve">If they answer yes, than automatically trigger the Roof Assembly table.
</t>
        </r>
        <r>
          <rPr>
            <b/>
            <sz val="9"/>
            <color rgb="FFFF0000"/>
            <rFont val="Tahoma"/>
            <family val="2"/>
          </rPr>
          <t xml:space="preserve">
</t>
        </r>
        <r>
          <rPr>
            <b/>
            <sz val="9"/>
            <color rgb="FFFF0000"/>
            <rFont val="Tahoma"/>
            <family val="2"/>
          </rPr>
          <t>If No, still allow Roof Assembly as an option, but don't require.</t>
        </r>
      </text>
    </comment>
    <comment ref="G20" authorId="0" shapeId="0" xr:uid="{12740BE9-8D42-4A3B-BB24-18B63E3E64C5}">
      <text>
        <r>
          <rPr>
            <b/>
            <sz val="9"/>
            <color rgb="FF000000"/>
            <rFont val="Tahoma"/>
            <family val="2"/>
          </rPr>
          <t>Sally Blair:</t>
        </r>
        <r>
          <rPr>
            <sz val="9"/>
            <color rgb="FF000000"/>
            <rFont val="Tahoma"/>
            <family val="2"/>
          </rPr>
          <t xml:space="preserve">
</t>
        </r>
        <r>
          <rPr>
            <sz val="9"/>
            <color rgb="FF000000"/>
            <rFont val="Tahoma"/>
            <family val="2"/>
          </rPr>
          <t>Any selection of Floors in column 02 triggers Table I.</t>
        </r>
      </text>
    </comment>
    <comment ref="H20" authorId="0" shapeId="0" xr:uid="{EDDF36DC-A852-4C03-A192-740233125A67}">
      <text>
        <r>
          <rPr>
            <b/>
            <sz val="9"/>
            <color rgb="FF000000"/>
            <rFont val="Tahoma"/>
            <family val="2"/>
          </rPr>
          <t>Sally Blair:</t>
        </r>
        <r>
          <rPr>
            <sz val="9"/>
            <color rgb="FF000000"/>
            <rFont val="Tahoma"/>
            <family val="2"/>
          </rPr>
          <t xml:space="preserve">
</t>
        </r>
        <r>
          <rPr>
            <sz val="9"/>
            <color rgb="FF000000"/>
            <rFont val="Tahoma"/>
            <family val="2"/>
          </rPr>
          <t>Any selection of Fenestration in column 02 triggers Table 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1" authorId="0" shapeId="0" xr:uid="{00000000-0006-0000-0400-000001000000}">
      <text>
        <r>
          <rPr>
            <b/>
            <sz val="9"/>
            <color indexed="81"/>
            <rFont val="Tahoma"/>
            <family val="2"/>
          </rPr>
          <t>Sally Blair:</t>
        </r>
        <r>
          <rPr>
            <sz val="9"/>
            <color indexed="81"/>
            <rFont val="Tahoma"/>
            <family val="2"/>
          </rPr>
          <t xml:space="preserve">
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00000000-0006-0000-0400-000002000000}">
      <text>
        <r>
          <rPr>
            <b/>
            <sz val="9"/>
            <color indexed="81"/>
            <rFont val="Tahoma"/>
            <family val="2"/>
          </rPr>
          <t>Sally Blair:</t>
        </r>
        <r>
          <rPr>
            <sz val="9"/>
            <color indexed="81"/>
            <rFont val="Tahoma"/>
            <family val="2"/>
          </rPr>
          <t xml:space="preserve">
Any selection of Roof in column 02 triggers Tables F &amp; G.</t>
        </r>
      </text>
    </comment>
    <comment ref="B12" authorId="0" shapeId="0" xr:uid="{00000000-0006-0000-0400-000003000000}">
      <text>
        <r>
          <rPr>
            <b/>
            <sz val="9"/>
            <color indexed="81"/>
            <rFont val="Tahoma"/>
            <family val="2"/>
          </rPr>
          <t>Sally Blair:</t>
        </r>
        <r>
          <rPr>
            <sz val="9"/>
            <color indexed="81"/>
            <rFont val="Tahoma"/>
            <family val="2"/>
          </rPr>
          <t xml:space="preserve">
These three check boxes trigger Table L.  Checkboxes should be greyed out for CZ 1 &amp; 16 from Table A column 03.</t>
        </r>
      </text>
    </comment>
    <comment ref="A14" authorId="0" shapeId="0" xr:uid="{00000000-0006-0000-0400-000004000000}">
      <text>
        <r>
          <rPr>
            <b/>
            <sz val="9"/>
            <color indexed="81"/>
            <rFont val="Tahoma"/>
            <family val="2"/>
          </rPr>
          <t>Sally Blair:</t>
        </r>
        <r>
          <rPr>
            <sz val="9"/>
            <color indexed="81"/>
            <rFont val="Tahoma"/>
            <family val="2"/>
          </rPr>
          <t xml:space="preserve">
Selecting "Addition" or "Alteration" automatically greys out the "New Construction" option.  A project can have both additions and alterations.</t>
        </r>
      </text>
    </comment>
    <comment ref="E14" authorId="0" shapeId="0" xr:uid="{00000000-0006-0000-0400-000005000000}">
      <text>
        <r>
          <rPr>
            <b/>
            <sz val="9"/>
            <color indexed="81"/>
            <rFont val="Tahoma"/>
            <family val="2"/>
          </rPr>
          <t>Sally Blair:</t>
        </r>
        <r>
          <rPr>
            <sz val="9"/>
            <color indexed="81"/>
            <rFont val="Tahoma"/>
            <family val="2"/>
          </rPr>
          <t xml:space="preserve">
Any selection of Roof in column 02 triggers Tables F &amp; G.</t>
        </r>
      </text>
    </comment>
    <comment ref="H14" authorId="0" shapeId="0" xr:uid="{00000000-0006-0000-0400-000006000000}">
      <text>
        <r>
          <rPr>
            <b/>
            <sz val="9"/>
            <color indexed="81"/>
            <rFont val="Tahoma"/>
            <family val="2"/>
          </rPr>
          <t>Sally Blair:</t>
        </r>
        <r>
          <rPr>
            <sz val="9"/>
            <color indexed="81"/>
            <rFont val="Tahoma"/>
            <family val="2"/>
          </rPr>
          <t xml:space="preserve">
Any selection of Doors in column 02 triggers Table J</t>
        </r>
      </text>
    </comment>
    <comment ref="B16" authorId="0" shapeId="0" xr:uid="{56A5783C-0C0E-4D5E-AF0B-09324A194A19}">
      <text>
        <r>
          <rPr>
            <b/>
            <sz val="9"/>
            <color indexed="81"/>
            <rFont val="Tahoma"/>
            <family val="2"/>
          </rPr>
          <t xml:space="preserve">8.21.21:
</t>
        </r>
        <r>
          <rPr>
            <sz val="9"/>
            <color indexed="81"/>
            <rFont val="Tahoma"/>
            <family val="2"/>
          </rPr>
          <t>If A04 = "Low-rise Residential" AND
Selection of "New Construction or Newly Conditioned Space" OR "Addition is &gt; 700ft2" 
trigger Row 21 Note in Table D &amp; LMCI 21 &amp; 22 in Table M Installation Certificates and Table O Certificates of Verification.</t>
        </r>
      </text>
    </comment>
    <comment ref="E19" authorId="0" shapeId="0" xr:uid="{00000000-0006-0000-0400-000007000000}">
      <text>
        <r>
          <rPr>
            <b/>
            <sz val="9"/>
            <color indexed="81"/>
            <rFont val="Tahoma"/>
            <family val="2"/>
          </rPr>
          <t>Sally Blair:</t>
        </r>
        <r>
          <rPr>
            <sz val="9"/>
            <color indexed="81"/>
            <rFont val="Tahoma"/>
            <family val="2"/>
          </rPr>
          <t xml:space="preserve">
Triggers Tables F</t>
        </r>
      </text>
    </comment>
    <comment ref="G19" authorId="0" shapeId="0" xr:uid="{00000000-0006-0000-0400-000008000000}">
      <text>
        <r>
          <rPr>
            <b/>
            <sz val="9"/>
            <color indexed="81"/>
            <rFont val="Tahoma"/>
            <family val="2"/>
          </rPr>
          <t>Sally Blair:</t>
        </r>
        <r>
          <rPr>
            <sz val="9"/>
            <color indexed="81"/>
            <rFont val="Tahoma"/>
            <family val="2"/>
          </rPr>
          <t xml:space="preserve">
Any selection of Walls in column 02 triggers Table H.</t>
        </r>
      </text>
    </comment>
    <comment ref="E20" authorId="0" shapeId="0" xr:uid="{A1D3FA3B-2EA6-42E8-BD97-57F05FBE19B6}">
      <text>
        <r>
          <rPr>
            <b/>
            <sz val="9"/>
            <color indexed="81"/>
            <rFont val="Tahoma"/>
            <family val="2"/>
          </rPr>
          <t>Sally Blair:</t>
        </r>
        <r>
          <rPr>
            <sz val="9"/>
            <color indexed="81"/>
            <rFont val="Tahoma"/>
            <family val="2"/>
          </rPr>
          <t xml:space="preserve">
Triggers Tables G</t>
        </r>
      </text>
    </comment>
    <comment ref="G20" authorId="0" shapeId="0" xr:uid="{00000000-0006-0000-0400-00000A000000}">
      <text>
        <r>
          <rPr>
            <b/>
            <sz val="9"/>
            <color indexed="81"/>
            <rFont val="Tahoma"/>
            <family val="2"/>
          </rPr>
          <t>Sally Blair:</t>
        </r>
        <r>
          <rPr>
            <sz val="9"/>
            <color indexed="81"/>
            <rFont val="Tahoma"/>
            <family val="2"/>
          </rPr>
          <t xml:space="preserve">
Any selection of Floors in column 02 triggers Table I.</t>
        </r>
      </text>
    </comment>
    <comment ref="H20" authorId="0" shapeId="0" xr:uid="{00000000-0006-0000-0400-00000B000000}">
      <text>
        <r>
          <rPr>
            <b/>
            <sz val="9"/>
            <color indexed="81"/>
            <rFont val="Tahoma"/>
            <family val="2"/>
          </rPr>
          <t>Sally Blair:</t>
        </r>
        <r>
          <rPr>
            <sz val="9"/>
            <color indexed="81"/>
            <rFont val="Tahoma"/>
            <family val="2"/>
          </rPr>
          <t xml:space="preserve">
Any selection of Fenestration in column 02 triggers Table 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500-000001000000}">
      <text>
        <r>
          <rPr>
            <b/>
            <sz val="9"/>
            <color indexed="81"/>
            <rFont val="Tahoma"/>
            <family val="2"/>
          </rPr>
          <t>Sally Blair:</t>
        </r>
        <r>
          <rPr>
            <sz val="9"/>
            <color indexed="81"/>
            <rFont val="Tahoma"/>
            <family val="2"/>
          </rPr>
          <t xml:space="preserve">
Says "COMPLIES" if 01-07 say "Yes" if not grey.
Says "COMPLIES with Exceptional Conditions" if 01-07 say "Yes" if not grey &amp; any notes are triggered in Table D.
Says "DOES NOT COMPLY" if any of 01-07 say "No"</t>
        </r>
      </text>
    </comment>
    <comment ref="C10" authorId="0" shapeId="0" xr:uid="{00000000-0006-0000-0500-000002000000}">
      <text>
        <r>
          <rPr>
            <b/>
            <sz val="9"/>
            <color indexed="81"/>
            <rFont val="Tahoma"/>
            <family val="2"/>
          </rPr>
          <t xml:space="preserve">Sally Blair:
</t>
        </r>
        <r>
          <rPr>
            <sz val="9"/>
            <color indexed="81"/>
            <rFont val="Tahoma"/>
            <family val="2"/>
          </rPr>
          <t xml:space="preserve">Says "Yes" if all subtables expanded meet compliance logic below, otherwise says "No".
</t>
        </r>
        <r>
          <rPr>
            <b/>
            <sz val="9"/>
            <color indexed="81"/>
            <rFont val="Tahoma"/>
            <family val="2"/>
          </rPr>
          <t>Framed Roof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81"/>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81"/>
            <rFont val="Tahoma"/>
            <family val="2"/>
          </rPr>
          <t>SIPs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81"/>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81"/>
            <rFont val="Tahoma"/>
            <family val="2"/>
          </rPr>
          <t>Span Deck &amp; Concrete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81"/>
            <rFont val="Tahoma"/>
            <family val="2"/>
          </rPr>
          <t>AND 11 &gt;=ten (the # ten, not the column)</t>
        </r>
        <r>
          <rPr>
            <sz val="9"/>
            <color indexed="81"/>
            <rFont val="Tahoma"/>
            <family val="2"/>
          </rPr>
          <t xml:space="preserve">, if not grey
- if 01 is checked: Area-weighted Average table for framed, SIPs, etc. says "Complies"
</t>
        </r>
        <r>
          <rPr>
            <b/>
            <sz val="9"/>
            <color indexed="81"/>
            <rFont val="Tahoma"/>
            <family val="2"/>
          </rPr>
          <t>Metal Panel Subtable:</t>
        </r>
        <r>
          <rPr>
            <sz val="9"/>
            <color indexed="81"/>
            <rFont val="Tahoma"/>
            <family val="2"/>
          </rPr>
          <t xml:space="preserve">
Complies IF-
- 02-06 completed if not grey
AND
- 08-13 completed if not grey &amp; something is populated in 07.
AND
- if 01 is not checked, either:
    - 12 &lt;= 11, if not grey
- if 01 is checked: Area-weighted Average table for framed, SIPs, etc. says "Complies"
</t>
        </r>
        <r>
          <rPr>
            <b/>
            <sz val="9"/>
            <color indexed="81"/>
            <rFont val="Tahoma"/>
            <family val="2"/>
          </rPr>
          <t>Metal Building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81"/>
            <rFont val="Tahoma"/>
            <family val="2"/>
          </rPr>
          <t>AND 10 OR 11 &gt;=ten (the # ten, not the column),</t>
        </r>
        <r>
          <rPr>
            <sz val="9"/>
            <color indexed="81"/>
            <rFont val="Tahoma"/>
            <family val="2"/>
          </rPr>
          <t xml:space="preserve"> if not grey
- if 01 is checked: Area-weighted Average table for Metal Building Roof says "Complies"
</t>
        </r>
        <r>
          <rPr>
            <b/>
            <sz val="9"/>
            <color indexed="81"/>
            <rFont val="Tahoma"/>
            <family val="2"/>
          </rPr>
          <t>Multifamily Framed Roof Subtable:</t>
        </r>
        <r>
          <rPr>
            <sz val="9"/>
            <color indexed="81"/>
            <rFont val="Tahoma"/>
            <family val="2"/>
          </rPr>
          <t xml:space="preserve">
Complies IF-
- 02-08 completed if not grey
AND
- If Ufactor subtable triggered:
01 is true &amp; AWA table says "Complies" OR 01 is false &amp; col 17 &lt;= col 16 if not grey
- If Rvalue subtable triggered:
23 &gt;=22 if not grey</t>
        </r>
      </text>
    </comment>
    <comment ref="D10" authorId="0" shapeId="0" xr:uid="{00000000-0006-0000-0500-000003000000}">
      <text>
        <r>
          <rPr>
            <b/>
            <sz val="9"/>
            <color indexed="81"/>
            <rFont val="Tahoma"/>
            <family val="2"/>
          </rPr>
          <t>Sally Blair:</t>
        </r>
        <r>
          <rPr>
            <sz val="9"/>
            <color indexed="81"/>
            <rFont val="Tahoma"/>
            <family val="2"/>
          </rPr>
          <t xml:space="preserve">
Says "Yes" if:
- 01-10 are completed if not grey
AND 09 &gt;= 08, if not grey
otherwise says "No"
</t>
        </r>
      </text>
    </comment>
    <comment ref="E10" authorId="0" shapeId="0" xr:uid="{00000000-0006-0000-0500-000004000000}">
      <text>
        <r>
          <rPr>
            <sz val="9"/>
            <color indexed="8"/>
            <rFont val="Tahoma"/>
            <family val="2"/>
          </rPr>
          <t xml:space="preserve">
Says "Yes" if all subtables expanded meet compliance logic below, otherwise says "No".
</t>
        </r>
        <r>
          <rPr>
            <b/>
            <sz val="9"/>
            <color indexed="8"/>
            <rFont val="Tahoma"/>
            <family val="2"/>
          </rPr>
          <t>Framed Subtable:</t>
        </r>
        <r>
          <rPr>
            <sz val="9"/>
            <color indexed="8"/>
            <rFont val="Tahoma"/>
            <family val="2"/>
          </rPr>
          <t xml:space="preserve">
Complies IF-
- 03-13 completed if not grey
AND
- if 01 or 02 is not checked, either:
    - "R-value" in 10 and 08 &gt;= 11
       OR
    - "U-factor" in 10 and 12 &lt;= 11
AND
- if 01 is checked: Area-weighted Average table for metal framed says "Complies"
AND
- if 02 is checked: Area-weighted Average table for wood, SIPs, etc. framed says "Complies"
</t>
        </r>
        <r>
          <rPr>
            <b/>
            <sz val="9"/>
            <color indexed="8"/>
            <rFont val="Tahoma"/>
            <family val="2"/>
          </rPr>
          <t>Mass Subtable</t>
        </r>
        <r>
          <rPr>
            <sz val="9"/>
            <color indexed="8"/>
            <rFont val="Tahoma"/>
            <family val="2"/>
          </rPr>
          <t xml:space="preserve">
Complies IF-
- 02-07 and 11&amp;12 completed if not grey
AND
- if 01 is not checked, 11 &lt;= 10
AND
- if 01 is checked: Area-weighted Average table for mass says "Complies"</t>
        </r>
        <r>
          <rPr>
            <b/>
            <sz val="9"/>
            <color indexed="8"/>
            <rFont val="Tahoma"/>
            <family val="2"/>
          </rPr>
          <t xml:space="preserve"> </t>
        </r>
        <r>
          <rPr>
            <sz val="9"/>
            <color indexed="8"/>
            <rFont val="Tahoma"/>
            <family val="2"/>
          </rPr>
          <t xml:space="preserve">
</t>
        </r>
        <r>
          <rPr>
            <b/>
            <sz val="9"/>
            <color indexed="8"/>
            <rFont val="Tahoma"/>
            <family val="2"/>
          </rPr>
          <t>Concrete Sandwich Panel Subtable:</t>
        </r>
        <r>
          <rPr>
            <sz val="9"/>
            <color indexed="8"/>
            <rFont val="Tahoma"/>
            <family val="2"/>
          </rPr>
          <t xml:space="preserve">
Complies IF-
- 02-12 completed if not grey
AND
- if 01 is not checked, 11 &lt;= 10
AND
- if 01 is checked: Area-weighted Average table for mass says "Complies"
</t>
        </r>
        <r>
          <rPr>
            <b/>
            <sz val="9"/>
            <color indexed="8"/>
            <rFont val="Tahoma"/>
            <family val="2"/>
          </rPr>
          <t>SIPS Subtable:</t>
        </r>
        <r>
          <rPr>
            <sz val="9"/>
            <color indexed="8"/>
            <rFont val="Tahoma"/>
            <family val="2"/>
          </rPr>
          <t xml:space="preserve">
Complies IF-
- 02-12 completed if not grey
AND
- if 01 is not checked, either:
    - "R-value" in 09 and 07 &gt;= 10
       OR
    - "U-factor" in 09 and 11 &lt;= 10
AND
- if 01 is checked: Area-weighted Average table for wood, SIPs, etc. says "Complies"
</t>
        </r>
        <r>
          <rPr>
            <b/>
            <sz val="9"/>
            <color indexed="8"/>
            <rFont val="Tahoma"/>
            <family val="2"/>
          </rPr>
          <t>Spandrel Subtable:</t>
        </r>
        <r>
          <rPr>
            <sz val="9"/>
            <color indexed="8"/>
            <rFont val="Tahoma"/>
            <family val="2"/>
          </rPr>
          <t xml:space="preserve">
Complies IF-
- 02-11 completed if not grey
AND
- if 01 is not checked, either:
    - "R-value" in 08 and 07 &gt;= 09
       OR
    - "U-factor" in 08 and 10 &lt;= 09
AND
- if 01 is checked: Area-weighted Average table for wood, SIPs, etc. says "Complies"
</t>
        </r>
        <r>
          <rPr>
            <b/>
            <sz val="9"/>
            <color indexed="8"/>
            <rFont val="Tahoma"/>
            <family val="2"/>
          </rPr>
          <t>Metal Building Subtable:</t>
        </r>
        <r>
          <rPr>
            <sz val="9"/>
            <color indexed="8"/>
            <rFont val="Tahoma"/>
            <family val="2"/>
          </rPr>
          <t xml:space="preserve">
Complies IF-
- 02-11 completed if not grey
AND
- if 01 is not checked, either:
    - "R-value" in 08 and 06 &gt;= 09
       OR
    - "U-factor" in 08 and 10 &lt;= 09
AND
- if 01 is checked: Area-weighted Average table for metal building says "Complies"
</t>
        </r>
        <r>
          <rPr>
            <b/>
            <sz val="9"/>
            <color indexed="8"/>
            <rFont val="Tahoma"/>
            <family val="2"/>
          </rPr>
          <t>Metal Panel Subtable:</t>
        </r>
        <r>
          <rPr>
            <sz val="9"/>
            <color indexed="8"/>
            <rFont val="Tahoma"/>
            <family val="2"/>
          </rPr>
          <t xml:space="preserve">
Complies IF-
- 02-06 completed if not grey
AND
- if 01 is not checked:
     - "U-factor" in 08 &lt;= 07
AND
- if 01 is checked: Area-weighted Average table for wood, SIPs, etc. says "Complies"
</t>
        </r>
        <r>
          <rPr>
            <b/>
            <sz val="9"/>
            <color indexed="8"/>
            <rFont val="Tahoma"/>
            <family val="2"/>
          </rPr>
          <t>Log Home Subtable:</t>
        </r>
        <r>
          <rPr>
            <sz val="9"/>
            <color indexed="8"/>
            <rFont val="Tahoma"/>
            <family val="2"/>
          </rPr>
          <t xml:space="preserve">
Complies IF-
- 02-10 completed if not grey
AND
- if 01 is not checked, 09 &lt;= 08
AND
- if 01 is checked: Area-weighted Average table for mass says "Complies"
</t>
        </r>
        <r>
          <rPr>
            <b/>
            <sz val="9"/>
            <color indexed="8"/>
            <rFont val="Tahoma"/>
            <family val="2"/>
          </rPr>
          <t>Strawbale Subtable:</t>
        </r>
        <r>
          <rPr>
            <sz val="9"/>
            <color indexed="8"/>
            <rFont val="Tahoma"/>
            <family val="2"/>
          </rPr>
          <t xml:space="preserve">
Complies IF-
- 02-10 completed if not grey
AND
- if 01 is not checked, either:
    - "R-value" in 07 and 06 &gt;= 08
       OR
    - "U-factor" in 07 and 09 &lt;= 08
AND
- if 01 is checked: Area-weighted Average table for wood, SIPs, etc. says "Complies"
ICF Subtable:
Complies IF-
- 02-11 completed if not grey
AND
- if 01 is not checked, 10 &lt;= 09
AND
- if 01 is checked: Area-weighted Average table for mass says "Complies"</t>
        </r>
      </text>
    </comment>
    <comment ref="F10" authorId="0" shapeId="0" xr:uid="{00000000-0006-0000-0500-000005000000}">
      <text>
        <r>
          <rPr>
            <b/>
            <sz val="9"/>
            <color indexed="8"/>
            <rFont val="Tahoma"/>
            <family val="2"/>
          </rPr>
          <t>Sally Blair:</t>
        </r>
        <r>
          <rPr>
            <sz val="9"/>
            <color indexed="8"/>
            <rFont val="Tahoma"/>
            <family val="2"/>
          </rPr>
          <t xml:space="preserve">
Says "Yes" if all subtables expanded meet compliance logic below, otherwise says "No".
</t>
        </r>
        <r>
          <rPr>
            <b/>
            <sz val="9"/>
            <color indexed="8"/>
            <rFont val="Tahoma"/>
            <family val="2"/>
          </rPr>
          <t>Framed Subtable:</t>
        </r>
        <r>
          <rPr>
            <sz val="9"/>
            <color indexed="8"/>
            <rFont val="Tahoma"/>
            <family val="2"/>
          </rPr>
          <t xml:space="preserve">
Complies IF-
- 02-12 completed if not grey
AND
- if 01 is not checked, either:
    - "R-value" in 09 and 07 &gt;= 10
       OR
    - "U-factor" in 09 and 11 &lt;= 10
AND
- if 01 is checked: Area-weighted Average table for framed, SIPs, etc. says "Complies"
</t>
        </r>
        <r>
          <rPr>
            <b/>
            <sz val="9"/>
            <color indexed="8"/>
            <rFont val="Tahoma"/>
            <family val="2"/>
          </rPr>
          <t>SIPS Subtable:</t>
        </r>
        <r>
          <rPr>
            <sz val="9"/>
            <color indexed="8"/>
            <rFont val="Tahoma"/>
            <family val="2"/>
          </rPr>
          <t xml:space="preserve">
Complies IF-
- 02-12 completed if not grey
AND
- if 01 is not checked, 11 &lt;= 10
AND
- if 01 is checked: Area-weighted Average table for framed, SIPs, etc. says "Complies"
</t>
        </r>
        <r>
          <rPr>
            <b/>
            <sz val="9"/>
            <color indexed="8"/>
            <rFont val="Tahoma"/>
            <family val="2"/>
          </rPr>
          <t>Raised Mass Subtable:</t>
        </r>
        <r>
          <rPr>
            <sz val="9"/>
            <color indexed="8"/>
            <rFont val="Tahoma"/>
            <family val="2"/>
          </rPr>
          <t xml:space="preserve">
Complies IF-
- 02-11 completed if not grey
AND
- if 01 is not checked, either:
    - "R-value" in 08 and 07 &gt;= 09
       OR
    - "U-factor" in 08 and 10 &lt;= 09
AND
- if 01 is checked: Area-weighted Average table for raised mass says "Complies"
</t>
        </r>
        <r>
          <rPr>
            <sz val="9"/>
            <color indexed="8"/>
            <rFont val="Tahoma"/>
            <family val="2"/>
          </rPr>
          <t xml:space="preserve">
</t>
        </r>
        <r>
          <rPr>
            <b/>
            <sz val="9"/>
            <color indexed="8"/>
            <rFont val="Tahoma"/>
            <family val="2"/>
          </rPr>
          <t>Slab on Grade Subtable:</t>
        </r>
        <r>
          <rPr>
            <sz val="9"/>
            <color indexed="8"/>
            <rFont val="Tahoma"/>
            <family val="2"/>
          </rPr>
          <t xml:space="preserve">
Complies IF-
- 01-03, 05, 06 &amp; 08 completed if not grey
AND
- 06 &gt;= 05
</t>
        </r>
        <r>
          <rPr>
            <b/>
            <sz val="9"/>
            <color indexed="8"/>
            <rFont val="Tahoma"/>
            <family val="2"/>
          </rPr>
          <t>Low-rise Multifamily Slab-on-Grade Floors SUbtable:
Complies IF
- 06 &lt;= 05 if Ufactor in col 04 OR
- 06 &gt;= 05 if Rvalue in col 04</t>
        </r>
      </text>
    </comment>
    <comment ref="G10" authorId="0" shapeId="0" xr:uid="{00000000-0006-0000-0500-000006000000}">
      <text>
        <r>
          <rPr>
            <b/>
            <sz val="9"/>
            <color indexed="81"/>
            <rFont val="Tahoma"/>
            <family val="2"/>
          </rPr>
          <t>Sally Blair:</t>
        </r>
        <r>
          <rPr>
            <sz val="9"/>
            <color indexed="81"/>
            <rFont val="Tahoma"/>
            <family val="2"/>
          </rPr>
          <t xml:space="preserve">
Says "Yes" if:
- 01-07 are completed
AND 07 &lt;= 06
otherwise says "No"</t>
        </r>
      </text>
    </comment>
    <comment ref="H10" authorId="0" shapeId="0" xr:uid="{00000000-0006-0000-0500-000007000000}">
      <text>
        <r>
          <rPr>
            <sz val="9"/>
            <color indexed="8"/>
            <rFont val="Tahoma"/>
            <family val="2"/>
          </rPr>
          <t xml:space="preserve">Says "Yes" if all subtables expanded meet compliance logic below, otherwise says "No".
</t>
        </r>
        <r>
          <rPr>
            <b/>
            <sz val="9"/>
            <color indexed="8"/>
            <rFont val="Tahoma"/>
            <family val="2"/>
          </rPr>
          <t>Vertical Fen Total Bldg &amp; West Area Subtable:</t>
        </r>
        <r>
          <rPr>
            <sz val="9"/>
            <color indexed="8"/>
            <rFont val="Tahoma"/>
            <family val="2"/>
          </rPr>
          <t xml:space="preserve">
Complies IF-
- 02-05 completed 
AND
- 06 &gt;= 07
AND
- 08 &gt;= 09
</t>
        </r>
        <r>
          <rPr>
            <b/>
            <sz val="9"/>
            <color indexed="8"/>
            <rFont val="Tahoma"/>
            <family val="2"/>
          </rPr>
          <t>Multifamily Vertical Fen Total Bldg Area Subtable:</t>
        </r>
        <r>
          <rPr>
            <sz val="9"/>
            <color indexed="8"/>
            <rFont val="Tahoma"/>
            <family val="2"/>
          </rPr>
          <t xml:space="preserve">
Complies IF-
- 02-05 completed 
AND
- 06 &gt;= 07
</t>
        </r>
        <r>
          <rPr>
            <b/>
            <sz val="9"/>
            <color indexed="8"/>
            <rFont val="Tahoma"/>
            <family val="2"/>
          </rPr>
          <t>Vert Fen U-factor/SHGC/VT Subtable:</t>
        </r>
        <r>
          <rPr>
            <sz val="9"/>
            <color indexed="8"/>
            <rFont val="Tahoma"/>
            <family val="2"/>
          </rPr>
          <t xml:space="preserve">
Complies IF-
- 04-13 completed if not grey (excluding OH checkbox, that can be left unchecked)
AND
- if 01 is not checked:
    - "U-factor" in 11 &gt;= 12
AND
- if 01 is checked: U-factor in Area-weighted Average table for Vertical/ Glazed Doors says "Complies"
AND
- if 02 is not checked:
    - "SHGC" in 11 &gt;= 12
AND
- if 02 is checked: SHGC in Area-weighted Average table for Vertical/ Glazed Doors says "Complies"
AND
- if 03 is not checked:
    - "VT" in 11 &lt;= 12
AND
- if 02 is checked: VT in Area-weighted Average table for Vertical/ Glazed Doors says "Complies"
</t>
        </r>
        <r>
          <rPr>
            <b/>
            <sz val="9"/>
            <color indexed="8"/>
            <rFont val="Tahoma"/>
            <family val="2"/>
          </rPr>
          <t>Skylight Area Subtable:</t>
        </r>
        <r>
          <rPr>
            <sz val="9"/>
            <color indexed="8"/>
            <rFont val="Tahoma"/>
            <family val="2"/>
          </rPr>
          <t xml:space="preserve">
Complies IF-
- 01-04 completed </t>
        </r>
        <r>
          <rPr>
            <b/>
            <sz val="9"/>
            <color indexed="8"/>
            <rFont val="Tahoma"/>
            <family val="2"/>
          </rPr>
          <t>if not grey</t>
        </r>
        <r>
          <rPr>
            <sz val="9"/>
            <color indexed="8"/>
            <rFont val="Tahoma"/>
            <family val="2"/>
          </rPr>
          <t xml:space="preserve">
AND
- 03 &gt;= 04 </t>
        </r>
        <r>
          <rPr>
            <b/>
            <sz val="9"/>
            <color indexed="8"/>
            <rFont val="Tahoma"/>
            <family val="2"/>
          </rPr>
          <t>if not grey</t>
        </r>
        <r>
          <rPr>
            <sz val="9"/>
            <color indexed="8"/>
            <rFont val="Tahoma"/>
            <family val="2"/>
          </rPr>
          <t xml:space="preserve">
</t>
        </r>
        <r>
          <rPr>
            <b/>
            <sz val="9"/>
            <color indexed="8"/>
            <rFont val="Tahoma"/>
            <family val="2"/>
          </rPr>
          <t>Skylight U-factor/SHGC/VT Subtable:</t>
        </r>
        <r>
          <rPr>
            <sz val="9"/>
            <color indexed="8"/>
            <rFont val="Tahoma"/>
            <family val="2"/>
          </rPr>
          <t xml:space="preserve">
Complies IF-
- 04-12 completed if not grey 
AND
- if 01 is not checked:
    - "U-factor" in 10 &gt;= 11
AND
- if 01 is checked: U-factor in Area-weighted Average table for Skylights says "Complies"
AND
- if 02 is not checked:
    - "SHGC" in 10 &gt;= 11
AND
- if 02 is checked: SHGC in Area-weighted Average table for Skylights says "Complies"
AND
- if 03 is not checked:
    - "VT" in 10 &lt;= 11
AND
- if 02 is checked: VT in Area-weighted Average table for Skylights says "Complies"
</t>
        </r>
      </text>
    </comment>
    <comment ref="I10" authorId="0" shapeId="0" xr:uid="{00000000-0006-0000-0500-000008000000}">
      <text>
        <r>
          <rPr>
            <b/>
            <sz val="9"/>
            <color indexed="81"/>
            <rFont val="Tahoma"/>
            <family val="2"/>
          </rPr>
          <t>Sally Blair:</t>
        </r>
        <r>
          <rPr>
            <sz val="9"/>
            <color indexed="81"/>
            <rFont val="Tahoma"/>
            <family val="2"/>
          </rPr>
          <t xml:space="preserve">
Says "Yes" if:
- 01-08 are completed if not grey
AND 
- 07 &lt;= 08 if not grey
AND either:
      - 10 &gt;= 3% if not grey OR
      - 11b &gt;= 1.5% if not grey
otherwise says "No"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Hussein, Zalmie</author>
    <author>Sally Blair</author>
  </authors>
  <commentList>
    <comment ref="B12" authorId="0" shapeId="0" xr:uid="{6150D779-CF3E-456F-8749-C17E9CBEBC86}">
      <text>
        <r>
          <rPr>
            <b/>
            <sz val="9"/>
            <color indexed="81"/>
            <rFont val="Tahoma"/>
            <family val="2"/>
          </rPr>
          <t xml:space="preserve">12/19/2022:
</t>
        </r>
        <r>
          <rPr>
            <sz val="9"/>
            <color indexed="81"/>
            <rFont val="Tahoma"/>
            <family val="2"/>
          </rPr>
          <t>Triggered if an exception is claimed in Table F.05.</t>
        </r>
      </text>
    </comment>
    <comment ref="B13" authorId="0" shapeId="0" xr:uid="{42E90740-8711-409E-982F-AEE6D05868C3}">
      <text>
        <r>
          <rPr>
            <b/>
            <sz val="9"/>
            <color indexed="81"/>
            <rFont val="Tahoma"/>
            <family val="2"/>
          </rPr>
          <t>12/19/2022:</t>
        </r>
        <r>
          <rPr>
            <sz val="9"/>
            <color indexed="81"/>
            <rFont val="Tahoma"/>
            <family val="2"/>
          </rPr>
          <t xml:space="preserve">
Triggered if 'Overhang' is selected in Table K C.62.</t>
        </r>
      </text>
    </comment>
    <comment ref="B14" authorId="0" shapeId="0" xr:uid="{FA5F97E6-6FA1-4771-A081-84486F447933}">
      <text>
        <r>
          <rPr>
            <b/>
            <sz val="9"/>
            <color indexed="81"/>
            <rFont val="Tahoma"/>
            <family val="2"/>
          </rPr>
          <t>12/19/2022:</t>
        </r>
        <r>
          <rPr>
            <sz val="9"/>
            <color indexed="81"/>
            <rFont val="Tahoma"/>
            <family val="2"/>
          </rPr>
          <t xml:space="preserve">
Triggered if any of the Table H 'Area-Weighted' tables are triggered.</t>
        </r>
      </text>
    </comment>
    <comment ref="B15" authorId="0" shapeId="0" xr:uid="{BB7FAA65-2438-49FA-9AC8-C05CBE9F46D5}">
      <text>
        <r>
          <rPr>
            <b/>
            <sz val="9"/>
            <color indexed="81"/>
            <rFont val="Tahoma"/>
            <family val="2"/>
          </rPr>
          <t>12/19/2022:</t>
        </r>
        <r>
          <rPr>
            <sz val="9"/>
            <color indexed="81"/>
            <rFont val="Tahoma"/>
            <family val="2"/>
          </rPr>
          <t xml:space="preserve">
Triggered if any of the Table F 'Area-Weighted' tables are triggered.</t>
        </r>
      </text>
    </comment>
    <comment ref="B16" authorId="0" shapeId="0" xr:uid="{12A408FA-6F7D-47C7-998B-2CF9FC4EAD7E}">
      <text>
        <r>
          <rPr>
            <b/>
            <sz val="9"/>
            <color indexed="81"/>
            <rFont val="Tahoma"/>
            <family val="2"/>
          </rPr>
          <t>12/19/2022:</t>
        </r>
        <r>
          <rPr>
            <sz val="9"/>
            <color indexed="81"/>
            <rFont val="Tahoma"/>
            <family val="2"/>
          </rPr>
          <t xml:space="preserve">
Triggered if any of the Table I 'Area-Weighted' tables are triggered.</t>
        </r>
      </text>
    </comment>
    <comment ref="B17" authorId="0" shapeId="0" xr:uid="{8BEC3784-7A04-464B-A998-239FE85EC915}">
      <text>
        <r>
          <rPr>
            <b/>
            <sz val="9"/>
            <color indexed="81"/>
            <rFont val="Tahoma"/>
            <family val="2"/>
          </rPr>
          <t>12/19/2022:</t>
        </r>
        <r>
          <rPr>
            <sz val="9"/>
            <color indexed="81"/>
            <rFont val="Tahoma"/>
            <family val="2"/>
          </rPr>
          <t xml:space="preserve">
Triggered if Table F.08 has "Approved Software" or "Other per JA4.1.2.1" selected in any Table F.</t>
        </r>
      </text>
    </comment>
    <comment ref="B18" authorId="1" shapeId="0" xr:uid="{4DCA4DF5-C9DA-4F0E-87E0-D3888D9E854A}">
      <text>
        <r>
          <rPr>
            <b/>
            <sz val="9"/>
            <color indexed="81"/>
            <rFont val="Tahoma"/>
            <family val="2"/>
          </rPr>
          <t>8.21.21:</t>
        </r>
        <r>
          <rPr>
            <sz val="9"/>
            <color indexed="81"/>
            <rFont val="Tahoma"/>
            <family val="2"/>
          </rPr>
          <t xml:space="preserve">
Triggered by Table B01 &amp; A04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Microsoft Office User</author>
  </authors>
  <commentList>
    <comment ref="E5" authorId="0" shapeId="0" xr:uid="{00000000-0006-0000-0800-000001000000}">
      <text>
        <r>
          <rPr>
            <b/>
            <sz val="9"/>
            <color rgb="FF000000"/>
            <rFont val="Tahoma"/>
            <family val="2"/>
          </rPr>
          <t>Sally Blair:</t>
        </r>
        <r>
          <rPr>
            <sz val="9"/>
            <color rgb="FF000000"/>
            <rFont val="Tahoma"/>
            <family val="2"/>
          </rPr>
          <t xml:space="preserve">
</t>
        </r>
        <r>
          <rPr>
            <sz val="9"/>
            <color rgb="FF000000"/>
            <rFont val="Tahoma"/>
            <family val="2"/>
          </rPr>
          <t>These selections expand appropriate sub section of Table F.</t>
        </r>
      </text>
    </comment>
    <comment ref="D11" authorId="0" shapeId="0" xr:uid="{00000000-0006-0000-0800-000002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08-16 grey out for that row only.</t>
        </r>
      </text>
    </comment>
    <comment ref="C13" authorId="0" shapeId="0" xr:uid="{00000000-0006-0000-0800-000003000000}">
      <text>
        <r>
          <rPr>
            <b/>
            <sz val="9"/>
            <color rgb="FF000000"/>
            <rFont val="Tahoma"/>
            <family val="2"/>
          </rPr>
          <t>Sally Blair:</t>
        </r>
        <r>
          <rPr>
            <sz val="9"/>
            <color rgb="FF000000"/>
            <rFont val="Tahoma"/>
            <family val="2"/>
          </rPr>
          <t xml:space="preserve">
</t>
        </r>
        <r>
          <rPr>
            <sz val="9"/>
            <color rgb="FF000000"/>
            <rFont val="Tahoma"/>
            <family val="2"/>
          </rPr>
          <t>Ben, columns 08-11, 15 &amp; 16 grey out if "R-value" is selected in column 13.</t>
        </r>
      </text>
    </comment>
    <comment ref="G15" authorId="0" shapeId="0" xr:uid="{00000000-0006-0000-0800-000005000000}">
      <text>
        <r>
          <rPr>
            <b/>
            <sz val="9"/>
            <color rgb="FF000000"/>
            <rFont val="Tahoma"/>
            <family val="2"/>
          </rPr>
          <t>Sally Blair:</t>
        </r>
        <r>
          <rPr>
            <sz val="9"/>
            <color rgb="FF000000"/>
            <rFont val="Tahoma"/>
            <family val="2"/>
          </rPr>
          <t xml:space="preserve">
</t>
        </r>
        <r>
          <rPr>
            <sz val="9"/>
            <color rgb="FF000000"/>
            <rFont val="Tahoma"/>
            <family val="2"/>
          </rPr>
          <t xml:space="preserve">this is only a dropdown if column 04 is "Alteration" AND column 01 "Include Framed Roof in Area-weighted…" is NOT checked.  Otherwise, it auto-selects U-factor and is not editable by the user.
</t>
        </r>
        <r>
          <rPr>
            <sz val="9"/>
            <color rgb="FF000000"/>
            <rFont val="Tahoma"/>
            <family val="2"/>
          </rPr>
          <t xml:space="preserve">
</t>
        </r>
      </text>
    </comment>
    <comment ref="H15" authorId="0" shapeId="0" xr:uid="{00000000-0006-0000-0800-000006000000}">
      <text>
        <r>
          <rPr>
            <b/>
            <sz val="9"/>
            <color rgb="FF000000"/>
            <rFont val="Tahoma"/>
            <family val="2"/>
          </rPr>
          <t>11/8/24</t>
        </r>
        <r>
          <rPr>
            <sz val="9"/>
            <color rgb="FF000000"/>
            <rFont val="Tahoma"/>
            <family val="2"/>
          </rPr>
          <t xml:space="preserve">
Ben, For "New" assemblies (see column 04), this value comes from the Tables in Section 140.3.  Which table to use depends on the occupancy type in column 06:
Nonresidential &amp; Relocatables = Table 140.3-B </t>
        </r>
        <r>
          <rPr>
            <b/>
            <sz val="9"/>
            <color rgb="FFFF0000"/>
            <rFont val="Tahoma"/>
            <family val="2"/>
          </rPr>
          <t>(UPDATED VALUES FOR 2025)</t>
        </r>
        <r>
          <rPr>
            <sz val="9"/>
            <color rgb="FF000000"/>
            <rFont val="Tahoma"/>
            <family val="2"/>
          </rPr>
          <t xml:space="preserve">
Hotel/Motel =Table 140.3-C
Relocatables All CZ =Table 140.3-D
For "Alteration"assemblies (column 04), this value comes from Table 141.0-C </t>
        </r>
        <r>
          <rPr>
            <b/>
            <sz val="9"/>
            <color indexed="10"/>
            <rFont val="Tahoma"/>
            <family val="2"/>
          </rPr>
          <t>or 180.2(b)1Aiii or 180.2(b)1Bi.</t>
        </r>
      </text>
    </comment>
    <comment ref="J15" authorId="0" shapeId="0" xr:uid="{00000000-0006-0000-0800-000007000000}">
      <text>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Correct table in JA4 for look up value depends on the selection in 09:
</t>
        </r>
        <r>
          <rPr>
            <sz val="9"/>
            <color rgb="FF000000"/>
            <rFont val="Tahoma"/>
            <family val="2"/>
          </rPr>
          <t xml:space="preserve">Attic-Wood = Table 4.2.1
</t>
        </r>
        <r>
          <rPr>
            <sz val="9"/>
            <color rgb="FF000000"/>
            <rFont val="Tahoma"/>
            <family val="2"/>
          </rPr>
          <t xml:space="preserve">Attic-Metal = Table 4.2.4
</t>
        </r>
        <r>
          <rPr>
            <sz val="9"/>
            <color rgb="FF000000"/>
            <rFont val="Tahoma"/>
            <family val="2"/>
          </rPr>
          <t xml:space="preserve">Rafter- Wood = Table 4.2.2
</t>
        </r>
        <r>
          <rPr>
            <sz val="9"/>
            <color rgb="FF000000"/>
            <rFont val="Tahoma"/>
            <family val="2"/>
          </rPr>
          <t>Rafter-Metal = Table 4.2.5</t>
        </r>
      </text>
    </comment>
    <comment ref="K15" authorId="0" shapeId="0" xr:uid="{00000000-0006-0000-0800-000008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Framed Roof in Area Weighted Calculation per?" is checked, otherwise grey out.</t>
        </r>
      </text>
    </comment>
    <comment ref="C16" authorId="0" shapeId="0" xr:uid="{00000000-0006-0000-0800-000009000000}">
      <text>
        <r>
          <rPr>
            <b/>
            <sz val="9"/>
            <color rgb="FF000000"/>
            <rFont val="Tahoma"/>
            <family val="2"/>
          </rPr>
          <t>Sally Blair:</t>
        </r>
        <r>
          <rPr>
            <sz val="9"/>
            <color rgb="FF000000"/>
            <rFont val="Tahoma"/>
            <family val="2"/>
          </rPr>
          <t xml:space="preserve">
</t>
        </r>
        <r>
          <rPr>
            <sz val="9"/>
            <color rgb="FF000000"/>
            <rFont val="Tahoma"/>
            <family val="2"/>
          </rPr>
          <t xml:space="preserve">Column 08 determines if Columns 09 through 12 &amp; 15 use the pull downs (upper row) or the user input (lower row) for assembly information. "Approved software" OR "Other per.." = user inputs &amp; "JA4 tables" = pull downs. The other row will grey out when 08 is selected.
</t>
        </r>
      </text>
    </comment>
    <comment ref="J16" authorId="0" shapeId="0" xr:uid="{00000000-0006-0000-0800-00000A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D17" authorId="1" shapeId="0" xr:uid="{D295D4B3-3A24-4A5B-A18E-A752C73B779A}">
      <text>
        <r>
          <rPr>
            <b/>
            <sz val="9"/>
            <color indexed="10"/>
            <rFont val="Tahoma"/>
            <family val="2"/>
          </rPr>
          <t xml:space="preserve">Alexis Markstrum:
</t>
        </r>
        <r>
          <rPr>
            <sz val="9"/>
            <color indexed="10"/>
            <rFont val="Tahoma"/>
            <family val="2"/>
          </rPr>
          <t xml:space="preserve">
Show this field (for all the subtables) at the bottom of the subtable, not every row</t>
        </r>
      </text>
    </comment>
    <comment ref="D24" authorId="1" shapeId="0" xr:uid="{5868EC78-9960-4A58-9C15-F5330EFA8F97}">
      <text>
        <r>
          <rPr>
            <b/>
            <sz val="9"/>
            <color rgb="FFFF0000"/>
            <rFont val="Tahoma"/>
            <family val="2"/>
          </rPr>
          <t xml:space="preserve">10/31/24
</t>
        </r>
        <r>
          <rPr>
            <b/>
            <sz val="9"/>
            <color rgb="FFFF0000"/>
            <rFont val="Tahoma"/>
            <family val="2"/>
          </rPr>
          <t>When this and the one above is selected, open the raw value field for continuous insulation. If Value in CI field is less than 10, table does not comply</t>
        </r>
      </text>
    </comment>
    <comment ref="E29" authorId="0" shapeId="0" xr:uid="{00000000-0006-0000-0800-00000C000000}">
      <text>
        <r>
          <rPr>
            <b/>
            <sz val="9"/>
            <color rgb="FF000000"/>
            <rFont val="Tahoma"/>
            <family val="2"/>
          </rPr>
          <t>Sally Blair:</t>
        </r>
        <r>
          <rPr>
            <sz val="9"/>
            <color rgb="FF000000"/>
            <rFont val="Tahoma"/>
            <family val="2"/>
          </rPr>
          <t xml:space="preserve">
</t>
        </r>
        <r>
          <rPr>
            <sz val="9"/>
            <color rgb="FF000000"/>
            <rFont val="Tahoma"/>
            <family val="2"/>
          </rPr>
          <t>Ben, custom dropdown depending on selection in column 10.</t>
        </r>
      </text>
    </comment>
    <comment ref="B30" authorId="0" shapeId="0" xr:uid="{00000000-0006-0000-0800-00000D000000}">
      <text>
        <r>
          <rPr>
            <sz val="9"/>
            <color rgb="FF000000"/>
            <rFont val="Tahoma"/>
            <family val="2"/>
          </rPr>
          <t>If "Approved Software" or "Other per JA4.1.2.1" are selected, Table D note in Row 20 triggers.  If they reselct JA4 Tables, note in D untriggers.</t>
        </r>
      </text>
    </comment>
    <comment ref="F39" authorId="0" shapeId="0" xr:uid="{BAA0932A-A085-41DE-BE98-56E70B8A7561}">
      <text>
        <r>
          <rPr>
            <sz val="9"/>
            <color rgb="FF000000"/>
            <rFont val="Tahoma"/>
            <family val="2"/>
          </rPr>
          <t xml:space="preserve">7.30.21:
</t>
        </r>
        <r>
          <rPr>
            <sz val="9"/>
            <color rgb="FF000000"/>
            <rFont val="Tahoma"/>
            <family val="2"/>
          </rPr>
          <t>Custom Dropdown if "Rafter-Wood" in col09</t>
        </r>
      </text>
    </comment>
    <comment ref="E55" authorId="0" shapeId="0" xr:uid="{00000000-0006-0000-0800-00000E000000}">
      <text>
        <r>
          <rPr>
            <b/>
            <sz val="9"/>
            <color rgb="FF000000"/>
            <rFont val="Tahoma"/>
            <family val="2"/>
          </rPr>
          <t>Sally Blair:</t>
        </r>
        <r>
          <rPr>
            <sz val="9"/>
            <color rgb="FF000000"/>
            <rFont val="Tahoma"/>
            <family val="2"/>
          </rPr>
          <t xml:space="preserve">
</t>
        </r>
        <r>
          <rPr>
            <sz val="9"/>
            <color rgb="FF000000"/>
            <rFont val="Tahoma"/>
            <family val="2"/>
          </rPr>
          <t>Only applicable for "Rafter-Wood" selection in 09.</t>
        </r>
      </text>
    </comment>
    <comment ref="E62" authorId="0" shapeId="0" xr:uid="{00000000-0006-0000-0800-00000F000000}">
      <text>
        <r>
          <rPr>
            <b/>
            <sz val="9"/>
            <color rgb="FF000000"/>
            <rFont val="Tahoma"/>
            <family val="2"/>
          </rPr>
          <t>Sally Blair:</t>
        </r>
        <r>
          <rPr>
            <sz val="9"/>
            <color rgb="FF000000"/>
            <rFont val="Tahoma"/>
            <family val="2"/>
          </rPr>
          <t xml:space="preserve">
</t>
        </r>
        <r>
          <rPr>
            <sz val="9"/>
            <color rgb="FF000000"/>
            <rFont val="Tahoma"/>
            <family val="2"/>
          </rPr>
          <t>Only applicable for "Rafter-Wood" selection in 09.</t>
        </r>
      </text>
    </comment>
    <comment ref="D76" authorId="0" shapeId="0" xr:uid="{00000000-0006-0000-0800-000010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08-16 grey out for that row only.</t>
        </r>
      </text>
    </comment>
    <comment ref="C78" authorId="0" shapeId="0" xr:uid="{00000000-0006-0000-0800-000011000000}">
      <text>
        <r>
          <rPr>
            <b/>
            <sz val="9"/>
            <color rgb="FF000000"/>
            <rFont val="Tahoma"/>
            <family val="2"/>
          </rPr>
          <t>Sally Blair:</t>
        </r>
        <r>
          <rPr>
            <sz val="9"/>
            <color rgb="FF000000"/>
            <rFont val="Tahoma"/>
            <family val="2"/>
          </rPr>
          <t xml:space="preserve">
</t>
        </r>
        <r>
          <rPr>
            <sz val="9"/>
            <color rgb="FF000000"/>
            <rFont val="Tahoma"/>
            <family val="2"/>
          </rPr>
          <t>Ben, columns 08-11, 15 &amp; 16 grey out if "R-value" is selected in column 13.</t>
        </r>
      </text>
    </comment>
    <comment ref="G80" authorId="0" shapeId="0" xr:uid="{00000000-0006-0000-0800-000013000000}">
      <text>
        <r>
          <rPr>
            <b/>
            <sz val="9"/>
            <color rgb="FF000000"/>
            <rFont val="Tahoma"/>
            <family val="2"/>
          </rPr>
          <t>Sally Blair:</t>
        </r>
        <r>
          <rPr>
            <sz val="9"/>
            <color rgb="FF000000"/>
            <rFont val="Tahoma"/>
            <family val="2"/>
          </rPr>
          <t xml:space="preserve">
</t>
        </r>
        <r>
          <rPr>
            <sz val="9"/>
            <color rgb="FF000000"/>
            <rFont val="Tahoma"/>
            <family val="2"/>
          </rPr>
          <t xml:space="preserve">Ben, this is only a dropdown if column 04 is "Alteration" AND column 02 "Include SIPs Roof in Area-weighted…" is NOT checked.  Otherwise, it auto-selects U-factor and is not editable by the user.
</t>
        </r>
      </text>
    </comment>
    <comment ref="H80" authorId="0" shapeId="0" xr:uid="{00000000-0006-0000-0800-000014000000}">
      <text>
        <r>
          <rPr>
            <sz val="9"/>
            <color rgb="FF000000"/>
            <rFont val="Tahoma"/>
            <family val="2"/>
          </rPr>
          <t xml:space="preserve">For "New" assemblies (see column 04), this value comes from the Tables in Section 140.3.  Which table to use depends on the occupancy type from column 06: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Opt. D non-attic)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J80" authorId="0" shapeId="0" xr:uid="{00000000-0006-0000-0800-000015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Use Table 4.2.3 in JA4 for look up value.
</t>
        </r>
        <r>
          <rPr>
            <sz val="9"/>
            <color rgb="FF000000"/>
            <rFont val="Tahoma"/>
            <family val="2"/>
          </rPr>
          <t xml:space="preserve">
</t>
        </r>
        <r>
          <rPr>
            <sz val="9"/>
            <color rgb="FF000000"/>
            <rFont val="Tahoma"/>
            <family val="2"/>
          </rPr>
          <t xml:space="preserve">Ben, the JA4 tables can be found here:
</t>
        </r>
        <r>
          <rPr>
            <sz val="9"/>
            <color rgb="FF000000"/>
            <rFont val="Tahoma"/>
            <family val="2"/>
          </rPr>
          <t xml:space="preserve">https://energycodeace.com/site/custom/public/reference-ace-2016/Documents/ja42roofsandceilings.htm
</t>
        </r>
      </text>
    </comment>
    <comment ref="K80" authorId="0" shapeId="0" xr:uid="{00000000-0006-0000-0800-000016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SIPs Roof in Area Weighted Calculation per?" is checked, otherwise grey out.</t>
        </r>
      </text>
    </comment>
    <comment ref="C81" authorId="0" shapeId="0" xr:uid="{00000000-0006-0000-0800-000017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through 12 &amp; 15 use the pull downs (upper row) or the user input (lower row) for assembly information. "Approved software" OR "Other per.." = user inputs &amp; "JA4 tables" = pull downs. The other row will grey out when 08 is selected.</t>
        </r>
      </text>
    </comment>
    <comment ref="J81" authorId="0" shapeId="0" xr:uid="{00000000-0006-0000-0800-000018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05 is "Approved Software" OR "Other per JA4..."., but greyed out if it is " JA4 Tables".</t>
        </r>
      </text>
    </comment>
    <comment ref="D89" authorId="1" shapeId="0" xr:uid="{4E72F9A1-801C-F74B-8E92-C531CD93782C}">
      <text>
        <r>
          <rPr>
            <b/>
            <sz val="9"/>
            <color rgb="FFFF0000"/>
            <rFont val="Tahoma"/>
            <family val="2"/>
          </rPr>
          <t xml:space="preserve">10/31/24
</t>
        </r>
        <r>
          <rPr>
            <b/>
            <sz val="9"/>
            <color rgb="FFFF0000"/>
            <rFont val="Tahoma"/>
            <family val="2"/>
          </rPr>
          <t>When this and the one above is selected, open the raw value field for continuous insulation. If Value in CI field is less than 10, table does not comply</t>
        </r>
      </text>
    </comment>
    <comment ref="E93" authorId="0" shapeId="0" xr:uid="{00000000-0006-0000-0800-00001A000000}">
      <text>
        <r>
          <rPr>
            <b/>
            <sz val="9"/>
            <color rgb="FF000000"/>
            <rFont val="Tahoma"/>
            <family val="2"/>
          </rPr>
          <t>Sally Blair:</t>
        </r>
        <r>
          <rPr>
            <sz val="9"/>
            <color rgb="FF000000"/>
            <rFont val="Tahoma"/>
            <family val="2"/>
          </rPr>
          <t xml:space="preserve">
</t>
        </r>
        <r>
          <rPr>
            <sz val="9"/>
            <color rgb="FF000000"/>
            <rFont val="Tahoma"/>
            <family val="2"/>
          </rPr>
          <t xml:space="preserve">This dropdown needs to be custom based on panel thickness in column 10:
</t>
        </r>
        <r>
          <rPr>
            <sz val="9"/>
            <color rgb="FF000000"/>
            <rFont val="Tahoma"/>
            <family val="2"/>
          </rPr>
          <t xml:space="preserve">choices for 6.5in:
</t>
        </r>
        <r>
          <rPr>
            <sz val="9"/>
            <color rgb="FF000000"/>
            <rFont val="Tahoma"/>
            <family val="2"/>
          </rPr>
          <t xml:space="preserve"> R-22
</t>
        </r>
        <r>
          <rPr>
            <sz val="9"/>
            <color rgb="FF000000"/>
            <rFont val="Tahoma"/>
            <family val="2"/>
          </rPr>
          <t xml:space="preserve"> R-33
</t>
        </r>
        <r>
          <rPr>
            <sz val="9"/>
            <color rgb="FF000000"/>
            <rFont val="Tahoma"/>
            <family val="2"/>
          </rPr>
          <t xml:space="preserve">choices for 8.25in:
</t>
        </r>
        <r>
          <rPr>
            <sz val="9"/>
            <color rgb="FF000000"/>
            <rFont val="Tahoma"/>
            <family val="2"/>
          </rPr>
          <t xml:space="preserve"> R-28
</t>
        </r>
        <r>
          <rPr>
            <sz val="9"/>
            <color rgb="FF000000"/>
            <rFont val="Tahoma"/>
            <family val="2"/>
          </rPr>
          <t xml:space="preserve">choices for 10.25in:
</t>
        </r>
        <r>
          <rPr>
            <sz val="9"/>
            <color rgb="FF000000"/>
            <rFont val="Tahoma"/>
            <family val="2"/>
          </rPr>
          <t xml:space="preserve"> R-36
</t>
        </r>
        <r>
          <rPr>
            <sz val="9"/>
            <color rgb="FF000000"/>
            <rFont val="Tahoma"/>
            <family val="2"/>
          </rPr>
          <t xml:space="preserve"> R-55
</t>
        </r>
        <r>
          <rPr>
            <sz val="9"/>
            <color rgb="FF000000"/>
            <rFont val="Tahoma"/>
            <family val="2"/>
          </rPr>
          <t xml:space="preserve">choices for 12.25in:
</t>
        </r>
        <r>
          <rPr>
            <sz val="9"/>
            <color rgb="FF000000"/>
            <rFont val="Tahoma"/>
            <family val="2"/>
          </rPr>
          <t xml:space="preserve"> R-44
</t>
        </r>
        <r>
          <rPr>
            <sz val="9"/>
            <color rgb="FF000000"/>
            <rFont val="Tahoma"/>
            <family val="2"/>
          </rPr>
          <t xml:space="preserve">choices for 48in:
</t>
        </r>
        <r>
          <rPr>
            <sz val="9"/>
            <color rgb="FF000000"/>
            <rFont val="Tahoma"/>
            <family val="2"/>
          </rPr>
          <t xml:space="preserve"> R-14
</t>
        </r>
        <r>
          <rPr>
            <sz val="9"/>
            <color rgb="FF000000"/>
            <rFont val="Tahoma"/>
            <family val="2"/>
          </rPr>
          <t xml:space="preserve"> R-22
</t>
        </r>
        <r>
          <rPr>
            <sz val="9"/>
            <color rgb="FF000000"/>
            <rFont val="Tahoma"/>
            <family val="2"/>
          </rPr>
          <t xml:space="preserve"> R-28
</t>
        </r>
        <r>
          <rPr>
            <sz val="9"/>
            <color rgb="FF000000"/>
            <rFont val="Tahoma"/>
            <family val="2"/>
          </rPr>
          <t xml:space="preserve"> R-36</t>
        </r>
      </text>
    </comment>
    <comment ref="B94" authorId="0" shapeId="0" xr:uid="{00000000-0006-0000-0800-00001B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D110" authorId="0" shapeId="0" xr:uid="{00000000-0006-0000-0800-00001C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08-15 grey out for that row only.</t>
        </r>
      </text>
    </comment>
    <comment ref="C112" authorId="0" shapeId="0" xr:uid="{00000000-0006-0000-0800-00001D000000}">
      <text>
        <r>
          <rPr>
            <b/>
            <sz val="9"/>
            <color rgb="FF000000"/>
            <rFont val="Tahoma"/>
            <family val="2"/>
          </rPr>
          <t>Sally Blair:</t>
        </r>
        <r>
          <rPr>
            <sz val="9"/>
            <color rgb="FF000000"/>
            <rFont val="Tahoma"/>
            <family val="2"/>
          </rPr>
          <t xml:space="preserve">
</t>
        </r>
        <r>
          <rPr>
            <sz val="9"/>
            <color rgb="FF000000"/>
            <rFont val="Tahoma"/>
            <family val="2"/>
          </rPr>
          <t>Ben, columns 08-10 &amp; 14 grey out if "R-value" is selected in column 12.</t>
        </r>
      </text>
    </comment>
    <comment ref="B114" authorId="0" shapeId="0" xr:uid="{00000000-0006-0000-0800-00001F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F114" authorId="0" shapeId="0" xr:uid="{00000000-0006-0000-0800-000020000000}">
      <text>
        <r>
          <rPr>
            <b/>
            <sz val="9"/>
            <color rgb="FF000000"/>
            <rFont val="Tahoma"/>
            <family val="2"/>
          </rPr>
          <t>Sally Blair:</t>
        </r>
        <r>
          <rPr>
            <sz val="9"/>
            <color rgb="FF000000"/>
            <rFont val="Tahoma"/>
            <family val="2"/>
          </rPr>
          <t xml:space="preserve">
</t>
        </r>
        <r>
          <rPr>
            <sz val="9"/>
            <color rgb="FF000000"/>
            <rFont val="Tahoma"/>
            <family val="2"/>
          </rPr>
          <t>Ben, this is only a dropdown if column 04 is "Alteration" AND column 01 "Include Span Deck &amp; Concrete Roof in Area-weighted…" is NOT checked.  Otherwise, it auto-selects U-factor and is not editable by the user.</t>
        </r>
      </text>
    </comment>
    <comment ref="G114" authorId="0" shapeId="0" xr:uid="{00000000-0006-0000-0800-000021000000}">
      <text>
        <r>
          <rPr>
            <sz val="9"/>
            <color rgb="FF000000"/>
            <rFont val="Tahoma"/>
            <family val="2"/>
          </rPr>
          <t xml:space="preserve">Ben, For "New" assemblies (see column 04), this value comes from the Tables in Section 140.3.  Which table to use depends on the occupancy type from column 06: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Opt. D non-attic)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I114" authorId="0" shapeId="0" xr:uid="{00000000-0006-0000-0800-000022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Use Table 4.2.6 in JA4 for look up value.
</t>
        </r>
      </text>
    </comment>
    <comment ref="J114" authorId="0" shapeId="0" xr:uid="{00000000-0006-0000-0800-000023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Span Deck &amp; Concrete Roof in Area Weighted Calculation per?" is checked, otherwise grey out.</t>
        </r>
      </text>
    </comment>
    <comment ref="I115" authorId="0" shapeId="0" xr:uid="{00000000-0006-0000-0800-000024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D123" authorId="2" shapeId="0" xr:uid="{DC149B84-7841-DD4D-A55D-6A3C7086CB2A}">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r>
          <rPr>
            <sz val="10"/>
            <color rgb="FFFF0000"/>
            <rFont val="Calibri"/>
            <family val="2"/>
            <scheme val="minor"/>
          </rPr>
          <t xml:space="preserve">
</t>
        </r>
      </text>
    </comment>
    <comment ref="B129" authorId="0" shapeId="0" xr:uid="{00000000-0006-0000-0800-000026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D142" authorId="0" shapeId="0" xr:uid="{00000000-0006-0000-0800-000027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08-13 grey out for that row only.</t>
        </r>
      </text>
    </comment>
    <comment ref="B146" authorId="0" shapeId="0" xr:uid="{00000000-0006-0000-0800-000029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&amp; 12 use the pull downs (upper row) or the user input (lower row) for assembly information. "Approved software" OR "Other per.." = user inputs &amp; "JA4 tables" = pull downs. The other row will grey out when 08 is selected.</t>
        </r>
      </text>
    </comment>
    <comment ref="E146" authorId="0" shapeId="0" xr:uid="{00000000-0006-0000-0800-00002A000000}">
      <text>
        <r>
          <rPr>
            <sz val="9"/>
            <color rgb="FF000000"/>
            <rFont val="Tahoma"/>
            <family val="2"/>
          </rPr>
          <t xml:space="preserve">Ben, For "New" assemblies (see column 04), this value comes from the Tables in Section 140.3.  Which table to use depends on the occupancy type from column 06:
</t>
        </r>
        <r>
          <rPr>
            <sz val="9"/>
            <color rgb="FF000000"/>
            <rFont val="Tahoma"/>
            <family val="2"/>
          </rPr>
          <t>Nonresidential &amp; Relocatables = Table 140.3-B</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Opt. D non-attic)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G146" authorId="0" shapeId="0" xr:uid="{00000000-0006-0000-0800-00002B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Use Table 4.2.9 in JA4 for look up value.</t>
        </r>
      </text>
    </comment>
    <comment ref="H146" authorId="0" shapeId="0" xr:uid="{00000000-0006-0000-0800-00002C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Metal Panel Roof in Area Weighted Calculation per?" is checked, otherwise grey out.</t>
        </r>
      </text>
    </comment>
    <comment ref="G147" authorId="0" shapeId="0" xr:uid="{00000000-0006-0000-0800-00002D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D154" authorId="2" shapeId="0" xr:uid="{46A31F5E-AA58-2A4D-BDD2-4D8544E53FBC}">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r>
          <rPr>
            <sz val="10"/>
            <color rgb="FFFF0000"/>
            <rFont val="Calibri"/>
            <family val="2"/>
            <scheme val="minor"/>
          </rPr>
          <t xml:space="preserve">
</t>
        </r>
      </text>
    </comment>
    <comment ref="B159" authorId="0" shapeId="0" xr:uid="{00000000-0006-0000-0800-00002F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D169" authorId="0" shapeId="0" xr:uid="{00000000-0006-0000-0800-000030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08-15 grey out for that row only.</t>
        </r>
      </text>
    </comment>
    <comment ref="C171" authorId="0" shapeId="0" xr:uid="{00000000-0006-0000-0800-000031000000}">
      <text>
        <r>
          <rPr>
            <b/>
            <sz val="9"/>
            <color rgb="FF000000"/>
            <rFont val="Tahoma"/>
            <family val="2"/>
          </rPr>
          <t>Sally Blair:</t>
        </r>
        <r>
          <rPr>
            <sz val="9"/>
            <color rgb="FF000000"/>
            <rFont val="Tahoma"/>
            <family val="2"/>
          </rPr>
          <t xml:space="preserve">
</t>
        </r>
        <r>
          <rPr>
            <sz val="9"/>
            <color rgb="FF000000"/>
            <rFont val="Tahoma"/>
            <family val="2"/>
          </rPr>
          <t>Ben, columns 08-10 &amp; 14 grey out if "R-value" is selected in column 12.</t>
        </r>
      </text>
    </comment>
    <comment ref="B173" authorId="0" shapeId="0" xr:uid="{00000000-0006-0000-0800-000033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G173" authorId="0" shapeId="0" xr:uid="{00000000-0006-0000-0800-000034000000}">
      <text>
        <r>
          <rPr>
            <b/>
            <sz val="9"/>
            <color rgb="FF000000"/>
            <rFont val="Tahoma"/>
            <family val="2"/>
          </rPr>
          <t>Sally Blair:</t>
        </r>
        <r>
          <rPr>
            <sz val="9"/>
            <color rgb="FF000000"/>
            <rFont val="Tahoma"/>
            <family val="2"/>
          </rPr>
          <t xml:space="preserve">
</t>
        </r>
        <r>
          <rPr>
            <sz val="9"/>
            <color rgb="FF000000"/>
            <rFont val="Tahoma"/>
            <family val="2"/>
          </rPr>
          <t>this is only a dropdown if column 04 is "Alteration" AND column 02 "Calculate Area-Weighted " is NOT checked.  Otherwise, it auto-selects U-factor and is not editable by the user.</t>
        </r>
      </text>
    </comment>
    <comment ref="H173" authorId="0" shapeId="0" xr:uid="{00000000-0006-0000-0800-000035000000}">
      <text>
        <r>
          <rPr>
            <sz val="9"/>
            <color rgb="FF000000"/>
            <rFont val="Tahoma"/>
            <family val="2"/>
          </rPr>
          <t xml:space="preserve">For "New" assemblies (see column 04), this value comes from the Tables in Section 140.3.   Which table to use depends on the occupancy type from Table A column 06: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Note that the correct factor in these tables is in the row for "Metal Building".
</t>
        </r>
        <r>
          <rPr>
            <sz val="9"/>
            <color rgb="FF000000"/>
            <rFont val="Tahoma"/>
            <family val="2"/>
          </rPr>
          <t xml:space="preserve">Multifamily = 0.041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J173" authorId="0" shapeId="0" xr:uid="{00000000-0006-0000-0800-000036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Use Table 4.2.7 in JA4
</t>
        </r>
      </text>
    </comment>
    <comment ref="K173" authorId="0" shapeId="0" xr:uid="{00000000-0006-0000-0800-000037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"Calculate Area Weighted Average..." is checked, otherwise grey out.</t>
        </r>
      </text>
    </comment>
    <comment ref="J174" authorId="0" shapeId="0" xr:uid="{00000000-0006-0000-0800-000038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05 is "Approved Software" OR "Other per JA4..."., but greyed out if it is " JA4 Tables".</t>
        </r>
      </text>
    </comment>
    <comment ref="D182" authorId="1" shapeId="0" xr:uid="{5A572A45-73D0-4D3D-B3AC-73AEB37E6DD4}">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text>
    </comment>
    <comment ref="E187" authorId="0" shapeId="0" xr:uid="{00000000-0006-0000-0800-00003A000000}">
      <text>
        <r>
          <rPr>
            <b/>
            <sz val="9"/>
            <color rgb="FF000000"/>
            <rFont val="Tahoma"/>
            <family val="2"/>
          </rPr>
          <t>Sally Blair:</t>
        </r>
        <r>
          <rPr>
            <sz val="9"/>
            <color rgb="FF000000"/>
            <rFont val="Tahoma"/>
            <family val="2"/>
          </rPr>
          <t xml:space="preserve">
</t>
        </r>
        <r>
          <rPr>
            <sz val="9"/>
            <color rgb="FF000000"/>
            <rFont val="Tahoma"/>
            <family val="2"/>
          </rPr>
          <t>The dropdown changes based on selection in column 09.</t>
        </r>
      </text>
    </comment>
    <comment ref="F187" authorId="0" shapeId="0" xr:uid="{00000000-0006-0000-0800-00003B000000}">
      <text>
        <r>
          <rPr>
            <b/>
            <sz val="9"/>
            <color rgb="FF000000"/>
            <rFont val="Tahoma"/>
            <family val="2"/>
          </rPr>
          <t>Sally Blair:</t>
        </r>
        <r>
          <rPr>
            <sz val="9"/>
            <color rgb="FF000000"/>
            <rFont val="Tahoma"/>
            <family val="2"/>
          </rPr>
          <t xml:space="preserve">
</t>
        </r>
        <r>
          <rPr>
            <sz val="9"/>
            <color rgb="FF000000"/>
            <rFont val="Tahoma"/>
            <family val="2"/>
          </rPr>
          <t xml:space="preserve">Ben, the values in the JA4 Table 4.2.7 for this selection are in the column titled "Overall  U-Factor for Entire Base Roof Assembly".  </t>
        </r>
      </text>
    </comment>
    <comment ref="B188" authorId="0" shapeId="0" xr:uid="{00000000-0006-0000-0800-00003C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E221" authorId="0" shapeId="0" xr:uid="{F509A06D-C9CF-45C0-9C6F-1EE28E8940F9}">
      <text>
        <r>
          <rPr>
            <sz val="9"/>
            <color rgb="FF000000"/>
            <rFont val="Tahoma"/>
            <family val="2"/>
          </rPr>
          <t xml:space="preserve">This cell should default to "None of these exceptions apply"
</t>
        </r>
        <r>
          <rPr>
            <sz val="9"/>
            <color rgb="FF000000"/>
            <rFont val="Tahoma"/>
            <family val="2"/>
          </rPr>
          <t xml:space="preserve">If user selects "New or Add &gt; 700" OR "Add &lt;=700" in column 04, this cell greys out and the Tag/Plan ID is transferred to column 09 or 19 depending on selection in col 08.  
</t>
        </r>
        <r>
          <rPr>
            <sz val="9"/>
            <color rgb="FF000000"/>
            <rFont val="Tahoma"/>
            <family val="2"/>
          </rPr>
          <t xml:space="preserve">If user selects "Altered" in column 04 &amp; "None of the exceptions apply" here, the Tag/Plan ID is transferred to column 09 or 19 depending on selection in col 08.  
</t>
        </r>
        <r>
          <rPr>
            <sz val="9"/>
            <color rgb="FF000000"/>
            <rFont val="Tahoma"/>
            <family val="2"/>
          </rPr>
          <t>If user selects "Altered" in column 04 &amp; anything OTHER THAN "None of the exceptions apply" here, columns 07&amp;08 grey out for that row only.</t>
        </r>
      </text>
    </comment>
    <comment ref="A225" authorId="1" shapeId="0" xr:uid="{9CAC304F-59A6-4506-88F0-FB2CDEDB23C5}">
      <text>
        <r>
          <rPr>
            <b/>
            <sz val="9"/>
            <color rgb="FF000000"/>
            <rFont val="Tahoma"/>
            <family val="2"/>
          </rPr>
          <t>Alexis Markstrum:</t>
        </r>
        <r>
          <rPr>
            <sz val="9"/>
            <color rgb="FF000000"/>
            <rFont val="Tahoma"/>
            <family val="2"/>
          </rPr>
          <t xml:space="preserve">
</t>
        </r>
        <r>
          <rPr>
            <sz val="9"/>
            <color rgb="FF000000"/>
            <rFont val="Tahoma"/>
            <family val="2"/>
          </rPr>
          <t>If 07 'Compliance Unit' is grayed out, do not require this table</t>
        </r>
      </text>
    </comment>
    <comment ref="B228" authorId="0" shapeId="0" xr:uid="{EF8EE345-CB33-4CFF-8E00-061A793E4797}">
      <text>
        <r>
          <rPr>
            <b/>
            <sz val="9"/>
            <color rgb="FF000000"/>
            <rFont val="Tahoma"/>
            <family val="2"/>
          </rPr>
          <t>Sally Blair:</t>
        </r>
        <r>
          <rPr>
            <sz val="9"/>
            <color rgb="FF000000"/>
            <rFont val="Tahoma"/>
            <family val="2"/>
          </rPr>
          <t xml:space="preserve">
</t>
        </r>
        <r>
          <rPr>
            <sz val="9"/>
            <color rgb="FF000000"/>
            <rFont val="Tahoma"/>
            <family val="2"/>
          </rPr>
          <t>Column10 determines if Columns 10 - 13 &amp; 16 use the pull downs (upper row) or the user input (lower row) for assembly information. "Approved software" OR "Other per.." = user inputs &amp; "JA4 tables" = pull downs. The other row will grey out when 10 is selected.</t>
        </r>
      </text>
    </comment>
    <comment ref="H228" authorId="0" shapeId="0" xr:uid="{EB73F193-7ADA-457F-8FBE-B0D6F0BC4F82}">
      <text>
        <r>
          <rPr>
            <sz val="9"/>
            <color rgb="FF000000"/>
            <rFont val="Tahoma"/>
            <family val="2"/>
          </rPr>
          <t xml:space="preserve">If "New &amp; Add &gt;700" in col 04 &amp; CZ 1,2, 4, 8-16 in A03 = 0.028
</t>
        </r>
        <r>
          <rPr>
            <sz val="9"/>
            <color rgb="FF000000"/>
            <rFont val="Tahoma"/>
            <family val="2"/>
          </rPr>
          <t xml:space="preserve">If "New &amp; Add &gt;700" in col 04 &amp; CZ 3,5,6 in A03 = 0.034
</t>
        </r>
        <r>
          <rPr>
            <sz val="9"/>
            <color rgb="FF000000"/>
            <rFont val="Tahoma"/>
            <family val="2"/>
          </rPr>
          <t xml:space="preserve">If "New &amp; Add &gt;700" in col 04 &amp; CZ 7 in A03 = 0.039
</t>
        </r>
        <r>
          <rPr>
            <sz val="9"/>
            <color rgb="FF000000"/>
            <rFont val="Tahoma"/>
            <family val="2"/>
          </rPr>
          <t xml:space="preserve">
</t>
        </r>
        <r>
          <rPr>
            <sz val="9"/>
            <color rgb="FF000000"/>
            <rFont val="Tahoma"/>
            <family val="2"/>
          </rPr>
          <t xml:space="preserve">If "Add &lt;=700" in col 04 &amp; "Vented Attic" in col 05 &amp; CZ 1,2, 4, 8-16 in A03 = 0.025
</t>
        </r>
        <r>
          <rPr>
            <sz val="9"/>
            <color rgb="FF000000"/>
            <rFont val="Tahoma"/>
            <family val="2"/>
          </rPr>
          <t xml:space="preserve">If "Add &lt;=700" in col 04 &amp; "Vented Attic" in col 05 &amp; CZ 3,5-7 in A03 = 0.031
</t>
        </r>
        <r>
          <rPr>
            <sz val="9"/>
            <color rgb="FF000000"/>
            <rFont val="Tahoma"/>
            <family val="2"/>
          </rPr>
          <t xml:space="preserve">If "Add &lt;=700" in col 04 &amp; "Enclosed Rafter" in col 05 = 0.075
</t>
        </r>
        <r>
          <rPr>
            <sz val="9"/>
            <color rgb="FF000000"/>
            <rFont val="Tahoma"/>
            <family val="2"/>
          </rPr>
          <t xml:space="preserve">
</t>
        </r>
        <r>
          <rPr>
            <sz val="9"/>
            <color rgb="FF000000"/>
            <rFont val="Tahoma"/>
            <family val="2"/>
          </rPr>
          <t xml:space="preserve">If "Alt Low-sloped" in col 04 &amp; CZ 1,2, 4, 8-16 in A03 = 0.039
</t>
        </r>
        <r>
          <rPr>
            <sz val="9"/>
            <color rgb="FF000000"/>
            <rFont val="Tahoma"/>
            <family val="2"/>
          </rPr>
          <t xml:space="preserve">
</t>
        </r>
        <r>
          <rPr>
            <sz val="9"/>
            <color rgb="FF000000"/>
            <rFont val="Tahoma"/>
            <family val="2"/>
          </rPr>
          <t xml:space="preserve">If "Alt Steep-sloped" in col 04 &amp; "Vented Attic" in col 05 &amp; CZ 1,2, 4, 8-16 in A03 = 0.020
</t>
        </r>
        <r>
          <rPr>
            <sz val="9"/>
            <color rgb="FF000000"/>
            <rFont val="Tahoma"/>
            <family val="2"/>
          </rPr>
          <t xml:space="preserve">
</t>
        </r>
        <r>
          <rPr>
            <sz val="9"/>
            <color rgb="FF000000"/>
            <rFont val="Tahoma"/>
            <family val="2"/>
          </rPr>
          <t>Otherwise grey col 15 -17 for this row.</t>
        </r>
      </text>
    </comment>
    <comment ref="J228" authorId="0" shapeId="0" xr:uid="{DD998225-1A40-4B5E-94E5-4A8AF3C49D3B}">
      <text>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Correct table in JA4 for look up value depends on the selection in 09:
</t>
        </r>
        <r>
          <rPr>
            <sz val="9"/>
            <color rgb="FF000000"/>
            <rFont val="Tahoma"/>
            <family val="2"/>
          </rPr>
          <t xml:space="preserve">Attic-Wood = Table 4.2.1
</t>
        </r>
        <r>
          <rPr>
            <sz val="9"/>
            <color rgb="FF000000"/>
            <rFont val="Tahoma"/>
            <family val="2"/>
          </rPr>
          <t xml:space="preserve">Attic-Metal = Table 4.2.4
</t>
        </r>
        <r>
          <rPr>
            <sz val="9"/>
            <color rgb="FF000000"/>
            <rFont val="Tahoma"/>
            <family val="2"/>
          </rPr>
          <t xml:space="preserve">Rafter- Wood = Table 4.2.2
</t>
        </r>
        <r>
          <rPr>
            <sz val="9"/>
            <color rgb="FF000000"/>
            <rFont val="Tahoma"/>
            <family val="2"/>
          </rPr>
          <t xml:space="preserve">Rafter-Metal = Table 4.2.5
</t>
        </r>
      </text>
    </comment>
    <comment ref="K228" authorId="0" shapeId="0" xr:uid="{33A1EDD3-6DBC-4022-8B10-A3A4CBC89048}">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Framed Roof in Area Weighted Calculation per?" is checked, otherwise grey out.</t>
        </r>
      </text>
    </comment>
    <comment ref="J229" authorId="0" shapeId="0" xr:uid="{02A172AC-63A2-49C3-B692-970FA4069B1B}">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A233" authorId="1" shapeId="0" xr:uid="{791EC69A-AA87-47DD-921E-E01921A67AC1}">
      <text>
        <r>
          <rPr>
            <b/>
            <sz val="9"/>
            <color rgb="FF000000"/>
            <rFont val="Tahoma"/>
            <family val="2"/>
          </rPr>
          <t>Alexis Markstrum:</t>
        </r>
        <r>
          <rPr>
            <sz val="9"/>
            <color rgb="FF000000"/>
            <rFont val="Tahoma"/>
            <family val="2"/>
          </rPr>
          <t xml:space="preserve">
</t>
        </r>
        <r>
          <rPr>
            <sz val="9"/>
            <color rgb="FF000000"/>
            <rFont val="Tahoma"/>
            <family val="2"/>
          </rPr>
          <t>If 07 'Compliance unit' is grayed out, do not require this table</t>
        </r>
      </text>
    </comment>
    <comment ref="B236" authorId="0" shapeId="0" xr:uid="{CFC1EDA9-E765-4827-9E26-D125E9E7FC6D}">
      <text>
        <r>
          <rPr>
            <sz val="9"/>
            <color rgb="FF000000"/>
            <rFont val="Tahoma"/>
            <family val="2"/>
          </rPr>
          <t xml:space="preserve">If "Attic- Opt. B" in col 05 &amp; CZ 2,3,5-7 in A03 = "Yes"
</t>
        </r>
        <r>
          <rPr>
            <sz val="9"/>
            <color rgb="FF000000"/>
            <rFont val="Tahoma"/>
            <family val="2"/>
          </rPr>
          <t xml:space="preserve">If "Attic- Opt. C" in col 05 &amp; CZ 2-15 in A03 = "Yes"
</t>
        </r>
        <r>
          <rPr>
            <sz val="9"/>
            <color rgb="FF000000"/>
            <rFont val="Tahoma"/>
            <family val="2"/>
          </rPr>
          <t xml:space="preserve">If "Add&lt;=700" in col 04 &amp; "MF &lt;= 3stories" in col 07 &amp; CZ 2-15 in A03 = "Yes"
</t>
        </r>
        <r>
          <rPr>
            <sz val="9"/>
            <color rgb="FF000000"/>
            <rFont val="Tahoma"/>
            <family val="2"/>
          </rPr>
          <t xml:space="preserve">
</t>
        </r>
        <r>
          <rPr>
            <sz val="9"/>
            <color rgb="FF000000"/>
            <rFont val="Tahoma"/>
            <family val="2"/>
          </rPr>
          <t>Otherwise = "No"</t>
        </r>
      </text>
    </comment>
    <comment ref="E236" authorId="0" shapeId="0" xr:uid="{9E53BA32-3D81-4365-AEAB-C68187B361C5}">
      <text>
        <r>
          <rPr>
            <sz val="9"/>
            <color rgb="FF000000"/>
            <rFont val="Tahoma"/>
            <family val="2"/>
          </rPr>
          <t xml:space="preserve">If "Attic- Opt. B" in col 05 &amp; CZ 4,8,9,11-15 in A03 = 19
</t>
        </r>
        <r>
          <rPr>
            <sz val="9"/>
            <color rgb="FF000000"/>
            <rFont val="Tahoma"/>
            <family val="2"/>
          </rPr>
          <t xml:space="preserve">If "Attic- Opt. B" in col 05 &amp; CZ 10,16 in A03 = 13
</t>
        </r>
        <r>
          <rPr>
            <sz val="9"/>
            <color rgb="FF000000"/>
            <rFont val="Tahoma"/>
            <family val="2"/>
          </rPr>
          <t xml:space="preserve">If "Alt. Low Slope" in col 04 &amp; "Other than Vented Attic" in col 05 &amp; CZ 1,2,4,8-16 in A03 = 14
</t>
        </r>
        <r>
          <rPr>
            <sz val="9"/>
            <color rgb="FF000000"/>
            <rFont val="Tahoma"/>
            <family val="2"/>
          </rPr>
          <t xml:space="preserve">
</t>
        </r>
        <r>
          <rPr>
            <sz val="9"/>
            <color rgb="FF000000"/>
            <rFont val="Tahoma"/>
            <family val="2"/>
          </rPr>
          <t>Otherwise grey out this row for col 22 &amp; col 23</t>
        </r>
      </text>
    </comment>
    <comment ref="E237" authorId="0" shapeId="0" xr:uid="{A79E0A89-2702-48E1-9552-A6D4429DF0BB}">
      <text>
        <r>
          <rPr>
            <sz val="9"/>
            <color rgb="FF000000"/>
            <rFont val="Tahoma"/>
            <family val="2"/>
          </rPr>
          <t xml:space="preserve">If "Attic- Opt. B" in col 05 &amp; CZ 1,2,4,8-16 in A03 = 38
</t>
        </r>
        <r>
          <rPr>
            <sz val="9"/>
            <color rgb="FF000000"/>
            <rFont val="Tahoma"/>
            <family val="2"/>
          </rPr>
          <t xml:space="preserve">If "Attic- Opt. B" in col 05 &amp; CZ 3,5-7 in A03 = 30
</t>
        </r>
        <r>
          <rPr>
            <sz val="9"/>
            <color rgb="FF000000"/>
            <rFont val="Tahoma"/>
            <family val="2"/>
          </rPr>
          <t xml:space="preserve">If "Attic- Opt. C" in col 05 &amp; CZ 1,11-16 in A03 = 38
</t>
        </r>
        <r>
          <rPr>
            <sz val="9"/>
            <color rgb="FF000000"/>
            <rFont val="Tahoma"/>
            <family val="2"/>
          </rPr>
          <t xml:space="preserve">If "Attic- Opt. C" in col 05 &amp; CZ 2-10 in A03 = 30
</t>
        </r>
        <r>
          <rPr>
            <sz val="9"/>
            <color rgb="FF000000"/>
            <rFont val="Tahoma"/>
            <family val="2"/>
          </rPr>
          <t xml:space="preserve">If "Add&lt;=700" in col 04 &amp; "Vented Attic" in col 05 &amp; CZ 1,2,4,8-16 in A03 = 38
</t>
        </r>
        <r>
          <rPr>
            <sz val="9"/>
            <color rgb="FF000000"/>
            <rFont val="Tahoma"/>
            <family val="2"/>
          </rPr>
          <t xml:space="preserve">If "Add&lt;=700" in col 04 &amp; "Vented Attic" in col 05 &amp; CZ 3,5-7 in A03 = 30
</t>
        </r>
        <r>
          <rPr>
            <sz val="9"/>
            <color rgb="FF000000"/>
            <rFont val="Tahoma"/>
            <family val="2"/>
          </rPr>
          <t xml:space="preserve">If "Alt. Low Slope" in col 04 &amp; "Vented Attic" in col 05 &amp; CZ 1-4,8-16 in A03 = 49
</t>
        </r>
        <r>
          <rPr>
            <sz val="9"/>
            <color rgb="FF000000"/>
            <rFont val="Tahoma"/>
            <family val="2"/>
          </rPr>
          <t xml:space="preserve">If "Alt. Steep Slope" in col 04 &amp; "Vented Attic" in col 05 &amp; CZ 1-4,8-16 in A03 = 49
</t>
        </r>
        <r>
          <rPr>
            <sz val="9"/>
            <color rgb="FF000000"/>
            <rFont val="Tahoma"/>
            <family val="2"/>
          </rPr>
          <t>Otherwise grey out this row for col 21 &amp; col 22</t>
        </r>
      </text>
    </comment>
    <comment ref="D240" authorId="0" shapeId="0" xr:uid="{C5F7D89F-AE9E-4B92-A8EB-A48CB2D1B16E}">
      <text>
        <r>
          <rPr>
            <sz val="9"/>
            <color rgb="FF000000"/>
            <rFont val="Tahoma"/>
            <family val="2"/>
          </rPr>
          <t>Custom dropdown when "New or Add &gt; 700ft2" selected in col 04.</t>
        </r>
      </text>
    </comment>
    <comment ref="E240" authorId="0" shapeId="0" xr:uid="{88F04CAD-8DDC-4507-8E4B-63825C2653D2}">
      <text>
        <r>
          <rPr>
            <sz val="9"/>
            <color rgb="FF000000"/>
            <rFont val="Tahoma"/>
            <family val="2"/>
          </rPr>
          <t>Custom dropdown when "Altered- Low Slope" selected in column 04</t>
        </r>
      </text>
    </comment>
    <comment ref="E242" authorId="1" shapeId="0" xr:uid="{82DD9C7E-C04E-4746-9873-BC7D8F484466}">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text>
    </comment>
    <comment ref="D247" authorId="0" shapeId="0" xr:uid="{58472338-578B-446B-9C4C-78B9B9121C08}">
      <text>
        <r>
          <rPr>
            <b/>
            <sz val="9"/>
            <color rgb="FF000000"/>
            <rFont val="Tahoma"/>
            <family val="2"/>
          </rPr>
          <t>8.20.21:</t>
        </r>
        <r>
          <rPr>
            <sz val="9"/>
            <color rgb="FF000000"/>
            <rFont val="Tahoma"/>
            <family val="2"/>
          </rPr>
          <t xml:space="preserve">
</t>
        </r>
        <r>
          <rPr>
            <sz val="9"/>
            <color rgb="FF000000"/>
            <rFont val="Tahoma"/>
            <family val="2"/>
          </rPr>
          <t>Custom dropdown when "Add &lt;= 700ft2" selected in col 04.</t>
        </r>
      </text>
    </comment>
    <comment ref="E247" authorId="0" shapeId="0" xr:uid="{A0022011-1F42-4DA6-95BE-1F63C9F8CC3D}">
      <text>
        <r>
          <rPr>
            <sz val="9"/>
            <color rgb="FF000000"/>
            <rFont val="Tahoma"/>
            <family val="2"/>
          </rPr>
          <t>Custom dropdown when "Altered- Steep Slope" selected in column 04 AND Vented Attic selected in col 05</t>
        </r>
      </text>
    </comment>
    <comment ref="D250" authorId="0" shapeId="0" xr:uid="{F775EA5C-0C68-4336-BFFD-522B9007202C}">
      <text>
        <r>
          <rPr>
            <b/>
            <sz val="9"/>
            <color rgb="FF000000"/>
            <rFont val="Tahoma"/>
            <family val="2"/>
          </rPr>
          <t>8.20.21:</t>
        </r>
        <r>
          <rPr>
            <sz val="9"/>
            <color rgb="FF000000"/>
            <rFont val="Tahoma"/>
            <family val="2"/>
          </rPr>
          <t xml:space="preserve">
</t>
        </r>
        <r>
          <rPr>
            <sz val="9"/>
            <color rgb="FF000000"/>
            <rFont val="Tahoma"/>
            <family val="2"/>
          </rPr>
          <t>If selected greys out col 06-</t>
        </r>
        <r>
          <rPr>
            <b/>
            <sz val="9"/>
            <color rgb="FF000000"/>
            <rFont val="Tahoma"/>
            <family val="2"/>
          </rPr>
          <t>07</t>
        </r>
        <r>
          <rPr>
            <strike/>
            <sz val="9"/>
            <color rgb="FF000000"/>
            <rFont val="Tahoma"/>
            <family val="2"/>
          </rPr>
          <t>08</t>
        </r>
        <r>
          <rPr>
            <sz val="9"/>
            <color rgb="FF000000"/>
            <rFont val="Tahoma"/>
            <family val="2"/>
          </rPr>
          <t xml:space="preserve"> for this row</t>
        </r>
      </text>
    </comment>
    <comment ref="D252" authorId="0" shapeId="0" xr:uid="{454ED751-CACB-41FC-9834-D1FFD1A416A3}">
      <text>
        <r>
          <rPr>
            <b/>
            <sz val="9"/>
            <color rgb="FF000000"/>
            <rFont val="Tahoma"/>
            <family val="2"/>
          </rPr>
          <t>8.20.21:</t>
        </r>
        <r>
          <rPr>
            <sz val="9"/>
            <color rgb="FF000000"/>
            <rFont val="Tahoma"/>
            <family val="2"/>
          </rPr>
          <t xml:space="preserve">
</t>
        </r>
        <r>
          <rPr>
            <sz val="9"/>
            <color rgb="FF000000"/>
            <rFont val="Tahoma"/>
            <family val="2"/>
          </rPr>
          <t>Custom dropdown when "Alt low-slope" OR "Alt. steep-slope" selected in col 04.</t>
        </r>
      </text>
    </comment>
    <comment ref="D254" authorId="0" shapeId="0" xr:uid="{4A48EC5E-1550-488F-82AC-42E12E3CE3C3}">
      <text>
        <r>
          <rPr>
            <b/>
            <sz val="9"/>
            <color rgb="FF000000"/>
            <rFont val="Tahoma"/>
            <family val="2"/>
          </rPr>
          <t>8.20.21:</t>
        </r>
        <r>
          <rPr>
            <sz val="9"/>
            <color rgb="FF000000"/>
            <rFont val="Tahoma"/>
            <family val="2"/>
          </rPr>
          <t xml:space="preserve">
</t>
        </r>
        <r>
          <rPr>
            <sz val="9"/>
            <color rgb="FF000000"/>
            <rFont val="Tahoma"/>
            <family val="2"/>
          </rPr>
          <t>If selected AND "Alt. Steep-sloped" in col 04, grey out col 06-</t>
        </r>
        <r>
          <rPr>
            <b/>
            <sz val="9"/>
            <color rgb="FF000000"/>
            <rFont val="Tahoma"/>
            <family val="2"/>
          </rPr>
          <t>07</t>
        </r>
        <r>
          <rPr>
            <strike/>
            <sz val="9"/>
            <color rgb="FF000000"/>
            <rFont val="Tahoma"/>
            <family val="2"/>
          </rPr>
          <t>08</t>
        </r>
        <r>
          <rPr>
            <sz val="9"/>
            <color rgb="FF000000"/>
            <rFont val="Tahoma"/>
            <family val="2"/>
          </rPr>
          <t xml:space="preserve"> for this row</t>
        </r>
      </text>
    </comment>
    <comment ref="E260" authorId="0" shapeId="0" xr:uid="{CDC0B96F-C9DE-4C71-A86C-2552841202A9}">
      <text>
        <r>
          <rPr>
            <b/>
            <sz val="9"/>
            <color rgb="FF000000"/>
            <rFont val="Tahoma"/>
            <family val="2"/>
          </rPr>
          <t>Sally Blair:</t>
        </r>
        <r>
          <rPr>
            <sz val="9"/>
            <color rgb="FF000000"/>
            <rFont val="Tahoma"/>
            <family val="2"/>
          </rPr>
          <t xml:space="preserve">
</t>
        </r>
        <r>
          <rPr>
            <sz val="9"/>
            <color rgb="FF000000"/>
            <rFont val="Tahoma"/>
            <family val="2"/>
          </rPr>
          <t>Custom dropdown depending on selection in column 11.</t>
        </r>
      </text>
    </comment>
    <comment ref="B261" authorId="0" shapeId="0" xr:uid="{30F4BD7F-A1A3-4581-9464-7920B87E0709}">
      <text>
        <r>
          <rPr>
            <sz val="9"/>
            <color rgb="FF000000"/>
            <rFont val="Tahoma"/>
            <family val="2"/>
          </rPr>
          <t>If "Approved Software" or "Other per JA4.1.2.1" are selected, Table D note in Row 20 triggers.  If they reselct JA4 Tables, note in D untriggers.</t>
        </r>
      </text>
    </comment>
    <comment ref="D263" authorId="0" shapeId="0" xr:uid="{54C18444-71A3-44D9-B1CD-F1653F2D3F2C}">
      <text>
        <r>
          <rPr>
            <sz val="9"/>
            <color rgb="FF000000"/>
            <rFont val="Tahoma"/>
            <family val="2"/>
          </rPr>
          <t>Use Rafter dropdown for anything other than "Attic" selected in column 05</t>
        </r>
      </text>
    </comment>
    <comment ref="F270" authorId="0" shapeId="0" xr:uid="{566D6536-4954-4D3E-8EEC-273456FC71B8}">
      <text>
        <r>
          <rPr>
            <sz val="9"/>
            <color rgb="FF000000"/>
            <rFont val="Tahoma"/>
            <family val="2"/>
          </rPr>
          <t>Custom Dropdown if Anyting other than "Attic" in col 05 AND "wood" in col 10</t>
        </r>
      </text>
    </comment>
    <comment ref="E286" authorId="0" shapeId="0" xr:uid="{3023F67E-CC29-4C20-93D8-2F42A5FBF262}">
      <text>
        <r>
          <rPr>
            <b/>
            <sz val="9"/>
            <color rgb="FF000000"/>
            <rFont val="Tahoma"/>
            <family val="2"/>
          </rPr>
          <t>Sally Blair:</t>
        </r>
        <r>
          <rPr>
            <sz val="9"/>
            <color rgb="FF000000"/>
            <rFont val="Tahoma"/>
            <family val="2"/>
          </rPr>
          <t xml:space="preserve">
</t>
        </r>
        <r>
          <rPr>
            <sz val="9"/>
            <color rgb="FF000000"/>
            <rFont val="Tahoma"/>
            <family val="2"/>
          </rPr>
          <t>Only applicable for Anyting other than "Attic" in col 05 AND "wood" in col 10</t>
        </r>
      </text>
    </comment>
    <comment ref="E293" authorId="0" shapeId="0" xr:uid="{C4019B86-F27A-4273-895B-5D33B1E55761}">
      <text>
        <r>
          <rPr>
            <b/>
            <sz val="9"/>
            <color rgb="FF000000"/>
            <rFont val="Tahoma"/>
            <family val="2"/>
          </rPr>
          <t>Sally Blair:</t>
        </r>
        <r>
          <rPr>
            <sz val="9"/>
            <color rgb="FF000000"/>
            <rFont val="Tahoma"/>
            <family val="2"/>
          </rPr>
          <t xml:space="preserve">
</t>
        </r>
        <r>
          <rPr>
            <sz val="9"/>
            <color rgb="FF000000"/>
            <rFont val="Tahoma"/>
            <family val="2"/>
          </rPr>
          <t>Only applicable for Anyting other than "Attic" in col 05 AND "wood" in col 10</t>
        </r>
      </text>
    </comment>
    <comment ref="A309" authorId="0" shapeId="0" xr:uid="{00000000-0006-0000-0800-00003D000000}">
      <text>
        <r>
          <rPr>
            <b/>
            <sz val="9"/>
            <color rgb="FF000000"/>
            <rFont val="Tahoma"/>
            <family val="2"/>
          </rPr>
          <t>Sally Blair:</t>
        </r>
        <r>
          <rPr>
            <sz val="9"/>
            <color rgb="FF000000"/>
            <rFont val="Tahoma"/>
            <family val="2"/>
          </rPr>
          <t xml:space="preserve">
</t>
        </r>
        <r>
          <rPr>
            <sz val="9"/>
            <color rgb="FF000000"/>
            <rFont val="Tahoma"/>
            <family val="2"/>
          </rPr>
          <t xml:space="preserve">Ben, this section is triggered if column 01 "Include X Roof in Area Weighted Calc…." are selected above in ANY of the following subtables:
</t>
        </r>
        <r>
          <rPr>
            <sz val="9"/>
            <color rgb="FF000000"/>
            <rFont val="Tahoma"/>
            <family val="2"/>
          </rPr>
          <t xml:space="preserve">- Framed
</t>
        </r>
        <r>
          <rPr>
            <sz val="9"/>
            <color rgb="FF000000"/>
            <rFont val="Tahoma"/>
            <family val="2"/>
          </rPr>
          <t xml:space="preserve">- SIPs
</t>
        </r>
        <r>
          <rPr>
            <sz val="9"/>
            <color rgb="FF000000"/>
            <rFont val="Tahoma"/>
            <family val="2"/>
          </rPr>
          <t xml:space="preserve">- Span Deck &amp; Concrete
</t>
        </r>
        <r>
          <rPr>
            <sz val="9"/>
            <color rgb="FF000000"/>
            <rFont val="Tahoma"/>
            <family val="2"/>
          </rPr>
          <t>- Metal Panel</t>
        </r>
      </text>
    </comment>
    <comment ref="D313" authorId="0" shapeId="0" xr:uid="{00000000-0006-0000-0800-00003E000000}">
      <text>
        <r>
          <rPr>
            <b/>
            <sz val="9"/>
            <color rgb="FF000000"/>
            <rFont val="Tahoma"/>
            <family val="2"/>
          </rPr>
          <t>2019 Update:</t>
        </r>
        <r>
          <rPr>
            <sz val="9"/>
            <color rgb="FF000000"/>
            <rFont val="Tahoma"/>
            <family val="2"/>
          </rPr>
          <t xml:space="preserve">
</t>
        </r>
        <r>
          <rPr>
            <sz val="9"/>
            <color rgb="FF000000"/>
            <rFont val="Tahoma"/>
            <family val="2"/>
          </rPr>
          <t>Please truncate value to 4 decimal places.</t>
        </r>
      </text>
    </comment>
    <comment ref="C314" authorId="0" shapeId="0" xr:uid="{00000000-0006-0000-0800-00003F000000}">
      <text>
        <r>
          <rPr>
            <b/>
            <sz val="9"/>
            <color rgb="FF000000"/>
            <rFont val="Tahoma"/>
            <family val="2"/>
          </rPr>
          <t>2019 Update:</t>
        </r>
        <r>
          <rPr>
            <sz val="9"/>
            <color rgb="FF000000"/>
            <rFont val="Tahoma"/>
            <family val="2"/>
          </rPr>
          <t xml:space="preserve">
</t>
        </r>
        <r>
          <rPr>
            <sz val="9"/>
            <color rgb="FF000000"/>
            <rFont val="Tahoma"/>
            <family val="2"/>
          </rPr>
          <t>This is not summing columns 03 or column 04.  This is area weighting.  I'm showing an example above, please see formulas in highlighted cells.</t>
        </r>
      </text>
    </comment>
    <comment ref="E314" authorId="0" shapeId="0" xr:uid="{00000000-0006-0000-0800-000040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for all roof types.
</t>
        </r>
        <r>
          <rPr>
            <sz val="9"/>
            <color rgb="FF000000"/>
            <rFont val="Tahoma"/>
            <family val="2"/>
          </rPr>
          <t>Otherwise, says "DOES NOT COMPLY"</t>
        </r>
      </text>
    </comment>
    <comment ref="A316" authorId="0" shapeId="0" xr:uid="{00000000-0006-0000-0800-000041000000}">
      <text>
        <r>
          <rPr>
            <b/>
            <sz val="9"/>
            <color rgb="FF000000"/>
            <rFont val="Tahoma"/>
            <family val="2"/>
          </rPr>
          <t>Sally Blair:</t>
        </r>
        <r>
          <rPr>
            <sz val="9"/>
            <color rgb="FF000000"/>
            <rFont val="Tahoma"/>
            <family val="2"/>
          </rPr>
          <t xml:space="preserve">
</t>
        </r>
        <r>
          <rPr>
            <sz val="9"/>
            <color rgb="FF000000"/>
            <rFont val="Tahoma"/>
            <family val="2"/>
          </rPr>
          <t>Ben, this section is triggered if column 01 "Calculate Area Weighted Average for Metal Building Roof …." is selected above in the Metal Building Roof Subtable</t>
        </r>
      </text>
    </comment>
    <comment ref="E320" authorId="0" shapeId="0" xr:uid="{00000000-0006-0000-0800-000042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A327" authorId="0" shapeId="0" xr:uid="{47A00A7A-ABB0-4974-A700-4371BD6855F0}">
      <text>
        <r>
          <rPr>
            <b/>
            <sz val="9"/>
            <color rgb="FF000000"/>
            <rFont val="Tahoma"/>
            <family val="2"/>
          </rPr>
          <t>8.21.21:</t>
        </r>
        <r>
          <rPr>
            <sz val="9"/>
            <color rgb="FF000000"/>
            <rFont val="Tahoma"/>
            <family val="2"/>
          </rPr>
          <t xml:space="preserve">
</t>
        </r>
        <r>
          <rPr>
            <sz val="9"/>
            <color rgb="FF000000"/>
            <rFont val="Tahoma"/>
            <family val="2"/>
          </rPr>
          <t>This section is triggered if co-umn 01 "Calculate Area Weighted Average for Multifamily Framed Roof …." is selected above in the Multifamily Framed Roof Subtable</t>
        </r>
      </text>
    </comment>
    <comment ref="E331" authorId="0" shapeId="0" xr:uid="{640B82AF-C69B-425F-B093-C73EB81FC2C8}">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00000000-0006-0000-0900-000001000000}">
      <text>
        <t>Grey out columns 07-10 if the following conditions apply:
- Hotel/Motel AND
- new AND
- Low slope AND
- CZ 1-8. 12, 16
- Hotel/Motel AND
- new AND
- Steep slope AND
- CZ 1, 16
- Hotel/Motel AND
- altered AND
- Low slope AND
- CZ 1-8, 12, 16
- Hotel/Motel AND
- altered AND
- Steep slope AND
- CZ 1, 16
- Multifamily-Attic Roof (Option B or C) AND
- Low-slope AND New AND
- CZ 1-12, 14, 16
- Multifamily-Attic Roof (Option B or C) AND
- Steep-slope AND New AND
- CZ 1-9, 16
- Multifamily-Non-attic Roof (Option D) AND
- Low-slope AND New AND
-CZ 1, 3, 5, 16
- Multifamily-Non-attic Roof (Option D) AND
- Steep-slope AND New AND
- CZ 1, 16
- Multifamily-Attic Roof OR Multfamily Non-attic Roof AND
- Low-slope AND Altered AND
- CZ 1, 3, 5, 16
- Multifamily-Attic Roof OR Multfamily Non-attic Roof AND
- Steep-slope AND Altered AND
- CZ 1-3, 5-7, 16</t>
      </text>
    </comment>
    <comment ref="H6" authorId="0" shapeId="0" xr:uid="{00000000-0006-0000-0900-000002000000}">
      <text>
        <t>If column 04 is "Nonresidential/ Relocatable 1 CZ" &amp; column 05 is "Low sloped", here are the values:
Solar Reflectance: 0.63
Emittance: 0.75
SRI: 75
If column 04 is "Nonresidential/ Relocatable 1 CZ" &amp; column 05 is "Steep sloped", &amp; CZ in A03 is 1 OR 3, here are the values:
Solar Reflectance: 0.2
Emittance: 0.75
SRI: 16
If column 04 is "Nonresidential/ Relocatable 1 CZ" &amp; column 05 is "Steep sloped", &amp; CZ in A03 is 2 OR 4-16 here are the values:
Solar Reflectance: 0.25
Emittance: 0.80
SRI: 23
If column 07 says "U-factor Trade-off per Table 140.3" need to populate the reflectance per the table to the right, based on the U-factor in column 10 &amp; the roof type specified in Table F column 01 &amp; CZ in table A column 03.
If column 07 says "U-factor Trade-off per Table 141.0-B" need to populate the reflectance per the table to the right, based on the U-factor in column 10 &amp; the CZ in table A column 03.
If column 04 is "Hotel/ Motel" &amp; column 05 is "steep sloped" &amp; Table A column 03 is CZ 2-15, here are the values:
Solar Reflectance: 0.20
Emittance: 0.75
SRI: 16
If the CZ is 1 or 16 grey out this column &amp; column 09 for that row.
If column 04 is "Hotel/ Motel" &amp; column 05 is "Low sloped" &amp; Table A column 03 is 9,10,11,13,14 or 15 And column 03 is "New", here are the values:
Solar Reflectance: 0.55
Emittance: 0.75
SRI: 64.
If the CZ is 1-8 or 12, 16 grey out this column &amp; column 09 for that row..
If column 04 is "Hotel/ Motel" &amp; column 05 is "Low sloped" &amp; Table A column 03 is 9, 10,11,13,14 or 15 And column 03 is "Altered", here are the values:
Solar Reflectance: 0.55
Emittance: 0.75
SRI: 64.
If the CZ is 1-8 or 12, 16 grey out this column &amp; column 09 for that row..
If column 04 is "Relocatable All CZ" &amp; column 05 is "Low sloped", here are the values:
Solar Reflectance: 0.63
Emittance: 0.75
SRI greys out
If column 04 is "Relocatable All CZ" &amp; column 05 is "Steep sloped", here are the values:
Solar Reflectance: 0.25 
Emittance: 0.80 
SRI greys out
If column 04 is "Multifamily-Attic Roof (Option B or C)" &amp; column 05 is "low-sloped" &amp; Table A column 03 is CZ 13 or 15 AND column 03 is "New", here are the values:
Solar Reflectance: 0.63
Emittance: 0.75
SRI: 75
If the CZ is 1-12, 14 or 16 grey out this column &amp; column 09 for that row.
If column 04 is "Multifamily-Attic Roof (Option B)" &amp; column 05 is "steep-sloped" &amp; Table A column 03 is CZ 10, 11, 13, or 15 AND column 03 is "New", here are the values:
Solar Reflectance: 0.25
Emittance: 0.75
SRI: 23
If column 04 is "Multifamily-Attic Roof (Option B)" &amp; column 05 is "steep-sloped" &amp; Table A column 03 is CZ 12 or 14, AND column 03 is "New", here are the values:
Solar Reflectance: 0.20
Emittance: 0.75
SRI: 16
If column 04 is "Multifamily-Attic Roof (Option C)" &amp; column 05 is "steep-sloped" &amp; Table A column 03 is CZ 10-15 AND column 03 is "New", here are the values:
Solar Reflectance: 0.20
Emittance: 0.75
SRI: 16
If column 04 is "Multifamily-Non-attic Roof (Option D)" &amp; column 05 is "low-sloped" &amp; Table A column 03 is CZ 2, 4, OR 6-15 AND column 03 is "New", here are the values:
Solar Reflectance: 0.63
Emittance: 0.75
SRI: 75
If the CZ is 1, 3, 5, or 16 grey out this column &amp; column 09 for that row.
If column 04 is "Multifamily-Non-attic Roof (Option D)" &amp; column 05 is "steep-sloped" &amp; Table A column 03 is CZ 2-15 AND column 03 is "New", here are the values:
Solar Reflectance: 0.20
Emittance: 0.75
SRI: 16
If the CZ is 1 or 16 grey out this column &amp; column 09 for that row.
If column 04 is "Multifamily-Non-attic Roof (Option D)" OR "Multifamily-Attic Roof" &amp; column 05 is "Low sloped" &amp; Table A column 03 is 2,4, 6-15 AND column 03 is "Altered", here are the values:
Solar Reflectance: 0.63
Emittance: 0.75
SRI: 75
If the CZ is 1, 3, 5, 16 grey out this column &amp; column 09 for that row..
If column 07 says "R-value Trade-off per Table 180.2-A" need to populate the reflectance per the table to the right, based on the R-value in column 10 &amp; the CZ in table A column 03.
If column 04 is "Multifamily-Non-attic Roof (Option D)" OR "Multifamily-Attic Roof" &amp; column 05 is "Steep sloped" &amp; Table A column 03 is 4, 8-15 AND column 03 is "Altered", here are the values:
Solar Reflectance: 0.20
Emittance: 0.75
SRI: 16
If the CZ is 1-3, 5-7, 16 grey out this column &amp; column 09 for that rowOR</t>
      </text>
    </comment>
    <comment ref="J7" authorId="0" shapeId="0" xr:uid="{00000000-0006-0000-0900-000003000000}">
      <text>
        <r>
          <rPr>
            <b/>
            <sz val="9"/>
            <color rgb="FF000000"/>
            <rFont val="Tahoma"/>
            <family val="2"/>
          </rPr>
          <t>Sally Blair:</t>
        </r>
        <r>
          <rPr>
            <sz val="9"/>
            <color rgb="FF000000"/>
            <rFont val="Tahoma"/>
            <family val="2"/>
          </rPr>
          <t xml:space="preserve">
</t>
        </r>
        <r>
          <rPr>
            <sz val="9"/>
            <color rgb="FF000000"/>
            <rFont val="Tahoma"/>
            <family val="2"/>
          </rPr>
          <t xml:space="preserve">If "SR (initial)…" is selcted in column 07, we need to convert whatever the user enters here to aged using this eq:
</t>
        </r>
        <r>
          <rPr>
            <sz val="9"/>
            <color rgb="FF000000"/>
            <rFont val="Tahoma"/>
            <family val="2"/>
          </rPr>
          <t xml:space="preserve">ρaged=[0.2+β[ρinitial-0.2]
</t>
        </r>
        <r>
          <rPr>
            <sz val="9"/>
            <color rgb="FF000000"/>
            <rFont val="Tahoma"/>
            <family val="2"/>
          </rPr>
          <t xml:space="preserve">If "field applied coating" is selected in column 06, β=0.65
</t>
        </r>
        <r>
          <rPr>
            <sz val="9"/>
            <color rgb="FF000000"/>
            <rFont val="Tahoma"/>
            <family val="2"/>
          </rPr>
          <t>If any other selection in column 06, β=0.70</t>
        </r>
      </text>
    </comment>
    <comment ref="K7" authorId="0" shapeId="0" xr:uid="{00000000-0006-0000-0900-000004000000}">
      <text>
        <r>
          <rPr>
            <sz val="9"/>
            <color rgb="FF000000"/>
            <rFont val="Tahoma"/>
            <family val="2"/>
          </rPr>
          <t xml:space="preserve">These reflectance &amp; emittance rows in columns 08/09 are only open if "Solar Reflectance…/emittance" OR "U-factor Trade-off per…" is selected in column 07.
</t>
        </r>
        <r>
          <rPr>
            <sz val="9"/>
            <color rgb="FF000000"/>
            <rFont val="Tahoma"/>
            <family val="2"/>
          </rPr>
          <t>Otherwise grey out.</t>
        </r>
      </text>
    </comment>
    <comment ref="L7" authorId="0" shapeId="0" xr:uid="{00000000-0006-0000-0900-000005000000}">
      <text>
        <r>
          <rPr>
            <sz val="9"/>
            <color rgb="FF000000"/>
            <rFont val="Tahoma"/>
            <family val="2"/>
          </rPr>
          <t xml:space="preserve">This is only open if "U-factor Trade-off per Table.." OR ""R value trade-off…." OR "NA: wood framed roof…" is selected in column 07. 
</t>
        </r>
        <r>
          <rPr>
            <sz val="9"/>
            <color rgb="FF000000"/>
            <rFont val="Tahoma"/>
            <family val="2"/>
          </rPr>
          <t>Otherwise grey out.</t>
        </r>
      </text>
    </comment>
    <comment ref="I9" authorId="0" shapeId="0" xr:uid="{00000000-0006-0000-0900-000006000000}">
      <text>
        <r>
          <rPr>
            <b/>
            <sz val="9"/>
            <color rgb="FF000000"/>
            <rFont val="Tahoma"/>
            <family val="2"/>
          </rPr>
          <t>Sally Blair:</t>
        </r>
        <r>
          <rPr>
            <sz val="9"/>
            <color rgb="FF000000"/>
            <rFont val="Tahoma"/>
            <family val="2"/>
          </rPr>
          <t xml:space="preserve">
</t>
        </r>
        <r>
          <rPr>
            <sz val="9"/>
            <color rgb="FF000000"/>
            <rFont val="Tahoma"/>
            <family val="2"/>
          </rPr>
          <t xml:space="preserve">This SRI row in columns 08/09 are only open if "Solar Reflectance Index" is selected in column 07.
</t>
        </r>
        <r>
          <rPr>
            <sz val="9"/>
            <color rgb="FF000000"/>
            <rFont val="Tahoma"/>
            <family val="2"/>
          </rPr>
          <t>Otherwise grey out.</t>
        </r>
      </text>
    </comment>
    <comment ref="G11" authorId="0" shapeId="0" xr:uid="{00000000-0006-0000-0900-000007000000}">
      <text>
        <r>
          <rPr>
            <sz val="9"/>
            <color rgb="FF000000"/>
            <rFont val="Tahoma"/>
            <family val="2"/>
          </rPr>
          <t xml:space="preserve">Custom dropdown when column 03 is "Altered" and column 04 is Nonresidential or Hotel/ Motel and
</t>
        </r>
        <r>
          <rPr>
            <sz val="9"/>
            <color rgb="FF000000"/>
            <rFont val="Tahoma"/>
            <family val="2"/>
          </rPr>
          <t>column 05 is low-sloped</t>
        </r>
      </text>
    </comment>
    <comment ref="L11" authorId="0" shapeId="0" xr:uid="{00000000-0006-0000-0900-000008000000}">
      <text>
        <r>
          <rPr>
            <sz val="9"/>
            <color rgb="FF000000"/>
            <rFont val="Tahoma"/>
            <family val="2"/>
          </rPr>
          <t>Custom dropdown when column 03 is "New" and column 06 is Metal Building</t>
        </r>
      </text>
    </comment>
    <comment ref="L17" authorId="0" shapeId="0" xr:uid="{00000000-0006-0000-0900-00000B000000}">
      <text>
        <r>
          <rPr>
            <sz val="9"/>
            <color rgb="FF000000"/>
            <rFont val="Tahoma"/>
            <family val="2"/>
          </rPr>
          <t xml:space="preserve">Custom dropdown when column 03 is "New" and column 06 is anything OTHER THAN "Metal Building" and A03 is 8 </t>
        </r>
      </text>
    </comment>
    <comment ref="G21" authorId="0" shapeId="0" xr:uid="{00000000-0006-0000-0900-00000C000000}">
      <text>
        <r>
          <rPr>
            <sz val="9"/>
            <color rgb="FF000000"/>
            <rFont val="Tahoma"/>
            <family val="2"/>
          </rPr>
          <t xml:space="preserve">Custom dropdown when column 03 is "Altered" and column 04 is Hotel/Motel or Nonresidential and 
</t>
        </r>
        <r>
          <rPr>
            <sz val="9"/>
            <color rgb="FF000000"/>
            <rFont val="Tahoma"/>
            <family val="2"/>
          </rPr>
          <t>column 05 is steep sloped</t>
        </r>
      </text>
    </comment>
    <comment ref="L23" authorId="0" shapeId="0" xr:uid="{00000000-0006-0000-0900-00000D000000}">
      <text>
        <r>
          <rPr>
            <sz val="9"/>
            <color rgb="FF000000"/>
            <rFont val="Tahoma"/>
            <family val="2"/>
          </rPr>
          <t>Custom dropdown when column 03 is "New" and column 06 is anything OTHER THAN "Metal Building" and A03 is 1-5, or 8-16</t>
        </r>
      </text>
    </comment>
    <comment ref="L29" authorId="0" shapeId="0" xr:uid="{00000000-0006-0000-0900-00000E000000}">
      <text>
        <r>
          <rPr>
            <sz val="9"/>
            <color rgb="FF000000"/>
            <rFont val="Tahoma"/>
            <family val="2"/>
          </rPr>
          <t xml:space="preserve">Custom dropdown when column 03 is "Altered" and A03 is 6, 7, 8 </t>
        </r>
      </text>
    </comment>
    <comment ref="G30" authorId="0" shapeId="0" xr:uid="{00000000-0006-0000-0900-00000F000000}">
      <text>
        <r>
          <rPr>
            <b/>
            <sz val="9"/>
            <color rgb="FF000000"/>
            <rFont val="Tahoma"/>
            <family val="2"/>
          </rPr>
          <t>Sally Blair:</t>
        </r>
        <r>
          <rPr>
            <sz val="9"/>
            <color rgb="FF000000"/>
            <rFont val="Tahoma"/>
            <family val="2"/>
          </rPr>
          <t xml:space="preserve">
</t>
        </r>
        <r>
          <rPr>
            <sz val="9"/>
            <color rgb="FF000000"/>
            <rFont val="Tahoma"/>
            <family val="2"/>
          </rPr>
          <t>Custom dropdown when column 04 is Nonresidential, column 05 is Low slope &amp; Table A column 3 indicates CZ 1,2,4,6-16.</t>
        </r>
      </text>
    </comment>
    <comment ref="G39" authorId="0" shapeId="0" xr:uid="{00000000-0006-0000-0900-000010000000}">
      <text>
        <r>
          <rPr>
            <b/>
            <sz val="9"/>
            <color rgb="FF000000"/>
            <rFont val="Tahoma"/>
            <family val="2"/>
          </rPr>
          <t>Sally Blair:</t>
        </r>
        <r>
          <rPr>
            <sz val="9"/>
            <color rgb="FF000000"/>
            <rFont val="Tahoma"/>
            <family val="2"/>
          </rPr>
          <t xml:space="preserve">
</t>
        </r>
        <r>
          <rPr>
            <sz val="9"/>
            <color rgb="FF000000"/>
            <rFont val="Tahoma"/>
            <family val="2"/>
          </rPr>
          <t>Custom dropdown when column 04 is Nonresidential, column 05 is Low slope &amp; Table A column 3 indicated CZ 3 or CZ 5.</t>
        </r>
      </text>
    </comment>
    <comment ref="L39" authorId="0" shapeId="0" xr:uid="{00000000-0006-0000-0900-000011000000}">
      <text>
        <r>
          <rPr>
            <sz val="9"/>
            <color rgb="FF000000"/>
            <rFont val="Tahoma"/>
            <family val="2"/>
          </rPr>
          <t>Custom dropdown when column 03 is "Altered" and A03 is 1-5, 9-16</t>
        </r>
      </text>
    </comment>
    <comment ref="G49" authorId="0" shapeId="0" xr:uid="{00000000-0006-0000-0900-000012000000}">
      <text>
        <r>
          <rPr>
            <sz val="9"/>
            <color rgb="FF000000"/>
            <rFont val="Tahoma"/>
            <family val="2"/>
          </rPr>
          <t xml:space="preserve">Custom dropdown when column 04 is Hotel/Motel, column 05 is Low slope OR
</t>
        </r>
        <r>
          <rPr>
            <sz val="9"/>
            <color rgb="FF000000"/>
            <rFont val="Tahoma"/>
            <family val="2"/>
          </rPr>
          <t xml:space="preserve">
</t>
        </r>
        <r>
          <rPr>
            <sz val="9"/>
            <color rgb="FF000000"/>
            <rFont val="Tahoma"/>
            <family val="2"/>
          </rPr>
          <t xml:space="preserve">when column 03 is "New" AND 
</t>
        </r>
        <r>
          <rPr>
            <sz val="9"/>
            <color rgb="FF000000"/>
            <rFont val="Tahoma"/>
            <family val="2"/>
          </rPr>
          <t>column 04 is Multifamily-Attic Roof OR Multifamily Non-attic Roof</t>
        </r>
      </text>
    </comment>
    <comment ref="L49" authorId="0" shapeId="0" xr:uid="{53A3799C-5156-476D-B331-8DB0181054B3}">
      <text>
        <r>
          <rPr>
            <sz val="9"/>
            <color rgb="FF000000"/>
            <rFont val="Tahoma"/>
            <family val="2"/>
          </rPr>
          <t>Custom dropdown when column 07 is "R-value Trade-off per Table 180.2-A" and A03 is 6, 7</t>
        </r>
      </text>
    </comment>
    <comment ref="G57" authorId="0" shapeId="0" xr:uid="{00000000-0006-0000-0900-000013000000}">
      <text>
        <r>
          <rPr>
            <b/>
            <sz val="9"/>
            <color rgb="FF000000"/>
            <rFont val="Tahoma"/>
            <family val="2"/>
          </rPr>
          <t>Sally Blair:</t>
        </r>
        <r>
          <rPr>
            <sz val="9"/>
            <color rgb="FF000000"/>
            <rFont val="Tahoma"/>
            <family val="2"/>
          </rPr>
          <t xml:space="preserve">
</t>
        </r>
        <r>
          <rPr>
            <sz val="9"/>
            <color rgb="FF000000"/>
            <rFont val="Tahoma"/>
            <family val="2"/>
          </rPr>
          <t>Custom dropdown when column 03 is "New", when column 05 is Steep slope.</t>
        </r>
      </text>
    </comment>
    <comment ref="L57" authorId="0" shapeId="0" xr:uid="{2A5F9DD6-3A88-41C6-B20B-214808B38BF2}">
      <text>
        <r>
          <rPr>
            <sz val="9"/>
            <color rgb="FF000000"/>
            <rFont val="Tahoma"/>
            <family val="2"/>
          </rPr>
          <t>Custom dropdown when column 07 is "R-value Trade-off per Table 180.2-A" and A03 is 2, 4, 8-15</t>
        </r>
      </text>
    </comment>
    <comment ref="G64" authorId="0" shapeId="0" xr:uid="{00000000-0006-0000-0900-000014000000}">
      <text>
        <r>
          <rPr>
            <sz val="9"/>
            <color rgb="FF000000"/>
            <rFont val="Tahoma"/>
            <family val="2"/>
          </rPr>
          <t>Custom dropdown when column 04 is "Relacatable All CZ"</t>
        </r>
      </text>
    </comment>
    <comment ref="G69" authorId="0" shapeId="0" xr:uid="{02E22E0F-312A-4A3B-A505-32D720773A93}">
      <text>
        <r>
          <rPr>
            <sz val="9"/>
            <color rgb="FF000000"/>
            <rFont val="Tahoma"/>
            <family val="2"/>
          </rPr>
          <t xml:space="preserve">Custom dropdown when column 03 is "Altered" and column 04 is Multifamily-Attic Roof OR Multifamily Non-attic Roof AND
</t>
        </r>
        <r>
          <rPr>
            <sz val="9"/>
            <color rgb="FF000000"/>
            <rFont val="Tahoma"/>
            <family val="2"/>
          </rPr>
          <t xml:space="preserve"> 
</t>
        </r>
        <r>
          <rPr>
            <sz val="9"/>
            <color rgb="FF000000"/>
            <rFont val="Tahoma"/>
            <family val="2"/>
          </rPr>
          <t xml:space="preserve">column 05 is Low-sloped
</t>
        </r>
        <r>
          <rPr>
            <sz val="9"/>
            <color rgb="FF000000"/>
            <rFont val="Tahoma"/>
            <family val="2"/>
          </rPr>
          <t xml:space="preserve">
</t>
        </r>
      </text>
    </comment>
    <comment ref="G79" authorId="0" shapeId="0" xr:uid="{8D6633D7-ED21-4B1C-9955-C43CA572D84B}">
      <text>
        <r>
          <rPr>
            <sz val="9"/>
            <color rgb="FF000000"/>
            <rFont val="Tahoma"/>
            <family val="2"/>
          </rPr>
          <t xml:space="preserve">Custom dropdown when column 03 is "Altered" and column 04 is Multifamily-Attic Roof OR Multifamily Non-attic Roof AND
</t>
        </r>
        <r>
          <rPr>
            <sz val="9"/>
            <color rgb="FF000000"/>
            <rFont val="Tahoma"/>
            <family val="2"/>
          </rPr>
          <t xml:space="preserve"> 
</t>
        </r>
        <r>
          <rPr>
            <sz val="9"/>
            <color rgb="FF000000"/>
            <rFont val="Tahoma"/>
            <family val="2"/>
          </rPr>
          <t xml:space="preserve">column 05 is Steep-sloped
</t>
        </r>
        <r>
          <rPr>
            <sz val="9"/>
            <color rgb="FF000000"/>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E5" authorId="0" shapeId="0" xr:uid="{00000000-0006-0000-0A00-000001000000}">
      <text>
        <r>
          <rPr>
            <b/>
            <sz val="9"/>
            <color indexed="81"/>
            <rFont val="Tahoma"/>
            <family val="2"/>
          </rPr>
          <t>Sally Blair:</t>
        </r>
        <r>
          <rPr>
            <sz val="9"/>
            <color indexed="81"/>
            <rFont val="Tahoma"/>
            <family val="2"/>
          </rPr>
          <t xml:space="preserve">
These selections expand appropriate sub section of Table H.  </t>
        </r>
      </text>
    </comment>
    <comment ref="C12" authorId="0" shapeId="0" xr:uid="{00000000-0006-0000-0A00-000002000000}">
      <text>
        <r>
          <rPr>
            <b/>
            <sz val="9"/>
            <color indexed="81"/>
            <rFont val="Tahoma"/>
            <family val="2"/>
          </rPr>
          <t>Sally Blair:</t>
        </r>
        <r>
          <rPr>
            <sz val="9"/>
            <color indexed="81"/>
            <rFont val="Tahoma"/>
            <family val="2"/>
          </rPr>
          <t xml:space="preserve">
Ben, columns 05, 09, 12 &amp; 13 grey out if "R-value" is selected in column 10.</t>
        </r>
      </text>
    </comment>
    <comment ref="H12" authorId="1" shapeId="0" xr:uid="{9ADCF938-5229-4E02-ACDF-837458F99C2B}">
      <text>
        <r>
          <rPr>
            <b/>
            <sz val="9"/>
            <color rgb="FF000000"/>
            <rFont val="Tahoma"/>
            <family val="2"/>
          </rPr>
          <t>Alexis Markstrum:</t>
        </r>
        <r>
          <rPr>
            <sz val="9"/>
            <color rgb="FF000000"/>
            <rFont val="Tahoma"/>
            <family val="2"/>
          </rPr>
          <t xml:space="preserve">
Ben, in the UI, move this field on all applicable subtables to be before 05 (How Design U-factor was determined)</t>
        </r>
      </text>
    </comment>
    <comment ref="C14" authorId="0" shapeId="0" xr:uid="{00000000-0006-0000-0A00-000004000000}">
      <text>
        <r>
          <rPr>
            <sz val="9"/>
            <color indexed="81"/>
            <rFont val="Tahoma"/>
            <family val="2"/>
          </rPr>
          <t>Column 05 determines if Columns 08 through 09 &amp; 12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H14" authorId="0" shapeId="0" xr:uid="{00000000-0006-0000-0A00-000006000000}">
      <text>
        <r>
          <rPr>
            <b/>
            <sz val="9"/>
            <color rgb="FF000000"/>
            <rFont val="Tahoma"/>
            <family val="2"/>
          </rPr>
          <t>Sally Blair:</t>
        </r>
        <r>
          <rPr>
            <sz val="9"/>
            <color rgb="FF000000"/>
            <rFont val="Tahoma"/>
            <family val="2"/>
          </rPr>
          <t xml:space="preserve">
</t>
        </r>
        <r>
          <rPr>
            <sz val="9"/>
            <color rgb="FF000000"/>
            <rFont val="Tahoma"/>
            <family val="2"/>
          </rPr>
          <t xml:space="preserve">Ben, this is only a dropdown if column 04 is "Any Occupancy: Altered" AND columns 01 or 02 "Calculate Area-Weighted..." is NOT checked.  Otherwise, it auto-selects U-factor and is not editable by the user.
</t>
        </r>
        <r>
          <rPr>
            <b/>
            <sz val="9"/>
            <color rgb="FFFF0000"/>
            <rFont val="Tahoma"/>
            <family val="2"/>
          </rPr>
          <t xml:space="preserve">If column 04 says Multifamily: Extension, it auto selects R-value </t>
        </r>
      </text>
    </comment>
    <comment ref="I14" authorId="0" shapeId="0" xr:uid="{00000000-0006-0000-0A00-000007000000}">
      <text>
        <r>
          <rPr>
            <sz val="9"/>
            <color rgb="FF000000"/>
            <rFont val="Tahoma"/>
            <family val="2"/>
          </rPr>
          <t xml:space="preserve">When column 04 says any of the 3 choices that include "New" AND column 06 says "Exterior", this value comes from the Tables in Section 140.3.  Which table to use depends on the occupancy type in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Also note the correct value in the table is for "metal framed" or "wood framed", based on column 07.
</t>
        </r>
        <r>
          <rPr>
            <sz val="9"/>
            <color rgb="FF000000"/>
            <rFont val="Tahoma"/>
            <family val="2"/>
          </rPr>
          <t xml:space="preserve">
</t>
        </r>
        <r>
          <rPr>
            <sz val="9"/>
            <color rgb="FF000000"/>
            <rFont val="Tahoma"/>
            <family val="2"/>
          </rPr>
          <t xml:space="preserve">Multifamily in col 04 &amp; "&gt;1hr fire" in col 06 &amp; A03 is CZ 1-5, 8-10, 12, 13 = 0.059
</t>
        </r>
        <r>
          <rPr>
            <sz val="9"/>
            <color rgb="FF000000"/>
            <rFont val="Tahoma"/>
            <family val="2"/>
          </rPr>
          <t xml:space="preserve">Multifamily in col 04 &amp; "&gt;1hr fire" in col 06 &amp; A03 is CZ 11, 14-16 = 0.051
</t>
        </r>
        <r>
          <rPr>
            <sz val="9"/>
            <color rgb="FF000000"/>
            <rFont val="Tahoma"/>
            <family val="2"/>
          </rPr>
          <t xml:space="preserve">Multifamily in col 04 &amp; "&gt;1hr fire" in col 06 &amp; A03 is CZ 6, 7 = 0.065
</t>
        </r>
        <r>
          <rPr>
            <sz val="9"/>
            <color rgb="FF000000"/>
            <rFont val="Tahoma"/>
            <family val="2"/>
          </rPr>
          <t xml:space="preserve">Multifamily in col 04 &amp; "&lt;=1hr fire" in col 06 &amp; A03 is CZ 1-5, 8-16 = 0.051
</t>
        </r>
        <r>
          <rPr>
            <sz val="9"/>
            <color rgb="FF000000"/>
            <rFont val="Tahoma"/>
            <family val="2"/>
          </rPr>
          <t xml:space="preserve">Multifamily in col 04 &amp; "&lt;=1hr fire" in col 06 &amp; A03 is CZ 6,7 = 0.065
</t>
        </r>
        <r>
          <rPr>
            <sz val="9"/>
            <color rgb="FF000000"/>
            <rFont val="Tahoma"/>
            <family val="2"/>
          </rPr>
          <t xml:space="preserve">
</t>
        </r>
        <r>
          <rPr>
            <sz val="9"/>
            <color rgb="FF000000"/>
            <rFont val="Tahoma"/>
            <family val="2"/>
          </rPr>
          <t xml:space="preserve">Ben, when column 04 says "New" AND column 06 says "Demising", here are the values:
</t>
        </r>
        <r>
          <rPr>
            <sz val="9"/>
            <color rgb="FF000000"/>
            <rFont val="Tahoma"/>
            <family val="2"/>
          </rPr>
          <t xml:space="preserve">Metal framed: U-0.151
</t>
        </r>
        <r>
          <rPr>
            <sz val="9"/>
            <color rgb="FF000000"/>
            <rFont val="Tahoma"/>
            <family val="2"/>
          </rPr>
          <t xml:space="preserve">Wood framed: U-0.099
</t>
        </r>
        <r>
          <rPr>
            <sz val="9"/>
            <color rgb="FF000000"/>
            <rFont val="Tahoma"/>
            <family val="2"/>
          </rPr>
          <t xml:space="preserve">
</t>
        </r>
        <r>
          <rPr>
            <sz val="9"/>
            <color rgb="FF000000"/>
            <rFont val="Tahoma"/>
            <family val="2"/>
          </rPr>
          <t xml:space="preserve">When column 04 says "Any Occupancy: Altered" here are the values:
</t>
        </r>
        <r>
          <rPr>
            <sz val="9"/>
            <color rgb="FF000000"/>
            <rFont val="Tahoma"/>
            <family val="2"/>
          </rPr>
          <t xml:space="preserve">Metal framed: R-13 or U-0.217
</t>
        </r>
        <r>
          <rPr>
            <sz val="9"/>
            <color rgb="FF000000"/>
            <rFont val="Tahoma"/>
            <family val="2"/>
          </rPr>
          <t xml:space="preserve">Wood framed: R-11 or U-0.110
</t>
        </r>
        <r>
          <rPr>
            <sz val="9"/>
            <color rgb="FF000000"/>
            <rFont val="Tahoma"/>
            <family val="2"/>
          </rPr>
          <t xml:space="preserve">
</t>
        </r>
        <r>
          <rPr>
            <b/>
            <sz val="9"/>
            <color rgb="FFFF0000"/>
            <rFont val="Tahoma"/>
            <family val="2"/>
          </rPr>
          <t xml:space="preserve">When column 04 says "Multifamily: Exension" AND column 10 says "R-value" AND column 07 says "Wood...2x4", value is: R-15
</t>
        </r>
        <r>
          <rPr>
            <b/>
            <sz val="9"/>
            <color rgb="FFFF0000"/>
            <rFont val="Tahoma"/>
            <family val="2"/>
          </rPr>
          <t xml:space="preserve">
</t>
        </r>
        <r>
          <rPr>
            <b/>
            <sz val="9"/>
            <color rgb="FFFF0000"/>
            <rFont val="Tahoma"/>
            <family val="2"/>
          </rPr>
          <t>When column 04 says "Multifamily: Exension" AND column 10 says R-value AND column 07 says "Wood...2x6", value is: R-21</t>
        </r>
      </text>
    </comment>
    <comment ref="K14" authorId="0" shapeId="0" xr:uid="{00000000-0006-0000-0A00-000008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"Per Software" cell open if Column 05 is "Approved Software" OR "Other per JA4..." &amp; grey if "JA4 Tables".
For wood framed walls w 1/2" gyp use Table 4.3.1 in JA4
For wood framed walls w 5/8" gyp use Table 4.3.1(a) in JA4
For metal framed walls use 4.3.3 in JA4
Framing type is from column 07</t>
        </r>
      </text>
    </comment>
    <comment ref="L14" authorId="0" shapeId="0" xr:uid="{00000000-0006-0000-0A00-000009000000}">
      <text>
        <r>
          <rPr>
            <b/>
            <sz val="9"/>
            <color indexed="81"/>
            <rFont val="Tahoma"/>
            <family val="2"/>
          </rPr>
          <t>Sally Blair:</t>
        </r>
        <r>
          <rPr>
            <sz val="9"/>
            <color indexed="81"/>
            <rFont val="Tahoma"/>
            <family val="2"/>
          </rPr>
          <t xml:space="preserve">
Ben, this is open for user entry if columns 01 or 02 are checked.
Otherwise, grey out.</t>
        </r>
      </text>
    </comment>
    <comment ref="D19" authorId="1" shapeId="0" xr:uid="{E05DB7C3-A0B6-4932-A766-5AC271FA877C}">
      <text>
        <r>
          <rPr>
            <b/>
            <sz val="9"/>
            <color indexed="10"/>
            <rFont val="Tahoma"/>
            <family val="2"/>
          </rPr>
          <t xml:space="preserve">Alexis Markstrum:
</t>
        </r>
        <r>
          <rPr>
            <sz val="9"/>
            <color indexed="10"/>
            <rFont val="Tahoma"/>
            <family val="2"/>
          </rPr>
          <t xml:space="preserve">
Show this field (for all the subtables) at the bottom of the subtable, not every row</t>
        </r>
      </text>
    </comment>
    <comment ref="D20" authorId="0" shapeId="0" xr:uid="{7213D6C8-94FE-4AE5-B955-06C7499DDF17}">
      <text>
        <r>
          <rPr>
            <sz val="9"/>
            <color rgb="FF000000"/>
            <rFont val="Tahoma"/>
            <family val="2"/>
          </rPr>
          <t xml:space="preserve">Dropdown if any of the following in Column 04:
</t>
        </r>
        <r>
          <rPr>
            <sz val="9"/>
            <color rgb="FF000000"/>
            <rFont val="Tahoma"/>
            <family val="2"/>
          </rPr>
          <t xml:space="preserve">- Nonres/Relocatable 1 CZ
</t>
        </r>
        <r>
          <rPr>
            <sz val="9"/>
            <color rgb="FF000000"/>
            <rFont val="Tahoma"/>
            <family val="2"/>
          </rPr>
          <t xml:space="preserve">- Hotel/Motel: New
</t>
        </r>
        <r>
          <rPr>
            <sz val="9"/>
            <color rgb="FF000000"/>
            <rFont val="Tahoma"/>
            <family val="2"/>
          </rPr>
          <t xml:space="preserve">- Relocatable all CZ: New
</t>
        </r>
        <r>
          <rPr>
            <sz val="9"/>
            <color rgb="FF000000"/>
            <rFont val="Tahoma"/>
            <family val="2"/>
          </rPr>
          <t>- Any Occupancy: Altered</t>
        </r>
      </text>
    </comment>
    <comment ref="F20" authorId="0" shapeId="0" xr:uid="{00000000-0006-0000-0A00-00000C000000}">
      <text>
        <r>
          <rPr>
            <sz val="9"/>
            <color indexed="81"/>
            <rFont val="Tahoma"/>
            <family val="2"/>
          </rPr>
          <t xml:space="preserve">Custom dropdown if Metal 2x4 choices are selected in column 07. </t>
        </r>
      </text>
    </comment>
    <comment ref="C22" authorId="0" shapeId="0" xr:uid="{00000000-0006-0000-0A00-00000D000000}">
      <text>
        <r>
          <rPr>
            <sz val="9"/>
            <color indexed="81"/>
            <rFont val="Tahoma"/>
            <family val="2"/>
          </rPr>
          <t>If "Approved Software" or "Other per JA4.1.2.1" are selected, Table D note in Row 20 triggers.  If they reselct JA4 Tables, note in D untriggers.</t>
        </r>
      </text>
    </comment>
    <comment ref="D23" authorId="1" shapeId="0" xr:uid="{361F18B3-EA1A-41D0-BC95-13718AB85D4A}">
      <text>
        <r>
          <rPr>
            <b/>
            <sz val="9"/>
            <color indexed="10"/>
            <rFont val="Tahoma"/>
            <family val="2"/>
          </rPr>
          <t>Alexis Markstrum:</t>
        </r>
        <r>
          <rPr>
            <sz val="9"/>
            <color indexed="10"/>
            <rFont val="Tahoma"/>
            <family val="2"/>
          </rPr>
          <t xml:space="preserve">
If this is selected, gray out the rest of the table</t>
        </r>
      </text>
    </comment>
    <comment ref="D24" authorId="0" shapeId="0" xr:uid="{85CD9B2C-BD94-466D-9347-6E5E6279DBB7}">
      <text>
        <r>
          <rPr>
            <sz val="9"/>
            <color rgb="FF000000"/>
            <rFont val="Tahoma"/>
            <family val="2"/>
          </rPr>
          <t xml:space="preserve">Dropdown if any of the following in Column 04:
</t>
        </r>
        <r>
          <rPr>
            <sz val="9"/>
            <color rgb="FF000000"/>
            <rFont val="Tahoma"/>
            <family val="2"/>
          </rPr>
          <t xml:space="preserve">- Multifamily
</t>
        </r>
      </text>
    </comment>
    <comment ref="F27" authorId="0" shapeId="0" xr:uid="{00000000-0006-0000-0A00-00000E000000}">
      <text>
        <r>
          <rPr>
            <sz val="9"/>
            <color indexed="81"/>
            <rFont val="Tahoma"/>
            <family val="2"/>
          </rPr>
          <t xml:space="preserve">Custom dropdown if Metal 2x6 choices are selected in column 07. </t>
        </r>
      </text>
    </comment>
    <comment ref="D28" authorId="1" shapeId="0" xr:uid="{E2C38DF0-F0F4-4599-99CF-D4DB6293E336}">
      <text>
        <r>
          <rPr>
            <b/>
            <sz val="9"/>
            <color indexed="10"/>
            <rFont val="Tahoma"/>
            <family val="2"/>
          </rPr>
          <t>Alexis Markstrum:</t>
        </r>
        <r>
          <rPr>
            <sz val="9"/>
            <color indexed="10"/>
            <rFont val="Tahoma"/>
            <family val="2"/>
          </rPr>
          <t xml:space="preserve">
If this is selected, gray out the rest of the table</t>
        </r>
      </text>
    </comment>
    <comment ref="F33" authorId="0" shapeId="0" xr:uid="{00000000-0006-0000-0A00-00000F000000}">
      <text>
        <r>
          <rPr>
            <sz val="9"/>
            <color indexed="81"/>
            <rFont val="Tahoma"/>
            <family val="2"/>
          </rPr>
          <t xml:space="preserve">Custom dropdown if Metal 2x8 choices are selected in column 07. </t>
        </r>
      </text>
    </comment>
    <comment ref="F40" authorId="0" shapeId="0" xr:uid="{00000000-0006-0000-0A00-000010000000}">
      <text>
        <r>
          <rPr>
            <sz val="9"/>
            <color indexed="81"/>
            <rFont val="Tahoma"/>
            <family val="2"/>
          </rPr>
          <t xml:space="preserve">Custom dropdown if Wood 2x4 choices are selected in column 07. </t>
        </r>
      </text>
    </comment>
    <comment ref="F46" authorId="0" shapeId="0" xr:uid="{00000000-0006-0000-0A00-000011000000}">
      <text>
        <r>
          <rPr>
            <sz val="9"/>
            <color indexed="81"/>
            <rFont val="Tahoma"/>
            <family val="2"/>
          </rPr>
          <t xml:space="preserve">Custom dropdown if Wood 2x6 &amp; 1/2" gyp choices are selected in column 07. </t>
        </r>
      </text>
    </comment>
    <comment ref="F55" authorId="0" shapeId="0" xr:uid="{00000000-0006-0000-0A00-000012000000}">
      <text>
        <r>
          <rPr>
            <sz val="9"/>
            <color indexed="81"/>
            <rFont val="Tahoma"/>
            <family val="2"/>
          </rPr>
          <t xml:space="preserve">Custom dropdown if Wood 2x6 &amp; 5/8" gypchoices are selected in column 07. </t>
        </r>
      </text>
    </comment>
    <comment ref="F61" authorId="0" shapeId="0" xr:uid="{00000000-0006-0000-0A00-000013000000}">
      <text>
        <r>
          <rPr>
            <sz val="9"/>
            <color indexed="81"/>
            <rFont val="Tahoma"/>
            <family val="2"/>
          </rPr>
          <t xml:space="preserve">Custom dropdown if Wood 2x8 choices are selected in column 07. </t>
        </r>
      </text>
    </comment>
    <comment ref="K71" authorId="0" shapeId="0" xr:uid="{00000000-0006-0000-0A00-00001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73" authorId="0" shapeId="0" xr:uid="{00000000-0006-0000-0A00-000016000000}">
      <text>
        <r>
          <rPr>
            <sz val="9"/>
            <color indexed="81"/>
            <rFont val="Tahoma"/>
            <family val="2"/>
          </rPr>
          <t>Column 04 determines if Columns 08-09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J73" authorId="0" shapeId="0" xr:uid="{00000000-0006-0000-0A00-000017000000}">
      <text>
        <r>
          <rPr>
            <sz val="9"/>
            <color rgb="FF000000"/>
            <rFont val="Tahoma"/>
            <family val="2"/>
          </rPr>
          <t xml:space="preserve">Ben, the value here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 xml:space="preserve">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sz val="9"/>
            <color rgb="FF000000"/>
            <rFont val="Tahoma"/>
            <family val="2"/>
          </rPr>
          <t xml:space="preserve">
</t>
        </r>
        <r>
          <rPr>
            <sz val="9"/>
            <color rgb="FF000000"/>
            <rFont val="Tahoma"/>
            <family val="2"/>
          </rPr>
          <t xml:space="preserve">Heat Capacity &lt; 7 the value is "Wood framed &amp; Other" (MF also depends on fire rating in col 03)
</t>
        </r>
        <r>
          <rPr>
            <sz val="9"/>
            <color rgb="FF000000"/>
            <rFont val="Tahoma"/>
            <family val="2"/>
          </rPr>
          <t xml:space="preserve">Light = 7.0 &lt; heat capacity &lt; 15.0
</t>
        </r>
        <r>
          <rPr>
            <sz val="9"/>
            <color rgb="FF000000"/>
            <rFont val="Tahoma"/>
            <family val="2"/>
          </rPr>
          <t>Heavy = heat capacity &gt; 15.0</t>
        </r>
      </text>
    </comment>
    <comment ref="L73" authorId="0" shapeId="0" xr:uid="{00000000-0006-0000-0A00-000018000000}">
      <text>
        <r>
          <rPr>
            <b/>
            <sz val="9"/>
            <color indexed="81"/>
            <rFont val="Tahoma"/>
            <family val="2"/>
          </rPr>
          <t>Sally Blair:</t>
        </r>
        <r>
          <rPr>
            <sz val="9"/>
            <color indexed="81"/>
            <rFont val="Tahoma"/>
            <family val="2"/>
          </rPr>
          <t xml:space="preserve">
Ben, if 06 is "solid unit" this would come from JA Table 4.3.6. AND if there are values in columns 08/09 you would add the value from Table 4.3.14
If 06 is anything </t>
        </r>
        <r>
          <rPr>
            <b/>
            <sz val="9"/>
            <color indexed="81"/>
            <rFont val="Tahoma"/>
            <family val="2"/>
          </rPr>
          <t>OTHER THAN</t>
        </r>
        <r>
          <rPr>
            <sz val="9"/>
            <color indexed="81"/>
            <rFont val="Tahoma"/>
            <family val="2"/>
          </rPr>
          <t xml:space="preserve"> "solid unit" this comes from JA4 Table 4.3.5 AND if there are values in columns 08/09 you would add the value from Table 4.3.14
Use Equation 4-4 in JA4.1.4 to get the actual requirement since Mass is in U-factor and Additional Insulation from Table 4.3.14 is in R-value.</t>
        </r>
      </text>
    </comment>
    <comment ref="M73" authorId="0" shapeId="0" xr:uid="{00000000-0006-0000-0A00-000019000000}">
      <text>
        <r>
          <rPr>
            <b/>
            <sz val="9"/>
            <color indexed="81"/>
            <rFont val="Tahoma"/>
            <family val="2"/>
          </rPr>
          <t>Sally Blair:</t>
        </r>
        <r>
          <rPr>
            <sz val="9"/>
            <color indexed="81"/>
            <rFont val="Tahoma"/>
            <family val="2"/>
          </rPr>
          <t xml:space="preserve">
Ben, this is open for user entry if column 01 is checked.
Otherwise, grey out.</t>
        </r>
      </text>
    </comment>
    <comment ref="E80" authorId="0" shapeId="0" xr:uid="{00000000-0006-0000-0A00-00001B000000}">
      <text>
        <r>
          <rPr>
            <b/>
            <sz val="9"/>
            <color indexed="81"/>
            <rFont val="Tahoma"/>
            <family val="2"/>
          </rPr>
          <t>Sally Blair:</t>
        </r>
        <r>
          <rPr>
            <sz val="9"/>
            <color indexed="81"/>
            <rFont val="Tahoma"/>
            <family val="2"/>
          </rPr>
          <t xml:space="preserve">
If 05 is "Solid Concrete" or "Clay Brick"</t>
        </r>
      </text>
    </comment>
    <comment ref="F80" authorId="0" shapeId="0" xr:uid="{00000000-0006-0000-0A00-00001C000000}">
      <text>
        <r>
          <rPr>
            <b/>
            <sz val="9"/>
            <color indexed="81"/>
            <rFont val="Tahoma"/>
            <family val="2"/>
          </rPr>
          <t>Sally Blair:</t>
        </r>
        <r>
          <rPr>
            <sz val="9"/>
            <color indexed="81"/>
            <rFont val="Tahoma"/>
            <family val="2"/>
          </rPr>
          <t xml:space="preserve">
Dropdown if "solid unit"
selected in 06.</t>
        </r>
      </text>
    </comment>
    <comment ref="C82" authorId="0" shapeId="0" xr:uid="{00000000-0006-0000-0A00-00001E000000}">
      <text>
        <r>
          <rPr>
            <sz val="9"/>
            <color indexed="81"/>
            <rFont val="Tahoma"/>
            <family val="2"/>
          </rPr>
          <t>If "Approved Software" or "Other per JA4.1.2.1" are selected, Table D note in Row 20 triggers.  If they reselct JA4 Tables, note in D untriggers.</t>
        </r>
      </text>
    </comment>
    <comment ref="E82" authorId="0" shapeId="0" xr:uid="{00000000-0006-0000-0A00-00001F000000}">
      <text>
        <r>
          <rPr>
            <sz val="9"/>
            <color indexed="81"/>
            <rFont val="Tahoma"/>
            <family val="2"/>
          </rPr>
          <t>If 05 is any of the following:
- CMU-LW
- CMU- MW
- CMU- NW
- Hollow Clay Unit</t>
        </r>
      </text>
    </comment>
    <comment ref="E88" authorId="0" shapeId="0" xr:uid="{00000000-0006-0000-0A00-000020000000}">
      <text>
        <r>
          <rPr>
            <sz val="9"/>
            <color indexed="81"/>
            <rFont val="Tahoma"/>
            <family val="2"/>
          </rPr>
          <t>If 05 is 
- Hollow Clay Unit</t>
        </r>
      </text>
    </comment>
    <comment ref="F91" authorId="0" shapeId="0" xr:uid="{00000000-0006-0000-0A00-000021000000}">
      <text>
        <r>
          <rPr>
            <b/>
            <sz val="9"/>
            <color indexed="81"/>
            <rFont val="Tahoma"/>
            <family val="2"/>
          </rPr>
          <t>Sally Blair:</t>
        </r>
        <r>
          <rPr>
            <sz val="9"/>
            <color indexed="81"/>
            <rFont val="Tahoma"/>
            <family val="2"/>
          </rPr>
          <t xml:space="preserve">
Dropdown if 06 is any of the following:
- Solid Grout
- Partial Grout-uninsulated
- Partial Grout- Insulated</t>
        </r>
      </text>
    </comment>
    <comment ref="F97" authorId="0" shapeId="0" xr:uid="{00000000-0006-0000-0A00-000022000000}">
      <text>
        <r>
          <rPr>
            <sz val="9"/>
            <color indexed="81"/>
            <rFont val="Tahoma"/>
            <family val="2"/>
          </rPr>
          <t xml:space="preserve">Dropdown if 05 is Clay Brick
</t>
        </r>
      </text>
    </comment>
    <comment ref="F102" authorId="0" shapeId="0" xr:uid="{00000000-0006-0000-0A00-000023000000}">
      <text>
        <r>
          <rPr>
            <b/>
            <sz val="9"/>
            <color indexed="81"/>
            <rFont val="Tahoma"/>
            <family val="2"/>
          </rPr>
          <t xml:space="preserve">Updated 9.15.20:
</t>
        </r>
        <r>
          <rPr>
            <sz val="9"/>
            <color indexed="81"/>
            <rFont val="Tahoma"/>
            <family val="2"/>
          </rPr>
          <t>Dropdown if 05 is Hollow Clay Unit</t>
        </r>
      </text>
    </comment>
    <comment ref="J111" authorId="0" shapeId="0" xr:uid="{00000000-0006-0000-0A00-00002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JA4..."&amp; grey if "JA4 Tables".</t>
        </r>
      </text>
    </comment>
    <comment ref="C113" authorId="0" shapeId="0" xr:uid="{00000000-0006-0000-0A00-000026000000}">
      <text>
        <r>
          <rPr>
            <b/>
            <sz val="9"/>
            <color indexed="81"/>
            <rFont val="Tahoma"/>
            <family val="2"/>
          </rPr>
          <t>Sally Blair:</t>
        </r>
        <r>
          <rPr>
            <sz val="9"/>
            <color indexed="81"/>
            <rFont val="Tahoma"/>
            <family val="2"/>
          </rPr>
          <t xml:space="preserve">
Column 04 determines if Columns 08 -09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13" authorId="0" shapeId="0" xr:uid="{00000000-0006-0000-0A00-000027000000}">
      <text>
        <r>
          <rPr>
            <sz val="9"/>
            <color rgb="FF000000"/>
            <rFont val="Tahoma"/>
            <family val="2"/>
          </rPr>
          <t xml:space="preserve">Ben, the value here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170.2-A
</t>
        </r>
        <r>
          <rPr>
            <sz val="9"/>
            <color rgb="FF000000"/>
            <rFont val="Tahoma"/>
            <family val="2"/>
          </rPr>
          <t xml:space="preserve">
</t>
        </r>
        <r>
          <rPr>
            <sz val="9"/>
            <color rgb="FF000000"/>
            <rFont val="Tahoma"/>
            <family val="2"/>
          </rPr>
          <t xml:space="preserve">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sz val="9"/>
            <color rgb="FF000000"/>
            <rFont val="Tahoma"/>
            <family val="2"/>
          </rPr>
          <t xml:space="preserve">
</t>
        </r>
        <r>
          <rPr>
            <sz val="9"/>
            <color rgb="FF000000"/>
            <rFont val="Tahoma"/>
            <family val="2"/>
          </rPr>
          <t xml:space="preserve">All of these U-factor's will be considered Heavy = heat capacity &gt; 15.0. 
</t>
        </r>
        <r>
          <rPr>
            <sz val="9"/>
            <color rgb="FF000000"/>
            <rFont val="Tahoma"/>
            <family val="2"/>
          </rPr>
          <t>Use "Mass, Heavy" from Table 140.3</t>
        </r>
      </text>
    </comment>
    <comment ref="K113" authorId="0" shapeId="0" xr:uid="{00000000-0006-0000-0A00-000028000000}">
      <text>
        <r>
          <rPr>
            <b/>
            <sz val="9"/>
            <color indexed="81"/>
            <rFont val="Tahoma"/>
            <family val="2"/>
          </rPr>
          <t>Sally Blair:</t>
        </r>
        <r>
          <rPr>
            <sz val="9"/>
            <color indexed="81"/>
            <rFont val="Tahoma"/>
            <family val="2"/>
          </rPr>
          <t xml:space="preserve">
Ben, this would come from JA Table 4.3.7. AND if there are values in columns 08/09 you would add the value from Table 4.3.14
Use Equation 4-4 in JA4.1.4 to get the actual requirement since CSP is in U-factor and Additional Insulation from Table 4.3.14 is in R-value.</t>
        </r>
      </text>
    </comment>
    <comment ref="L113" authorId="0" shapeId="0" xr:uid="{00000000-0006-0000-0A00-000029000000}">
      <text>
        <r>
          <rPr>
            <b/>
            <sz val="9"/>
            <color indexed="81"/>
            <rFont val="Tahoma"/>
            <family val="2"/>
          </rPr>
          <t>Sally Blair:</t>
        </r>
        <r>
          <rPr>
            <sz val="9"/>
            <color indexed="81"/>
            <rFont val="Tahoma"/>
            <family val="2"/>
          </rPr>
          <t xml:space="preserve">
Ben, this is open for user entry if column 01 is checked.
Otherwise, grey out.</t>
        </r>
      </text>
    </comment>
    <comment ref="C121" authorId="0" shapeId="0" xr:uid="{00000000-0006-0000-0A00-00002C000000}">
      <text>
        <r>
          <rPr>
            <sz val="9"/>
            <color indexed="81"/>
            <rFont val="Tahoma"/>
            <family val="2"/>
          </rPr>
          <t>If "Approved Software" or "Other per JA4.1.2.1" are selected, Table D note in Row 20 triggers.  If they reselct JA4 Tables, note in D untriggers.</t>
        </r>
      </text>
    </comment>
    <comment ref="C149" authorId="0" shapeId="0" xr:uid="{00000000-0006-0000-0A00-00002D000000}">
      <text>
        <r>
          <rPr>
            <b/>
            <sz val="9"/>
            <color indexed="81"/>
            <rFont val="Tahoma"/>
            <family val="2"/>
          </rPr>
          <t>Sally Blair:</t>
        </r>
        <r>
          <rPr>
            <sz val="9"/>
            <color indexed="81"/>
            <rFont val="Tahoma"/>
            <family val="2"/>
          </rPr>
          <t xml:space="preserve">
Ben, columns 04-06, 08, 11 &amp; 12 grey out if "R-value" is selected in column 09.</t>
        </r>
      </text>
    </comment>
    <comment ref="C151" authorId="0" shapeId="0" xr:uid="{00000000-0006-0000-0A00-00002F000000}">
      <text>
        <r>
          <rPr>
            <sz val="9"/>
            <color indexed="81"/>
            <rFont val="Tahoma"/>
            <family val="2"/>
          </rPr>
          <t>Column 04 determines if Columns 05 through 08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151" authorId="0" shapeId="0" xr:uid="{00000000-0006-0000-0A00-000030000000}">
      <text>
        <r>
          <rPr>
            <b/>
            <sz val="9"/>
            <color indexed="81"/>
            <rFont val="Tahoma"/>
            <family val="2"/>
          </rPr>
          <t>Sally Blair:</t>
        </r>
        <r>
          <rPr>
            <sz val="9"/>
            <color indexed="81"/>
            <rFont val="Tahoma"/>
            <family val="2"/>
          </rPr>
          <t xml:space="preserve">
Ben, this is only a dropdown if column 03 is "Any Occupancy: Altered" AND column 01 "Include SIPs Wall in Area-weighted…" is NOT checked.  Otherwise, it auto-selects U-factor and is not editable by the user.
</t>
        </r>
      </text>
    </comment>
    <comment ref="I151" authorId="0" shapeId="0" xr:uid="{00000000-0006-0000-0A00-000031000000}">
      <text>
        <r>
          <rPr>
            <sz val="9"/>
            <color rgb="FF000000"/>
            <rFont val="Tahoma"/>
            <family val="2"/>
          </rPr>
          <t xml:space="preserve">Ben, For "New" walls (column 03), this value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"&gt;1hr fire" in col 03 &amp; A03 is CZ 1-5, 8-10, 12, 13 = 0.059
</t>
        </r>
        <r>
          <rPr>
            <sz val="9"/>
            <color rgb="FF000000"/>
            <rFont val="Tahoma"/>
            <family val="2"/>
          </rPr>
          <t xml:space="preserve">Multifamily "&gt;1hr fire" in col 03 &amp; A03 is CZ 11, 14-16 = 0.051
</t>
        </r>
        <r>
          <rPr>
            <sz val="9"/>
            <color rgb="FF000000"/>
            <rFont val="Tahoma"/>
            <family val="2"/>
          </rPr>
          <t xml:space="preserve">Multifamily "&gt;1hr fire" in col 03 &amp; A03 is CZ 6, 7 = 0.065
</t>
        </r>
        <r>
          <rPr>
            <sz val="9"/>
            <color rgb="FF000000"/>
            <rFont val="Tahoma"/>
            <family val="2"/>
          </rPr>
          <t xml:space="preserve">Multifamily "&lt;=1hr fire" in col 03 &amp; A03 is CZ 1-5, 8-16 = 0.051
</t>
        </r>
        <r>
          <rPr>
            <sz val="9"/>
            <color rgb="FF000000"/>
            <rFont val="Tahoma"/>
            <family val="2"/>
          </rPr>
          <t xml:space="preserve">Multifamily "&lt;=1hr fire" in col 03 &amp; A03 is CZ 6,7 = 0.065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R-11 or U-0.110</t>
        </r>
      </text>
    </comment>
    <comment ref="K151" authorId="0" shapeId="0" xr:uid="{00000000-0006-0000-0A00-000032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4.3.2 in JA4 for look up value.
</t>
        </r>
      </text>
    </comment>
    <comment ref="L151" authorId="0" shapeId="0" xr:uid="{00000000-0006-0000-0A00-000033000000}">
      <text>
        <r>
          <rPr>
            <b/>
            <sz val="9"/>
            <color indexed="81"/>
            <rFont val="Tahoma"/>
            <family val="2"/>
          </rPr>
          <t>Sally Blair:</t>
        </r>
        <r>
          <rPr>
            <sz val="9"/>
            <color indexed="81"/>
            <rFont val="Tahoma"/>
            <family val="2"/>
          </rPr>
          <t xml:space="preserve">
cell opens for user input if column 01 "Include SIPs Wall in Area Weighted Calculation per?" is checked, otherwise grey out.</t>
        </r>
      </text>
    </comment>
    <comment ref="K152" authorId="0" shapeId="0" xr:uid="{00000000-0006-0000-0A00-000034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F158" authorId="0" shapeId="0" xr:uid="{00000000-0006-0000-0A00-000036000000}">
      <text>
        <r>
          <rPr>
            <b/>
            <sz val="9"/>
            <color indexed="81"/>
            <rFont val="Tahoma"/>
            <family val="2"/>
          </rPr>
          <t>Sally Blair:</t>
        </r>
        <r>
          <rPr>
            <sz val="9"/>
            <color indexed="81"/>
            <rFont val="Tahoma"/>
            <family val="2"/>
          </rPr>
          <t xml:space="preserve">
This dropdown needs to be custom based on panel thickness in column 06:
choices for 4.5in:
 R-14
 R-18
choices for 6.5in:
 R-22
 R-33
choices for 8.25in:
 R-28
choices for 10.25in:
 R-36
 R-55
choices for 12.25in:
 R-44
</t>
        </r>
      </text>
    </comment>
    <comment ref="C159" authorId="0" shapeId="0" xr:uid="{00000000-0006-0000-0A00-000037000000}">
      <text>
        <r>
          <rPr>
            <sz val="9"/>
            <color indexed="81"/>
            <rFont val="Tahoma"/>
            <family val="2"/>
          </rPr>
          <t>If "Approved Software" or "Other per JA4.1.2.1" are selected, Table D note in Row 20 triggers.  If they reselct JA4 Tables, note in D untriggers.</t>
        </r>
      </text>
    </comment>
    <comment ref="C181" authorId="0" shapeId="0" xr:uid="{00000000-0006-0000-0A00-000039000000}">
      <text>
        <r>
          <rPr>
            <sz val="9"/>
            <color indexed="81"/>
            <rFont val="Tahoma"/>
            <family val="2"/>
          </rPr>
          <t>Ben, columns 04-06, 10 &amp; 11 grey out if "R-value" is selected in column 08.</t>
        </r>
      </text>
    </comment>
    <comment ref="C183" authorId="0" shapeId="0" xr:uid="{00000000-0006-0000-0A00-00003B000000}">
      <text>
        <r>
          <rPr>
            <sz val="9"/>
            <color indexed="81"/>
            <rFont val="Tahoma"/>
            <family val="2"/>
          </rPr>
          <t>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83" authorId="0" shapeId="0" xr:uid="{00000000-0006-0000-0A00-00003C000000}">
      <text>
        <r>
          <rPr>
            <b/>
            <sz val="9"/>
            <color indexed="81"/>
            <rFont val="Tahoma"/>
            <family val="2"/>
          </rPr>
          <t>Sally Blair:</t>
        </r>
        <r>
          <rPr>
            <sz val="9"/>
            <color indexed="81"/>
            <rFont val="Tahoma"/>
            <family val="2"/>
          </rPr>
          <t xml:space="preserve">
Ben, this is only a dropdown if column 03 is "Any Occupancy: Altered" AND column 01 "Include Spandrel/ curtain Wall in Area-weighted…" is NOT checked.  Otherwise, it auto-selects U-factor and is not editable by the user.
</t>
        </r>
      </text>
    </comment>
    <comment ref="J183" authorId="0" shapeId="0" xr:uid="{00000000-0006-0000-0A00-00003D000000}">
      <text>
        <r>
          <rPr>
            <sz val="9"/>
            <color rgb="FF000000"/>
            <rFont val="Tahoma"/>
            <family val="2"/>
          </rPr>
          <t xml:space="preserve">Ben, For "New" walls (column 03), this value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"&gt;1hr fire" in col 03 &amp; A03 is CZ 1-5, 8-10, 12, 13 = 0.059
</t>
        </r>
        <r>
          <rPr>
            <sz val="9"/>
            <color rgb="FF000000"/>
            <rFont val="Tahoma"/>
            <family val="2"/>
          </rPr>
          <t xml:space="preserve">Multifamily "&gt;1hr fire" in col 03 &amp; A03 is CZ 11, 14-16 = 0.051
</t>
        </r>
        <r>
          <rPr>
            <sz val="9"/>
            <color rgb="FF000000"/>
            <rFont val="Tahoma"/>
            <family val="2"/>
          </rPr>
          <t xml:space="preserve">Multifamily "&gt;1hr fire" in col 03 &amp; A03 is CZ 6, 7 = 0.065
</t>
        </r>
        <r>
          <rPr>
            <sz val="9"/>
            <color rgb="FF000000"/>
            <rFont val="Tahoma"/>
            <family val="2"/>
          </rPr>
          <t xml:space="preserve">Multifamily "&lt;=1hr fire" in col 03 &amp; A03 is CZ 1-5, 8-16 = 0.051
</t>
        </r>
        <r>
          <rPr>
            <sz val="9"/>
            <color rgb="FF000000"/>
            <rFont val="Tahoma"/>
            <family val="2"/>
          </rPr>
          <t xml:space="preserve">Multifamily "&lt;=1hr fire" in col 03 &amp; A03 is CZ 6,7 = 0.065
</t>
        </r>
        <r>
          <rPr>
            <sz val="9"/>
            <color rgb="FF000000"/>
            <rFont val="Tahoma"/>
            <family val="2"/>
          </rPr>
          <t xml:space="preserve">
</t>
        </r>
        <r>
          <rPr>
            <sz val="9"/>
            <color rgb="FF000000"/>
            <rFont val="Tahoma"/>
            <family val="2"/>
          </rPr>
          <t xml:space="preserve">Use requirements for "Wood Framed &amp; Other".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R-4 or U-0.280</t>
        </r>
      </text>
    </comment>
    <comment ref="L183" authorId="0" shapeId="0" xr:uid="{00000000-0006-0000-0A00-00003E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4.3.8 in JA4 for look up value.
</t>
        </r>
      </text>
    </comment>
    <comment ref="M183" authorId="0" shapeId="0" xr:uid="{00000000-0006-0000-0A00-00003F000000}">
      <text>
        <r>
          <rPr>
            <b/>
            <sz val="9"/>
            <color indexed="81"/>
            <rFont val="Tahoma"/>
            <family val="2"/>
          </rPr>
          <t>Sally Blair:</t>
        </r>
        <r>
          <rPr>
            <sz val="9"/>
            <color indexed="81"/>
            <rFont val="Tahoma"/>
            <family val="2"/>
          </rPr>
          <t xml:space="preserve">
cell opens for user input if column 01 "Include Spandrel/ curtain Wall in Area Weighted Calculation per?" is checked, otherwise grey out.</t>
        </r>
      </text>
    </comment>
    <comment ref="L184" authorId="0" shapeId="0" xr:uid="{00000000-0006-0000-0A00-000040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C190" authorId="0" shapeId="0" xr:uid="{00000000-0006-0000-0A00-000042000000}">
      <text>
        <r>
          <rPr>
            <sz val="9"/>
            <color indexed="81"/>
            <rFont val="Tahoma"/>
            <family val="2"/>
          </rPr>
          <t>If "Approved Software" or "Other per JA4.1.2.1" are selected, Table D note in Row 20 triggers.  If they reselct JA4 Tables, note in D untriggers.</t>
        </r>
      </text>
    </comment>
    <comment ref="C200" authorId="0" shapeId="0" xr:uid="{00000000-0006-0000-0A00-000043000000}">
      <text>
        <r>
          <rPr>
            <b/>
            <sz val="9"/>
            <color indexed="81"/>
            <rFont val="Tahoma"/>
            <family val="2"/>
          </rPr>
          <t>Sally Blair:</t>
        </r>
        <r>
          <rPr>
            <sz val="9"/>
            <color indexed="81"/>
            <rFont val="Tahoma"/>
            <family val="2"/>
          </rPr>
          <t xml:space="preserve">
Ben, columns 04-05, 07, 10 &amp; 11 grey out if "R-value" is selected in column 08.</t>
        </r>
      </text>
    </comment>
    <comment ref="C202" authorId="0" shapeId="0" xr:uid="{00000000-0006-0000-0A00-000045000000}">
      <text>
        <r>
          <rPr>
            <sz val="9"/>
            <color indexed="81"/>
            <rFont val="Tahoma"/>
            <family val="2"/>
          </rPr>
          <t>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202" authorId="0" shapeId="0" xr:uid="{00000000-0006-0000-0A00-000046000000}">
      <text>
        <r>
          <rPr>
            <b/>
            <sz val="9"/>
            <color indexed="81"/>
            <rFont val="Tahoma"/>
            <family val="2"/>
          </rPr>
          <t>Sally Blair:</t>
        </r>
        <r>
          <rPr>
            <sz val="9"/>
            <color indexed="81"/>
            <rFont val="Tahoma"/>
            <family val="2"/>
          </rPr>
          <t xml:space="preserve">
Ben, this is only a dropdown if column 03 is "Any Occupancy: Altered" AND column 01 "Calculate Area-weighted…" is NOT checked.  Otherwise, it auto-selects U-factor and is not editable by the user.
</t>
        </r>
      </text>
    </comment>
    <comment ref="I202" authorId="0" shapeId="0" xr:uid="{00000000-0006-0000-0A00-000047000000}">
      <text>
        <r>
          <rPr>
            <sz val="9"/>
            <color rgb="FF000000"/>
            <rFont val="Tahoma"/>
            <family val="2"/>
          </rPr>
          <t xml:space="preserve">Ben, For "New" walls (column 03), this value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R-13 or U-0.113</t>
        </r>
      </text>
    </comment>
    <comment ref="K202" authorId="0" shapeId="0" xr:uid="{00000000-0006-0000-0A00-00004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Use Table 4.3.9 in JA4 for look up value.
</t>
        </r>
      </text>
    </comment>
    <comment ref="L202" authorId="0" shapeId="0" xr:uid="{00000000-0006-0000-0A00-000049000000}">
      <text>
        <r>
          <rPr>
            <b/>
            <sz val="9"/>
            <color indexed="81"/>
            <rFont val="Tahoma"/>
            <family val="2"/>
          </rPr>
          <t>Sally Blair:</t>
        </r>
        <r>
          <rPr>
            <sz val="9"/>
            <color indexed="81"/>
            <rFont val="Tahoma"/>
            <family val="2"/>
          </rPr>
          <t xml:space="preserve">
cell opens for user input if column 01 "Calculate Area Weighted ..." is checked, otherwise grey out.</t>
        </r>
      </text>
    </comment>
    <comment ref="K203" authorId="0" shapeId="0" xr:uid="{00000000-0006-0000-0A00-00004A000000}">
      <text>
        <r>
          <rPr>
            <b/>
            <sz val="9"/>
            <color indexed="81"/>
            <rFont val="Tahoma"/>
            <family val="2"/>
          </rPr>
          <t>Sally Blair:</t>
        </r>
        <r>
          <rPr>
            <sz val="9"/>
            <color indexed="81"/>
            <rFont val="Tahoma"/>
            <family val="2"/>
          </rPr>
          <t xml:space="preserve">
Cell will be open for user entry if Column 04 is "Approved Software" OR "Other per JA4...", but greyed out if it is " JA4 Tables".</t>
        </r>
      </text>
    </comment>
    <comment ref="F209" authorId="0" shapeId="0" xr:uid="{00000000-0006-0000-0A00-00004C000000}">
      <text>
        <r>
          <rPr>
            <b/>
            <sz val="9"/>
            <color indexed="81"/>
            <rFont val="Tahoma"/>
            <family val="2"/>
          </rPr>
          <t>Sally Blair:</t>
        </r>
        <r>
          <rPr>
            <sz val="9"/>
            <color indexed="81"/>
            <rFont val="Tahoma"/>
            <family val="2"/>
          </rPr>
          <t xml:space="preserve">
Custom based on selection in column 05.</t>
        </r>
      </text>
    </comment>
    <comment ref="C210" authorId="0" shapeId="0" xr:uid="{00000000-0006-0000-0A00-00004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28" authorId="0" shapeId="0" xr:uid="{00000000-0006-0000-0A00-00004F000000}">
      <text>
        <r>
          <rPr>
            <sz val="9"/>
            <color indexed="81"/>
            <rFont val="Tahoma"/>
            <family val="2"/>
          </rPr>
          <t>Column 05 determines if Columns 06 &amp; 08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28" authorId="0" shapeId="0" xr:uid="{00000000-0006-0000-0A00-000050000000}">
      <text>
        <r>
          <rPr>
            <sz val="9"/>
            <color rgb="FF000000"/>
            <rFont val="Tahoma"/>
            <family val="2"/>
          </rPr>
          <t xml:space="preserve">Ben, For "New" walls (column 04), this value comes from the Tables in Section 140.3.  Which table to use depends on the occupancy type from column 04: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"&gt;1hr fire" in col 03 &amp; A03 is CZ 1-5, 8-10, 12, 13 = 0.059
</t>
        </r>
        <r>
          <rPr>
            <sz val="9"/>
            <color rgb="FF000000"/>
            <rFont val="Tahoma"/>
            <family val="2"/>
          </rPr>
          <t xml:space="preserve">Multifamily "&gt;1hr fire" in col 03 &amp; A03 is CZ 11, 14-16 = 0.051
</t>
        </r>
        <r>
          <rPr>
            <sz val="9"/>
            <color rgb="FF000000"/>
            <rFont val="Tahoma"/>
            <family val="2"/>
          </rPr>
          <t xml:space="preserve">Multifamily "&gt;1hr fire" in col 03 &amp; A03 is CZ 6, 7 = 0.065
</t>
        </r>
        <r>
          <rPr>
            <sz val="9"/>
            <color rgb="FF000000"/>
            <rFont val="Tahoma"/>
            <family val="2"/>
          </rPr>
          <t xml:space="preserve">Multifamily "&lt;=1hr fire" in col 03 &amp; A03 is CZ 1-5, 8-16 = 0.051
</t>
        </r>
        <r>
          <rPr>
            <sz val="9"/>
            <color rgb="FF000000"/>
            <rFont val="Tahoma"/>
            <family val="2"/>
          </rPr>
          <t xml:space="preserve">Multifamily "&lt;=1hr fire" in col 03 &amp; A03 is CZ 6,7 = 0.065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R-11 or U-0.110</t>
        </r>
      </text>
    </comment>
    <comment ref="H228" authorId="0" shapeId="0" xr:uid="{00000000-0006-0000-0A00-000051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4.3.10 in JA4 for look up value.
</t>
        </r>
      </text>
    </comment>
    <comment ref="I228" authorId="0" shapeId="0" xr:uid="{00000000-0006-0000-0A00-000052000000}">
      <text>
        <r>
          <rPr>
            <b/>
            <sz val="9"/>
            <color indexed="81"/>
            <rFont val="Tahoma"/>
            <family val="2"/>
          </rPr>
          <t>Sally Blair:</t>
        </r>
        <r>
          <rPr>
            <sz val="9"/>
            <color indexed="81"/>
            <rFont val="Tahoma"/>
            <family val="2"/>
          </rPr>
          <t xml:space="preserve">
cell opens for user input if column 01 "Include Metal Panel Wall in Area Weighted Calculation" is checked, otherwise grey out.</t>
        </r>
      </text>
    </comment>
    <comment ref="H229" authorId="0" shapeId="0" xr:uid="{00000000-0006-0000-0A00-000053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35" authorId="0" shapeId="0" xr:uid="{00000000-0006-0000-0A00-000055000000}">
      <text>
        <r>
          <rPr>
            <sz val="9"/>
            <color indexed="81"/>
            <rFont val="Tahoma"/>
            <family val="2"/>
          </rPr>
          <t>If "Approved Software" or "Other per JA4.1.2.1" are selected, Table D note in Row 20 triggers.  If they reselct JA4 Tables, note in D untriggers.</t>
        </r>
      </text>
    </comment>
    <comment ref="H250" authorId="0" shapeId="0" xr:uid="{00000000-0006-0000-0A00-000056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252" authorId="0" shapeId="0" xr:uid="{00000000-0006-0000-0A00-000058000000}">
      <text>
        <r>
          <rPr>
            <sz val="9"/>
            <color indexed="81"/>
            <rFont val="Tahoma"/>
            <family val="2"/>
          </rPr>
          <t>Column 04 determines if Columns 06- 07 &amp; 09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G252" authorId="0" shapeId="0" xr:uid="{00000000-0006-0000-0A00-000059000000}">
      <text>
        <r>
          <rPr>
            <b/>
            <sz val="9"/>
            <color rgb="FF000000"/>
            <rFont val="Tahoma"/>
            <family val="2"/>
          </rPr>
          <t>Sally Blair:</t>
        </r>
        <r>
          <rPr>
            <sz val="9"/>
            <color rgb="FF000000"/>
            <rFont val="Tahoma"/>
            <family val="2"/>
          </rPr>
          <t xml:space="preserve">
</t>
        </r>
        <r>
          <rPr>
            <sz val="9"/>
            <color rgb="FF000000"/>
            <rFont val="Tahoma"/>
            <family val="2"/>
          </rPr>
          <t xml:space="preserve">Ben, the value here comes from the Tables in Section 140.3.  Which table to use depends on the occupancy type from column 03:
</t>
        </r>
        <r>
          <rPr>
            <sz val="9"/>
            <color rgb="FF000000"/>
            <rFont val="Tahoma"/>
            <family val="2"/>
          </rPr>
          <t>Nonresidential &amp; Relocatables = Table 140.3-B</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High-rise Res &amp; Hotel/Motel =Table 140.3-C
</t>
        </r>
        <r>
          <rPr>
            <sz val="9"/>
            <color rgb="FF000000"/>
            <rFont val="Tahoma"/>
            <family val="2"/>
          </rPr>
          <t xml:space="preserve">
</t>
        </r>
        <r>
          <rPr>
            <sz val="9"/>
            <color rgb="FF000000"/>
            <rFont val="Tahoma"/>
            <family val="2"/>
          </rPr>
          <t xml:space="preserve">Also note the correct value in the table is for "light mass" or "Wood framed &amp; Other", (see below for categorization based on column 05.
</t>
        </r>
        <r>
          <rPr>
            <sz val="9"/>
            <color rgb="FF000000"/>
            <rFont val="Tahoma"/>
            <family val="2"/>
          </rPr>
          <t xml:space="preserve">
</t>
        </r>
        <r>
          <rPr>
            <sz val="9"/>
            <color rgb="FF000000"/>
            <rFont val="Tahoma"/>
            <family val="2"/>
          </rPr>
          <t xml:space="preserve">Wood Frame &amp; Other:
</t>
        </r>
        <r>
          <rPr>
            <sz val="9"/>
            <color rgb="FF000000"/>
            <rFont val="Tahoma"/>
            <family val="2"/>
          </rPr>
          <t xml:space="preserve">- 6"
</t>
        </r>
        <r>
          <rPr>
            <sz val="9"/>
            <color rgb="FF000000"/>
            <rFont val="Tahoma"/>
            <family val="2"/>
          </rPr>
          <t xml:space="preserve">- 8"
</t>
        </r>
        <r>
          <rPr>
            <sz val="9"/>
            <color rgb="FF000000"/>
            <rFont val="Tahoma"/>
            <family val="2"/>
          </rPr>
          <t xml:space="preserve">- 10"
</t>
        </r>
        <r>
          <rPr>
            <sz val="9"/>
            <color rgb="FF000000"/>
            <rFont val="Tahoma"/>
            <family val="2"/>
          </rPr>
          <t xml:space="preserve">
</t>
        </r>
        <r>
          <rPr>
            <sz val="9"/>
            <color rgb="FF000000"/>
            <rFont val="Tahoma"/>
            <family val="2"/>
          </rPr>
          <t xml:space="preserve">Light Mass:
</t>
        </r>
        <r>
          <rPr>
            <sz val="9"/>
            <color rgb="FF000000"/>
            <rFont val="Tahoma"/>
            <family val="2"/>
          </rPr>
          <t xml:space="preserve">- 12"
</t>
        </r>
        <r>
          <rPr>
            <sz val="9"/>
            <color rgb="FF000000"/>
            <rFont val="Tahoma"/>
            <family val="2"/>
          </rPr>
          <t xml:space="preserve">- 14"
</t>
        </r>
        <r>
          <rPr>
            <sz val="9"/>
            <color rgb="FF000000"/>
            <rFont val="Tahoma"/>
            <family val="2"/>
          </rPr>
          <t xml:space="preserve">- 16"
</t>
        </r>
        <r>
          <rPr>
            <sz val="9"/>
            <color rgb="FF000000"/>
            <rFont val="Tahoma"/>
            <family val="2"/>
          </rPr>
          <t xml:space="preserve">
</t>
        </r>
      </text>
    </comment>
    <comment ref="I252" authorId="0" shapeId="0" xr:uid="{00000000-0006-0000-0A00-00005A000000}">
      <text>
        <r>
          <rPr>
            <b/>
            <sz val="9"/>
            <color indexed="81"/>
            <rFont val="Tahoma"/>
            <family val="2"/>
          </rPr>
          <t>Sally Blair:</t>
        </r>
        <r>
          <rPr>
            <sz val="9"/>
            <color indexed="81"/>
            <rFont val="Tahoma"/>
            <family val="2"/>
          </rPr>
          <t xml:space="preserve">
Ben, this would come from JA Table 4.3.11. AND if there are values in columns 06/07 you would add the value from Table 4.3.14
Use Equation 4-4 in JA4.1.4 to get the actual requirement since Log is in U-factor and Additional Insulation from Table 4.3.14 is in R-value.</t>
        </r>
      </text>
    </comment>
    <comment ref="J252" authorId="0" shapeId="0" xr:uid="{00000000-0006-0000-0A00-00005B000000}">
      <text>
        <r>
          <rPr>
            <b/>
            <sz val="9"/>
            <color indexed="81"/>
            <rFont val="Tahoma"/>
            <family val="2"/>
          </rPr>
          <t>Sally Blair:</t>
        </r>
        <r>
          <rPr>
            <sz val="9"/>
            <color indexed="81"/>
            <rFont val="Tahoma"/>
            <family val="2"/>
          </rPr>
          <t xml:space="preserve">
Ben, this is open for user entry if column 01 is checked.
Otherwise, grey out.</t>
        </r>
      </text>
    </comment>
    <comment ref="C260" authorId="0" shapeId="0" xr:uid="{00000000-0006-0000-0A00-00005D000000}">
      <text>
        <r>
          <rPr>
            <sz val="9"/>
            <color indexed="81"/>
            <rFont val="Tahoma"/>
            <family val="2"/>
          </rPr>
          <t>If "Approved Software" or "Other per JA4.1.2.1" are selected, Table D note in Row 20 triggers.  If they reselct JA4 Tables, note in D untriggers.</t>
        </r>
      </text>
    </comment>
    <comment ref="D289" authorId="0" shapeId="0" xr:uid="{00000000-0006-0000-0A00-00005E000000}">
      <text>
        <r>
          <rPr>
            <b/>
            <sz val="9"/>
            <color indexed="81"/>
            <rFont val="Tahoma"/>
            <family val="2"/>
          </rPr>
          <t>Sally Blair:</t>
        </r>
        <r>
          <rPr>
            <sz val="9"/>
            <color indexed="81"/>
            <rFont val="Tahoma"/>
            <family val="2"/>
          </rPr>
          <t xml:space="preserve">
Ben, columns 05, 09 &amp; 10 grey out if "R-value" is selected in column 07.</t>
        </r>
      </text>
    </comment>
    <comment ref="D291" authorId="0" shapeId="0" xr:uid="{00000000-0006-0000-0A00-000060000000}">
      <text>
        <r>
          <rPr>
            <sz val="9"/>
            <color indexed="81"/>
            <rFont val="Tahoma"/>
            <family val="2"/>
          </rPr>
          <t>Column 05 determines if Columns 06 &amp; 09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91" authorId="0" shapeId="0" xr:uid="{00000000-0006-0000-0A00-000061000000}">
      <text>
        <r>
          <rPr>
            <b/>
            <sz val="9"/>
            <color indexed="81"/>
            <rFont val="Tahoma"/>
            <family val="2"/>
          </rPr>
          <t>Sally Blair:</t>
        </r>
        <r>
          <rPr>
            <sz val="9"/>
            <color indexed="81"/>
            <rFont val="Tahoma"/>
            <family val="2"/>
          </rPr>
          <t xml:space="preserve">
Ben, this is only a dropdown if column 04 is "Any Occupancy: Altered" AND column 01 "Include strawbale Wall in Area-weighted…" is NOT checked.  Otherwise, it auto-selects U-factor and is not editable by the user.
</t>
        </r>
      </text>
    </comment>
    <comment ref="G291" authorId="0" shapeId="0" xr:uid="{00000000-0006-0000-0A00-000062000000}">
      <text>
        <r>
          <rPr>
            <b/>
            <sz val="9"/>
            <color rgb="FF000000"/>
            <rFont val="Tahoma"/>
            <family val="2"/>
          </rPr>
          <t>Sally Blair:</t>
        </r>
        <r>
          <rPr>
            <sz val="9"/>
            <color rgb="FF000000"/>
            <rFont val="Tahoma"/>
            <family val="2"/>
          </rPr>
          <t xml:space="preserve">
</t>
        </r>
        <r>
          <rPr>
            <sz val="9"/>
            <color rgb="FF000000"/>
            <rFont val="Tahoma"/>
            <family val="2"/>
          </rPr>
          <t xml:space="preserve">Ben, For "New" walls (column 04), this value comes from the Tables in Section 140.3.  Which table to use depends on the occupancy type from column 04: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High-rise Res &amp; Hotel/Motel =Table 140.3-C
</t>
        </r>
        <r>
          <rPr>
            <sz val="9"/>
            <color rgb="FF000000"/>
            <rFont val="Tahoma"/>
            <family val="2"/>
          </rPr>
          <t xml:space="preserve">Relocatables All CZ =Table 140.3-D
</t>
        </r>
        <r>
          <rPr>
            <sz val="9"/>
            <color rgb="FF000000"/>
            <rFont val="Tahoma"/>
            <family val="2"/>
          </rPr>
          <t xml:space="preserve">
</t>
        </r>
        <r>
          <rPr>
            <sz val="9"/>
            <color rgb="FF000000"/>
            <rFont val="Tahoma"/>
            <family val="2"/>
          </rPr>
          <t xml:space="preserve">Use "Wood framed and other" category
</t>
        </r>
        <r>
          <rPr>
            <sz val="9"/>
            <color rgb="FF000000"/>
            <rFont val="Tahoma"/>
            <family val="2"/>
          </rPr>
          <t xml:space="preserve">When column 03 says "Any Occupancy: Altered" this value is
</t>
        </r>
        <r>
          <rPr>
            <sz val="9"/>
            <color rgb="FF000000"/>
            <rFont val="Tahoma"/>
            <family val="2"/>
          </rPr>
          <t>R-11 or U-0.110</t>
        </r>
      </text>
    </comment>
    <comment ref="I291" authorId="0" shapeId="0" xr:uid="{00000000-0006-0000-0A00-000063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4.3.12 in JA4 for look up value.
</t>
        </r>
      </text>
    </comment>
    <comment ref="J291" authorId="0" shapeId="0" xr:uid="{00000000-0006-0000-0A00-000064000000}">
      <text>
        <r>
          <rPr>
            <b/>
            <sz val="9"/>
            <color indexed="81"/>
            <rFont val="Tahoma"/>
            <family val="2"/>
          </rPr>
          <t>Sally Blair:</t>
        </r>
        <r>
          <rPr>
            <sz val="9"/>
            <color indexed="81"/>
            <rFont val="Tahoma"/>
            <family val="2"/>
          </rPr>
          <t xml:space="preserve">
cell opens for user input if column 01 "Include straw bale Wall in Area Weighted Calculation per?" is checked, otherwise grey out.</t>
        </r>
      </text>
    </comment>
    <comment ref="I292" authorId="0" shapeId="0" xr:uid="{00000000-0006-0000-0A00-000065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99" authorId="0" shapeId="0" xr:uid="{00000000-0006-0000-0A00-000067000000}">
      <text>
        <r>
          <rPr>
            <sz val="9"/>
            <color indexed="81"/>
            <rFont val="Tahoma"/>
            <family val="2"/>
          </rPr>
          <t>If "Approved Software" or "Other per JA4.1.2.1" are selected, Table D note in Row 20 triggers.  If they reselct JA4 Tables, note in D untriggers.</t>
        </r>
      </text>
    </comment>
    <comment ref="I312" authorId="0" shapeId="0" xr:uid="{00000000-0006-0000-0A00-00006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314" authorId="0" shapeId="0" xr:uid="{00000000-0006-0000-0A00-00006A000000}">
      <text>
        <r>
          <rPr>
            <sz val="9"/>
            <color indexed="81"/>
            <rFont val="Tahoma"/>
            <family val="2"/>
          </rPr>
          <t>Column 04 determines if Columns 08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314" authorId="0" shapeId="0" xr:uid="{00000000-0006-0000-0A00-00006B000000}">
      <text>
        <r>
          <rPr>
            <b/>
            <sz val="9"/>
            <color rgb="FF000000"/>
            <rFont val="Tahoma"/>
            <family val="2"/>
          </rPr>
          <t>Sally Blair:</t>
        </r>
        <r>
          <rPr>
            <sz val="9"/>
            <color rgb="FF000000"/>
            <rFont val="Tahoma"/>
            <family val="2"/>
          </rPr>
          <t xml:space="preserve">
</t>
        </r>
        <r>
          <rPr>
            <sz val="9"/>
            <color rgb="FF000000"/>
            <rFont val="Tahoma"/>
            <family val="2"/>
          </rPr>
          <t xml:space="preserve">Ben, the value here comes from the Tables in Section 140.3.  Which table to use depends on the occupancy type from column 03:
</t>
        </r>
        <r>
          <rPr>
            <sz val="9"/>
            <color rgb="FF000000"/>
            <rFont val="Tahoma"/>
            <family val="2"/>
          </rPr>
          <t>Nonresidential &amp; Relocatables = Table 140.3-B</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170.2-A
</t>
        </r>
        <r>
          <rPr>
            <sz val="9"/>
            <color rgb="FF000000"/>
            <rFont val="Tahoma"/>
            <family val="2"/>
          </rPr>
          <t xml:space="preserve">
</t>
        </r>
        <r>
          <rPr>
            <sz val="9"/>
            <color rgb="FF000000"/>
            <rFont val="Tahoma"/>
            <family val="2"/>
          </rPr>
          <t xml:space="preserve">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sz val="9"/>
            <color rgb="FF000000"/>
            <rFont val="Tahoma"/>
            <family val="2"/>
          </rPr>
          <t xml:space="preserve">
</t>
        </r>
        <r>
          <rPr>
            <sz val="9"/>
            <color rgb="FF000000"/>
            <rFont val="Tahoma"/>
            <family val="2"/>
          </rPr>
          <t xml:space="preserve">These U-factors will be either:
</t>
        </r>
        <r>
          <rPr>
            <sz val="9"/>
            <color rgb="FF000000"/>
            <rFont val="Tahoma"/>
            <family val="2"/>
          </rPr>
          <t xml:space="preserve">Light = 7.0 &lt; heat capacity &lt; 15.0
</t>
        </r>
        <r>
          <rPr>
            <sz val="9"/>
            <color rgb="FF000000"/>
            <rFont val="Tahoma"/>
            <family val="2"/>
          </rPr>
          <t xml:space="preserve">Heavy = heat capacity &gt; 15.0
</t>
        </r>
        <r>
          <rPr>
            <sz val="9"/>
            <color rgb="FF000000"/>
            <rFont val="Tahoma"/>
            <family val="2"/>
          </rPr>
          <t xml:space="preserve">Use "Mass, Light" or "Mass,Heavy" from Table 140.3, depending on HC
</t>
        </r>
      </text>
    </comment>
    <comment ref="J314" authorId="0" shapeId="0" xr:uid="{00000000-0006-0000-0A00-00006C000000}">
      <text>
        <r>
          <rPr>
            <b/>
            <sz val="9"/>
            <color indexed="81"/>
            <rFont val="Tahoma"/>
            <family val="2"/>
          </rPr>
          <t>Sally Blair:</t>
        </r>
        <r>
          <rPr>
            <sz val="9"/>
            <color indexed="81"/>
            <rFont val="Tahoma"/>
            <family val="2"/>
          </rPr>
          <t xml:space="preserve">
Ben, this is from Table 4.3.13 in JA4.
</t>
        </r>
      </text>
    </comment>
    <comment ref="K314" authorId="0" shapeId="0" xr:uid="{00000000-0006-0000-0A00-00006D000000}">
      <text>
        <r>
          <rPr>
            <b/>
            <sz val="9"/>
            <color indexed="81"/>
            <rFont val="Tahoma"/>
            <family val="2"/>
          </rPr>
          <t>Sally Blair:</t>
        </r>
        <r>
          <rPr>
            <sz val="9"/>
            <color indexed="81"/>
            <rFont val="Tahoma"/>
            <family val="2"/>
          </rPr>
          <t xml:space="preserve">
Ben, this is open for user entry if column 01 is checked.
Otherwise, grey out.</t>
        </r>
      </text>
    </comment>
    <comment ref="A318" authorId="0" shapeId="0" xr:uid="{00000000-0006-0000-0A00-00006E000000}">
      <text>
        <r>
          <rPr>
            <b/>
            <sz val="9"/>
            <color indexed="81"/>
            <rFont val="Tahoma"/>
            <family val="2"/>
          </rPr>
          <t>2019 Update:</t>
        </r>
        <r>
          <rPr>
            <sz val="9"/>
            <color indexed="81"/>
            <rFont val="Tahoma"/>
            <family val="2"/>
          </rPr>
          <t xml:space="preserve">
Added footnote 3</t>
        </r>
      </text>
    </comment>
    <comment ref="E321" authorId="0" shapeId="0" xr:uid="{00000000-0006-0000-0A00-00006F000000}">
      <text>
        <r>
          <rPr>
            <b/>
            <sz val="9"/>
            <color indexed="81"/>
            <rFont val="Tahoma"/>
            <family val="2"/>
          </rPr>
          <t>Sally Blair:</t>
        </r>
        <r>
          <rPr>
            <sz val="9"/>
            <color indexed="81"/>
            <rFont val="Tahoma"/>
            <family val="2"/>
          </rPr>
          <t xml:space="preserve">
Dropdown if "flat"
selected in 05.</t>
        </r>
      </text>
    </comment>
    <comment ref="G321" authorId="0" shapeId="0" xr:uid="{00000000-0006-0000-0A00-000070000000}">
      <text>
        <r>
          <rPr>
            <b/>
            <sz val="9"/>
            <color indexed="81"/>
            <rFont val="Tahoma"/>
            <family val="2"/>
          </rPr>
          <t>Sally Blair:</t>
        </r>
        <r>
          <rPr>
            <sz val="9"/>
            <color indexed="81"/>
            <rFont val="Tahoma"/>
            <family val="2"/>
          </rPr>
          <t xml:space="preserve">
Dropdown if "EPS"
selected in 07.</t>
        </r>
      </text>
    </comment>
    <comment ref="C322" authorId="0" shapeId="0" xr:uid="{00000000-0006-0000-0A00-000071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E327" authorId="0" shapeId="0" xr:uid="{00000000-0006-0000-0A00-000073000000}">
      <text>
        <r>
          <rPr>
            <b/>
            <sz val="9"/>
            <color indexed="81"/>
            <rFont val="Tahoma"/>
            <family val="2"/>
          </rPr>
          <t>Sally Blair:</t>
        </r>
        <r>
          <rPr>
            <sz val="9"/>
            <color indexed="81"/>
            <rFont val="Tahoma"/>
            <family val="2"/>
          </rPr>
          <t xml:space="preserve">
Dropdown if "waffle"
selected in 05.</t>
        </r>
      </text>
    </comment>
    <comment ref="E330" authorId="0" shapeId="0" xr:uid="{00000000-0006-0000-0A00-000074000000}">
      <text>
        <r>
          <rPr>
            <b/>
            <sz val="9"/>
            <color indexed="81"/>
            <rFont val="Tahoma"/>
            <family val="2"/>
          </rPr>
          <t>Sally Blair:</t>
        </r>
        <r>
          <rPr>
            <sz val="9"/>
            <color indexed="81"/>
            <rFont val="Tahoma"/>
            <family val="2"/>
          </rPr>
          <t xml:space="preserve">
Dropdown if "screen"
selected in 05.</t>
        </r>
      </text>
    </comment>
    <comment ref="G330" authorId="0" shapeId="0" xr:uid="{00000000-0006-0000-0A00-000075000000}">
      <text>
        <r>
          <rPr>
            <b/>
            <sz val="9"/>
            <color indexed="81"/>
            <rFont val="Tahoma"/>
            <family val="2"/>
          </rPr>
          <t>Sally Blair:</t>
        </r>
        <r>
          <rPr>
            <sz val="9"/>
            <color indexed="81"/>
            <rFont val="Tahoma"/>
            <family val="2"/>
          </rPr>
          <t xml:space="preserve">
Dropdown if "XPS"
selected in 07.</t>
        </r>
      </text>
    </comment>
    <comment ref="G338" authorId="0" shapeId="0" xr:uid="{00000000-0006-0000-0A00-000076000000}">
      <text>
        <r>
          <rPr>
            <b/>
            <sz val="9"/>
            <color indexed="81"/>
            <rFont val="Tahoma"/>
            <family val="2"/>
          </rPr>
          <t>Sally Blair:</t>
        </r>
        <r>
          <rPr>
            <sz val="9"/>
            <color indexed="81"/>
            <rFont val="Tahoma"/>
            <family val="2"/>
          </rPr>
          <t xml:space="preserve">
Dropdown if "Polyurethane"
selected in 07.</t>
        </r>
      </text>
    </comment>
    <comment ref="G342" authorId="0" shapeId="0" xr:uid="{00000000-0006-0000-0A00-000077000000}">
      <text>
        <r>
          <rPr>
            <b/>
            <sz val="9"/>
            <color indexed="81"/>
            <rFont val="Tahoma"/>
            <family val="2"/>
          </rPr>
          <t>Sally Blair:</t>
        </r>
        <r>
          <rPr>
            <sz val="9"/>
            <color indexed="81"/>
            <rFont val="Tahoma"/>
            <family val="2"/>
          </rPr>
          <t xml:space="preserve">
Dropdown if "Cement/ EPS Compound"
selected in 07.</t>
        </r>
      </text>
    </comment>
    <comment ref="A352" authorId="0" shapeId="0" xr:uid="{00000000-0006-0000-0A00-000078000000}">
      <text>
        <r>
          <rPr>
            <b/>
            <sz val="9"/>
            <color indexed="81"/>
            <rFont val="Tahoma"/>
            <family val="2"/>
          </rPr>
          <t>Sally Blair:</t>
        </r>
        <r>
          <rPr>
            <sz val="9"/>
            <color indexed="81"/>
            <rFont val="Tahoma"/>
            <family val="2"/>
          </rPr>
          <t xml:space="preserve">
Ben, this section is triggered if column 01 "Calculate Area Weighted Average for Framed Walls…." is selected above in the Framed Walls Subtable</t>
        </r>
      </text>
    </comment>
    <comment ref="E356" authorId="0" shapeId="0" xr:uid="{00000000-0006-0000-0A00-000079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Otherwise, says "DOES NOT COMPLY"</t>
        </r>
      </text>
    </comment>
    <comment ref="A358" authorId="0" shapeId="0" xr:uid="{00000000-0006-0000-0A00-00007A000000}">
      <text>
        <r>
          <rPr>
            <b/>
            <sz val="9"/>
            <color indexed="81"/>
            <rFont val="Tahoma"/>
            <family val="2"/>
          </rPr>
          <t>Sally Blair:</t>
        </r>
        <r>
          <rPr>
            <sz val="9"/>
            <color indexed="81"/>
            <rFont val="Tahoma"/>
            <family val="2"/>
          </rPr>
          <t xml:space="preserve">
 this section is triggered if column 01 "Include X Wall in Area Weighted Calc…." are selected above in ANY of the following subtables:
- Mass Walls
- Concrete Sandwich Panel
- ICF
- Log
</t>
        </r>
        <r>
          <rPr>
            <b/>
            <sz val="9"/>
            <color indexed="81"/>
            <rFont val="Tahoma"/>
            <family val="2"/>
          </rPr>
          <t xml:space="preserve">
  </t>
        </r>
      </text>
    </comment>
    <comment ref="C362" authorId="0" shapeId="0" xr:uid="{00000000-0006-0000-0A00-00007B000000}">
      <text>
        <r>
          <rPr>
            <b/>
            <sz val="9"/>
            <color indexed="81"/>
            <rFont val="Tahoma"/>
            <family val="2"/>
          </rPr>
          <t>Sally Blair:</t>
        </r>
        <r>
          <rPr>
            <sz val="9"/>
            <color indexed="81"/>
            <rFont val="Tahoma"/>
            <family val="2"/>
          </rPr>
          <t xml:space="preserve">
Light Mass walls depend on Heat Capacity in Mass subtable</t>
        </r>
      </text>
    </comment>
    <comment ref="F362" authorId="0" shapeId="0" xr:uid="{00000000-0006-0000-0A00-00007C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C363" authorId="0" shapeId="0" xr:uid="{00000000-0006-0000-0A00-00007D000000}">
      <text>
        <r>
          <rPr>
            <b/>
            <sz val="9"/>
            <color indexed="81"/>
            <rFont val="Tahoma"/>
            <family val="2"/>
          </rPr>
          <t>Sally Blair:</t>
        </r>
        <r>
          <rPr>
            <sz val="9"/>
            <color indexed="81"/>
            <rFont val="Tahoma"/>
            <family val="2"/>
          </rPr>
          <t xml:space="preserve">
Heavy Mass walls depend on Heat Capacity in Mass subtable</t>
        </r>
      </text>
    </comment>
    <comment ref="F363" authorId="0" shapeId="0" xr:uid="{00000000-0006-0000-0A00-00007E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A373" authorId="0" shapeId="0" xr:uid="{00000000-0006-0000-0A00-00007F000000}">
      <text>
        <r>
          <rPr>
            <b/>
            <sz val="9"/>
            <color indexed="81"/>
            <rFont val="Tahoma"/>
            <family val="2"/>
          </rPr>
          <t>Sally Blair:</t>
        </r>
        <r>
          <rPr>
            <sz val="9"/>
            <color indexed="81"/>
            <rFont val="Tahoma"/>
            <family val="2"/>
          </rPr>
          <t xml:space="preserve">
Ben, this section is triggered if column 01 "Include X Wall in Area Weighted Calc…." are selected above in ANY of the following subtables:
- Framed (wood)
- SIPs
- Spandrel &amp; Curtain Wall
- Metal Panel
- Straw Bale</t>
        </r>
      </text>
    </comment>
    <comment ref="C378" authorId="0" shapeId="0" xr:uid="{00000000-0006-0000-0A00-000080000000}">
      <text>
        <r>
          <rPr>
            <b/>
            <sz val="9"/>
            <color indexed="81"/>
            <rFont val="Tahoma"/>
            <family val="2"/>
          </rPr>
          <t>2019 Update:</t>
        </r>
        <r>
          <rPr>
            <sz val="9"/>
            <color indexed="81"/>
            <rFont val="Tahoma"/>
            <family val="2"/>
          </rPr>
          <t xml:space="preserve">
Need to make sure this is correctly area weighting per comments/ example in AWA table for floor assemblies &amp; not just summing these columns.</t>
        </r>
      </text>
    </comment>
    <comment ref="E378" authorId="0" shapeId="0" xr:uid="{00000000-0006-0000-0A00-000081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for all wall types.
Otherwise, says "DOES NOT COMPLY"</t>
        </r>
      </text>
    </comment>
    <comment ref="A381" authorId="0" shapeId="0" xr:uid="{00000000-0006-0000-0A00-000082000000}">
      <text>
        <r>
          <rPr>
            <b/>
            <sz val="9"/>
            <color indexed="81"/>
            <rFont val="Tahoma"/>
            <family val="2"/>
          </rPr>
          <t>Sally Blair:</t>
        </r>
        <r>
          <rPr>
            <sz val="9"/>
            <color indexed="81"/>
            <rFont val="Tahoma"/>
            <family val="2"/>
          </rPr>
          <t xml:space="preserve">
Ben, this section is triggered if column 01 "Calculate Area Weighted Average for Metal Building Walls…." is selected above in the Metal Building Walls Subtable</t>
        </r>
      </text>
    </comment>
    <comment ref="E385" authorId="0" shapeId="0" xr:uid="{00000000-0006-0000-0A00-000083000000}">
      <text>
        <r>
          <rPr>
            <b/>
            <sz val="9"/>
            <color indexed="81"/>
            <rFont val="Tahoma"/>
            <family val="2"/>
          </rPr>
          <t>Sally Blair:</t>
        </r>
        <r>
          <rPr>
            <sz val="9"/>
            <color indexed="81"/>
            <rFont val="Tahoma"/>
            <family val="2"/>
          </rPr>
          <t xml:space="preserve">
Says "COMPLIES" if column 03 &gt; column 04.
Otherwise, says "DOES NOT COMPLY"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F5" authorId="0" shapeId="0" xr:uid="{00000000-0006-0000-0B00-000001000000}">
      <text>
        <r>
          <rPr>
            <b/>
            <sz val="9"/>
            <color rgb="FF000000"/>
            <rFont val="Tahoma"/>
            <family val="2"/>
          </rPr>
          <t>Sally Blair:</t>
        </r>
        <r>
          <rPr>
            <sz val="9"/>
            <color rgb="FF000000"/>
            <rFont val="Tahoma"/>
            <family val="2"/>
          </rPr>
          <t xml:space="preserve">
</t>
        </r>
        <r>
          <rPr>
            <sz val="9"/>
            <color rgb="FF000000"/>
            <rFont val="Tahoma"/>
            <family val="2"/>
          </rPr>
          <t>These selections expand appropriate sub section of Table I.</t>
        </r>
      </text>
    </comment>
    <comment ref="K5" authorId="0" shapeId="0" xr:uid="{5C3CF814-9F3F-4FD0-B66D-DB6A28956A39}">
      <text>
        <r>
          <rPr>
            <sz val="9"/>
            <color indexed="10"/>
            <rFont val="Tahoma"/>
            <family val="2"/>
          </rPr>
          <t>If selected and A03 = 16 AND A04 = Multifamily (LR or HR), then trigger "Multifamily Slab-on-Grade Floors (new floors in Climate Zone 16 only)" subtable.
Else
If selected, trigger note in Row 7</t>
        </r>
      </text>
    </comment>
    <comment ref="C11" authorId="0" shapeId="0" xr:uid="{00000000-0006-0000-0B00-000003000000}">
      <text>
        <r>
          <rPr>
            <b/>
            <sz val="9"/>
            <color rgb="FF000000"/>
            <rFont val="Tahoma"/>
            <family val="2"/>
          </rPr>
          <t>Sally Blair:</t>
        </r>
        <r>
          <rPr>
            <sz val="9"/>
            <color rgb="FF000000"/>
            <rFont val="Tahoma"/>
            <family val="2"/>
          </rPr>
          <t xml:space="preserve">
</t>
        </r>
        <r>
          <rPr>
            <sz val="9"/>
            <color rgb="FF000000"/>
            <rFont val="Tahoma"/>
            <family val="2"/>
          </rPr>
          <t>Ben, columns 04-06, 08, 11 &amp; 12 grey out if "R-value" is selected in column 09.</t>
        </r>
      </text>
    </comment>
    <comment ref="C13" authorId="0" shapeId="0" xr:uid="{00000000-0006-0000-0B00-000004000000}">
      <text>
        <r>
          <rPr>
            <sz val="9"/>
            <color rgb="FF000000"/>
            <rFont val="Tahoma"/>
            <family val="2"/>
          </rPr>
          <t>Column 04 determines if Columns 06 through 08 &amp; 11 use the pull downs (upper row) or the user input (lower row) for assembly information. "Approved software" OR "Other per.." = user inputs &amp; "JA4 tables" = pull downs. The other row will grey out when 04 is selected.</t>
        </r>
      </text>
    </comment>
    <comment ref="H13" authorId="0" shapeId="0" xr:uid="{00000000-0006-0000-0B00-000005000000}">
      <text>
        <r>
          <rPr>
            <sz val="9"/>
            <color rgb="FF000000"/>
            <rFont val="Tahoma"/>
            <family val="2"/>
          </rPr>
          <t xml:space="preserve">Ben, this is only a dropdown under the following two conditions:
</t>
        </r>
        <r>
          <rPr>
            <sz val="9"/>
            <color rgb="FF000000"/>
            <rFont val="Tahoma"/>
            <family val="2"/>
          </rPr>
          <t xml:space="preserve">- if column 03 is "Any Occupancy: Altered" AND column 01 "Include Framed Floors in Area-weighted…" is NOT checked.  OR
</t>
        </r>
        <r>
          <rPr>
            <sz val="9"/>
            <color rgb="FF000000"/>
            <rFont val="Tahoma"/>
            <family val="2"/>
          </rPr>
          <t xml:space="preserve">- If col 03 is "Multifamily: New" and col 06 is any of the wood options.
</t>
        </r>
        <r>
          <rPr>
            <sz val="9"/>
            <color rgb="FF000000"/>
            <rFont val="Tahoma"/>
            <family val="2"/>
          </rPr>
          <t xml:space="preserve">
</t>
        </r>
        <r>
          <rPr>
            <sz val="9"/>
            <color rgb="FF000000"/>
            <rFont val="Tahoma"/>
            <family val="2"/>
          </rPr>
          <t>Otherwise, it auto-selects U-factor and is not editable by the user.</t>
        </r>
      </text>
    </comment>
    <comment ref="I13" authorId="0" shapeId="0" xr:uid="{00000000-0006-0000-0B00-000006000000}">
      <text>
        <r>
          <rPr>
            <sz val="9"/>
            <color rgb="FF000000"/>
            <rFont val="Tahoma"/>
            <family val="2"/>
          </rPr>
          <t xml:space="preserve">For "New" floors (column 03), this value comes from the Tables in Section 140.3.  Which table to use depends on the occupancy type from column 03: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"Other" for metal framed)
</t>
        </r>
        <r>
          <rPr>
            <sz val="9"/>
            <color rgb="FF000000"/>
            <rFont val="Tahoma"/>
            <family val="2"/>
          </rPr>
          <t xml:space="preserve">
</t>
        </r>
        <r>
          <rPr>
            <sz val="9"/>
            <color rgb="FF000000"/>
            <rFont val="Tahoma"/>
            <family val="2"/>
          </rPr>
          <t xml:space="preserve">Use "Other" category.
</t>
        </r>
        <r>
          <rPr>
            <sz val="9"/>
            <color rgb="FF000000"/>
            <rFont val="Tahoma"/>
            <family val="2"/>
          </rPr>
          <t xml:space="preserve">
</t>
        </r>
        <r>
          <rPr>
            <sz val="9"/>
            <color rgb="FF000000"/>
            <rFont val="Tahoma"/>
            <family val="2"/>
          </rPr>
          <t xml:space="preserve">For "Any Occupancy: Altered" floors  (selected in Table B column 01), the requirement is:
</t>
        </r>
        <r>
          <rPr>
            <sz val="9"/>
            <color rgb="FF000000"/>
            <rFont val="Tahoma"/>
            <family val="2"/>
          </rPr>
          <t xml:space="preserve">R-11 (if "R-value" chosen in column 09) OR
</t>
        </r>
        <r>
          <rPr>
            <sz val="9"/>
            <color rgb="FF000000"/>
            <rFont val="Tahoma"/>
            <family val="2"/>
          </rPr>
          <t xml:space="preserve">U-factor 0.071 (if "U-factor" chosen in column 09) 
</t>
        </r>
        <r>
          <rPr>
            <sz val="9"/>
            <color rgb="FF000000"/>
            <rFont val="Tahoma"/>
            <family val="2"/>
          </rPr>
          <t>Alt requirements the same for Multifamily.</t>
        </r>
      </text>
    </comment>
    <comment ref="K13" authorId="0" shapeId="0" xr:uid="{00000000-0006-0000-0B00-000007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04 is"JA4 Tables", but greyed out if it is "Approved Software" OR "Other per JA4...".
</t>
        </r>
        <r>
          <rPr>
            <sz val="9"/>
            <color rgb="FF000000"/>
            <rFont val="Tahoma"/>
            <family val="2"/>
          </rPr>
          <t xml:space="preserve">Correct table in JA4 for look up value depends on the selection in 05/06:
</t>
        </r>
        <r>
          <rPr>
            <sz val="9"/>
            <color rgb="FF000000"/>
            <rFont val="Tahoma"/>
            <family val="2"/>
          </rPr>
          <t xml:space="preserve">Crawlspace/ Metal = Table 4.4.4
</t>
        </r>
        <r>
          <rPr>
            <sz val="9"/>
            <color rgb="FF000000"/>
            <rFont val="Tahoma"/>
            <family val="2"/>
          </rPr>
          <t xml:space="preserve">No Crawlspace/ Metal = Table 4.4.5
</t>
        </r>
        <r>
          <rPr>
            <sz val="9"/>
            <color rgb="FF000000"/>
            <rFont val="Tahoma"/>
            <family val="2"/>
          </rPr>
          <t xml:space="preserve">Crawlspace/ Wood  = Table 4.4.1
</t>
        </r>
        <r>
          <rPr>
            <sz val="9"/>
            <color rgb="FF000000"/>
            <rFont val="Tahoma"/>
            <family val="2"/>
          </rPr>
          <t xml:space="preserve">No Crawlspace/ Wood = Table 4.4.2
</t>
        </r>
      </text>
    </comment>
    <comment ref="L13" authorId="0" shapeId="0" xr:uid="{00000000-0006-0000-0B00-000008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Framed Floor in Area Weighted Calculation" is checked, otherwise grey out.</t>
        </r>
      </text>
    </comment>
    <comment ref="K14" authorId="0" shapeId="0" xr:uid="{00000000-0006-0000-0B00-000009000000}">
      <text>
        <r>
          <rPr>
            <sz val="9"/>
            <color rgb="FF000000"/>
            <rFont val="Tahoma"/>
            <family val="2"/>
          </rPr>
          <t xml:space="preserve">Sally Blair:
</t>
        </r>
        <r>
          <rPr>
            <sz val="9"/>
            <color rgb="FF000000"/>
            <rFont val="Tahoma"/>
            <family val="2"/>
          </rPr>
          <t>Cell will be open for user entry if Column 04 is "Approved Software" OR "Other per JA4...", but greyed out if it is " JA4 Tables".</t>
        </r>
      </text>
    </comment>
    <comment ref="D18" authorId="1" shapeId="0" xr:uid="{D45EBA27-34D7-4B7C-8FE1-5BABCDCCADD8}">
      <text>
        <r>
          <rPr>
            <b/>
            <sz val="9"/>
            <color indexed="10"/>
            <rFont val="Tahoma"/>
            <family val="2"/>
          </rPr>
          <t xml:space="preserve">Alexis Markstrum:
</t>
        </r>
        <r>
          <rPr>
            <sz val="9"/>
            <color indexed="10"/>
            <rFont val="Tahoma"/>
            <family val="2"/>
          </rPr>
          <t xml:space="preserve">
Show this field (for all the subtables) at the bottom of the subtable, not every row</t>
        </r>
      </text>
    </comment>
    <comment ref="F20" authorId="0" shapeId="0" xr:uid="{00000000-0006-0000-0B00-00000B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t>
        </r>
        <r>
          <rPr>
            <sz val="9"/>
            <color rgb="FF000000"/>
            <rFont val="Tahoma"/>
            <family val="2"/>
          </rPr>
          <t xml:space="preserve">- Metal 24" OC
</t>
        </r>
        <r>
          <rPr>
            <sz val="9"/>
            <color rgb="FF000000"/>
            <rFont val="Tahoma"/>
            <family val="2"/>
          </rPr>
          <t xml:space="preserve">- Wood 16" OC
</t>
        </r>
        <r>
          <rPr>
            <sz val="9"/>
            <color rgb="FF000000"/>
            <rFont val="Tahoma"/>
            <family val="2"/>
          </rPr>
          <t>- Wood 24" OC</t>
        </r>
      </text>
    </comment>
    <comment ref="C21" authorId="0" shapeId="0" xr:uid="{00000000-0006-0000-0B00-00000C000000}">
      <text>
        <r>
          <rPr>
            <sz val="9"/>
            <color rgb="FF000000"/>
            <rFont val="Tahoma"/>
            <family val="2"/>
          </rPr>
          <t>If "Approved Software" or "Other per JA4.1.2.1" are selected, Table D note in Row 20 triggers.  If they reselct JA4 Tables, note in D untriggers.</t>
        </r>
      </text>
    </comment>
    <comment ref="F22" authorId="0" shapeId="0" xr:uid="{00000000-0006-0000-0B00-00000D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2x6
</t>
        </r>
        <r>
          <rPr>
            <sz val="9"/>
            <color rgb="FF000000"/>
            <rFont val="Tahoma"/>
            <family val="2"/>
          </rPr>
          <t xml:space="preserve">- Metal 24" OC &amp; 2x6
</t>
        </r>
        <r>
          <rPr>
            <sz val="9"/>
            <color rgb="FF000000"/>
            <rFont val="Tahoma"/>
            <family val="2"/>
          </rPr>
          <t xml:space="preserve">- Wood 16" OC &amp; 2x6
</t>
        </r>
        <r>
          <rPr>
            <sz val="9"/>
            <color rgb="FF000000"/>
            <rFont val="Tahoma"/>
            <family val="2"/>
          </rPr>
          <t>- Wood 24" OC &amp; 2x6</t>
        </r>
      </text>
    </comment>
    <comment ref="F26" authorId="0" shapeId="0" xr:uid="{00000000-0006-0000-0B00-00000E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2x8
</t>
        </r>
        <r>
          <rPr>
            <sz val="9"/>
            <color rgb="FF000000"/>
            <rFont val="Tahoma"/>
            <family val="2"/>
          </rPr>
          <t xml:space="preserve">- Metal 24" OC &amp; 2x8
</t>
        </r>
        <r>
          <rPr>
            <sz val="9"/>
            <color rgb="FF000000"/>
            <rFont val="Tahoma"/>
            <family val="2"/>
          </rPr>
          <t xml:space="preserve">- Wood 16" OC &amp; 2x8
</t>
        </r>
        <r>
          <rPr>
            <sz val="9"/>
            <color rgb="FF000000"/>
            <rFont val="Tahoma"/>
            <family val="2"/>
          </rPr>
          <t>- Wood 24" OC &amp; 2x8</t>
        </r>
      </text>
    </comment>
    <comment ref="F29" authorId="0" shapeId="0" xr:uid="{00000000-0006-0000-0B00-00000F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Wood 16" OC &amp; 2x10
</t>
        </r>
        <r>
          <rPr>
            <sz val="9"/>
            <color rgb="FF000000"/>
            <rFont val="Tahoma"/>
            <family val="2"/>
          </rPr>
          <t>- Wood 24" OC &amp; 2x10</t>
        </r>
      </text>
    </comment>
    <comment ref="F32" authorId="0" shapeId="0" xr:uid="{00000000-0006-0000-0B00-000010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2x10
</t>
        </r>
        <r>
          <rPr>
            <sz val="9"/>
            <color rgb="FF000000"/>
            <rFont val="Tahoma"/>
            <family val="2"/>
          </rPr>
          <t>- Metal 24" OC &amp; 2x10</t>
        </r>
      </text>
    </comment>
    <comment ref="F34" authorId="0" shapeId="0" xr:uid="{00000000-0006-0000-0B00-000011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2x12
</t>
        </r>
        <r>
          <rPr>
            <sz val="9"/>
            <color rgb="FF000000"/>
            <rFont val="Tahoma"/>
            <family val="2"/>
          </rPr>
          <t xml:space="preserve">- Metal 24" OC &amp; 2x12
</t>
        </r>
        <r>
          <rPr>
            <sz val="9"/>
            <color rgb="FF000000"/>
            <rFont val="Tahoma"/>
            <family val="2"/>
          </rPr>
          <t xml:space="preserve">- Wood 16" OC &amp; 2x12
</t>
        </r>
        <r>
          <rPr>
            <sz val="9"/>
            <color rgb="FF000000"/>
            <rFont val="Tahoma"/>
            <family val="2"/>
          </rPr>
          <t>- Wood 24" OC &amp; 2x12</t>
        </r>
      </text>
    </comment>
    <comment ref="C50" authorId="0" shapeId="0" xr:uid="{00000000-0006-0000-0B00-000012000000}">
      <text>
        <r>
          <rPr>
            <sz val="9"/>
            <color rgb="FF000000"/>
            <rFont val="Tahoma"/>
            <family val="2"/>
          </rPr>
          <t>Column 04 determines if Columns 06 through 09 &amp; 11 use the pull downs (upper row) or the user input (lower row) for assembly information. "Approved software" OR "Other per.." = user inputs &amp; "JA4 tables" = pull downs. The other row will grey out when 04 is selected.</t>
        </r>
      </text>
    </comment>
    <comment ref="I50" authorId="0" shapeId="0" xr:uid="{00000000-0006-0000-0B00-000013000000}">
      <text>
        <r>
          <rPr>
            <sz val="9"/>
            <color rgb="FF000000"/>
            <rFont val="Tahoma"/>
            <family val="2"/>
          </rPr>
          <t xml:space="preserve">Ben, this value comes from the Tables in Section 140.3.  Which table to use depends on the occupancy type from column 03: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Use "Other" category.</t>
        </r>
      </text>
    </comment>
    <comment ref="K50" authorId="0" shapeId="0" xr:uid="{00000000-0006-0000-0B00-000014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04 is"JA4 Tables", but greyed out if it is "Approved Software" OR "Other per JA4...".
</t>
        </r>
        <r>
          <rPr>
            <sz val="9"/>
            <color rgb="FF000000"/>
            <rFont val="Tahoma"/>
            <family val="2"/>
          </rPr>
          <t xml:space="preserve">Use Table 4.4.3 in JA4 for look up value.
</t>
        </r>
        <r>
          <rPr>
            <sz val="9"/>
            <color rgb="FF000000"/>
            <rFont val="Tahoma"/>
            <family val="2"/>
          </rPr>
          <t xml:space="preserve">
</t>
        </r>
      </text>
    </comment>
    <comment ref="L50" authorId="0" shapeId="0" xr:uid="{00000000-0006-0000-0B00-000015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SIPs Floor in Area Weighted Calculation" is checked, otherwise grey out.</t>
        </r>
      </text>
    </comment>
    <comment ref="K51" authorId="0" shapeId="0" xr:uid="{00000000-0006-0000-0B00-000016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04 is "Approved Software" OR "Other per JA4...", but greyed out if it is " JA4 Tables".</t>
        </r>
      </text>
    </comment>
    <comment ref="G56" authorId="0" shapeId="0" xr:uid="{00000000-0006-0000-0B00-000018000000}">
      <text>
        <r>
          <rPr>
            <sz val="9"/>
            <color rgb="FF000000"/>
            <rFont val="Tahoma"/>
            <family val="2"/>
          </rPr>
          <t xml:space="preserve">Sally Blair:
</t>
        </r>
        <r>
          <rPr>
            <sz val="9"/>
            <color rgb="FF000000"/>
            <rFont val="Tahoma"/>
            <family val="2"/>
          </rPr>
          <t>Dropdown based on 07 selection.  Custom for: 6.5"</t>
        </r>
      </text>
    </comment>
    <comment ref="C57" authorId="0" shapeId="0" xr:uid="{00000000-0006-0000-0B00-000019000000}">
      <text>
        <r>
          <rPr>
            <sz val="9"/>
            <color rgb="FF000000"/>
            <rFont val="Tahoma"/>
            <family val="2"/>
          </rPr>
          <t>If "Approved Software" or "Other per JA4.1.2.1" are selected, Table D note in Row 20 triggers.  If they reselct JA4 Tables, note in D untriggers.</t>
        </r>
      </text>
    </comment>
    <comment ref="G59" authorId="0" shapeId="0" xr:uid="{00000000-0006-0000-0B00-00001A000000}">
      <text>
        <r>
          <rPr>
            <sz val="9"/>
            <color rgb="FF000000"/>
            <rFont val="Tahoma"/>
            <family val="2"/>
          </rPr>
          <t xml:space="preserve">Sally Blair:
</t>
        </r>
        <r>
          <rPr>
            <sz val="9"/>
            <color rgb="FF000000"/>
            <rFont val="Tahoma"/>
            <family val="2"/>
          </rPr>
          <t>Dropdown based on 07 selection.  Custom for: 8.25"</t>
        </r>
      </text>
    </comment>
    <comment ref="G61" authorId="0" shapeId="0" xr:uid="{00000000-0006-0000-0B00-00001B000000}">
      <text>
        <r>
          <rPr>
            <sz val="9"/>
            <color rgb="FF000000"/>
            <rFont val="Tahoma"/>
            <family val="2"/>
          </rPr>
          <t xml:space="preserve">Sally Blair:
</t>
        </r>
        <r>
          <rPr>
            <sz val="9"/>
            <color rgb="FF000000"/>
            <rFont val="Tahoma"/>
            <family val="2"/>
          </rPr>
          <t>Dropdown based on 07 selection.  Custom for: 10.25"</t>
        </r>
      </text>
    </comment>
    <comment ref="D72" authorId="0" shapeId="0" xr:uid="{00000000-0006-0000-0B00-00001C000000}">
      <text>
        <r>
          <rPr>
            <b/>
            <sz val="9"/>
            <color rgb="FF000000"/>
            <rFont val="Tahoma"/>
            <family val="2"/>
          </rPr>
          <t>Sally Blair:</t>
        </r>
        <r>
          <rPr>
            <sz val="9"/>
            <color rgb="FF000000"/>
            <rFont val="Tahoma"/>
            <family val="2"/>
          </rPr>
          <t xml:space="preserve">
</t>
        </r>
        <r>
          <rPr>
            <sz val="9"/>
            <color rgb="FF000000"/>
            <rFont val="Tahoma"/>
            <family val="2"/>
          </rPr>
          <t xml:space="preserve">Ben, columns 05-06 &amp; 10&amp;11 grey out if "R-value" is selected in column 08.
</t>
        </r>
      </text>
    </comment>
    <comment ref="D74" authorId="0" shapeId="0" xr:uid="{00000000-0006-0000-0B00-00001D000000}">
      <text>
        <r>
          <rPr>
            <sz val="9"/>
            <color rgb="FF000000"/>
            <rFont val="Tahoma"/>
            <family val="2"/>
          </rPr>
          <t xml:space="preserve">Column 05 determines if Columns 06 - 07 &amp; 10 use the pull downs (upper row) or the user input (lower row) for assembly information. "Approved software" OR "Other per.." = user inputs &amp; "JA4 tables" = pull downs. The other row will grey out when 05 is selected. </t>
        </r>
      </text>
    </comment>
    <comment ref="H74" authorId="0" shapeId="0" xr:uid="{00000000-0006-0000-0B00-00001E000000}">
      <text>
        <r>
          <rPr>
            <sz val="9"/>
            <color rgb="FF000000"/>
            <rFont val="Tahoma"/>
            <family val="2"/>
          </rPr>
          <t xml:space="preserve">Sally Blair:
</t>
        </r>
        <r>
          <rPr>
            <sz val="9"/>
            <color rgb="FF000000"/>
            <rFont val="Tahoma"/>
            <family val="2"/>
          </rPr>
          <t>Ben, this is only a dropdown if column 04 occupancy is"High-rise Res/Hotel/ Motel: Altered" AND column 01 "Calcualte Area-weighted…" is NOT checked.  Otherwise, it auto-selects U-factor and is not editable by the user.</t>
        </r>
      </text>
    </comment>
    <comment ref="I74" authorId="0" shapeId="0" xr:uid="{00000000-0006-0000-0B00-00001F000000}">
      <text>
        <r>
          <rPr>
            <sz val="9"/>
            <color rgb="FF000000"/>
            <rFont val="Tahoma"/>
            <family val="2"/>
          </rPr>
          <t xml:space="preserve">For "New" floors (column 04), this value comes from the Tables in Section 140.3.  Which table to use depends on the occupancy type from column 04: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 xml:space="preserve">Use "Raised Mass" category.
</t>
        </r>
        <r>
          <rPr>
            <sz val="9"/>
            <color rgb="FF000000"/>
            <rFont val="Tahoma"/>
            <family val="2"/>
          </rPr>
          <t xml:space="preserve">
</t>
        </r>
        <r>
          <rPr>
            <sz val="9"/>
            <color rgb="FF000000"/>
            <rFont val="Tahoma"/>
            <family val="2"/>
          </rPr>
          <t xml:space="preserve">For "Multifamily/Hotel/ Motel: Altered" (column 04) the requirement is:
</t>
        </r>
        <r>
          <rPr>
            <sz val="9"/>
            <color rgb="FF000000"/>
            <rFont val="Tahoma"/>
            <family val="2"/>
          </rPr>
          <t xml:space="preserve">R-6 (if "R-value" chosen in column 08) OR
</t>
        </r>
        <r>
          <rPr>
            <sz val="9"/>
            <color rgb="FF000000"/>
            <rFont val="Tahoma"/>
            <family val="2"/>
          </rPr>
          <t xml:space="preserve">U-factor 0.111 (if "U-factor" chosen in column 08) </t>
        </r>
      </text>
    </comment>
    <comment ref="K74" authorId="0" shapeId="0" xr:uid="{00000000-0006-0000-0B00-000020000000}">
      <text>
        <r>
          <rPr>
            <sz val="9"/>
            <color rgb="FF000000"/>
            <rFont val="Tahoma"/>
            <family val="2"/>
          </rPr>
          <t xml:space="preserve">Sally Blair:
</t>
        </r>
        <r>
          <rPr>
            <sz val="9"/>
            <color rgb="FF000000"/>
            <rFont val="Tahoma"/>
            <family val="2"/>
          </rPr>
          <t xml:space="preserve">Cell will be open for user input if Column 05 is"JA4 Tables", but greyed out if it is "Approved Software" OR "Other per JA4...".
</t>
        </r>
        <r>
          <rPr>
            <sz val="9"/>
            <color rgb="FF000000"/>
            <rFont val="Tahoma"/>
            <family val="2"/>
          </rPr>
          <t xml:space="preserve">Correct table in JA4 for look up value is Table 4.4.6
</t>
        </r>
        <r>
          <rPr>
            <sz val="9"/>
            <color rgb="FF000000"/>
            <rFont val="Tahoma"/>
            <family val="2"/>
          </rPr>
          <t xml:space="preserve">
</t>
        </r>
        <r>
          <rPr>
            <sz val="9"/>
            <color rgb="FF000000"/>
            <rFont val="Tahoma"/>
            <family val="2"/>
          </rPr>
          <t xml:space="preserve">Ben, the JA4 tables can be found here:
</t>
        </r>
        <r>
          <rPr>
            <sz val="9"/>
            <color rgb="FF000000"/>
            <rFont val="Tahoma"/>
            <family val="2"/>
          </rPr>
          <t xml:space="preserve">https://energycodeace.com/site/custom/public/reference-ace-2016/Documents/ja44floorsandslabs.htm
</t>
        </r>
      </text>
    </comment>
    <comment ref="L74" authorId="0" shapeId="0" xr:uid="{00000000-0006-0000-0B00-000021000000}">
      <text>
        <r>
          <rPr>
            <sz val="9"/>
            <color rgb="FF000000"/>
            <rFont val="Tahoma"/>
            <family val="2"/>
          </rPr>
          <t xml:space="preserve">Sally Blair:
</t>
        </r>
        <r>
          <rPr>
            <sz val="9"/>
            <color rgb="FF000000"/>
            <rFont val="Tahoma"/>
            <family val="2"/>
          </rPr>
          <t>cell opens for user input if column 01 "Calculate Area Weighted Calculation" is checked, otherwise grey out.</t>
        </r>
      </text>
    </comment>
    <comment ref="K75" authorId="0" shapeId="0" xr:uid="{00000000-0006-0000-0B00-000022000000}">
      <text>
        <r>
          <rPr>
            <sz val="9"/>
            <color rgb="FF000000"/>
            <rFont val="Tahoma"/>
            <family val="2"/>
          </rPr>
          <t xml:space="preserve">Sally Blair:
</t>
        </r>
        <r>
          <rPr>
            <sz val="9"/>
            <color rgb="FF000000"/>
            <rFont val="Tahoma"/>
            <family val="2"/>
          </rPr>
          <t>Cell will be open for user entry if Column 05 is "Approved Software" OR "Other per JA4...", but greyed out if it is " JA4 Tables".</t>
        </r>
      </text>
    </comment>
    <comment ref="D81" authorId="0" shapeId="0" xr:uid="{00000000-0006-0000-0B00-000023000000}">
      <text>
        <r>
          <rPr>
            <sz val="9"/>
            <color rgb="FF000000"/>
            <rFont val="Tahoma"/>
            <family val="2"/>
          </rPr>
          <t>If "Approved Software" or "Other per JA4.1.2.1" are selected, Table D note in Row 20 triggers.  If they reselct JA4 Tables, note in D untriggers.</t>
        </r>
      </text>
    </comment>
    <comment ref="F98" authorId="0" shapeId="0" xr:uid="{00000000-0006-0000-0B00-000025000000}">
      <text>
        <r>
          <rPr>
            <sz val="9"/>
            <color rgb="FF000000"/>
            <rFont val="Tahoma"/>
            <family val="2"/>
          </rPr>
          <t xml:space="preserve">Sally Blair:
</t>
        </r>
        <r>
          <rPr>
            <sz val="9"/>
            <color rgb="FF000000"/>
            <rFont val="Tahoma"/>
            <family val="2"/>
          </rPr>
          <t xml:space="preserve">From Table 110.8-A
</t>
        </r>
        <r>
          <rPr>
            <sz val="9"/>
            <color rgb="FF000000"/>
            <rFont val="Tahoma"/>
            <family val="2"/>
          </rPr>
          <t xml:space="preserve">If "Outside Edge" in 03, &amp; CZ - 1-15 in A05, this = 5;
</t>
        </r>
        <r>
          <rPr>
            <sz val="9"/>
            <color rgb="FF000000"/>
            <rFont val="Tahoma"/>
            <family val="2"/>
          </rPr>
          <t xml:space="preserve">If "Outside Edge" in 03, &amp; CZ - 16 in A05, this = 10;
</t>
        </r>
        <r>
          <rPr>
            <sz val="9"/>
            <color rgb="FF000000"/>
            <rFont val="Tahoma"/>
            <family val="2"/>
          </rPr>
          <t xml:space="preserve">If "Between Slab" in 03, &amp; CZ - 1-15 in A05, this = 5;
</t>
        </r>
        <r>
          <rPr>
            <sz val="9"/>
            <color rgb="FF000000"/>
            <rFont val="Tahoma"/>
            <family val="2"/>
          </rPr>
          <t xml:space="preserve">If "Between Slab" in 03, &amp; CZ - 16 in A05, this = 10
</t>
        </r>
      </text>
    </comment>
    <comment ref="F99" authorId="0" shapeId="0" xr:uid="{00000000-0006-0000-0B00-000026000000}">
      <text>
        <r>
          <rPr>
            <sz val="9"/>
            <color rgb="FF000000"/>
            <rFont val="Tahoma"/>
            <family val="2"/>
          </rPr>
          <t xml:space="preserve">Sally Blair:
</t>
        </r>
        <r>
          <rPr>
            <sz val="9"/>
            <color rgb="FF000000"/>
            <rFont val="Tahoma"/>
            <family val="2"/>
          </rPr>
          <t xml:space="preserve">From Table 110.8-A
</t>
        </r>
        <r>
          <rPr>
            <sz val="9"/>
            <color rgb="FF000000"/>
            <rFont val="Tahoma"/>
            <family val="2"/>
          </rPr>
          <t xml:space="preserve">If "Outside Edge" in 03, &amp; CZ - 1-15 in A05, this = grey &amp; blank &amp; so is 06 for horizontal
</t>
        </r>
        <r>
          <rPr>
            <sz val="9"/>
            <color rgb="FF000000"/>
            <rFont val="Tahoma"/>
            <family val="2"/>
          </rPr>
          <t xml:space="preserve">If "Outside Edge" in 03, &amp; CZ - 16 in A05, this = grey &amp; blank &amp; so is 06 for horizontal
</t>
        </r>
        <r>
          <rPr>
            <sz val="9"/>
            <color rgb="FF000000"/>
            <rFont val="Tahoma"/>
            <family val="2"/>
          </rPr>
          <t xml:space="preserve">If "Between Slab" in 03, &amp; CZ - 1-15 in A05, this = grey &amp; blank &amp; so is 06 for horizontal
</t>
        </r>
        <r>
          <rPr>
            <sz val="9"/>
            <color rgb="FF000000"/>
            <rFont val="Tahoma"/>
            <family val="2"/>
          </rPr>
          <t xml:space="preserve">If "Between Slab" in 03, &amp; CZ - 16 in A05, this = 7
</t>
        </r>
      </text>
    </comment>
    <comment ref="A107" authorId="1" shapeId="0" xr:uid="{D46E80D8-454D-4292-A1C1-64687D448A69}">
      <text>
        <r>
          <rPr>
            <b/>
            <sz val="9"/>
            <color indexed="81"/>
            <rFont val="Tahoma"/>
            <family val="2"/>
          </rPr>
          <t>Alexis Markstrum:</t>
        </r>
        <r>
          <rPr>
            <sz val="9"/>
            <color indexed="81"/>
            <rFont val="Tahoma"/>
            <family val="2"/>
          </rPr>
          <t xml:space="preserve">
Add tool tip about meeting 110.8</t>
        </r>
      </text>
    </comment>
    <comment ref="F110" authorId="0" shapeId="0" xr:uid="{9158EDAC-51B2-4471-AC68-9DE57674F0B7}">
      <text>
        <r>
          <rPr>
            <sz val="9"/>
            <color rgb="FF000000"/>
            <rFont val="Tahoma"/>
            <family val="2"/>
          </rPr>
          <t xml:space="preserve">= 0.58 if "Ufactor" selected in col 04 OR
</t>
        </r>
        <r>
          <rPr>
            <sz val="9"/>
            <color rgb="FF000000"/>
            <rFont val="Tahoma"/>
            <family val="2"/>
          </rPr>
          <t xml:space="preserve">
</t>
        </r>
        <r>
          <rPr>
            <sz val="9"/>
            <color rgb="FF000000"/>
            <rFont val="Tahoma"/>
            <family val="2"/>
          </rPr>
          <t>= 7 if "R-value" selected in col 04</t>
        </r>
      </text>
    </comment>
    <comment ref="A119" authorId="0" shapeId="0" xr:uid="{00000000-0006-0000-0B00-000027000000}">
      <text>
        <r>
          <rPr>
            <sz val="9"/>
            <color rgb="FF000000"/>
            <rFont val="Tahoma"/>
            <family val="2"/>
          </rPr>
          <t xml:space="preserve">Sally Blair:
</t>
        </r>
        <r>
          <rPr>
            <sz val="9"/>
            <color rgb="FF000000"/>
            <rFont val="Tahoma"/>
            <family val="2"/>
          </rPr>
          <t>Ben, this section is triggered if column 01 "Calculate Area Weighted Average for Raised Mass…." is selected above in the Raised Mass Floors Subtable</t>
        </r>
      </text>
    </comment>
    <comment ref="E123" authorId="0" shapeId="0" xr:uid="{00000000-0006-0000-0B00-000028000000}">
      <text>
        <r>
          <rPr>
            <sz val="9"/>
            <color rgb="FF000000"/>
            <rFont val="Tahoma"/>
            <family val="2"/>
          </rPr>
          <t xml:space="preserve">Sally Blair:
</t>
        </r>
        <r>
          <rPr>
            <sz val="9"/>
            <color rgb="FF000000"/>
            <rFont val="Tahoma"/>
            <family val="2"/>
          </rPr>
          <t xml:space="preserve">Says "COMPLIES" if column 03 &gt;= column 04.
</t>
        </r>
        <r>
          <rPr>
            <sz val="9"/>
            <color rgb="FF000000"/>
            <rFont val="Tahoma"/>
            <family val="2"/>
          </rPr>
          <t>Otherwise, says "DOES NOT COMPLY"</t>
        </r>
      </text>
    </comment>
    <comment ref="A126" authorId="0" shapeId="0" xr:uid="{00000000-0006-0000-0B00-000029000000}">
      <text>
        <r>
          <rPr>
            <sz val="9"/>
            <color rgb="FF000000"/>
            <rFont val="Tahoma"/>
            <family val="2"/>
          </rPr>
          <t xml:space="preserve">Sally Blair:
</t>
        </r>
        <r>
          <rPr>
            <sz val="9"/>
            <color rgb="FF000000"/>
            <rFont val="Tahoma"/>
            <family val="2"/>
          </rPr>
          <t xml:space="preserve">Ben, this section is triggered if column 01 "Include X Floors in Area Weighted Calc…." are selected above in ANY of the following subtables:
</t>
        </r>
        <r>
          <rPr>
            <sz val="9"/>
            <color rgb="FF000000"/>
            <rFont val="Tahoma"/>
            <family val="2"/>
          </rPr>
          <t xml:space="preserve">- Framed 
</t>
        </r>
        <r>
          <rPr>
            <sz val="9"/>
            <color rgb="FF000000"/>
            <rFont val="Tahoma"/>
            <family val="2"/>
          </rPr>
          <t xml:space="preserve">- SIPs
</t>
        </r>
        <r>
          <rPr>
            <sz val="9"/>
            <color rgb="FF000000"/>
            <rFont val="Tahoma"/>
            <family val="2"/>
          </rPr>
          <t xml:space="preserve">
</t>
        </r>
      </text>
    </comment>
    <comment ref="C131" authorId="0" shapeId="0" xr:uid="{00000000-0006-0000-0B00-00002A000000}">
      <text>
        <r>
          <rPr>
            <sz val="9"/>
            <color rgb="FF000000"/>
            <rFont val="Tahoma"/>
            <family val="2"/>
          </rPr>
          <t xml:space="preserve">2019 Update:
</t>
        </r>
        <r>
          <rPr>
            <sz val="9"/>
            <color rgb="FF000000"/>
            <rFont val="Tahoma"/>
            <family val="2"/>
          </rPr>
          <t>Need to make sure this is correctly area weighting per comments/ example in AWA table for floor assemblies &amp; not just summing these columns.</t>
        </r>
      </text>
    </comment>
    <comment ref="E131" authorId="0" shapeId="0" xr:uid="{00000000-0006-0000-0B00-00002B000000}">
      <text>
        <r>
          <rPr>
            <sz val="9"/>
            <color rgb="FF000000"/>
            <rFont val="Tahoma"/>
            <family val="2"/>
          </rPr>
          <t xml:space="preserve">Sally Blair:
</t>
        </r>
        <r>
          <rPr>
            <sz val="9"/>
            <color rgb="FF000000"/>
            <rFont val="Tahoma"/>
            <family val="2"/>
          </rPr>
          <t xml:space="preserve">Says "COMPLIES" if column 03 &gt;= column 04 for all floor types.
</t>
        </r>
        <r>
          <rPr>
            <sz val="9"/>
            <color rgb="FF000000"/>
            <rFont val="Tahoma"/>
            <family val="2"/>
          </rPr>
          <t>Otherwise, says "DOES NOT COMPLY"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9" authorId="0" shapeId="0" xr:uid="{00000000-0006-0000-0C00-000001000000}">
      <text>
        <r>
          <rPr>
            <sz val="9"/>
            <color rgb="FF000000"/>
            <rFont val="Tahoma"/>
            <family val="2"/>
          </rPr>
          <t xml:space="preserve">This value comes from the Tables in Section 140.3.  Which table to use depends on the occupancy type from column 03:
Nonresidential &amp; Relocatables = Table 140.3-B
High-rise Res &amp; Hotel/Motel =Table 140.3-C
Relocatables All CZ =Table 140.3-D
Use "swinging" or "non-swinging" based on column 04.
Multifamily Dwelling Unit Entry = 0.20
Multifamily Common area Non-swinging &amp; A03 CZ 1, 16 = 0.50
Multifamily Common area Non-swinging &amp; A03 CZ 2-15 = </t>
        </r>
        <r>
          <rPr>
            <sz val="9"/>
            <color indexed="81"/>
            <rFont val="Tahoma"/>
            <family val="2"/>
          </rPr>
          <t>1.45</t>
        </r>
        <r>
          <rPr>
            <sz val="9"/>
            <color rgb="FF000000"/>
            <rFont val="Tahoma"/>
            <family val="2"/>
          </rPr>
          <t xml:space="preserve">
Multifamily Common area Swinging = 0.70</t>
        </r>
      </text>
    </comment>
    <comment ref="I9" authorId="0" shapeId="0" xr:uid="{00000000-0006-0000-0C00-000002000000}">
      <text>
        <r>
          <rPr>
            <sz val="9"/>
            <color indexed="8"/>
            <rFont val="Tahoma"/>
            <family val="2"/>
          </rPr>
          <t xml:space="preserve">Correct table in JA4 is Table 4.5.1
If "NFRC Rated Insulated Door.." selected in col 05 = 0.20
</t>
        </r>
      </text>
    </comment>
    <comment ref="D14" authorId="0" shapeId="0" xr:uid="{2749D62D-8A1D-47AB-A062-896F834C19B6}">
      <text>
        <r>
          <rPr>
            <sz val="9"/>
            <color indexed="8"/>
            <rFont val="Tahoma"/>
            <family val="2"/>
          </rPr>
          <t>Greys out columns 05-07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s>
  <commentList>
    <comment ref="E5" authorId="0" shapeId="0" xr:uid="{00000000-0006-0000-0D00-000001000000}">
      <text>
        <r>
          <rPr>
            <b/>
            <sz val="9"/>
            <color rgb="FF000000"/>
            <rFont val="Tahoma"/>
            <family val="2"/>
          </rPr>
          <t>Sally Blair:</t>
        </r>
        <r>
          <rPr>
            <sz val="9"/>
            <color rgb="FF000000"/>
            <rFont val="Tahoma"/>
            <family val="2"/>
          </rPr>
          <t xml:space="preserve">
</t>
        </r>
        <r>
          <rPr>
            <sz val="9"/>
            <color rgb="FF000000"/>
            <rFont val="Tahoma"/>
            <family val="2"/>
          </rPr>
          <t>Triggers Vertical Fenestration- U-factor, SHGC, VT subtable, but does NOT trigger Vertical Fenestration and Glazed Doors- Total Building &amp; West Facing Area subtable.</t>
        </r>
      </text>
    </comment>
    <comment ref="F5" authorId="0" shapeId="0" xr:uid="{00000000-0006-0000-0D00-000002000000}">
      <text>
        <r>
          <rPr>
            <b/>
            <sz val="9"/>
            <color rgb="FF000000"/>
            <rFont val="Tahoma"/>
            <family val="2"/>
          </rPr>
          <t>Sally Blair:</t>
        </r>
        <r>
          <rPr>
            <sz val="9"/>
            <color rgb="FF000000"/>
            <rFont val="Tahoma"/>
            <family val="2"/>
          </rPr>
          <t xml:space="preserve">
</t>
        </r>
        <r>
          <rPr>
            <sz val="9"/>
            <color rgb="FF000000"/>
            <rFont val="Tahoma"/>
            <family val="2"/>
          </rPr>
          <t xml:space="preserve">These selections expand appropriate sub section of Table K.
</t>
        </r>
        <r>
          <rPr>
            <sz val="9"/>
            <color rgb="FF000000"/>
            <rFont val="Tahoma"/>
            <family val="2"/>
          </rPr>
          <t xml:space="preserve">Vertical (New) triggers "Vertical Fenestration and Glazed Doors- Total Building &amp; West Facing Area" subtable.
</t>
        </r>
        <r>
          <rPr>
            <sz val="9"/>
            <color rgb="FF000000"/>
            <rFont val="Tahoma"/>
            <family val="2"/>
          </rPr>
          <t xml:space="preserve">
</t>
        </r>
        <r>
          <rPr>
            <sz val="9"/>
            <color rgb="FF000000"/>
            <rFont val="Tahoma"/>
            <family val="2"/>
          </rPr>
          <t>Glazed doors (new) checkbox should also trigger  "Vertical Fenestration and Glazed Doors- Total Building &amp; West Facing Area" subtable.</t>
        </r>
      </text>
    </comment>
    <comment ref="G5" authorId="0" shapeId="0" xr:uid="{D21C9057-5331-4FB8-ABEB-18FD9B3A8030}">
      <text>
        <r>
          <rPr>
            <sz val="9"/>
            <color rgb="FF000000"/>
            <rFont val="Tahoma"/>
            <family val="2"/>
          </rPr>
          <t xml:space="preserve">Triggers new MF Vertical/GD Total Buildng Area subtable AND
</t>
        </r>
        <r>
          <rPr>
            <sz val="9"/>
            <color rgb="FF000000"/>
            <rFont val="Tahoma"/>
            <family val="2"/>
          </rPr>
          <t>Vertical Fenestration- U-factor, SHGC, VT subtable</t>
        </r>
      </text>
    </comment>
    <comment ref="J5" authorId="0" shapeId="0" xr:uid="{00000000-0006-0000-0D00-000003000000}">
      <text>
        <r>
          <rPr>
            <sz val="9"/>
            <color rgb="FF000000"/>
            <rFont val="Tahoma"/>
            <family val="2"/>
          </rPr>
          <t xml:space="preserve">Needs to trigger both Vertical Fenestration and Glazed Doors- Total Building &amp; West Facing Area (New Construction &amp; Additions Only) subtable
</t>
        </r>
        <r>
          <rPr>
            <b/>
            <sz val="9"/>
            <color rgb="FF000000"/>
            <rFont val="Tahoma"/>
            <family val="2"/>
          </rPr>
          <t xml:space="preserve">
</t>
        </r>
        <r>
          <rPr>
            <sz val="9"/>
            <color rgb="FF000000"/>
            <rFont val="Tahoma"/>
            <family val="2"/>
          </rPr>
          <t xml:space="preserve">AND
</t>
        </r>
        <r>
          <rPr>
            <sz val="9"/>
            <color rgb="FF000000"/>
            <rFont val="Tahoma"/>
            <family val="2"/>
          </rPr>
          <t xml:space="preserve">
</t>
        </r>
        <r>
          <rPr>
            <sz val="9"/>
            <color rgb="FF000000"/>
            <rFont val="Tahoma"/>
            <family val="2"/>
          </rPr>
          <t>Vertical Fenestration and Glazed Doors- U-factor, Solar Heat Gain Coefficient (RSHGC/SHGC), Visible Transmittance (VT) Subtable</t>
        </r>
      </text>
    </comment>
    <comment ref="D13" authorId="0" shapeId="0" xr:uid="{00000000-0006-0000-0D00-000006000000}">
      <text>
        <r>
          <rPr>
            <b/>
            <sz val="9"/>
            <color rgb="FF000000"/>
            <rFont val="Tahoma"/>
            <family val="2"/>
          </rPr>
          <t>Sally Blair:</t>
        </r>
        <r>
          <rPr>
            <sz val="9"/>
            <color rgb="FF000000"/>
            <rFont val="Tahoma"/>
            <family val="2"/>
          </rPr>
          <t xml:space="preserve">
</t>
        </r>
        <r>
          <rPr>
            <sz val="9"/>
            <color rgb="FF000000"/>
            <rFont val="Tahoma"/>
            <family val="2"/>
          </rPr>
          <t xml:space="preserve">Equals the greater of (0.40x column 03) or (6x column 04) summed for all areas </t>
        </r>
      </text>
    </comment>
    <comment ref="H13" authorId="0" shapeId="0" xr:uid="{00000000-0006-0000-0D00-000007000000}">
      <text>
        <r>
          <rPr>
            <b/>
            <sz val="9"/>
            <color rgb="FF000000"/>
            <rFont val="Tahoma"/>
            <family val="2"/>
          </rPr>
          <t>Sally Blair:</t>
        </r>
        <r>
          <rPr>
            <sz val="9"/>
            <color rgb="FF000000"/>
            <rFont val="Tahoma"/>
            <family val="2"/>
          </rPr>
          <t xml:space="preserve">
</t>
        </r>
        <r>
          <rPr>
            <sz val="9"/>
            <color rgb="FF000000"/>
            <rFont val="Tahoma"/>
            <family val="2"/>
          </rPr>
          <t>Equals sum of column 05 for all areas</t>
        </r>
      </text>
    </comment>
    <comment ref="D14" authorId="0" shapeId="0" xr:uid="{00000000-0006-0000-0D00-000008000000}">
      <text>
        <r>
          <rPr>
            <b/>
            <sz val="9"/>
            <color rgb="FF000000"/>
            <rFont val="Tahoma"/>
            <family val="2"/>
          </rPr>
          <t>Sally Blair:</t>
        </r>
        <r>
          <rPr>
            <sz val="9"/>
            <color rgb="FF000000"/>
            <rFont val="Tahoma"/>
            <family val="2"/>
          </rPr>
          <t xml:space="preserve">
</t>
        </r>
        <r>
          <rPr>
            <sz val="9"/>
            <color rgb="FF000000"/>
            <rFont val="Tahoma"/>
            <family val="2"/>
          </rPr>
          <t xml:space="preserve">Equals the greater of (0.40x column 03) or (6x column 04) summed for all areas where column 02 = "West"
</t>
        </r>
      </text>
    </comment>
    <comment ref="H14" authorId="0" shapeId="0" xr:uid="{00000000-0006-0000-0D00-000009000000}">
      <text>
        <r>
          <rPr>
            <b/>
            <sz val="9"/>
            <color rgb="FF000000"/>
            <rFont val="Tahoma"/>
            <family val="2"/>
          </rPr>
          <t>Sally Blair:</t>
        </r>
        <r>
          <rPr>
            <sz val="9"/>
            <color rgb="FF000000"/>
            <rFont val="Tahoma"/>
            <family val="2"/>
          </rPr>
          <t xml:space="preserve">
</t>
        </r>
        <r>
          <rPr>
            <sz val="9"/>
            <color rgb="FF000000"/>
            <rFont val="Tahoma"/>
            <family val="2"/>
          </rPr>
          <t>Equals sum of column 05 for all areas where column 02 = "West"</t>
        </r>
      </text>
    </comment>
    <comment ref="D26" authorId="0" shapeId="0" xr:uid="{F429BC65-456A-4371-BC1F-CEF95C036C66}">
      <text>
        <r>
          <rPr>
            <sz val="9"/>
            <color rgb="FF000000"/>
            <rFont val="Tahoma"/>
            <family val="2"/>
          </rPr>
          <t xml:space="preserve">Equals the lesser of (0.40x column 03) or (0.20 x column 04) summed for all areas </t>
        </r>
      </text>
    </comment>
    <comment ref="H26" authorId="0" shapeId="0" xr:uid="{A8594030-DB85-4F12-8DAE-9CAF052D3F7C}">
      <text>
        <r>
          <rPr>
            <b/>
            <sz val="9"/>
            <color rgb="FF000000"/>
            <rFont val="Tahoma"/>
            <family val="2"/>
          </rPr>
          <t>Sally Blair:</t>
        </r>
        <r>
          <rPr>
            <sz val="9"/>
            <color rgb="FF000000"/>
            <rFont val="Tahoma"/>
            <family val="2"/>
          </rPr>
          <t xml:space="preserve">
</t>
        </r>
        <r>
          <rPr>
            <sz val="9"/>
            <color rgb="FF000000"/>
            <rFont val="Tahoma"/>
            <family val="2"/>
          </rPr>
          <t>Equals sum of column 05 for all areas</t>
        </r>
      </text>
    </comment>
    <comment ref="J40" authorId="0" shapeId="0" xr:uid="{00000000-0006-0000-0D00-00000C000000}">
      <text>
        <r>
          <rPr>
            <b/>
            <sz val="9"/>
            <color rgb="FF000000"/>
            <rFont val="Tahoma"/>
            <family val="2"/>
          </rPr>
          <t>Sally Blair:</t>
        </r>
        <r>
          <rPr>
            <sz val="9"/>
            <color rgb="FF000000"/>
            <rFont val="Tahoma"/>
            <family val="2"/>
          </rPr>
          <t xml:space="preserve">
</t>
        </r>
        <r>
          <rPr>
            <sz val="9"/>
            <color rgb="FF000000"/>
            <rFont val="Tahoma"/>
            <family val="2"/>
          </rPr>
          <t xml:space="preserve">This column opens for user input if "NFRC Certified" is selected in column 09.  Otherwise, the # comes from  column 19 if "NA6 default" chosen, or column 25 if "S110.6 Default" chosen. 
</t>
        </r>
        <r>
          <rPr>
            <sz val="9"/>
            <color rgb="FF000000"/>
            <rFont val="Tahoma"/>
            <family val="2"/>
          </rPr>
          <t xml:space="preserve">If column 09 "Overhang used..." is checked, RSHGC from column 32 overrides the SHGC in columns 19 or 25.
</t>
        </r>
        <r>
          <rPr>
            <sz val="9"/>
            <color rgb="FF000000"/>
            <rFont val="Tahoma"/>
            <family val="2"/>
          </rPr>
          <t xml:space="preserve">ACK! </t>
        </r>
      </text>
    </comment>
    <comment ref="I42" authorId="0" shapeId="0" xr:uid="{00000000-0006-0000-0D00-00000E000000}">
      <text>
        <r>
          <rPr>
            <sz val="9"/>
            <color rgb="FF000000"/>
            <rFont val="Tahoma"/>
            <family val="2"/>
          </rPr>
          <t xml:space="preserve">For "New" assemblies (column 06), this value comes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Dwelling Units requirements come from Table 170.2-A or Table 180.2-B depending on selection in 07.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For fen in demising walls selection in 05, use requirement for storefront.
</t>
        </r>
        <r>
          <rPr>
            <sz val="9"/>
            <color rgb="FF000000"/>
            <rFont val="Tahoma"/>
            <family val="2"/>
          </rPr>
          <t xml:space="preserve">
</t>
        </r>
        <r>
          <rPr>
            <sz val="9"/>
            <color rgb="FF000000"/>
            <rFont val="Tahoma"/>
            <family val="2"/>
          </rPr>
          <t xml:space="preserve">For "Alt" assemblies  (column 06), the requirement is based on the selection in column 06:
</t>
        </r>
        <r>
          <rPr>
            <sz val="9"/>
            <color rgb="FF000000"/>
            <rFont val="Tahoma"/>
            <family val="2"/>
          </rPr>
          <t xml:space="preserve">- "Replacement &gt; 150ft2" and "Replacement &lt; 150ft2" = values from Table 141.0-A based on CZ from Table A column 03.  I've copied Table 141.0-A to the right for your reference.
</t>
        </r>
        <r>
          <rPr>
            <sz val="9"/>
            <color rgb="FF000000"/>
            <rFont val="Tahoma"/>
            <family val="2"/>
          </rPr>
          <t xml:space="preserve">
</t>
        </r>
        <r>
          <rPr>
            <sz val="9"/>
            <color rgb="FF000000"/>
            <rFont val="Tahoma"/>
            <family val="2"/>
          </rPr>
          <t>- "Adding New &gt; 50ft2" and "Adding New &lt; 50ft2" = Table 140.3-B/C/D, depending on occupancy in column 06.</t>
        </r>
      </text>
    </comment>
    <comment ref="I43" authorId="0" shapeId="0" xr:uid="{00000000-0006-0000-0D00-00000F000000}">
      <text>
        <r>
          <rPr>
            <sz val="9"/>
            <color rgb="FF000000"/>
            <rFont val="Tahoma"/>
            <family val="2"/>
          </rPr>
          <t xml:space="preserve">If "Table 140.3-B/C/D" is selected in column 07, this value comes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Dwelling Units requirements come from Table 170.2-A or Table 180.2-B depending on selection in 07.</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"1st flr display perimeter-no overhang" is selected in column 07, this value is 0.56 [applies to dwelling units too]
</t>
        </r>
        <r>
          <rPr>
            <sz val="9"/>
            <color rgb="FF000000"/>
            <rFont val="Tahoma"/>
            <family val="2"/>
          </rPr>
          <t xml:space="preserve">
</t>
        </r>
        <r>
          <rPr>
            <sz val="9"/>
            <color rgb="FF000000"/>
            <rFont val="Tahoma"/>
            <family val="2"/>
          </rPr>
          <t>If "Table 141.0-A" is selected in column 07, this value = values from Table 141.0-A based on CZ from Table A column 03.  I've copied Table 141.0-A to the right for your reference.</t>
        </r>
      </text>
    </comment>
    <comment ref="F44" authorId="0" shapeId="0" xr:uid="{00000000-0006-0000-0D00-000010000000}">
      <text>
        <r>
          <rPr>
            <sz val="9"/>
            <color rgb="FF000000"/>
            <rFont val="Tahoma"/>
            <family val="2"/>
          </rPr>
          <t xml:space="preserve">This selection triggers the Overhang section to expand for user input. Otherwise, minimize it.
</t>
        </r>
        <r>
          <rPr>
            <sz val="9"/>
            <color rgb="FF000000"/>
            <rFont val="Tahoma"/>
            <family val="2"/>
          </rPr>
          <t xml:space="preserve">When selected, the RSHGC per design in 12 should not be user input. It should mirror the RSHGC value from K32 in this sub-table.
</t>
        </r>
        <r>
          <rPr>
            <sz val="9"/>
            <color rgb="FF000000"/>
            <rFont val="Tahoma"/>
            <family val="2"/>
          </rPr>
          <t xml:space="preserve">
</t>
        </r>
        <r>
          <rPr>
            <sz val="9"/>
            <color rgb="FF000000"/>
            <rFont val="Tahoma"/>
            <family val="2"/>
          </rPr>
          <t>This is grayed out if RSHGC column 11 and 12 are grayed out.</t>
        </r>
      </text>
    </comment>
    <comment ref="I44" authorId="0" shapeId="0" xr:uid="{00000000-0006-0000-0D00-000011000000}">
      <text>
        <r>
          <rPr>
            <sz val="9"/>
            <color rgb="FF000000"/>
            <rFont val="Tahoma"/>
            <family val="2"/>
          </rPr>
          <t xml:space="preserve">If "Table 140.3-B/C/D" is selected in column 08, this value comes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Dwelling Units requirements come from Table 170.2-A or Table 180.2-B depending on selection in 08.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"Equation 140.3-B (new only)" is selected in column 08, this value is calculated by: =0.11/WWR 
</t>
        </r>
        <r>
          <rPr>
            <sz val="9"/>
            <color rgb="FF000000"/>
            <rFont val="Tahoma"/>
            <family val="2"/>
          </rPr>
          <t xml:space="preserve">where WWR = column 07/ sum of column 03 for all areas (both from Total Building &amp; West Facing Area subtable) OR 0.40, whichever is less.
</t>
        </r>
        <r>
          <rPr>
            <sz val="9"/>
            <color rgb="FF000000"/>
            <rFont val="Tahoma"/>
            <family val="2"/>
          </rPr>
          <t xml:space="preserve">
</t>
        </r>
        <r>
          <rPr>
            <sz val="9"/>
            <color rgb="FF000000"/>
            <rFont val="Tahoma"/>
            <family val="2"/>
          </rPr>
          <t xml:space="preserve">If "Equation 170.2-B (new only)" is selected in column 08, this value is calculated by: =0.11/WWR 
</t>
        </r>
        <r>
          <rPr>
            <sz val="9"/>
            <color rgb="FF000000"/>
            <rFont val="Tahoma"/>
            <family val="2"/>
          </rPr>
          <t>where WWR = column 07/ sum of column 03 for all areas (both from Multifamily Vertical Fenestration and Glazed Doors- Total Building Area subtable) OR 0.40, whichever is less. Same calc as existing for NR, but use MF subtable instead.</t>
        </r>
      </text>
    </comment>
    <comment ref="B53" authorId="1" shapeId="0" xr:uid="{00000000-0006-0000-0D00-000014000000}">
      <text>
        <r>
          <rPr>
            <sz val="9"/>
            <color rgb="FF000000"/>
            <rFont val="Tahoma"/>
            <family val="2"/>
          </rPr>
          <t>If triggered, K20 greys out when "Glazed Door" is selected in K.05</t>
        </r>
      </text>
    </comment>
    <comment ref="H56" authorId="0" shapeId="0" xr:uid="{00000000-0006-0000-0D00-000016000000}">
      <text>
        <r>
          <rPr>
            <b/>
            <sz val="9"/>
            <color rgb="FF000000"/>
            <rFont val="Tahoma"/>
            <family val="2"/>
          </rPr>
          <t>Sally Blair:</t>
        </r>
        <r>
          <rPr>
            <sz val="9"/>
            <color rgb="FF000000"/>
            <rFont val="Tahoma"/>
            <family val="2"/>
          </rPr>
          <t xml:space="preserve">
</t>
        </r>
        <r>
          <rPr>
            <sz val="9"/>
            <color rgb="FF000000"/>
            <rFont val="Tahoma"/>
            <family val="2"/>
          </rPr>
          <t xml:space="preserve">For the default here use the NA6 equation where VTc = 1.  That means we can just use the VTF values directly based on columns 05 &amp; 21. </t>
        </r>
      </text>
    </comment>
    <comment ref="J61" authorId="0" shapeId="0" xr:uid="{00000000-0006-0000-0D00-000019000000}">
      <text>
        <r>
          <rPr>
            <b/>
            <sz val="9"/>
            <color rgb="FF000000"/>
            <rFont val="Tahoma"/>
            <family val="2"/>
          </rPr>
          <t>Sally Blair:</t>
        </r>
        <r>
          <rPr>
            <sz val="9"/>
            <color rgb="FF000000"/>
            <rFont val="Tahoma"/>
            <family val="2"/>
          </rPr>
          <t xml:space="preserve">
</t>
        </r>
        <r>
          <rPr>
            <sz val="9"/>
            <color rgb="FF000000"/>
            <rFont val="Tahoma"/>
            <family val="2"/>
          </rPr>
          <t>This would add columns 04-13, but not column headings, just the user input row.</t>
        </r>
      </text>
    </comment>
    <comment ref="D65" authorId="0" shapeId="0" xr:uid="{00000000-0006-0000-0D00-00001C000000}">
      <text>
        <r>
          <rPr>
            <sz val="9"/>
            <color rgb="FF000000"/>
            <rFont val="Tahoma"/>
            <family val="2"/>
          </rPr>
          <t xml:space="preserve">Dropdown if any of the following selected in column 06:
</t>
        </r>
        <r>
          <rPr>
            <sz val="9"/>
            <color rgb="FF000000"/>
            <rFont val="Tahoma"/>
            <family val="2"/>
          </rPr>
          <t xml:space="preserve">- Nonres/Relocatable 1 CZ: New
</t>
        </r>
        <r>
          <rPr>
            <sz val="9"/>
            <color rgb="FF000000"/>
            <rFont val="Tahoma"/>
            <family val="2"/>
          </rPr>
          <t xml:space="preserve">- H/M: New
</t>
        </r>
        <r>
          <rPr>
            <sz val="9"/>
            <color rgb="FF000000"/>
            <rFont val="Tahoma"/>
            <family val="2"/>
          </rPr>
          <t xml:space="preserve">- Relocatable all CZ: New. 
</t>
        </r>
      </text>
    </comment>
    <comment ref="E65" authorId="0" shapeId="0" xr:uid="{00000000-0006-0000-0D00-00001D000000}">
      <text>
        <r>
          <rPr>
            <sz val="9"/>
            <color rgb="FF000000"/>
            <rFont val="Tahoma"/>
            <family val="2"/>
          </rPr>
          <t xml:space="preserve">Dropdown if any of the following selected in column 06:
</t>
        </r>
        <r>
          <rPr>
            <sz val="9"/>
            <color rgb="FF000000"/>
            <rFont val="Tahoma"/>
            <family val="2"/>
          </rPr>
          <t xml:space="preserve">- Nonres/Relocatable 1 CZ: New
</t>
        </r>
        <r>
          <rPr>
            <sz val="9"/>
            <color rgb="FF000000"/>
            <rFont val="Tahoma"/>
            <family val="2"/>
          </rPr>
          <t xml:space="preserve">- High-rise Res/ H/M: New
</t>
        </r>
        <r>
          <rPr>
            <sz val="9"/>
            <color rgb="FF000000"/>
            <rFont val="Tahoma"/>
            <family val="2"/>
          </rPr>
          <t xml:space="preserve">- Relocatable all CZ: New
</t>
        </r>
      </text>
    </comment>
    <comment ref="F65" authorId="0" shapeId="0" xr:uid="{96AFEF12-CEF2-4B5A-B2D0-528F9AE1416B}">
      <text>
        <r>
          <rPr>
            <sz val="9"/>
            <color rgb="FF000000"/>
            <rFont val="Tahoma"/>
            <family val="2"/>
          </rPr>
          <t xml:space="preserve">Custom dropdown if col 06 is any of the following:
</t>
        </r>
        <r>
          <rPr>
            <sz val="9"/>
            <color rgb="FF000000"/>
            <rFont val="Tahoma"/>
            <family val="2"/>
          </rPr>
          <t xml:space="preserve">
</t>
        </r>
        <r>
          <rPr>
            <sz val="9"/>
            <color rgb="FF000000"/>
            <rFont val="Tahoma"/>
            <family val="2"/>
          </rPr>
          <t xml:space="preserve">- Dwelling Units &lt;= 3 stories: Alt. (Replacement &gt; 150ft2)
</t>
        </r>
        <r>
          <rPr>
            <sz val="9"/>
            <color rgb="FF000000"/>
            <rFont val="Tahoma"/>
            <family val="2"/>
          </rPr>
          <t xml:space="preserve">- Dwelling Units &lt;= 3 stories: Alt. (Replacement &lt;= 150ft2)
</t>
        </r>
        <r>
          <rPr>
            <sz val="9"/>
            <color rgb="FF000000"/>
            <rFont val="Tahoma"/>
            <family val="2"/>
          </rPr>
          <t xml:space="preserve">- Dwelling Units &lt;= 3 stories: Alt. (Adding New &gt; 50ft2)
</t>
        </r>
        <r>
          <rPr>
            <sz val="9"/>
            <color rgb="FF000000"/>
            <rFont val="Tahoma"/>
            <family val="2"/>
          </rPr>
          <t xml:space="preserve">- Dwelling Units &gt; 3 stories: Alt. (Replacement &gt; 150ft2)
</t>
        </r>
        <r>
          <rPr>
            <sz val="9"/>
            <color rgb="FF000000"/>
            <rFont val="Tahoma"/>
            <family val="2"/>
          </rPr>
          <t xml:space="preserve">- Dwelling Units &gt; 3 stories: Alt. (Replacement &lt;= 150ft2)
</t>
        </r>
        <r>
          <rPr>
            <sz val="9"/>
            <color rgb="FF000000"/>
            <rFont val="Tahoma"/>
            <family val="2"/>
          </rPr>
          <t>- Dwelling Units &gt; 3 stories: Alt. (Adding New &gt; 50ft2)</t>
        </r>
      </text>
    </comment>
    <comment ref="D67" authorId="0" shapeId="0" xr:uid="{00000000-0006-0000-0D00-00001E000000}">
      <text>
        <r>
          <rPr>
            <b/>
            <sz val="9"/>
            <color rgb="FF000000"/>
            <rFont val="Tahoma"/>
            <family val="2"/>
          </rPr>
          <t>Sally Blair:</t>
        </r>
        <r>
          <rPr>
            <sz val="9"/>
            <color rgb="FF000000"/>
            <rFont val="Tahoma"/>
            <family val="2"/>
          </rPr>
          <t xml:space="preserve">
</t>
        </r>
        <r>
          <rPr>
            <sz val="9"/>
            <color rgb="FF000000"/>
            <rFont val="Tahoma"/>
            <family val="2"/>
          </rPr>
          <t>This selection populates (R)SHGC row in column 11 with "0.56"</t>
        </r>
      </text>
    </comment>
    <comment ref="C68" authorId="0" shapeId="0" xr:uid="{00000000-0006-0000-0D00-000020000000}">
      <text>
        <r>
          <rPr>
            <sz val="9"/>
            <color rgb="FF000000"/>
            <rFont val="Tahoma"/>
            <family val="2"/>
          </rPr>
          <t>"Relocatable all CZ: New" and "Relocatable all CZ: Alt. (Replacement &gt; 150ft2)" and "Relocatable all CZ: Alt.(Adding New &gt; 50ft2)" Should grey out column 08 &amp;  "VT" row in columns 11 &amp; 12 because there are no VT requirements.</t>
        </r>
      </text>
    </comment>
    <comment ref="D68" authorId="0" shapeId="0" xr:uid="{00000000-0006-0000-0D00-000021000000}">
      <text>
        <r>
          <rPr>
            <sz val="9"/>
            <color rgb="FF000000"/>
            <rFont val="Tahoma"/>
            <family val="2"/>
          </rPr>
          <t xml:space="preserve">Dropdown if any of the following selected in column 06:
</t>
        </r>
        <r>
          <rPr>
            <sz val="9"/>
            <color rgb="FF000000"/>
            <rFont val="Tahoma"/>
            <family val="2"/>
          </rPr>
          <t xml:space="preserve">- Nonres/Relocatable 1 CZ: Alt.(Adding New &gt; 50ft2)
</t>
        </r>
        <r>
          <rPr>
            <sz val="9"/>
            <color rgb="FF000000"/>
            <rFont val="Tahoma"/>
            <family val="2"/>
          </rPr>
          <t xml:space="preserve">- H/M: Alt.(Adding New &gt; 50ft2)
</t>
        </r>
        <r>
          <rPr>
            <sz val="9"/>
            <color rgb="FF000000"/>
            <rFont val="Tahoma"/>
            <family val="2"/>
          </rPr>
          <t xml:space="preserve">- Relocatable all CZ: Alt.(Adding New &gt; 50ft2)
</t>
        </r>
        <r>
          <rPr>
            <sz val="9"/>
            <color rgb="FF000000"/>
            <rFont val="Tahoma"/>
            <family val="2"/>
          </rPr>
          <t xml:space="preserve">- Nonres/Relocatable 1 CZ: Alt.(Adding New &lt;= 50ft2)
</t>
        </r>
        <r>
          <rPr>
            <sz val="9"/>
            <color rgb="FF000000"/>
            <rFont val="Tahoma"/>
            <family val="2"/>
          </rPr>
          <t xml:space="preserve">- H/M: Alt.(Adding New &lt;= 50ft2)
</t>
        </r>
        <r>
          <rPr>
            <sz val="9"/>
            <color rgb="FF000000"/>
            <rFont val="Tahoma"/>
            <family val="2"/>
          </rPr>
          <t>- Relocatable all CZ: Alt.(Adding New &lt;= 50ft2)</t>
        </r>
      </text>
    </comment>
    <comment ref="E68" authorId="0" shapeId="0" xr:uid="{00000000-0006-0000-0D00-000022000000}">
      <text>
        <r>
          <rPr>
            <b/>
            <sz val="9"/>
            <color rgb="FF000000"/>
            <rFont val="Tahoma"/>
            <family val="2"/>
          </rPr>
          <t>Sally Blair:</t>
        </r>
        <r>
          <rPr>
            <sz val="9"/>
            <color rgb="FF000000"/>
            <rFont val="Tahoma"/>
            <family val="2"/>
          </rPr>
          <t xml:space="preserve">
</t>
        </r>
        <r>
          <rPr>
            <sz val="9"/>
            <color rgb="FF000000"/>
            <rFont val="Tahoma"/>
            <family val="2"/>
          </rPr>
          <t>This selection greys out VT row in column 11 &amp; 12.</t>
        </r>
      </text>
    </comment>
    <comment ref="F68" authorId="0" shapeId="0" xr:uid="{00000000-0006-0000-0D00-000023000000}">
      <text>
        <r>
          <rPr>
            <b/>
            <sz val="9"/>
            <color rgb="FF000000"/>
            <rFont val="Tahoma"/>
            <family val="2"/>
          </rPr>
          <t>Sally Blair:</t>
        </r>
        <r>
          <rPr>
            <sz val="9"/>
            <color rgb="FF000000"/>
            <rFont val="Tahoma"/>
            <family val="2"/>
          </rPr>
          <t xml:space="preserve">
</t>
        </r>
        <r>
          <rPr>
            <sz val="9"/>
            <color rgb="FF000000"/>
            <rFont val="Tahoma"/>
            <family val="2"/>
          </rPr>
          <t>This selection triggers the S110.6  Default Tables section to expand for user input. Otherwise, minimize it.</t>
        </r>
      </text>
    </comment>
    <comment ref="E69" authorId="0" shapeId="0" xr:uid="{00000000-0006-0000-0D00-000024000000}">
      <text>
        <r>
          <rPr>
            <sz val="9"/>
            <color rgb="FF000000"/>
            <rFont val="Tahoma"/>
            <family val="2"/>
          </rPr>
          <t xml:space="preserve">Dropdown if any of the following selected in column 06:
</t>
        </r>
        <r>
          <rPr>
            <sz val="9"/>
            <color rgb="FF000000"/>
            <rFont val="Tahoma"/>
            <family val="2"/>
          </rPr>
          <t xml:space="preserve">- Nonres/Relocatable 1 CZ: Alt.(Adding New &gt; 50ft2)
</t>
        </r>
        <r>
          <rPr>
            <sz val="9"/>
            <color rgb="FF000000"/>
            <rFont val="Tahoma"/>
            <family val="2"/>
          </rPr>
          <t xml:space="preserve">- H/M: Alt.(Adding New &gt; 50ft2)
</t>
        </r>
        <r>
          <rPr>
            <sz val="9"/>
            <color rgb="FF000000"/>
            <rFont val="Tahoma"/>
            <family val="2"/>
          </rPr>
          <t xml:space="preserve">- Relocatable all CZ: Alt.(Adding New &gt; 50ft2)
</t>
        </r>
        <r>
          <rPr>
            <sz val="9"/>
            <color rgb="FF000000"/>
            <rFont val="Tahoma"/>
            <family val="2"/>
          </rPr>
          <t xml:space="preserve">- Nonres/Relocatable 1 CZ: Alt.(Replacement &gt; 150ft2)
</t>
        </r>
        <r>
          <rPr>
            <sz val="9"/>
            <color rgb="FF000000"/>
            <rFont val="Tahoma"/>
            <family val="2"/>
          </rPr>
          <t xml:space="preserve">- H/M: Alt.(Replacement &gt; 150ft2)
</t>
        </r>
        <r>
          <rPr>
            <sz val="9"/>
            <color rgb="FF000000"/>
            <rFont val="Tahoma"/>
            <family val="2"/>
          </rPr>
          <t>- Relocatable all CZ: Alt.(Replacement &gt; 150ft2)</t>
        </r>
      </text>
    </comment>
    <comment ref="B70" authorId="0" shapeId="0" xr:uid="{00000000-0006-0000-0D00-000025000000}">
      <text>
        <r>
          <rPr>
            <b/>
            <sz val="9"/>
            <color rgb="FF000000"/>
            <rFont val="Tahoma"/>
            <family val="2"/>
          </rPr>
          <t>Sally Blair:</t>
        </r>
        <r>
          <rPr>
            <sz val="9"/>
            <color rgb="FF000000"/>
            <rFont val="Tahoma"/>
            <family val="2"/>
          </rPr>
          <t xml:space="preserve">
</t>
        </r>
        <r>
          <rPr>
            <sz val="9"/>
            <color rgb="FF000000"/>
            <rFont val="Tahoma"/>
            <family val="2"/>
          </rPr>
          <t>This selection greys out columns 06 through 13 for this row.</t>
        </r>
      </text>
    </comment>
    <comment ref="D70" authorId="0" shapeId="0" xr:uid="{00000000-0006-0000-0D00-000026000000}">
      <text>
        <r>
          <rPr>
            <sz val="9"/>
            <color rgb="FF000000"/>
            <rFont val="Tahoma"/>
            <family val="2"/>
          </rPr>
          <t xml:space="preserve">Dropdown if any of the following selected in column 06:
</t>
        </r>
        <r>
          <rPr>
            <sz val="9"/>
            <color rgb="FF000000"/>
            <rFont val="Tahoma"/>
            <family val="2"/>
          </rPr>
          <t xml:space="preserve">- Nonres/Relocatable 1 CZ: Alt.(Replacement &gt; 150ft2)
</t>
        </r>
        <r>
          <rPr>
            <sz val="9"/>
            <color rgb="FF000000"/>
            <rFont val="Tahoma"/>
            <family val="2"/>
          </rPr>
          <t xml:space="preserve">- H/M: Alt.(Replacement &gt; 150ft2)
</t>
        </r>
        <r>
          <rPr>
            <sz val="9"/>
            <color rgb="FF000000"/>
            <rFont val="Tahoma"/>
            <family val="2"/>
          </rPr>
          <t xml:space="preserve">- Relocatable all CZ: Alt.(Replacement &gt; 150ft2)
</t>
        </r>
        <r>
          <rPr>
            <sz val="9"/>
            <color rgb="FF000000"/>
            <rFont val="Tahoma"/>
            <family val="2"/>
          </rPr>
          <t xml:space="preserve">- Occupancy other than dwelling unit: Alt.(Replacement &lt;= 150ft2)
</t>
        </r>
      </text>
    </comment>
    <comment ref="F70" authorId="0" shapeId="0" xr:uid="{934FEA34-6C2A-4382-926B-F68D29678255}">
      <text>
        <r>
          <rPr>
            <sz val="9"/>
            <color rgb="FF000000"/>
            <rFont val="Tahoma"/>
            <family val="2"/>
          </rPr>
          <t xml:space="preserve">Custom dropdown if col 06 is any of the following:
</t>
        </r>
        <r>
          <rPr>
            <sz val="9"/>
            <color rgb="FF000000"/>
            <rFont val="Tahoma"/>
            <family val="2"/>
          </rPr>
          <t xml:space="preserve">- Nonres/Relocatable 1 CZ: New
</t>
        </r>
        <r>
          <rPr>
            <sz val="9"/>
            <color rgb="FF000000"/>
            <rFont val="Tahoma"/>
            <family val="2"/>
          </rPr>
          <t xml:space="preserve">- Hotel/Motel: New
</t>
        </r>
        <r>
          <rPr>
            <sz val="9"/>
            <color rgb="FF000000"/>
            <rFont val="Tahoma"/>
            <family val="2"/>
          </rPr>
          <t xml:space="preserve">- Relocatable all CZ: New
</t>
        </r>
        <r>
          <rPr>
            <sz val="9"/>
            <color rgb="FF000000"/>
            <rFont val="Tahoma"/>
            <family val="2"/>
          </rPr>
          <t xml:space="preserve">- Nonres/Relocatable 1 CZ: Alt. (Replacement..)
</t>
        </r>
        <r>
          <rPr>
            <sz val="9"/>
            <color rgb="FF000000"/>
            <rFont val="Tahoma"/>
            <family val="2"/>
          </rPr>
          <t xml:space="preserve">- Hotel/Motel: Alt. (Replacement..)
</t>
        </r>
        <r>
          <rPr>
            <sz val="9"/>
            <color rgb="FF000000"/>
            <rFont val="Tahoma"/>
            <family val="2"/>
          </rPr>
          <t xml:space="preserve">- Relocatable all CZ: Alt. (Replacement..)
</t>
        </r>
        <r>
          <rPr>
            <sz val="9"/>
            <color rgb="FF000000"/>
            <rFont val="Tahoma"/>
            <family val="2"/>
          </rPr>
          <t xml:space="preserve">- Occupancy other than dwelling unit: Alt. (Replacement..)
</t>
        </r>
        <r>
          <rPr>
            <sz val="9"/>
            <color rgb="FF000000"/>
            <rFont val="Tahoma"/>
            <family val="2"/>
          </rPr>
          <t xml:space="preserve">- Nonres/Relocatable 1 CZ: Alt. (Adding New &gt; 50..)
</t>
        </r>
        <r>
          <rPr>
            <sz val="9"/>
            <color rgb="FF000000"/>
            <rFont val="Tahoma"/>
            <family val="2"/>
          </rPr>
          <t xml:space="preserve">- Hotel/Motel: Alt. (Adding New &gt; 50..)
</t>
        </r>
        <r>
          <rPr>
            <sz val="9"/>
            <color rgb="FF000000"/>
            <rFont val="Tahoma"/>
            <family val="2"/>
          </rPr>
          <t xml:space="preserve">- Relocatable all CZ: Alt. (Adding New &gt; 50..)
</t>
        </r>
        <r>
          <rPr>
            <sz val="9"/>
            <color rgb="FF000000"/>
            <rFont val="Tahoma"/>
            <family val="2"/>
          </rPr>
          <t xml:space="preserve">- Nonres/Relocatable 1 CZ: Alt. (Adding New &lt;= 50..)
</t>
        </r>
        <r>
          <rPr>
            <sz val="9"/>
            <color rgb="FF000000"/>
            <rFont val="Tahoma"/>
            <family val="2"/>
          </rPr>
          <t xml:space="preserve">- Hotel/Motel: Alt. (Adding New &lt;= 50..)
</t>
        </r>
        <r>
          <rPr>
            <sz val="9"/>
            <color rgb="FF000000"/>
            <rFont val="Tahoma"/>
            <family val="2"/>
          </rPr>
          <t xml:space="preserve">- Relocatable all CZ: Alt. (Adding New &lt;= 50..)
</t>
        </r>
        <r>
          <rPr>
            <sz val="9"/>
            <color rgb="FF000000"/>
            <rFont val="Tahoma"/>
            <family val="2"/>
          </rPr>
          <t xml:space="preserve">- Dwelling units &lt;= 3 stories: New
</t>
        </r>
        <r>
          <rPr>
            <sz val="9"/>
            <color rgb="FF000000"/>
            <rFont val="Tahoma"/>
            <family val="2"/>
          </rPr>
          <t>- Dwelling Units &gt; 3 stories: New</t>
        </r>
      </text>
    </comment>
    <comment ref="B71" authorId="0" shapeId="0" xr:uid="{00000000-0006-0000-0D00-000027000000}">
      <text>
        <r>
          <rPr>
            <sz val="9"/>
            <color rgb="FF000000"/>
            <rFont val="Tahoma"/>
            <family val="2"/>
          </rPr>
          <t>If chosen by user, grey out columns 07, 08, overhang button in column 09,  &amp; RSHGC/VT rows in columns 11&amp;12.</t>
        </r>
      </text>
    </comment>
    <comment ref="C72" authorId="0" shapeId="0" xr:uid="{00000000-0006-0000-0D00-000029000000}">
      <text>
        <r>
          <rPr>
            <b/>
            <sz val="9"/>
            <color rgb="FF000000"/>
            <rFont val="Tahoma"/>
            <family val="2"/>
          </rPr>
          <t>Sally Blair:</t>
        </r>
        <r>
          <rPr>
            <sz val="9"/>
            <color rgb="FF000000"/>
            <rFont val="Tahoma"/>
            <family val="2"/>
          </rPr>
          <t xml:space="preserve">
</t>
        </r>
        <r>
          <rPr>
            <sz val="9"/>
            <color rgb="FF000000"/>
            <rFont val="Tahoma"/>
            <family val="2"/>
          </rPr>
          <t>greys out columns 07 &amp; 08 &amp; RSHGC &amp; VT rows in columns 11 &amp; 12.</t>
        </r>
      </text>
    </comment>
    <comment ref="E72" authorId="0" shapeId="0" xr:uid="{F86B1415-1705-43DB-921B-FCE94BF06E53}">
      <text>
        <r>
          <rPr>
            <sz val="9"/>
            <color rgb="FF000000"/>
            <rFont val="Tahoma"/>
            <family val="2"/>
          </rPr>
          <t xml:space="preserve">Dropdown if any of the following selected in column 06:
</t>
        </r>
        <r>
          <rPr>
            <sz val="9"/>
            <color rgb="FF000000"/>
            <rFont val="Tahoma"/>
            <family val="2"/>
          </rPr>
          <t>Dwellng Units &gt; 3 stories: New</t>
        </r>
      </text>
    </comment>
    <comment ref="F72" authorId="0" shapeId="0" xr:uid="{9176145A-D8FD-4688-9012-9A60F6B18497}">
      <text>
        <r>
          <rPr>
            <b/>
            <sz val="9"/>
            <color rgb="FF000000"/>
            <rFont val="Tahoma"/>
            <family val="2"/>
          </rPr>
          <t>Sally Blair:</t>
        </r>
        <r>
          <rPr>
            <sz val="9"/>
            <color rgb="FF000000"/>
            <rFont val="Tahoma"/>
            <family val="2"/>
          </rPr>
          <t xml:space="preserve">
</t>
        </r>
        <r>
          <rPr>
            <sz val="9"/>
            <color rgb="FF000000"/>
            <rFont val="Tahoma"/>
            <family val="2"/>
          </rPr>
          <t>This selection triggers the S110.6  Default Tables section to expand for user input. Otherwise, minimize it.</t>
        </r>
      </text>
    </comment>
    <comment ref="D73" authorId="0" shapeId="0" xr:uid="{CF1B84E6-0DC9-4A0A-966A-D65F97330FA6}">
      <text>
        <r>
          <rPr>
            <sz val="9"/>
            <color rgb="FF000000"/>
            <rFont val="Tahoma"/>
            <family val="2"/>
          </rPr>
          <t xml:space="preserve">Dropdown if any of the following selected in column 06:
</t>
        </r>
        <r>
          <rPr>
            <sz val="9"/>
            <color rgb="FF000000"/>
            <rFont val="Tahoma"/>
            <family val="2"/>
          </rPr>
          <t xml:space="preserve">- Dwelling Units &lt;= 3 stories: New
</t>
        </r>
        <r>
          <rPr>
            <sz val="9"/>
            <color rgb="FF000000"/>
            <rFont val="Tahoma"/>
            <family val="2"/>
          </rPr>
          <t>- Dwellng Units &gt; 3 stories: New</t>
        </r>
      </text>
    </comment>
    <comment ref="B75" authorId="0" shapeId="0" xr:uid="{211355EE-AA04-42F6-8DF6-5D4E9EF6CFB7}">
      <text>
        <r>
          <rPr>
            <sz val="9"/>
            <color rgb="FF000000"/>
            <rFont val="Tahoma"/>
            <family val="2"/>
          </rPr>
          <t>Greys out col 06-13</t>
        </r>
      </text>
    </comment>
    <comment ref="D75" authorId="0" shapeId="0" xr:uid="{4DB8EAEB-214A-4036-A183-099CEF1DB3A5}">
      <text>
        <r>
          <rPr>
            <b/>
            <sz val="9"/>
            <color rgb="FF000000"/>
            <rFont val="Tahoma"/>
            <family val="2"/>
          </rPr>
          <t>Sally Blair:</t>
        </r>
        <r>
          <rPr>
            <sz val="9"/>
            <color rgb="FF000000"/>
            <rFont val="Tahoma"/>
            <family val="2"/>
          </rPr>
          <t xml:space="preserve">
</t>
        </r>
        <r>
          <rPr>
            <sz val="9"/>
            <color rgb="FF000000"/>
            <rFont val="Tahoma"/>
            <family val="2"/>
          </rPr>
          <t>This selection populates (R)SHGC row in column 11 with "0.56"</t>
        </r>
      </text>
    </comment>
    <comment ref="E75" authorId="0" shapeId="0" xr:uid="{1A02EECE-3058-47B0-A945-D6D3614600E6}">
      <text>
        <r>
          <rPr>
            <b/>
            <sz val="9"/>
            <color rgb="FF000000"/>
            <rFont val="Tahoma"/>
            <family val="2"/>
          </rPr>
          <t>Sally Blair:</t>
        </r>
        <r>
          <rPr>
            <sz val="9"/>
            <color rgb="FF000000"/>
            <rFont val="Tahoma"/>
            <family val="2"/>
          </rPr>
          <t xml:space="preserve">
</t>
        </r>
        <r>
          <rPr>
            <sz val="9"/>
            <color rgb="FF000000"/>
            <rFont val="Tahoma"/>
            <family val="2"/>
          </rPr>
          <t>This selection greys out VT row in column 11 &amp; 12.</t>
        </r>
      </text>
    </comment>
    <comment ref="C76" authorId="0" shapeId="0" xr:uid="{00000000-0006-0000-0D00-00002A000000}">
      <text>
        <r>
          <rPr>
            <b/>
            <sz val="9"/>
            <color rgb="FF000000"/>
            <rFont val="Tahoma"/>
            <family val="2"/>
          </rPr>
          <t>Sally Blair:</t>
        </r>
        <r>
          <rPr>
            <sz val="9"/>
            <color rgb="FF000000"/>
            <rFont val="Tahoma"/>
            <family val="2"/>
          </rPr>
          <t xml:space="preserve">
</t>
        </r>
        <r>
          <rPr>
            <sz val="9"/>
            <color rgb="FF000000"/>
            <rFont val="Tahoma"/>
            <family val="2"/>
          </rPr>
          <t>All 3 of these last choices with (Adding New &lt; 50ft2) need to grey out columns 07 &amp; 08 &amp; RSHGC &amp; VT rows in columns 11 &amp; 12.</t>
        </r>
      </text>
    </comment>
    <comment ref="D76" authorId="0" shapeId="0" xr:uid="{9E4D863A-D140-4768-8715-6B6D1A6725C8}">
      <text>
        <r>
          <rPr>
            <sz val="9"/>
            <color rgb="FF000000"/>
            <rFont val="Tahoma"/>
            <family val="2"/>
          </rPr>
          <t xml:space="preserve">Dropdown if any of the following selected in column 06:
</t>
        </r>
        <r>
          <rPr>
            <sz val="9"/>
            <color rgb="FF000000"/>
            <rFont val="Tahoma"/>
            <family val="2"/>
          </rPr>
          <t xml:space="preserve">- Dwelling Units &lt;= 3 stories: Alt.(Replacement &gt; 150ft2)
</t>
        </r>
        <r>
          <rPr>
            <sz val="9"/>
            <color rgb="FF000000"/>
            <rFont val="Tahoma"/>
            <family val="2"/>
          </rPr>
          <t xml:space="preserve">- Dwellng Units &gt; 3 stories: Alt.(Replacement &gt; 150ft2)
</t>
        </r>
        <r>
          <rPr>
            <sz val="9"/>
            <color rgb="FF000000"/>
            <rFont val="Tahoma"/>
            <family val="2"/>
          </rPr>
          <t xml:space="preserve">- Dwelling Units &lt;= 3 stories: Alt.(Replacement &lt;= 150ft2)
</t>
        </r>
        <r>
          <rPr>
            <sz val="9"/>
            <color rgb="FF000000"/>
            <rFont val="Tahoma"/>
            <family val="2"/>
          </rPr>
          <t>- Dwellng Units &gt; 3 stories: Alt.(Replacement &lt;= 150ft2)</t>
        </r>
      </text>
    </comment>
    <comment ref="E76" authorId="0" shapeId="0" xr:uid="{C4E21941-F4A0-434E-8DD7-080DB47D9657}">
      <text>
        <r>
          <rPr>
            <sz val="9"/>
            <color rgb="FF000000"/>
            <rFont val="Tahoma"/>
            <family val="2"/>
          </rPr>
          <t xml:space="preserve">Dropdown if any of the following selected in column 06:
</t>
        </r>
        <r>
          <rPr>
            <sz val="9"/>
            <color rgb="FF000000"/>
            <rFont val="Tahoma"/>
            <family val="2"/>
          </rPr>
          <t xml:space="preserve">- Dwellng Units &gt; 3 stories: Alt.(Replacement &gt; 150ft2)
</t>
        </r>
        <r>
          <rPr>
            <sz val="9"/>
            <color rgb="FF000000"/>
            <rFont val="Tahoma"/>
            <family val="2"/>
          </rPr>
          <t>- Dwellng Units &gt; 3 stories:Alt.(Adding New &gt; 50ft2)</t>
        </r>
      </text>
    </comment>
    <comment ref="D77" authorId="0" shapeId="0" xr:uid="{40C7A8E7-589A-4B44-A2A8-7E8F208415B3}">
      <text>
        <r>
          <rPr>
            <sz val="9"/>
            <color rgb="FF000000"/>
            <rFont val="Tahoma"/>
            <family val="2"/>
          </rPr>
          <t xml:space="preserve">Greys out col 08 &amp; VT rows in 11&amp;12 
</t>
        </r>
        <r>
          <rPr>
            <sz val="9"/>
            <color rgb="FF000000"/>
            <rFont val="Tahoma"/>
            <family val="2"/>
          </rPr>
          <t>Note: this does not apply to selection when 06 is "New", it only applies for this custom dropdown when 06 is "Replacement &gt; 150ft2"</t>
        </r>
      </text>
    </comment>
    <comment ref="D79" authorId="0" shapeId="0" xr:uid="{79169B5A-9758-4CC6-A449-DF01628F1717}">
      <text>
        <r>
          <rPr>
            <sz val="9"/>
            <color rgb="FF000000"/>
            <rFont val="Tahoma"/>
            <family val="2"/>
          </rPr>
          <t xml:space="preserve">Dropdown if any of the following selected in column 06:
</t>
        </r>
        <r>
          <rPr>
            <sz val="9"/>
            <color rgb="FF000000"/>
            <rFont val="Tahoma"/>
            <family val="2"/>
          </rPr>
          <t xml:space="preserve">- Dwelling Units &lt;= 3 stories:Alt.(Adding New &gt; 50ft2)
</t>
        </r>
        <r>
          <rPr>
            <sz val="9"/>
            <color rgb="FF000000"/>
            <rFont val="Tahoma"/>
            <family val="2"/>
          </rPr>
          <t xml:space="preserve">- Dwellng Units &gt; 3 stories:Alt.(Adding New &gt; 50ft2)
</t>
        </r>
      </text>
    </comment>
    <comment ref="C81" authorId="0" shapeId="0" xr:uid="{68D882E7-2BA7-4E21-9F27-B9376055BD98}">
      <text>
        <r>
          <rPr>
            <sz val="9"/>
            <color rgb="FF000000"/>
            <rFont val="Tahoma"/>
            <family val="2"/>
          </rPr>
          <t xml:space="preserve">Greys out col 08 &amp; RSHGC + VT rows in 11&amp;12 </t>
        </r>
      </text>
    </comment>
    <comment ref="E93" authorId="0" shapeId="0" xr:uid="{00000000-0006-0000-0D00-00002D000000}">
      <text>
        <r>
          <rPr>
            <b/>
            <sz val="9"/>
            <color rgb="FF000000"/>
            <rFont val="Tahoma"/>
            <family val="2"/>
          </rPr>
          <t>Sally Blair:</t>
        </r>
        <r>
          <rPr>
            <sz val="9"/>
            <color rgb="FF000000"/>
            <rFont val="Tahoma"/>
            <family val="2"/>
          </rPr>
          <t xml:space="preserve">
</t>
        </r>
        <r>
          <rPr>
            <sz val="9"/>
            <color rgb="FF000000"/>
            <rFont val="Tahoma"/>
            <family val="2"/>
          </rPr>
          <t>custom dropdown when column 22 is either "Non-metal" or "Metal" &amp; column 20 is "No"</t>
        </r>
      </text>
    </comment>
    <comment ref="F98" authorId="0" shapeId="0" xr:uid="{00000000-0006-0000-0D00-00002E000000}">
      <text>
        <r>
          <rPr>
            <b/>
            <sz val="9"/>
            <color rgb="FF000000"/>
            <rFont val="Tahoma"/>
            <family val="2"/>
          </rPr>
          <t>Sally Blair:</t>
        </r>
        <r>
          <rPr>
            <sz val="9"/>
            <color rgb="FF000000"/>
            <rFont val="Tahoma"/>
            <family val="2"/>
          </rPr>
          <t xml:space="preserve">
</t>
        </r>
        <r>
          <rPr>
            <sz val="9"/>
            <color rgb="FF000000"/>
            <rFont val="Tahoma"/>
            <family val="2"/>
          </rPr>
          <t>Custom when 23 is "glass block"</t>
        </r>
      </text>
    </comment>
    <comment ref="E99" authorId="0" shapeId="0" xr:uid="{00000000-0006-0000-0D00-00002F000000}">
      <text>
        <r>
          <rPr>
            <b/>
            <sz val="9"/>
            <color rgb="FF000000"/>
            <rFont val="Tahoma"/>
            <family val="2"/>
          </rPr>
          <t>Sally Blair:</t>
        </r>
        <r>
          <rPr>
            <sz val="9"/>
            <color rgb="FF000000"/>
            <rFont val="Tahoma"/>
            <family val="2"/>
          </rPr>
          <t xml:space="preserve">
</t>
        </r>
        <r>
          <rPr>
            <sz val="9"/>
            <color rgb="FF000000"/>
            <rFont val="Tahoma"/>
            <family val="2"/>
          </rPr>
          <t>custom dropdown when column 22 is "Metal with Thermal Break"</t>
        </r>
      </text>
    </comment>
    <comment ref="E103" authorId="0" shapeId="0" xr:uid="{00000000-0006-0000-0D00-000030000000}">
      <text>
        <r>
          <rPr>
            <b/>
            <sz val="9"/>
            <color rgb="FF000000"/>
            <rFont val="Tahoma"/>
            <family val="2"/>
          </rPr>
          <t>Sally Blair:</t>
        </r>
        <r>
          <rPr>
            <sz val="9"/>
            <color rgb="FF000000"/>
            <rFont val="Tahoma"/>
            <family val="2"/>
          </rPr>
          <t xml:space="preserve">
</t>
        </r>
        <r>
          <rPr>
            <sz val="9"/>
            <color rgb="FF000000"/>
            <rFont val="Tahoma"/>
            <family val="2"/>
          </rPr>
          <t>custom dropdown when column 22 is either "Non-metal" or "Metal" &amp; column 20 is "Yes"</t>
        </r>
      </text>
    </comment>
    <comment ref="A109" authorId="2" shapeId="0" xr:uid="{6B074E53-5E18-47F7-8FBB-BFBF850C5AA2}">
      <text>
        <r>
          <rPr>
            <b/>
            <sz val="9"/>
            <color rgb="FF000000"/>
            <rFont val="Tahoma"/>
            <family val="2"/>
          </rPr>
          <t>Alexis Markstrum:</t>
        </r>
        <r>
          <rPr>
            <sz val="9"/>
            <color rgb="FF000000"/>
            <rFont val="Tahoma"/>
            <family val="2"/>
          </rPr>
          <t xml:space="preserve">
</t>
        </r>
        <r>
          <rPr>
            <sz val="9"/>
            <color rgb="FF000000"/>
            <rFont val="Tahoma"/>
            <family val="2"/>
          </rPr>
          <t>If selected grey out col 01-04</t>
        </r>
      </text>
    </comment>
    <comment ref="C112" authorId="0" shapeId="0" xr:uid="{00000000-0006-0000-0D00-000031000000}">
      <text>
        <r>
          <rPr>
            <b/>
            <sz val="9"/>
            <color rgb="FF000000"/>
            <rFont val="Tahoma"/>
            <family val="2"/>
          </rPr>
          <t>Sally Blair:</t>
        </r>
        <r>
          <rPr>
            <sz val="9"/>
            <color rgb="FF000000"/>
            <rFont val="Tahoma"/>
            <family val="2"/>
          </rPr>
          <t xml:space="preserve">
</t>
        </r>
        <r>
          <rPr>
            <sz val="9"/>
            <color rgb="FF000000"/>
            <rFont val="Tahoma"/>
            <family val="2"/>
          </rPr>
          <t xml:space="preserve">If 01 is "Yes", this equals 0.10x column 02
</t>
        </r>
        <r>
          <rPr>
            <sz val="9"/>
            <color rgb="FF000000"/>
            <rFont val="Tahoma"/>
            <family val="2"/>
          </rPr>
          <t>If 01 is "No", this equals 0.05x column 02.</t>
        </r>
      </text>
    </comment>
    <comment ref="F123" authorId="2" shapeId="0" xr:uid="{8C7F2ABD-3E1F-430D-A38B-091D31B1F629}">
      <text>
        <r>
          <rPr>
            <b/>
            <sz val="9"/>
            <color rgb="FF000000"/>
            <rFont val="Tahoma"/>
            <family val="2"/>
          </rPr>
          <t>Alexis Markstrum:</t>
        </r>
        <r>
          <rPr>
            <sz val="9"/>
            <color rgb="FF000000"/>
            <rFont val="Tahoma"/>
            <family val="2"/>
          </rPr>
          <t xml:space="preserve">
</t>
        </r>
        <r>
          <rPr>
            <sz val="9"/>
            <color rgb="FF000000"/>
            <rFont val="Tahoma"/>
            <family val="2"/>
          </rPr>
          <t>Gray out if 06 ≠ Dwelling Units &gt; 3 stories: Alt. (Replacement) OR Dwelling Units &gt; 3 stories: Alt. (Adding &gt; 16ft2)</t>
        </r>
      </text>
    </comment>
    <comment ref="H124" authorId="0" shapeId="0" xr:uid="{00000000-0006-0000-0D00-000032000000}">
      <text>
        <r>
          <rPr>
            <sz val="9"/>
            <color rgb="FF000000"/>
            <rFont val="Tahoma"/>
            <family val="2"/>
          </rPr>
          <t xml:space="preserve">All three of these values come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Dwelling Units &gt; 3 stories: New = Table 170.2-A
</t>
        </r>
        <r>
          <rPr>
            <b/>
            <sz val="9"/>
            <color rgb="FFFF0000"/>
            <rFont val="Tahoma"/>
            <family val="2"/>
          </rPr>
          <t>(UPDATED VALUES FOR 2025)</t>
        </r>
        <r>
          <rPr>
            <sz val="9"/>
            <color rgb="FF000000"/>
            <rFont val="Tahoma"/>
            <family val="2"/>
          </rPr>
          <t xml:space="preserve">
</t>
        </r>
        <r>
          <rPr>
            <sz val="9"/>
            <color rgb="FF000000"/>
            <rFont val="Tahoma"/>
            <family val="2"/>
          </rPr>
          <t xml:space="preserve">- All other Dwelling Units depends on selection in 07
</t>
        </r>
        <r>
          <rPr>
            <sz val="9"/>
            <color rgb="FF000000"/>
            <rFont val="Tahoma"/>
            <family val="2"/>
          </rPr>
          <t xml:space="preserve">
</t>
        </r>
        <r>
          <rPr>
            <sz val="9"/>
            <color rgb="FF000000"/>
            <rFont val="Tahoma"/>
            <family val="2"/>
          </rPr>
          <t xml:space="preserve">Required value depends on selection from column 05.
</t>
        </r>
      </text>
    </comment>
    <comment ref="I124" authorId="0" shapeId="0" xr:uid="{00000000-0006-0000-0D00-000033000000}">
      <text>
        <r>
          <rPr>
            <sz val="9"/>
            <color rgb="FF000000"/>
            <rFont val="Tahoma"/>
            <family val="2"/>
          </rPr>
          <t xml:space="preserve">This column opens for user input if "NFRC Certified" is selected in column 08.  Otherwise, the # comes column 16 if "NA6 default" chosen, or column 21 if "S110.6 Default" chosen. 
</t>
        </r>
      </text>
    </comment>
    <comment ref="J124" authorId="0" shapeId="0" xr:uid="{00000000-0006-0000-0D00-000034000000}">
      <text>
        <r>
          <rPr>
            <b/>
            <sz val="9"/>
            <color rgb="FF000000"/>
            <rFont val="Tahoma"/>
            <family val="2"/>
          </rPr>
          <t>Sally Blair:</t>
        </r>
        <r>
          <rPr>
            <sz val="9"/>
            <color rgb="FF000000"/>
            <rFont val="Tahoma"/>
            <family val="2"/>
          </rPr>
          <t xml:space="preserve">
</t>
        </r>
        <r>
          <rPr>
            <sz val="9"/>
            <color rgb="FF000000"/>
            <rFont val="Tahoma"/>
            <family val="2"/>
          </rPr>
          <t xml:space="preserve">Ben, this is open for user entry if columns 01, 02 or 03 are checked.
</t>
        </r>
        <r>
          <rPr>
            <sz val="9"/>
            <color rgb="FF000000"/>
            <rFont val="Tahoma"/>
            <family val="2"/>
          </rPr>
          <t>Otherwise, grey out.</t>
        </r>
      </text>
    </comment>
    <comment ref="H128" authorId="2" shapeId="0" xr:uid="{ABF629AF-7646-4E4C-B5AA-0B0821DF81EA}">
      <text>
        <r>
          <rPr>
            <b/>
            <sz val="9"/>
            <color rgb="FF000000"/>
            <rFont val="Tahoma"/>
            <family val="2"/>
          </rPr>
          <t>Alexis Markstrum:</t>
        </r>
        <r>
          <rPr>
            <sz val="9"/>
            <color rgb="FF000000"/>
            <rFont val="Tahoma"/>
            <family val="2"/>
          </rPr>
          <t xml:space="preserve">
</t>
        </r>
        <r>
          <rPr>
            <sz val="9"/>
            <color rgb="FF000000"/>
            <rFont val="Tahoma"/>
            <family val="2"/>
          </rPr>
          <t>If 05 = Tubular Daylighting Devices and 06 = Hotel/Motel OR Relocatable all CZ, then gray out</t>
        </r>
      </text>
    </comment>
    <comment ref="G138" authorId="0" shapeId="0" xr:uid="{00000000-0006-0000-0D00-000035000000}">
      <text>
        <r>
          <rPr>
            <sz val="9"/>
            <color rgb="FF000000"/>
            <rFont val="Tahoma"/>
            <family val="2"/>
          </rPr>
          <t xml:space="preserve">If N.A. in default table, can we leave column 12 open for user input? AHHH?!
</t>
        </r>
        <r>
          <rPr>
            <sz val="9"/>
            <color rgb="FF000000"/>
            <rFont val="Tahoma"/>
            <family val="2"/>
          </rPr>
          <t xml:space="preserve">Same for SHGC
</t>
        </r>
        <r>
          <rPr>
            <sz val="9"/>
            <color rgb="FF000000"/>
            <rFont val="Tahoma"/>
            <family val="2"/>
          </rPr>
          <t>Let's talk about what to do here.  Custom dropdowns won't work because the categories don't jive.</t>
        </r>
      </text>
    </comment>
    <comment ref="G140" authorId="0" shapeId="0" xr:uid="{00000000-0006-0000-0D00-000036000000}">
      <text>
        <r>
          <rPr>
            <b/>
            <sz val="9"/>
            <color rgb="FF000000"/>
            <rFont val="Tahoma"/>
            <family val="2"/>
          </rPr>
          <t>Sally Blair:</t>
        </r>
        <r>
          <rPr>
            <sz val="9"/>
            <color rgb="FF000000"/>
            <rFont val="Tahoma"/>
            <family val="2"/>
          </rPr>
          <t xml:space="preserve">
</t>
        </r>
        <r>
          <rPr>
            <sz val="9"/>
            <color rgb="FF000000"/>
            <rFont val="Tahoma"/>
            <family val="2"/>
          </rPr>
          <t>Ben, for the default here, we can use the NA6 equation where VTc = 1.  That means we can just use the VTF values directly based on column 05</t>
        </r>
      </text>
    </comment>
    <comment ref="C143" authorId="2" shapeId="0" xr:uid="{37A83D3A-2775-4E54-B71F-0B5C05E50F38}">
      <text>
        <r>
          <rPr>
            <b/>
            <sz val="9"/>
            <color rgb="FF000000"/>
            <rFont val="Tahoma"/>
            <family val="2"/>
          </rPr>
          <t>Alexis Markstrum:</t>
        </r>
        <r>
          <rPr>
            <sz val="9"/>
            <color rgb="FF000000"/>
            <rFont val="Tahoma"/>
            <family val="2"/>
          </rPr>
          <t xml:space="preserve">
</t>
        </r>
        <r>
          <rPr>
            <sz val="9"/>
            <color rgb="FF000000"/>
            <rFont val="Tahoma"/>
            <family val="2"/>
          </rPr>
          <t>Custom dropdown when 05 is "Tubular Daylight Devices"</t>
        </r>
      </text>
    </comment>
    <comment ref="C146" authorId="0" shapeId="0" xr:uid="{3B9D0748-3285-48C9-BFF0-1EE5FC61B67B}">
      <text>
        <r>
          <rPr>
            <sz val="9"/>
            <color rgb="FF000000"/>
            <rFont val="Tahoma"/>
            <family val="2"/>
          </rPr>
          <t>"Add/Repl. &lt; 50ft2)" greys out SHGC &amp; VT rows in columns 11 &amp; 12.</t>
        </r>
      </text>
    </comment>
    <comment ref="C147" authorId="2" shapeId="0" xr:uid="{11F09252-7543-40F5-BDE0-CA42DDD0BDFC}">
      <text>
        <r>
          <rPr>
            <b/>
            <sz val="9"/>
            <color rgb="FF000000"/>
            <rFont val="Tahoma"/>
            <family val="2"/>
          </rPr>
          <t>Alexis Markstrum:</t>
        </r>
        <r>
          <rPr>
            <sz val="9"/>
            <color rgb="FF000000"/>
            <rFont val="Tahoma"/>
            <family val="2"/>
          </rPr>
          <t xml:space="preserve">
</t>
        </r>
        <r>
          <rPr>
            <sz val="9"/>
            <color rgb="FF000000"/>
            <rFont val="Tahoma"/>
            <family val="2"/>
          </rPr>
          <t>Custom dropdown when 05 is anything OTHER THAN "Tubular Daylight Devices"</t>
        </r>
      </text>
    </comment>
    <comment ref="F147" authorId="0" shapeId="0" xr:uid="{56565F53-A324-4ECA-8A47-AF098AEA4BA2}">
      <text>
        <r>
          <rPr>
            <sz val="9"/>
            <color rgb="FF000000"/>
            <rFont val="Tahoma"/>
            <family val="2"/>
          </rPr>
          <t xml:space="preserve">Custom dropdown for the following selections in 06:
</t>
        </r>
        <r>
          <rPr>
            <sz val="9"/>
            <color rgb="FF000000"/>
            <rFont val="Tahoma"/>
            <family val="2"/>
          </rPr>
          <t>- Dwelling Units &gt; 3 stories: Alt. (Replacement)</t>
        </r>
      </text>
    </comment>
    <comment ref="D149" authorId="0" shapeId="0" xr:uid="{00000000-0006-0000-0D00-000039000000}">
      <text>
        <r>
          <rPr>
            <b/>
            <sz val="9"/>
            <color rgb="FF000000"/>
            <rFont val="Tahoma"/>
            <family val="2"/>
          </rPr>
          <t>Sally Blair:</t>
        </r>
        <r>
          <rPr>
            <sz val="9"/>
            <color rgb="FF000000"/>
            <rFont val="Tahoma"/>
            <family val="2"/>
          </rPr>
          <t xml:space="preserve">
</t>
        </r>
        <r>
          <rPr>
            <sz val="9"/>
            <color rgb="FF000000"/>
            <rFont val="Tahoma"/>
            <family val="2"/>
          </rPr>
          <t>This selection triggers the NA6 Default section to expand for user input. Otherwise, minimize it.</t>
        </r>
      </text>
    </comment>
    <comment ref="B150" authorId="0" shapeId="0" xr:uid="{00000000-0006-0000-0D00-00003A000000}">
      <text>
        <r>
          <rPr>
            <b/>
            <sz val="9"/>
            <color rgb="FF000000"/>
            <rFont val="Tahoma"/>
            <family val="2"/>
          </rPr>
          <t>Sally Blair:</t>
        </r>
        <r>
          <rPr>
            <sz val="9"/>
            <color rgb="FF000000"/>
            <rFont val="Tahoma"/>
            <family val="2"/>
          </rPr>
          <t xml:space="preserve">
</t>
        </r>
        <r>
          <rPr>
            <sz val="9"/>
            <color rgb="FF000000"/>
            <rFont val="Tahoma"/>
            <family val="2"/>
          </rPr>
          <t>selection greys out SHGC rows in columns 11 &amp; 12</t>
        </r>
      </text>
    </comment>
    <comment ref="C150" authorId="0" shapeId="0" xr:uid="{00000000-0006-0000-0D00-00003B000000}">
      <text>
        <r>
          <rPr>
            <sz val="9"/>
            <color rgb="FF000000"/>
            <rFont val="Tahoma"/>
            <family val="2"/>
          </rPr>
          <t>Both "Relocatable all CZ: New" and "Relocatable all CZ: Alt. (Add/Replacement &gt; 50ft2)"  Should grey out "VT" row in columns 11 &amp; 12 because there are no VT requirements.</t>
        </r>
      </text>
    </comment>
    <comment ref="D150" authorId="0" shapeId="0" xr:uid="{00000000-0006-0000-0D00-00003C000000}">
      <text>
        <r>
          <rPr>
            <b/>
            <sz val="9"/>
            <color rgb="FF000000"/>
            <rFont val="Tahoma"/>
            <family val="2"/>
          </rPr>
          <t>Sally Blair:</t>
        </r>
        <r>
          <rPr>
            <sz val="9"/>
            <color rgb="FF000000"/>
            <rFont val="Tahoma"/>
            <family val="2"/>
          </rPr>
          <t xml:space="preserve">
</t>
        </r>
        <r>
          <rPr>
            <sz val="9"/>
            <color rgb="FF000000"/>
            <rFont val="Tahoma"/>
            <family val="2"/>
          </rPr>
          <t>This selection triggers the S110.6  Default Tables section to expand for user input. Otherwise, minimize it.</t>
        </r>
      </text>
    </comment>
    <comment ref="F150" authorId="0" shapeId="0" xr:uid="{6FE2AB26-4E7D-4D1D-BCE8-10F949475C09}">
      <text>
        <r>
          <rPr>
            <sz val="9"/>
            <color rgb="FF000000"/>
            <rFont val="Tahoma"/>
            <family val="2"/>
          </rPr>
          <t xml:space="preserve">Custom dropdown for the following selections in 06:
</t>
        </r>
        <r>
          <rPr>
            <sz val="9"/>
            <color rgb="FF000000"/>
            <rFont val="Tahoma"/>
            <family val="2"/>
          </rPr>
          <t>- Dwelling Units &gt; 3 stories: Alt. (Adding &gt; 16ft2)</t>
        </r>
      </text>
    </comment>
    <comment ref="B151" authorId="0" shapeId="0" xr:uid="{00000000-0006-0000-0D00-00003D000000}">
      <text>
        <r>
          <rPr>
            <b/>
            <sz val="9"/>
            <color rgb="FF000000"/>
            <rFont val="Tahoma"/>
            <family val="2"/>
          </rPr>
          <t>Sally Blair:</t>
        </r>
        <r>
          <rPr>
            <sz val="9"/>
            <color rgb="FF000000"/>
            <rFont val="Tahoma"/>
            <family val="2"/>
          </rPr>
          <t xml:space="preserve">
</t>
        </r>
        <r>
          <rPr>
            <sz val="9"/>
            <color rgb="FF000000"/>
            <rFont val="Tahoma"/>
            <family val="2"/>
          </rPr>
          <t>This selection greys out columns 06 through  13 for this row.</t>
        </r>
      </text>
    </comment>
    <comment ref="B152" authorId="0" shapeId="0" xr:uid="{00000000-0006-0000-0D00-00003E000000}">
      <text>
        <r>
          <rPr>
            <sz val="9"/>
            <color rgb="FF000000"/>
            <rFont val="Tahoma"/>
            <family val="2"/>
          </rPr>
          <t>This selection needs to grey out SHGC rows in columns 11 &amp; 12.</t>
        </r>
      </text>
    </comment>
    <comment ref="C154" authorId="0" shapeId="0" xr:uid="{00000000-0006-0000-0D00-00003F000000}">
      <text>
        <r>
          <rPr>
            <sz val="9"/>
            <color rgb="FF000000"/>
            <rFont val="Tahoma"/>
            <family val="2"/>
          </rPr>
          <t xml:space="preserve">Sally Blair:
</t>
        </r>
        <r>
          <rPr>
            <sz val="9"/>
            <color rgb="FF000000"/>
            <rFont val="Tahoma"/>
            <family val="2"/>
          </rPr>
          <t>All 3 "Add/Repl. &lt; 50ft2)" greys out SHGC &amp; VT rows in columns 11 &amp; 12.</t>
        </r>
      </text>
    </comment>
    <comment ref="C157" authorId="0" shapeId="0" xr:uid="{3C7E700F-2660-4607-ADD2-D0DAE1FB5769}">
      <text>
        <r>
          <rPr>
            <sz val="9"/>
            <color rgb="FF000000"/>
            <rFont val="Tahoma"/>
            <family val="2"/>
          </rPr>
          <t xml:space="preserve">Populates column 10 with:
</t>
        </r>
        <r>
          <rPr>
            <sz val="9"/>
            <color rgb="FF000000"/>
            <rFont val="Tahoma"/>
            <family val="2"/>
          </rPr>
          <t xml:space="preserve">Ufactor = 0.55
</t>
        </r>
        <r>
          <rPr>
            <sz val="9"/>
            <color rgb="FF000000"/>
            <rFont val="Tahoma"/>
            <family val="2"/>
          </rPr>
          <t xml:space="preserve">SHGC = 0.30
</t>
        </r>
        <r>
          <rPr>
            <sz val="9"/>
            <color rgb="FF000000"/>
            <rFont val="Tahoma"/>
            <family val="2"/>
          </rPr>
          <t>Greys out 07, 09 &amp; VT in col 11&amp;12</t>
        </r>
      </text>
    </comment>
    <comment ref="C158" authorId="0" shapeId="0" xr:uid="{18AF3D51-F721-4BC1-8431-D17DE7A50E76}">
      <text>
        <r>
          <rPr>
            <sz val="9"/>
            <color rgb="FF000000"/>
            <rFont val="Tahoma"/>
            <family val="2"/>
          </rPr>
          <t>Greys out 07</t>
        </r>
      </text>
    </comment>
    <comment ref="D166" authorId="0" shapeId="0" xr:uid="{00000000-0006-0000-0D00-000040000000}">
      <text>
        <r>
          <rPr>
            <b/>
            <sz val="9"/>
            <color rgb="FF000000"/>
            <rFont val="Tahoma"/>
            <family val="2"/>
          </rPr>
          <t>Sally Blair:</t>
        </r>
        <r>
          <rPr>
            <sz val="9"/>
            <color rgb="FF000000"/>
            <rFont val="Tahoma"/>
            <family val="2"/>
          </rPr>
          <t xml:space="preserve">
</t>
        </r>
        <r>
          <rPr>
            <sz val="9"/>
            <color rgb="FF000000"/>
            <rFont val="Tahoma"/>
            <family val="2"/>
          </rPr>
          <t>Custom if 18 is "Metal w Thermal Break"</t>
        </r>
      </text>
    </comment>
    <comment ref="A169" authorId="0" shapeId="0" xr:uid="{00000000-0006-0000-0D00-000042000000}">
      <text>
        <r>
          <rPr>
            <b/>
            <sz val="9"/>
            <color rgb="FF000000"/>
            <rFont val="Tahoma"/>
            <family val="2"/>
          </rPr>
          <t>Sally Blair:</t>
        </r>
        <r>
          <rPr>
            <sz val="9"/>
            <color rgb="FF000000"/>
            <rFont val="Tahoma"/>
            <family val="2"/>
          </rPr>
          <t xml:space="preserve">
</t>
        </r>
        <r>
          <rPr>
            <sz val="9"/>
            <color rgb="FF000000"/>
            <rFont val="Tahoma"/>
            <family val="2"/>
          </rPr>
          <t xml:space="preserve">Ben, this section is triggered if columns 01, 02 or 03 "Calculate Area Weighted Average…." is selected above in the Vertical Fenestration Subtable, or in the Glazed Doors subtable
</t>
        </r>
        <r>
          <rPr>
            <sz val="9"/>
            <color rgb="FF000000"/>
            <rFont val="Tahoma"/>
            <family val="2"/>
          </rPr>
          <t xml:space="preserve">
</t>
        </r>
        <r>
          <rPr>
            <b/>
            <sz val="9"/>
            <color rgb="FF000000"/>
            <rFont val="Tahoma"/>
            <family val="2"/>
          </rPr>
          <t>2019 Update:</t>
        </r>
        <r>
          <rPr>
            <sz val="9"/>
            <color rgb="FF000000"/>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73" authorId="0" shapeId="0" xr:uid="{00000000-0006-0000-0D00-000044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E174" authorId="0" shapeId="0" xr:uid="{00000000-0006-0000-0D00-000045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E175" authorId="0" shapeId="0" xr:uid="{00000000-0006-0000-0D00-000046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&lt;= column 04.
</t>
        </r>
        <r>
          <rPr>
            <sz val="9"/>
            <color rgb="FF000000"/>
            <rFont val="Tahoma"/>
            <family val="2"/>
          </rPr>
          <t>Otherwise, says "DOES NOT COMPLY"</t>
        </r>
      </text>
    </comment>
    <comment ref="A180" authorId="0" shapeId="0" xr:uid="{00000000-0006-0000-0D00-000047000000}">
      <text>
        <r>
          <rPr>
            <b/>
            <sz val="9"/>
            <color rgb="FF000000"/>
            <rFont val="Tahoma"/>
            <family val="2"/>
          </rPr>
          <t>Sally Blair:</t>
        </r>
        <r>
          <rPr>
            <sz val="9"/>
            <color rgb="FF000000"/>
            <rFont val="Tahoma"/>
            <family val="2"/>
          </rPr>
          <t xml:space="preserve">
</t>
        </r>
        <r>
          <rPr>
            <sz val="9"/>
            <color rgb="FF000000"/>
            <rFont val="Tahoma"/>
            <family val="2"/>
          </rPr>
          <t xml:space="preserve">Ben, this section is triggered if columns 01, 02 or 03 "Calculate Area Weighted Average…." is selected above in the Skylights Subtable.
</t>
        </r>
        <r>
          <rPr>
            <b/>
            <sz val="9"/>
            <color rgb="FF000000"/>
            <rFont val="Tahoma"/>
            <family val="2"/>
          </rPr>
          <t xml:space="preserve">
</t>
        </r>
        <r>
          <rPr>
            <b/>
            <sz val="9"/>
            <color rgb="FF000000"/>
            <rFont val="Tahoma"/>
            <family val="2"/>
          </rPr>
          <t>2019 Update:</t>
        </r>
        <r>
          <rPr>
            <sz val="9"/>
            <color rgb="FF000000"/>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84" authorId="0" shapeId="0" xr:uid="{00000000-0006-0000-0D00-000048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 column 04.
</t>
        </r>
        <r>
          <rPr>
            <sz val="9"/>
            <color rgb="FF000000"/>
            <rFont val="Tahoma"/>
            <family val="2"/>
          </rPr>
          <t>Otherwise, says "DOES NOT COMPLY"</t>
        </r>
      </text>
    </comment>
    <comment ref="E185" authorId="0" shapeId="0" xr:uid="{00000000-0006-0000-0D00-000049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E186" authorId="0" shapeId="0" xr:uid="{00000000-0006-0000-0D00-00004A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&lt;= column 04.
</t>
        </r>
        <r>
          <rPr>
            <sz val="9"/>
            <color rgb="FF000000"/>
            <rFont val="Tahoma"/>
            <family val="2"/>
          </rPr>
          <t>Otherwise, says "DOES NOT COMPLY"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s>
  <commentList>
    <comment ref="E5" authorId="0" shapeId="0" xr:uid="{85A4FA76-B982-4E4A-9577-FA295F1D201C}">
      <text>
        <r>
          <rPr>
            <b/>
            <sz val="9"/>
            <color indexed="81"/>
            <rFont val="Tahoma"/>
            <family val="2"/>
          </rPr>
          <t>Sally Blair:</t>
        </r>
        <r>
          <rPr>
            <sz val="9"/>
            <color indexed="81"/>
            <rFont val="Tahoma"/>
            <family val="2"/>
          </rPr>
          <t xml:space="preserve">
Triggers Vertical Fenestration- U-factor, SHGC, VT subtable, but does NOT trigger Vertical Fenestration and Glazed Doors- Total Building &amp; West Facing Area subtable.</t>
        </r>
      </text>
    </comment>
    <comment ref="F5" authorId="0" shapeId="0" xr:uid="{68F0CEEE-8495-4651-8B42-DF60392DD45B}">
      <text>
        <r>
          <rPr>
            <b/>
            <sz val="9"/>
            <color indexed="81"/>
            <rFont val="Tahoma"/>
            <family val="2"/>
          </rPr>
          <t>Sally Blair:</t>
        </r>
        <r>
          <rPr>
            <sz val="9"/>
            <color indexed="81"/>
            <rFont val="Tahoma"/>
            <family val="2"/>
          </rPr>
          <t xml:space="preserve">
These selections expand appropriate sub section of Table K.
Vertical (New) triggers "Vertical Fenestration and Glazed Doors- Total Building &amp; West Facing Area" subtable.
</t>
        </r>
        <r>
          <rPr>
            <sz val="9"/>
            <color indexed="81"/>
            <rFont val="Tahoma"/>
            <family val="2"/>
          </rPr>
          <t xml:space="preserve">
Glazed doors (new) checkbox should also trigger  "Vertical Fenestration and Glazed Doors- Total Building &amp; West Facing Area" subtable.</t>
        </r>
      </text>
    </comment>
    <comment ref="G5" authorId="0" shapeId="0" xr:uid="{EB1CF0DF-8F05-4A76-9F0B-D394D37B6F53}">
      <text>
        <r>
          <rPr>
            <sz val="9"/>
            <color indexed="8"/>
            <rFont val="Tahoma"/>
            <family val="2"/>
          </rPr>
          <t>Triggers new MF Vertical/GD Total Buildng Area subtable AND
Vertical Fenestration- U-factor, SHGC, VT subtable</t>
        </r>
      </text>
    </comment>
    <comment ref="J5" authorId="0" shapeId="0" xr:uid="{F0678701-B8E5-4E42-807A-5405303694AD}">
      <text>
        <r>
          <rPr>
            <sz val="9"/>
            <color indexed="81"/>
            <rFont val="Tahoma"/>
            <family val="2"/>
          </rPr>
          <t xml:space="preserve">Needs to trigger both Vertical Fenestration and Glazed Doors- Total Building &amp; West Facing Area (New Construction &amp; Additions Only) subtable
</t>
        </r>
        <r>
          <rPr>
            <b/>
            <sz val="9"/>
            <color indexed="81"/>
            <rFont val="Tahoma"/>
            <family val="2"/>
          </rPr>
          <t xml:space="preserve">
</t>
        </r>
        <r>
          <rPr>
            <sz val="9"/>
            <color indexed="81"/>
            <rFont val="Tahoma"/>
            <family val="2"/>
          </rPr>
          <t>AND
Vertical Fenestration and Glazed Doors- U-factor, Solar Heat Gain Coefficient (RSHGC/SHGC), Visible Transmittance (VT) Subtable</t>
        </r>
      </text>
    </comment>
    <comment ref="D13" authorId="0" shapeId="0" xr:uid="{FE3976A8-0EC3-4AD7-B508-3DAA8CDC7C00}">
      <text>
        <r>
          <rPr>
            <b/>
            <sz val="9"/>
            <color indexed="81"/>
            <rFont val="Tahoma"/>
            <family val="2"/>
          </rPr>
          <t>Sally Blair:</t>
        </r>
        <r>
          <rPr>
            <sz val="9"/>
            <color indexed="81"/>
            <rFont val="Tahoma"/>
            <family val="2"/>
          </rPr>
          <t xml:space="preserve">
Equals the greater of (0.40x column 03) or (6x column 04) summed for all areas </t>
        </r>
      </text>
    </comment>
    <comment ref="H13" authorId="0" shapeId="0" xr:uid="{DE0E9E8E-ACA8-4DE2-94E2-06E110DB16A0}">
      <text>
        <r>
          <rPr>
            <b/>
            <sz val="9"/>
            <color indexed="81"/>
            <rFont val="Tahoma"/>
            <family val="2"/>
          </rPr>
          <t>Sally Blair:</t>
        </r>
        <r>
          <rPr>
            <sz val="9"/>
            <color indexed="81"/>
            <rFont val="Tahoma"/>
            <family val="2"/>
          </rPr>
          <t xml:space="preserve">
Equals sum of column 05 for all areas</t>
        </r>
      </text>
    </comment>
    <comment ref="D14" authorId="0" shapeId="0" xr:uid="{EA56A235-1D0F-42C1-A51A-07FCA69172FD}">
      <text>
        <r>
          <rPr>
            <b/>
            <sz val="9"/>
            <color indexed="81"/>
            <rFont val="Tahoma"/>
            <family val="2"/>
          </rPr>
          <t>Sally Blair:</t>
        </r>
        <r>
          <rPr>
            <sz val="9"/>
            <color indexed="81"/>
            <rFont val="Tahoma"/>
            <family val="2"/>
          </rPr>
          <t xml:space="preserve">
Equals the greater of (0.40x column 03) or (6x column 04) summed for all areas where column 02 = "West"
</t>
        </r>
      </text>
    </comment>
    <comment ref="H14" authorId="0" shapeId="0" xr:uid="{6F7FF3A2-E6B0-4389-87D6-968F98803A98}">
      <text>
        <r>
          <rPr>
            <b/>
            <sz val="9"/>
            <color indexed="81"/>
            <rFont val="Tahoma"/>
            <family val="2"/>
          </rPr>
          <t>Sally Blair:</t>
        </r>
        <r>
          <rPr>
            <sz val="9"/>
            <color indexed="81"/>
            <rFont val="Tahoma"/>
            <family val="2"/>
          </rPr>
          <t xml:space="preserve">
Equals sum of column 05 for all areas where column 02 = "West"</t>
        </r>
      </text>
    </comment>
    <comment ref="A20" authorId="0" shapeId="0" xr:uid="{C713FA2C-898C-4378-9FB7-7ACB4BA0C837}">
      <text>
        <r>
          <rPr>
            <b/>
            <sz val="9"/>
            <color indexed="8"/>
            <rFont val="Tahoma"/>
            <family val="2"/>
          </rPr>
          <t>8.6.21:</t>
        </r>
        <r>
          <rPr>
            <sz val="9"/>
            <color indexed="8"/>
            <rFont val="Tahoma"/>
            <family val="2"/>
          </rPr>
          <t xml:space="preserve">
This table is new for 2022 &amp; is exactly like the Vertical Fenestration Area table above except for changes notated in red.</t>
        </r>
      </text>
    </comment>
    <comment ref="D26" authorId="0" shapeId="0" xr:uid="{D232BD78-1EF6-48B0-88BF-3663E7CF0BDE}">
      <text>
        <r>
          <rPr>
            <sz val="9"/>
            <color indexed="8"/>
            <rFont val="Tahoma"/>
            <family val="2"/>
          </rPr>
          <t xml:space="preserve">Equals the lesser of (0.40x column 03) or (0.20 x column 04) summed for all areas </t>
        </r>
      </text>
    </comment>
    <comment ref="H26" authorId="0" shapeId="0" xr:uid="{AE97BBE1-D0A6-4FAD-B7E9-8BC55DC32D8D}">
      <text>
        <r>
          <rPr>
            <b/>
            <sz val="9"/>
            <color indexed="81"/>
            <rFont val="Tahoma"/>
            <family val="2"/>
          </rPr>
          <t>Sally Blair:</t>
        </r>
        <r>
          <rPr>
            <sz val="9"/>
            <color indexed="81"/>
            <rFont val="Tahoma"/>
            <family val="2"/>
          </rPr>
          <t xml:space="preserve">
Equals sum of column 05 for all areas</t>
        </r>
      </text>
    </comment>
    <comment ref="J40" authorId="0" shapeId="0" xr:uid="{FB0C4F67-A9C6-410C-BAC6-02BEF763C82D}">
      <text>
        <r>
          <rPr>
            <b/>
            <sz val="9"/>
            <color indexed="81"/>
            <rFont val="Tahoma"/>
            <family val="2"/>
          </rPr>
          <t>Sally Blair:</t>
        </r>
        <r>
          <rPr>
            <sz val="9"/>
            <color indexed="81"/>
            <rFont val="Tahoma"/>
            <family val="2"/>
          </rPr>
          <t xml:space="preserve">
This column opens for user input if "NFRC Certified" is selected in column 09.  Otherwise, the # comes from  column 19 if "NA6 default" chosen, or column 25 if "S110.6 Default" chosen. 
If column 09 "Overhang used..." is checked, RSHGC from column 32 overrides the SHGC in columns 19 or 25.
ACK! </t>
        </r>
      </text>
    </comment>
    <comment ref="I42" authorId="0" shapeId="0" xr:uid="{9030BAEB-6B2F-4E99-AB23-BC301C9BEC22}">
      <text>
        <r>
          <rPr>
            <sz val="9"/>
            <color rgb="FF000000"/>
            <rFont val="Tahoma"/>
            <family val="2"/>
          </rPr>
          <t xml:space="preserve">For "New" assemblies (column 06), this value comes from the Tables in Section 140.3.  Which table to use depends on the occupancy type from column 06:
</t>
        </r>
        <r>
          <rPr>
            <sz val="9"/>
            <color rgb="FF000000"/>
            <rFont val="Tahoma"/>
            <family val="2"/>
          </rPr>
          <t xml:space="preserve">Nonresidential = Table 140.3-B
</t>
        </r>
        <r>
          <rPr>
            <sz val="9"/>
            <color rgb="FF000000"/>
            <rFont val="Tahoma"/>
            <family val="2"/>
          </rPr>
          <t xml:space="preserve">*Please review, Ufactor &amp; SHGC values for Fixed, Curtainwall &amp; Storefront changed and are now dependent on CZ from A05.
</t>
        </r>
        <r>
          <rPr>
            <sz val="9"/>
            <color rgb="FF000000"/>
            <rFont val="Tahoma"/>
            <family val="2"/>
          </rPr>
          <t xml:space="preserve">Hotel/Motel =Table 140.3-C
</t>
        </r>
        <r>
          <rPr>
            <sz val="9"/>
            <color rgb="FF000000"/>
            <rFont val="Tahoma"/>
            <family val="2"/>
          </rPr>
          <t xml:space="preserve">
</t>
        </r>
        <r>
          <rPr>
            <sz val="9"/>
            <color rgb="FF000000"/>
            <rFont val="Tahoma"/>
            <family val="2"/>
          </rPr>
          <t xml:space="preserve">Dwelling Units requirements come from Table 170.2-A or Table 180.2-B depending on selection in 07.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For fen in demising walls selection in 05, use requirement for storefront.
</t>
        </r>
        <r>
          <rPr>
            <sz val="9"/>
            <color rgb="FF000000"/>
            <rFont val="Tahoma"/>
            <family val="2"/>
          </rPr>
          <t xml:space="preserve">
</t>
        </r>
        <r>
          <rPr>
            <sz val="9"/>
            <color rgb="FF000000"/>
            <rFont val="Tahoma"/>
            <family val="2"/>
          </rPr>
          <t xml:space="preserve">For "Alt" assemblies  (column 06), the requirement is based on the selection in column 06:
</t>
        </r>
        <r>
          <rPr>
            <sz val="9"/>
            <color rgb="FF000000"/>
            <rFont val="Tahoma"/>
            <family val="2"/>
          </rPr>
          <t xml:space="preserve">- "Replacement &gt; 150ft2" and "Replacement &lt; 150ft2" = values from Table 141.0-A based on CZ from Table A column 03.  I've copied Table 141.0-A to the right for your reference.
</t>
        </r>
        <r>
          <rPr>
            <sz val="9"/>
            <color rgb="FF000000"/>
            <rFont val="Tahoma"/>
            <family val="2"/>
          </rPr>
          <t xml:space="preserve">
</t>
        </r>
        <r>
          <rPr>
            <sz val="9"/>
            <color rgb="FF000000"/>
            <rFont val="Tahoma"/>
            <family val="2"/>
          </rPr>
          <t>- "Adding New &gt; 50ft2" and "Adding New &lt; 50ft2" = Table 140.3-B/C/D, depending on occupancy in column 06.</t>
        </r>
      </text>
    </comment>
    <comment ref="I43" authorId="0" shapeId="0" xr:uid="{EC786016-EDB1-42F5-9F1D-7AAB9E370527}">
      <text>
        <r>
          <rPr>
            <sz val="9"/>
            <color rgb="FF000000"/>
            <rFont val="Tahoma"/>
            <family val="2"/>
          </rPr>
          <t xml:space="preserve">If "Table 140.3-B/C/D" is selected in column 07, this value comes from the Tables in Section 140.3.  Which table to use depends on the occupancy type from column 06:
</t>
        </r>
        <r>
          <rPr>
            <sz val="9"/>
            <color rgb="FF000000"/>
            <rFont val="Tahoma"/>
            <family val="2"/>
          </rPr>
          <t xml:space="preserve">Nonresidential = Table 140.3-B
</t>
        </r>
        <r>
          <rPr>
            <sz val="9"/>
            <color rgb="FF000000"/>
            <rFont val="Tahoma"/>
            <family val="2"/>
          </rPr>
          <t xml:space="preserve">*Please review, Ufactor &amp; SHGC values for Fixed, Curtainwall &amp; Storefront changed and are now dependent on CZ from A05.
</t>
        </r>
        <r>
          <rPr>
            <sz val="9"/>
            <color rgb="FF000000"/>
            <rFont val="Tahoma"/>
            <family val="2"/>
          </rPr>
          <t xml:space="preserve">Hotel/Motel =Table 140.3-C
</t>
        </r>
        <r>
          <rPr>
            <sz val="9"/>
            <color rgb="FF000000"/>
            <rFont val="Tahoma"/>
            <family val="2"/>
          </rPr>
          <t xml:space="preserve">Dwelling Units requirements come from Table 170.2-A or Table 180.2-B depending on selection in 07.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"1st flr display perimeter-no overhang" is selected in column 07, this value is 0.56 [applies to dwelling units too]
</t>
        </r>
        <r>
          <rPr>
            <sz val="9"/>
            <color rgb="FF000000"/>
            <rFont val="Tahoma"/>
            <family val="2"/>
          </rPr>
          <t xml:space="preserve">
</t>
        </r>
        <r>
          <rPr>
            <sz val="9"/>
            <color rgb="FF000000"/>
            <rFont val="Tahoma"/>
            <family val="2"/>
          </rPr>
          <t>If "Table 141.0-A" is selected in column 07, this value = values from Table 141.0-A based on CZ from Table A column 03.  I've copied Table 141.0-A to the right for your reference.</t>
        </r>
      </text>
    </comment>
    <comment ref="F44" authorId="0" shapeId="0" xr:uid="{01E6D2F9-EF18-477B-A93E-2CE3B2CB0FBD}">
      <text>
        <r>
          <rPr>
            <sz val="9"/>
            <color indexed="81"/>
            <rFont val="Tahoma"/>
            <family val="2"/>
          </rPr>
          <t xml:space="preserve">This selection triggers the Overhang section to expand for user input. Otherwise, minimize it.
When selected, the RSHGC per design in 12 should not be user input. It should mirror the RSHGC value from K32 in this sub-table.
</t>
        </r>
        <r>
          <rPr>
            <b/>
            <sz val="9"/>
            <color indexed="81"/>
            <rFont val="Tahoma"/>
            <family val="2"/>
          </rPr>
          <t xml:space="preserve">
This is grayed out if RSHGC column 11 and 12 are grayed out.</t>
        </r>
      </text>
    </comment>
    <comment ref="I44" authorId="0" shapeId="0" xr:uid="{C7666210-2FC4-4403-AC97-EB952ED27507}">
      <text>
        <r>
          <rPr>
            <sz val="9"/>
            <color rgb="FF000000"/>
            <rFont val="Tahoma"/>
            <family val="2"/>
          </rPr>
          <t xml:space="preserve">If "Table 140.3-B/C/D" is selected in column 08, this value comes from the Tables in Section 140.3.  Which table to use depends on the occupancy type from column 06:
</t>
        </r>
        <r>
          <rPr>
            <sz val="9"/>
            <color rgb="FF000000"/>
            <rFont val="Tahoma"/>
            <family val="2"/>
          </rPr>
          <t xml:space="preserve">Nonresidential = Table 140.3-B
</t>
        </r>
        <r>
          <rPr>
            <sz val="9"/>
            <color rgb="FF000000"/>
            <rFont val="Tahoma"/>
            <family val="2"/>
          </rPr>
          <t xml:space="preserve">Hotel/Motel =Table 140.3-C
</t>
        </r>
        <r>
          <rPr>
            <sz val="9"/>
            <color rgb="FF000000"/>
            <rFont val="Tahoma"/>
            <family val="2"/>
          </rPr>
          <t xml:space="preserve">Dwelling Units requirements come from Table 170.2-A or Table 180.2-B depending on selection in 08.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"Equation 140.3-B (new only)" is selected in column 08, this value is calculated by: =0.11/WWR 
</t>
        </r>
        <r>
          <rPr>
            <sz val="9"/>
            <color rgb="FF000000"/>
            <rFont val="Tahoma"/>
            <family val="2"/>
          </rPr>
          <t xml:space="preserve">where WWR = column 07/ sum of column 03 for all areas (both from Total Building &amp; West Facing Area subtable) OR 0.40, whichever is less.
</t>
        </r>
        <r>
          <rPr>
            <sz val="9"/>
            <color rgb="FF000000"/>
            <rFont val="Tahoma"/>
            <family val="2"/>
          </rPr>
          <t xml:space="preserve">
</t>
        </r>
        <r>
          <rPr>
            <sz val="9"/>
            <color rgb="FF000000"/>
            <rFont val="Tahoma"/>
            <family val="2"/>
          </rPr>
          <t xml:space="preserve">If "Equation 170.2-B (new only)" is selected in column 08, this value is calculated by: =0.11/WWR 
</t>
        </r>
        <r>
          <rPr>
            <sz val="9"/>
            <color rgb="FF000000"/>
            <rFont val="Tahoma"/>
            <family val="2"/>
          </rPr>
          <t>where WWR = column 07/ sum of column 03 for all areas (both from Multifamily Vertical Fenestration and Glazed Doors- Total Building Area subtable) OR 0.40, whichever is less. Same calc as existing for NR, but use MF subtable instead.</t>
        </r>
      </text>
    </comment>
    <comment ref="B53" authorId="1" shapeId="0" xr:uid="{B5097C05-185A-49F3-ADB5-02BB715AD4EC}">
      <text>
        <r>
          <rPr>
            <sz val="9"/>
            <color indexed="81"/>
            <rFont val="Tahoma"/>
            <family val="2"/>
          </rPr>
          <t>If triggered, K20 greys out when "Glazed Door" is selected in K.05</t>
        </r>
      </text>
    </comment>
    <comment ref="H56" authorId="0" shapeId="0" xr:uid="{0673BFD6-61A1-437F-B1AD-DD3DE88847EA}">
      <text>
        <r>
          <rPr>
            <b/>
            <sz val="9"/>
            <color indexed="81"/>
            <rFont val="Tahoma"/>
            <family val="2"/>
          </rPr>
          <t>Sally Blair:</t>
        </r>
        <r>
          <rPr>
            <sz val="9"/>
            <color indexed="81"/>
            <rFont val="Tahoma"/>
            <family val="2"/>
          </rPr>
          <t xml:space="preserve">
For the default here use the NA6 equation where VTc = 1.  That means we can just use the VTF values directly based on columns 05 &amp; 21. </t>
        </r>
      </text>
    </comment>
    <comment ref="H60" authorId="0" shapeId="0" xr:uid="{3929B9CD-6ACE-4D5A-B766-DC879D4B23E0}">
      <text>
        <r>
          <rPr>
            <sz val="9"/>
            <color indexed="8"/>
            <rFont val="Tahoma"/>
            <family val="2"/>
          </rPr>
          <t>This equation has been updated- see screenshot to the right (&amp; down)
The equation is the same for S170.2 Multifamily</t>
        </r>
      </text>
    </comment>
    <comment ref="J61" authorId="0" shapeId="0" xr:uid="{7E82D156-55CA-4402-A5EB-2EA31EFD7557}">
      <text>
        <r>
          <rPr>
            <b/>
            <sz val="9"/>
            <color indexed="81"/>
            <rFont val="Tahoma"/>
            <family val="2"/>
          </rPr>
          <t>Sally Blair:</t>
        </r>
        <r>
          <rPr>
            <sz val="9"/>
            <color indexed="81"/>
            <rFont val="Tahoma"/>
            <family val="2"/>
          </rPr>
          <t xml:space="preserve">
This would add columns 04-13, but not column headings, just the user input row.</t>
        </r>
      </text>
    </comment>
    <comment ref="C65" authorId="1" shapeId="0" xr:uid="{F64830EC-6BFE-48B4-AC97-6908F32E12E8}">
      <text>
        <r>
          <rPr>
            <sz val="9"/>
            <color indexed="8"/>
            <rFont val="Tahoma"/>
            <family val="2"/>
          </rPr>
          <t>Removing custom dropdown for 2022 update</t>
        </r>
      </text>
    </comment>
    <comment ref="D65" authorId="0" shapeId="0" xr:uid="{684D0563-96AC-468A-9A15-F5CA4EE982F7}">
      <text>
        <r>
          <rPr>
            <sz val="9"/>
            <color indexed="8"/>
            <rFont val="Tahoma"/>
            <family val="2"/>
          </rPr>
          <t xml:space="preserve">Dropdown if any of the following selected in column 06:
- Nonres: New
- H/M: New
</t>
        </r>
      </text>
    </comment>
    <comment ref="E65" authorId="0" shapeId="0" xr:uid="{A1404B54-D78C-4C77-9FA4-F68A44841471}">
      <text>
        <r>
          <rPr>
            <sz val="9"/>
            <color indexed="8"/>
            <rFont val="Tahoma"/>
            <family val="2"/>
          </rPr>
          <t xml:space="preserve">Dropdown if any of the following selected in column 06:
- Nonres: New
- H/M: New
</t>
        </r>
      </text>
    </comment>
    <comment ref="F65" authorId="0" shapeId="0" xr:uid="{6A46737B-591F-449A-9C64-B65D88B80192}">
      <text>
        <r>
          <rPr>
            <sz val="9"/>
            <color indexed="8"/>
            <rFont val="Tahoma"/>
            <family val="2"/>
          </rPr>
          <t xml:space="preserve">Custom dropdown if col 06 is any of the following:
- Nonres: Alt. (Replacement..)
- Hotel/Motel: Alt. (Replacement..)
- Occupancy other than dwelling unit: Alt. (Replacement..)
- Nonres: Alt. (Adding New &gt; 50..)
- Hotel/Motel: Alt. (Adding New &gt; 50..)
- Nonres: Alt. (Adding New &lt;= 50..)
- Hotel/Motel: Alt. (Adding New &lt;= 50..)
- Dwelling units &lt;= 3 stories: New
- Dwelling Units &lt;= 3 stories: Alt. (Replacement &gt; 150ft2)
- Dwelling Units &lt;= 3 stories: Alt. (Replacement &lt;= 150ft2)
- Dwelling Units &lt;= 3 stories: Alt. (Adding New &gt; 50ft2)
</t>
        </r>
      </text>
    </comment>
    <comment ref="D67" authorId="0" shapeId="0" xr:uid="{24CF69AB-7EBC-4AC1-B855-800C95C0A7E8}">
      <text>
        <r>
          <rPr>
            <b/>
            <sz val="9"/>
            <color indexed="81"/>
            <rFont val="Tahoma"/>
            <family val="2"/>
          </rPr>
          <t>Sally Blair:</t>
        </r>
        <r>
          <rPr>
            <sz val="9"/>
            <color indexed="81"/>
            <rFont val="Tahoma"/>
            <family val="2"/>
          </rPr>
          <t xml:space="preserve">
This selection populates (R)SHGC row in column 11 with "0.56"</t>
        </r>
      </text>
    </comment>
    <comment ref="D68" authorId="0" shapeId="0" xr:uid="{0C6D54AE-1939-4A6F-B03F-2538FB6886F6}">
      <text>
        <r>
          <rPr>
            <sz val="9"/>
            <color indexed="8"/>
            <rFont val="Tahoma"/>
            <family val="2"/>
          </rPr>
          <t>Dropdown if any of the following selected in column 06:
- Nonres: Alt.(Adding New &gt; 50ft2)
- H/M: Alt.(Adding New &gt; 50ft2)
- Nonres: Alt.(Adding New &lt;= 50ft2)
- H/M: Alt.(Adding New &lt;= 50ft2)</t>
        </r>
      </text>
    </comment>
    <comment ref="E68" authorId="0" shapeId="0" xr:uid="{F646D037-0610-4E53-80B8-D2236C15F973}">
      <text>
        <r>
          <rPr>
            <b/>
            <sz val="9"/>
            <color indexed="81"/>
            <rFont val="Tahoma"/>
            <family val="2"/>
          </rPr>
          <t>Sally Blair:</t>
        </r>
        <r>
          <rPr>
            <sz val="9"/>
            <color indexed="81"/>
            <rFont val="Tahoma"/>
            <family val="2"/>
          </rPr>
          <t xml:space="preserve">
This selection greys out VT row in column 11 &amp; 12.</t>
        </r>
      </text>
    </comment>
    <comment ref="F68" authorId="0" shapeId="0" xr:uid="{4A7E906A-25F7-4730-BF1D-4EF709A9461A}">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E69" authorId="0" shapeId="0" xr:uid="{07D3CC87-C7E9-46CA-86EE-12A26E245568}">
      <text>
        <r>
          <rPr>
            <sz val="9"/>
            <color indexed="8"/>
            <rFont val="Tahoma"/>
            <family val="2"/>
          </rPr>
          <t>Dropdown if any of the following selected in column 06:
- Nonres: Alt.(Adding New &gt; 50ft2)
- H/M: Alt.(Adding New &gt; 50ft2)
- Nonres: Alt.(Replacement &gt; 150ft2)
- H/M: Alt.(Replacement &gt; 150ft2)</t>
        </r>
      </text>
    </comment>
    <comment ref="B70" authorId="0" shapeId="0" xr:uid="{5744D365-1748-4A6B-95A8-6246DF3182EF}">
      <text>
        <r>
          <rPr>
            <b/>
            <sz val="9"/>
            <color indexed="81"/>
            <rFont val="Tahoma"/>
            <family val="2"/>
          </rPr>
          <t>Sally Blair:</t>
        </r>
        <r>
          <rPr>
            <sz val="9"/>
            <color indexed="81"/>
            <rFont val="Tahoma"/>
            <family val="2"/>
          </rPr>
          <t xml:space="preserve">
This selection greys out columns 06 through 13 for this row.</t>
        </r>
      </text>
    </comment>
    <comment ref="C70" authorId="0" shapeId="0" xr:uid="{78619F88-65EB-4991-8353-6EC67BE705EB}">
      <text>
        <r>
          <rPr>
            <b/>
            <sz val="9"/>
            <color indexed="81"/>
            <rFont val="Tahoma"/>
            <family val="2"/>
          </rPr>
          <t>Sally Blair:</t>
        </r>
        <r>
          <rPr>
            <sz val="9"/>
            <color indexed="81"/>
            <rFont val="Tahoma"/>
            <family val="2"/>
          </rPr>
          <t xml:space="preserve">
greys out columns 07 &amp; 08 &amp; RSHGC &amp; VT rows in columns 11 &amp; 12.</t>
        </r>
      </text>
    </comment>
    <comment ref="D70" authorId="0" shapeId="0" xr:uid="{3982823B-FA51-43B3-A0B9-98595ECA89ED}">
      <text>
        <r>
          <rPr>
            <sz val="9"/>
            <color indexed="8"/>
            <rFont val="Tahoma"/>
            <family val="2"/>
          </rPr>
          <t xml:space="preserve">Dropdown if any of the following selected in column 06:
- Nonres: Alt.(Replacement &gt; 150ft2)
- H/M: Alt.(Replacement &gt; 150ft2)
- Occupancy other than dwelling unit: Alt.(Replacement &lt;= 150ft2)
</t>
        </r>
      </text>
    </comment>
    <comment ref="F70" authorId="0" shapeId="0" xr:uid="{9F03DE0F-7D48-4D37-BB2E-C76B5E47365E}">
      <text>
        <r>
          <rPr>
            <sz val="9"/>
            <color indexed="8"/>
            <rFont val="Tahoma"/>
            <family val="2"/>
          </rPr>
          <t xml:space="preserve">Custom dropdown if col 06 is any of the following:
- Nonres: New
- Hotel/Motel: New
- Nonresidential
- Hotel/Motel
</t>
        </r>
      </text>
    </comment>
    <comment ref="B71" authorId="0" shapeId="0" xr:uid="{0B77027A-C15C-4BBC-A099-761C071CBB34}">
      <text>
        <r>
          <rPr>
            <sz val="9"/>
            <color indexed="81"/>
            <rFont val="Tahoma"/>
            <family val="2"/>
          </rPr>
          <t>If chosen by user, grey out columns 07, 08, overhang button in column 09,  &amp; RSHGC/VT rows in columns 11&amp;12.</t>
        </r>
      </text>
    </comment>
    <comment ref="E72" authorId="0" shapeId="0" xr:uid="{0B1E0326-EA69-4D26-8F9A-24175E33C2CC}">
      <text>
        <r>
          <rPr>
            <sz val="9"/>
            <color indexed="8"/>
            <rFont val="Tahoma"/>
            <family val="2"/>
          </rPr>
          <t>Dropdown if any of the following selected in column 06:
Dwellng Units &gt; 3 stories: New</t>
        </r>
      </text>
    </comment>
    <comment ref="F72" authorId="0" shapeId="0" xr:uid="{89B70677-48F7-462F-A367-55CE452C83EE}">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C73" authorId="0" shapeId="0" xr:uid="{EC573FB9-129A-4ABA-88F2-97D5CF0DCA43}">
      <text>
        <r>
          <rPr>
            <b/>
            <sz val="9"/>
            <color indexed="81"/>
            <rFont val="Tahoma"/>
            <family val="2"/>
          </rPr>
          <t>Sally Blair:</t>
        </r>
        <r>
          <rPr>
            <sz val="9"/>
            <color indexed="81"/>
            <rFont val="Tahoma"/>
            <family val="2"/>
          </rPr>
          <t xml:space="preserve">
All 3 of these last choices with (Adding New &lt; 50ft2) need to grey out columns 07 &amp; 08 &amp; RSHGC &amp; VT rows in columns 11 &amp; 12.</t>
        </r>
      </text>
    </comment>
    <comment ref="D73" authorId="0" shapeId="0" xr:uid="{D8FF62BE-33D8-4757-9046-6A7F99059965}">
      <text>
        <r>
          <rPr>
            <sz val="9"/>
            <color indexed="8"/>
            <rFont val="Tahoma"/>
            <family val="2"/>
          </rPr>
          <t>Dropdown if any of the following selected in column 06:
- Dwelling Units &lt;= 3 stories: New</t>
        </r>
      </text>
    </comment>
    <comment ref="B75" authorId="0" shapeId="0" xr:uid="{4E4D6F9B-137C-4799-ADED-E18ED346A735}">
      <text>
        <r>
          <rPr>
            <sz val="9"/>
            <color indexed="8"/>
            <rFont val="Tahoma"/>
            <family val="2"/>
          </rPr>
          <t>Greys out col 06-13</t>
        </r>
      </text>
    </comment>
    <comment ref="C75" authorId="0" shapeId="0" xr:uid="{30C7BA87-E454-4B9A-87E6-E75960C6B7CF}">
      <text>
        <r>
          <rPr>
            <sz val="9"/>
            <color indexed="8"/>
            <rFont val="Tahoma"/>
            <family val="2"/>
          </rPr>
          <t>Greys out RSHGC rows in 11&amp;12 if A03 CZ 1, 3, 5, 16
Greys out 08 &amp; VT  rows in 11&amp;12</t>
        </r>
      </text>
    </comment>
    <comment ref="D75" authorId="0" shapeId="0" xr:uid="{0DDE8453-5568-46EE-9A4E-B14F8281924A}">
      <text>
        <r>
          <rPr>
            <b/>
            <sz val="9"/>
            <color indexed="81"/>
            <rFont val="Tahoma"/>
            <family val="2"/>
          </rPr>
          <t>Sally Blair:</t>
        </r>
        <r>
          <rPr>
            <sz val="9"/>
            <color indexed="81"/>
            <rFont val="Tahoma"/>
            <family val="2"/>
          </rPr>
          <t xml:space="preserve">
This selection populates (R)SHGC row in column 11 with "0.56"</t>
        </r>
      </text>
    </comment>
    <comment ref="E75" authorId="0" shapeId="0" xr:uid="{FE59565D-FFFF-4D06-A5CB-B4AD2173638A}">
      <text>
        <r>
          <rPr>
            <b/>
            <sz val="9"/>
            <color indexed="81"/>
            <rFont val="Tahoma"/>
            <family val="2"/>
          </rPr>
          <t>Sally Blair:</t>
        </r>
        <r>
          <rPr>
            <sz val="9"/>
            <color indexed="81"/>
            <rFont val="Tahoma"/>
            <family val="2"/>
          </rPr>
          <t xml:space="preserve">
This selection greys out VT row in column 11 &amp; 12.</t>
        </r>
      </text>
    </comment>
    <comment ref="D76" authorId="0" shapeId="0" xr:uid="{8D3D4D69-D685-4638-9044-04CA18CAC6AC}">
      <text>
        <r>
          <rPr>
            <sz val="9"/>
            <color indexed="8"/>
            <rFont val="Tahoma"/>
            <family val="2"/>
          </rPr>
          <t>Dropdown if any of the following selected in column 06:
- Dwelling Units &lt;= 3 stories: Alt.(Replacement &gt; 150ft2)
- Dwellng Units &gt; 3 stories: Alt.(Replacement &gt; 150ft2)
- Dwelling Units &lt;= 3 stories: Alt.(Replacement &lt;= 150ft2)</t>
        </r>
      </text>
    </comment>
    <comment ref="E76" authorId="0" shapeId="0" xr:uid="{7DBC0AD5-443F-4EE3-BDE1-D22796E5D1AA}">
      <text>
        <r>
          <rPr>
            <sz val="9"/>
            <color indexed="8"/>
            <rFont val="Tahoma"/>
            <family val="2"/>
          </rPr>
          <t>Dropdown if any of the following selected in column 06:
- Dwellng Units &gt; 3 stories: Alt.(Replacement &gt; 150ft2)
- Dwellng Units &gt; 3 stories:Alt.(Adding New &gt; 50ft2)</t>
        </r>
      </text>
    </comment>
    <comment ref="C77" authorId="0" shapeId="0" xr:uid="{C93C9F89-C5DD-49C7-97F1-BCE4ED68A5F8}">
      <text>
        <r>
          <rPr>
            <sz val="9"/>
            <color indexed="8"/>
            <rFont val="Tahoma"/>
            <family val="2"/>
          </rPr>
          <t xml:space="preserve">Greys out col 08 &amp; RSHGC + VT rows in 11&amp;12 </t>
        </r>
      </text>
    </comment>
    <comment ref="D77" authorId="0" shapeId="0" xr:uid="{FCBF0A91-F8D3-4EC4-81F8-D1F5F0915B0F}">
      <text>
        <r>
          <rPr>
            <sz val="9"/>
            <color indexed="8"/>
            <rFont val="Tahoma"/>
            <family val="2"/>
          </rPr>
          <t>Greys out col 08 &amp; VT rows in 11&amp;12 
Note: this does not apply to selection when 06 is "New", it only applies for this custom dropdown when 06 is "Replacement &gt; 150ft2"</t>
        </r>
      </text>
    </comment>
    <comment ref="D79" authorId="0" shapeId="0" xr:uid="{59A5A430-2D04-46E2-8782-DEDB42D07771}">
      <text>
        <r>
          <rPr>
            <sz val="9"/>
            <color indexed="8"/>
            <rFont val="Tahoma"/>
            <family val="2"/>
          </rPr>
          <t xml:space="preserve">Dropdown if any of the following selected in column 06:
- Dwelling Units &lt;= 3 stories:Alt.(Adding New &gt; 50ft2)
</t>
        </r>
      </text>
    </comment>
    <comment ref="E93" authorId="0" shapeId="0" xr:uid="{1E37709F-C883-4470-A1E3-54E3A8BB182A}">
      <text>
        <r>
          <rPr>
            <b/>
            <sz val="9"/>
            <color indexed="81"/>
            <rFont val="Tahoma"/>
            <family val="2"/>
          </rPr>
          <t>Sally Blair:</t>
        </r>
        <r>
          <rPr>
            <sz val="9"/>
            <color indexed="81"/>
            <rFont val="Tahoma"/>
            <family val="2"/>
          </rPr>
          <t xml:space="preserve">
custom dropdown when column 22 is either "Non-metal" or "Metal" &amp; column 20 is "No"</t>
        </r>
      </text>
    </comment>
    <comment ref="F98" authorId="0" shapeId="0" xr:uid="{0C3A0981-34E2-49F7-98BB-DFCE0C4857B9}">
      <text>
        <r>
          <rPr>
            <b/>
            <sz val="9"/>
            <color indexed="81"/>
            <rFont val="Tahoma"/>
            <family val="2"/>
          </rPr>
          <t>Sally Blair:</t>
        </r>
        <r>
          <rPr>
            <sz val="9"/>
            <color indexed="81"/>
            <rFont val="Tahoma"/>
            <family val="2"/>
          </rPr>
          <t xml:space="preserve">
Custom when 23 is "glass block"</t>
        </r>
      </text>
    </comment>
    <comment ref="E99" authorId="0" shapeId="0" xr:uid="{B954011E-25FE-4B45-BD70-FA04D348D7DF}">
      <text>
        <r>
          <rPr>
            <b/>
            <sz val="9"/>
            <color indexed="81"/>
            <rFont val="Tahoma"/>
            <family val="2"/>
          </rPr>
          <t>Sally Blair:</t>
        </r>
        <r>
          <rPr>
            <sz val="9"/>
            <color indexed="81"/>
            <rFont val="Tahoma"/>
            <family val="2"/>
          </rPr>
          <t xml:space="preserve">
custom dropdown when column 22 is "Metal with Thermal Break"</t>
        </r>
      </text>
    </comment>
    <comment ref="E103" authorId="0" shapeId="0" xr:uid="{3C2A53C1-6ABB-4C08-91AF-065A232C9DC5}">
      <text>
        <r>
          <rPr>
            <b/>
            <sz val="9"/>
            <color indexed="81"/>
            <rFont val="Tahoma"/>
            <family val="2"/>
          </rPr>
          <t>Sally Blair:</t>
        </r>
        <r>
          <rPr>
            <sz val="9"/>
            <color indexed="81"/>
            <rFont val="Tahoma"/>
            <family val="2"/>
          </rPr>
          <t xml:space="preserve">
custom dropdown when column 22 is either "Non-metal" or "Metal" &amp; column 20 is "Yes"</t>
        </r>
      </text>
    </comment>
    <comment ref="D111" authorId="0" shapeId="0" xr:uid="{83CD8F71-0EBA-480D-AF0A-405BB1015650}">
      <text>
        <r>
          <rPr>
            <b/>
            <sz val="9"/>
            <color indexed="81"/>
            <rFont val="Tahoma"/>
            <family val="2"/>
          </rPr>
          <t>Sally Blair:</t>
        </r>
        <r>
          <rPr>
            <sz val="9"/>
            <color indexed="81"/>
            <rFont val="Tahoma"/>
            <family val="2"/>
          </rPr>
          <t xml:space="preserve">
If 01 is "Yes", this equals 0.10x column 02
If 01 is "No", this equals 0.05x column 02.</t>
        </r>
      </text>
    </comment>
    <comment ref="A115" authorId="0" shapeId="0" xr:uid="{419FEB4B-B71D-455B-9CD8-79F26BA3841F}">
      <text>
        <r>
          <rPr>
            <sz val="9"/>
            <color indexed="8"/>
            <rFont val="Tahoma"/>
            <family val="2"/>
          </rPr>
          <t>If selected grey out col 01-04</t>
        </r>
      </text>
    </comment>
    <comment ref="F122" authorId="2" shapeId="0" xr:uid="{7FB87186-1974-457A-83F5-BE7827960B9A}">
      <text>
        <r>
          <rPr>
            <b/>
            <sz val="9"/>
            <color indexed="8"/>
            <rFont val="Tahoma"/>
            <family val="2"/>
          </rPr>
          <t>Alexis Markstrum:</t>
        </r>
        <r>
          <rPr>
            <sz val="9"/>
            <color indexed="8"/>
            <rFont val="Tahoma"/>
            <family val="2"/>
          </rPr>
          <t xml:space="preserve">
Gray out if 06 ≠ Dwelling Units &lt;= 3 stories: Alt. (Replacement) OR Dwelling Units &lt;= 3 stories: Alt. (Adding &gt; 16ft2)</t>
        </r>
      </text>
    </comment>
    <comment ref="H123" authorId="0" shapeId="0" xr:uid="{B5E84A73-C5DA-42E3-8E2B-3C4F4311443C}">
      <text>
        <r>
          <rPr>
            <sz val="9"/>
            <color rgb="FF000000"/>
            <rFont val="Tahoma"/>
            <family val="2"/>
          </rPr>
          <t xml:space="preserve">All three of these values come from the Tables in Section 140.3.  Which table to use depends on the occupancy type from column 06:
</t>
        </r>
        <r>
          <rPr>
            <sz val="9"/>
            <color rgb="FF000000"/>
            <rFont val="Tahoma"/>
            <family val="2"/>
          </rPr>
          <t xml:space="preserve">- Nonresidential= Table 140.3-B
</t>
        </r>
        <r>
          <rPr>
            <strike/>
            <sz val="9"/>
            <color rgb="FF000000"/>
            <rFont val="Tahoma"/>
            <family val="2"/>
          </rPr>
          <t xml:space="preserve">   </t>
        </r>
        <r>
          <rPr>
            <sz val="9"/>
            <color rgb="FF000000"/>
            <rFont val="Tahoma"/>
            <family val="2"/>
          </rPr>
          <t xml:space="preserve">Hotel/Motel =Table 140.3-C
</t>
        </r>
        <r>
          <rPr>
            <sz val="9"/>
            <color rgb="FF000000"/>
            <rFont val="Tahoma"/>
            <family val="2"/>
          </rPr>
          <t>- Dwelling Units &lt;= 3 stories: New= Table 170.2-A</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 All other Dwelling Units depends on selection in 07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text>
    </comment>
    <comment ref="I123" authorId="0" shapeId="0" xr:uid="{072DD0C5-E808-4DB5-BF89-3015882DFCD4}">
      <text>
        <r>
          <rPr>
            <sz val="9"/>
            <color indexed="8"/>
            <rFont val="Tahoma"/>
            <family val="2"/>
          </rPr>
          <t xml:space="preserve">This column opens for user input if "NFRC Certified" is selected in column  08.  Otherwise, the # comes column 16 if "NA6 default" chosen, or column 21 if "S110.6 Default" chosen. 
</t>
        </r>
      </text>
    </comment>
    <comment ref="J123" authorId="0" shapeId="0" xr:uid="{4F873819-3A2A-4616-B8C6-23AD9E365862}">
      <text>
        <r>
          <rPr>
            <b/>
            <sz val="9"/>
            <color indexed="81"/>
            <rFont val="Tahoma"/>
            <family val="2"/>
          </rPr>
          <t>Sally Blair:</t>
        </r>
        <r>
          <rPr>
            <sz val="9"/>
            <color indexed="81"/>
            <rFont val="Tahoma"/>
            <family val="2"/>
          </rPr>
          <t xml:space="preserve">
Ben, this is open for user entry if columns 01, 02 or 03 are checked.
Otherwise, grey out.</t>
        </r>
      </text>
    </comment>
    <comment ref="H125" authorId="2" shapeId="0" xr:uid="{8473C79D-0384-458A-888D-7E6BB722C81C}">
      <text>
        <r>
          <rPr>
            <b/>
            <sz val="9"/>
            <color indexed="8"/>
            <rFont val="Tahoma"/>
            <family val="2"/>
          </rPr>
          <t>Alexis Markstrum:</t>
        </r>
        <r>
          <rPr>
            <sz val="9"/>
            <color indexed="8"/>
            <rFont val="Tahoma"/>
            <family val="2"/>
          </rPr>
          <t xml:space="preserve">
If 05 = Tubular Daylighting Devices and 06 = Hotel/Motel, then gray out</t>
        </r>
      </text>
    </comment>
    <comment ref="H127" authorId="2" shapeId="0" xr:uid="{F4AE06D5-3457-4EDE-8E05-3A5AE795831A}">
      <text>
        <r>
          <rPr>
            <b/>
            <sz val="9"/>
            <color rgb="FF000000"/>
            <rFont val="Tahoma"/>
            <family val="2"/>
          </rPr>
          <t>Alexis Markstrum:</t>
        </r>
        <r>
          <rPr>
            <sz val="9"/>
            <color rgb="FF000000"/>
            <rFont val="Tahoma"/>
            <family val="2"/>
          </rPr>
          <t xml:space="preserve">
</t>
        </r>
        <r>
          <rPr>
            <sz val="9"/>
            <color rgb="FF000000"/>
            <rFont val="Tahoma"/>
            <family val="2"/>
          </rPr>
          <t>If 05 = Tubular Daylighting Devices and 06 = Hotel/Motel, then gray out</t>
        </r>
      </text>
    </comment>
    <comment ref="G137" authorId="0" shapeId="0" xr:uid="{CC5DCA4C-607B-43A2-837F-5B132730474E}">
      <text>
        <r>
          <rPr>
            <sz val="9"/>
            <color indexed="8"/>
            <rFont val="Tahoma"/>
            <family val="2"/>
          </rPr>
          <t>If N.A. in default table, can we leave column 12 open for user input? AHHH?!
Same for SHGC
Let's talk about what to do here.  Custom dropdowns won't work because the categories don't jive.</t>
        </r>
      </text>
    </comment>
    <comment ref="G139" authorId="0" shapeId="0" xr:uid="{A9E5E5CE-A6A1-4118-BAE5-4991B1CEEE04}">
      <text>
        <r>
          <rPr>
            <b/>
            <sz val="9"/>
            <color indexed="81"/>
            <rFont val="Tahoma"/>
            <family val="2"/>
          </rPr>
          <t>Sally Blair:</t>
        </r>
        <r>
          <rPr>
            <sz val="9"/>
            <color indexed="81"/>
            <rFont val="Tahoma"/>
            <family val="2"/>
          </rPr>
          <t xml:space="preserve">
Ben, for the default here, we can use the NA6 equation where VTc = 1.  That means we can just use the VTF values directly based on column 05</t>
        </r>
      </text>
    </comment>
    <comment ref="C142" authorId="2" shapeId="0" xr:uid="{5DE406AB-3E0B-4E4B-A79A-2B7B65FBFAC9}">
      <text>
        <r>
          <rPr>
            <b/>
            <sz val="9"/>
            <color indexed="81"/>
            <rFont val="Tahoma"/>
            <family val="2"/>
          </rPr>
          <t>Alexis Markstrum:</t>
        </r>
        <r>
          <rPr>
            <sz val="9"/>
            <color indexed="81"/>
            <rFont val="Tahoma"/>
            <family val="2"/>
          </rPr>
          <t xml:space="preserve">
Custom dropdown when 05 is "Tubular Daylight Devices"</t>
        </r>
      </text>
    </comment>
    <comment ref="C145" authorId="0" shapeId="0" xr:uid="{63FFBD88-9E6A-4ACB-B05D-4D3C468BC127}">
      <text>
        <r>
          <rPr>
            <sz val="9"/>
            <color indexed="8"/>
            <rFont val="Tahoma"/>
            <family val="2"/>
          </rPr>
          <t>"Add/Repl. &lt; 50ft2)" greys out SHGC &amp; VT rows in columns 11 &amp; 12.</t>
        </r>
      </text>
    </comment>
    <comment ref="C146" authorId="2" shapeId="0" xr:uid="{E375A00B-D18F-4902-82D0-9BE8987FE33A}">
      <text>
        <r>
          <rPr>
            <b/>
            <sz val="9"/>
            <color indexed="81"/>
            <rFont val="Tahoma"/>
            <family val="2"/>
          </rPr>
          <t>Alexis Markstrum:</t>
        </r>
        <r>
          <rPr>
            <sz val="9"/>
            <color indexed="81"/>
            <rFont val="Tahoma"/>
            <family val="2"/>
          </rPr>
          <t xml:space="preserve">
Custom dropdown when 05 is anything OTHER THAN "Tubular Daulight Devices"</t>
        </r>
      </text>
    </comment>
    <comment ref="F146" authorId="0" shapeId="0" xr:uid="{7D18B809-8DCC-426E-9CD4-DDF851D552C6}">
      <text>
        <r>
          <rPr>
            <sz val="9"/>
            <color indexed="8"/>
            <rFont val="Tahoma"/>
            <family val="2"/>
          </rPr>
          <t xml:space="preserve">Custom dropdown for the following selections in 06:
- Dwelling Units &lt;= 3 stories: Alt. (Replacement)
</t>
        </r>
      </text>
    </comment>
    <comment ref="D148" authorId="0" shapeId="0" xr:uid="{B154B885-89D2-41E6-A7C1-66D97C353345}">
      <text>
        <r>
          <rPr>
            <b/>
            <sz val="9"/>
            <color indexed="81"/>
            <rFont val="Tahoma"/>
            <family val="2"/>
          </rPr>
          <t>Sally Blair:</t>
        </r>
        <r>
          <rPr>
            <sz val="9"/>
            <color indexed="81"/>
            <rFont val="Tahoma"/>
            <family val="2"/>
          </rPr>
          <t xml:space="preserve">
This selection triggers the NA6 Default section to expand for user input. Otherwise, minimize it.</t>
        </r>
      </text>
    </comment>
    <comment ref="B149" authorId="0" shapeId="0" xr:uid="{F23AB31A-B3DD-43ED-A447-3C3B8EE616D8}">
      <text>
        <r>
          <rPr>
            <b/>
            <sz val="9"/>
            <color indexed="8"/>
            <rFont val="Tahoma"/>
            <family val="2"/>
          </rPr>
          <t>Sally Blair:</t>
        </r>
        <r>
          <rPr>
            <sz val="9"/>
            <color indexed="8"/>
            <rFont val="Tahoma"/>
            <family val="2"/>
          </rPr>
          <t xml:space="preserve">
selection greys out SHGC rows in columns 11 &amp; 12</t>
        </r>
      </text>
    </comment>
    <comment ref="D149" authorId="0" shapeId="0" xr:uid="{9C542D63-F38C-4C87-B6CD-FEC4C4511E45}">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F149" authorId="0" shapeId="0" xr:uid="{1C48A572-06D2-42B0-B5AE-5171C805A8FA}">
      <text>
        <r>
          <rPr>
            <sz val="9"/>
            <color indexed="8"/>
            <rFont val="Tahoma"/>
            <family val="2"/>
          </rPr>
          <t xml:space="preserve">Custom dropdown for the following selections in 06:
- Dwelling Units &lt;= 3 stories: Alt. (Adding &gt; 16ft2)
</t>
        </r>
      </text>
    </comment>
    <comment ref="B150" authorId="0" shapeId="0" xr:uid="{4B293379-BDC9-447A-A87B-17571DF0122B}">
      <text>
        <r>
          <rPr>
            <b/>
            <sz val="9"/>
            <color indexed="8"/>
            <rFont val="Tahoma"/>
            <family val="2"/>
          </rPr>
          <t>Sally Blair:</t>
        </r>
        <r>
          <rPr>
            <sz val="9"/>
            <color indexed="8"/>
            <rFont val="Tahoma"/>
            <family val="2"/>
          </rPr>
          <t xml:space="preserve">
This selection greys out columns 06 through 13 for this row.</t>
        </r>
      </text>
    </comment>
    <comment ref="B151" authorId="0" shapeId="0" xr:uid="{A867B1D9-EE71-418A-BF88-1B95F20F2019}">
      <text>
        <r>
          <rPr>
            <sz val="9"/>
            <color indexed="8"/>
            <rFont val="Tahoma"/>
            <family val="2"/>
          </rPr>
          <t>This selection needs to grey out SHGC rows in columns 11 &amp; 12.</t>
        </r>
      </text>
    </comment>
    <comment ref="C151" authorId="0" shapeId="0" xr:uid="{D317706C-D83D-49DF-A438-893C512C7A2F}">
      <text>
        <r>
          <rPr>
            <b/>
            <sz val="9"/>
            <color indexed="8"/>
            <rFont val="Tahoma"/>
            <family val="2"/>
          </rPr>
          <t>Sally Blair:</t>
        </r>
        <r>
          <rPr>
            <sz val="9"/>
            <color indexed="8"/>
            <rFont val="Tahoma"/>
            <family val="2"/>
          </rPr>
          <t xml:space="preserve">
All 3 "Add/Repl. &lt; 50ft2)" greys out SHGC &amp; VT rows in columns 11 &amp; 12.</t>
        </r>
      </text>
    </comment>
    <comment ref="C153" authorId="0" shapeId="0" xr:uid="{54A0B8F9-B512-4C88-83DA-AA36F7E9F3A5}">
      <text>
        <r>
          <rPr>
            <sz val="9"/>
            <color indexed="8"/>
            <rFont val="Tahoma"/>
            <family val="2"/>
          </rPr>
          <t>Populates column 10 with:
Ufactor = 0.55
SHGC = 0.30
Greys out 07, 09 &amp; VT in col 11&amp;12</t>
        </r>
      </text>
    </comment>
    <comment ref="C154" authorId="0" shapeId="0" xr:uid="{707A0D74-065D-46C0-B777-B3CD5F692E47}">
      <text>
        <r>
          <rPr>
            <sz val="9"/>
            <color indexed="8"/>
            <rFont val="Tahoma"/>
            <family val="2"/>
          </rPr>
          <t>grey out 07, 09 &amp; VT in column 11&amp;12</t>
        </r>
      </text>
    </comment>
    <comment ref="C155" authorId="0" shapeId="0" xr:uid="{A67481CE-1735-494F-B67F-1B5FC5E012A3}">
      <text>
        <r>
          <rPr>
            <sz val="9"/>
            <color indexed="8"/>
            <rFont val="Tahoma"/>
            <family val="2"/>
          </rPr>
          <t>Both dwelling &lt;=3 stories replacement &amp; Adding &gt; 16
Greys out 09 &amp; VT in col 11&amp;12</t>
        </r>
      </text>
    </comment>
    <comment ref="C160" authorId="0" shapeId="0" xr:uid="{62F72ACF-F796-4B52-880F-7A7960C9FB50}">
      <text>
        <r>
          <rPr>
            <sz val="9"/>
            <color indexed="8"/>
            <rFont val="Tahoma"/>
            <family val="2"/>
          </rPr>
          <t>Greys out 07</t>
        </r>
      </text>
    </comment>
    <comment ref="D168" authorId="0" shapeId="0" xr:uid="{099B03BB-7AF7-4A6D-B586-C93C35833845}">
      <text>
        <r>
          <rPr>
            <b/>
            <sz val="9"/>
            <color indexed="81"/>
            <rFont val="Tahoma"/>
            <family val="2"/>
          </rPr>
          <t>Sally Blair:</t>
        </r>
        <r>
          <rPr>
            <sz val="9"/>
            <color indexed="81"/>
            <rFont val="Tahoma"/>
            <family val="2"/>
          </rPr>
          <t xml:space="preserve">
Custom if 18 is "Metal w Thermal Break"</t>
        </r>
      </text>
    </comment>
    <comment ref="A171" authorId="0" shapeId="0" xr:uid="{2ED1D99C-1B21-4918-96A4-C9C3C73B9795}">
      <text>
        <r>
          <rPr>
            <b/>
            <sz val="9"/>
            <color indexed="81"/>
            <rFont val="Tahoma"/>
            <family val="2"/>
          </rPr>
          <t>Sally Blair:</t>
        </r>
        <r>
          <rPr>
            <sz val="9"/>
            <color indexed="81"/>
            <rFont val="Tahoma"/>
            <family val="2"/>
          </rPr>
          <t xml:space="preserve">
Ben, this section is triggered if columns 01, 02 or 03 "Calculate Area Weighted Average…." is selected above in the Vertical Fenestration Subtable, or in the Glazed Doors subtable
</t>
        </r>
        <r>
          <rPr>
            <b/>
            <sz val="9"/>
            <color indexed="81"/>
            <rFont val="Tahoma"/>
            <family val="2"/>
          </rPr>
          <t>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75" authorId="0" shapeId="0" xr:uid="{A9F561F7-2F03-474A-AD93-CCA051221A8B}">
      <text>
        <r>
          <rPr>
            <b/>
            <sz val="9"/>
            <color indexed="81"/>
            <rFont val="Tahoma"/>
            <family val="2"/>
          </rPr>
          <t>Sally Blair:</t>
        </r>
        <r>
          <rPr>
            <sz val="9"/>
            <color indexed="81"/>
            <rFont val="Tahoma"/>
            <family val="2"/>
          </rPr>
          <t xml:space="preserve">
Says "COMPLIES" if column 03 &gt;= column 04.
Otherwise, says "DOES NOT COMPLY"</t>
        </r>
      </text>
    </comment>
    <comment ref="E176" authorId="0" shapeId="0" xr:uid="{38110EB5-C5D4-492C-B893-FDD09CA5F40E}">
      <text>
        <r>
          <rPr>
            <b/>
            <sz val="9"/>
            <color indexed="81"/>
            <rFont val="Tahoma"/>
            <family val="2"/>
          </rPr>
          <t>Sally Blair:</t>
        </r>
        <r>
          <rPr>
            <sz val="9"/>
            <color indexed="81"/>
            <rFont val="Tahoma"/>
            <family val="2"/>
          </rPr>
          <t xml:space="preserve">
Says "COMPLIES" if column 03 &gt;= column 04.
Otherwise, says "DOES NOT COMPLY"</t>
        </r>
      </text>
    </comment>
    <comment ref="E177" authorId="0" shapeId="0" xr:uid="{AB83F2EE-8F0E-444C-9ADC-AABA35007BF1}">
      <text>
        <r>
          <rPr>
            <b/>
            <sz val="9"/>
            <color indexed="81"/>
            <rFont val="Tahoma"/>
            <family val="2"/>
          </rPr>
          <t>Sally Blair:</t>
        </r>
        <r>
          <rPr>
            <sz val="9"/>
            <color indexed="81"/>
            <rFont val="Tahoma"/>
            <family val="2"/>
          </rPr>
          <t xml:space="preserve">
Says "COMPLIES" if column 03 &lt;= column 04.
Otherwise, says "DOES NOT COMPLY"</t>
        </r>
      </text>
    </comment>
    <comment ref="A182" authorId="0" shapeId="0" xr:uid="{27520720-FF84-4131-A003-2F07C3C9FE63}">
      <text>
        <r>
          <rPr>
            <b/>
            <sz val="9"/>
            <color indexed="81"/>
            <rFont val="Tahoma"/>
            <family val="2"/>
          </rPr>
          <t>Sally Blair:</t>
        </r>
        <r>
          <rPr>
            <sz val="9"/>
            <color indexed="81"/>
            <rFont val="Tahoma"/>
            <family val="2"/>
          </rPr>
          <t xml:space="preserve">
Ben, this section is triggered if columns 01, 02 or 03 "Calculate Area Weighted Average…." is selected above in the Skylights Subtable.
</t>
        </r>
        <r>
          <rPr>
            <b/>
            <sz val="9"/>
            <color indexed="81"/>
            <rFont val="Tahoma"/>
            <family val="2"/>
          </rPr>
          <t xml:space="preserve">
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86" authorId="0" shapeId="0" xr:uid="{DB6410CD-1CD9-4621-9D35-1A02FB2A98FB}">
      <text>
        <r>
          <rPr>
            <b/>
            <sz val="9"/>
            <color indexed="81"/>
            <rFont val="Tahoma"/>
            <family val="2"/>
          </rPr>
          <t>Sally Blair:</t>
        </r>
        <r>
          <rPr>
            <sz val="9"/>
            <color indexed="81"/>
            <rFont val="Tahoma"/>
            <family val="2"/>
          </rPr>
          <t xml:space="preserve">
Says "COMPLIES" if column 03 &gt; = column 04.
Otherwise, says "DOES NOT COMPLY"</t>
        </r>
      </text>
    </comment>
    <comment ref="E187" authorId="0" shapeId="0" xr:uid="{AB8ACF53-2691-4BBA-9669-4DA2AFC58EC6}">
      <text>
        <r>
          <rPr>
            <b/>
            <sz val="9"/>
            <color indexed="81"/>
            <rFont val="Tahoma"/>
            <family val="2"/>
          </rPr>
          <t>Sally Blair:</t>
        </r>
        <r>
          <rPr>
            <sz val="9"/>
            <color indexed="81"/>
            <rFont val="Tahoma"/>
            <family val="2"/>
          </rPr>
          <t xml:space="preserve">
Says "COMPLIES" if column 03 &gt; =column 04.
Otherwise, says "DOES NOT COMPLY"</t>
        </r>
      </text>
    </comment>
    <comment ref="E188" authorId="0" shapeId="0" xr:uid="{DBA9B301-4EB9-4ECB-8877-6E966CBCFD76}">
      <text>
        <r>
          <rPr>
            <b/>
            <sz val="9"/>
            <color indexed="81"/>
            <rFont val="Tahoma"/>
            <family val="2"/>
          </rPr>
          <t>Sally Blair:</t>
        </r>
        <r>
          <rPr>
            <sz val="9"/>
            <color indexed="81"/>
            <rFont val="Tahoma"/>
            <family val="2"/>
          </rPr>
          <t xml:space="preserve">
Says "COMPLIES" if column 03 &lt;= column 04.
Otherwise, says "DOES NOT COMPLY"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1000000}">
      <text>
        <r>
          <rPr>
            <sz val="9"/>
            <color indexed="81"/>
            <rFont val="Tahoma"/>
            <family val="2"/>
          </rPr>
          <t>L.09/L.05</t>
        </r>
      </text>
    </comment>
    <comment ref="L9" authorId="0" shapeId="0" xr:uid="{00000000-0006-0000-0E00-000002000000}">
      <text>
        <r>
          <rPr>
            <sz val="9"/>
            <color indexed="81"/>
            <rFont val="Tahoma"/>
            <family val="2"/>
          </rPr>
          <t>((L.09*L.11Weighted Average)/L.05)</t>
        </r>
      </text>
    </comment>
    <comment ref="B14" authorId="0" shapeId="0" xr:uid="{00000000-0006-0000-0E00-000003000000}">
      <text>
        <r>
          <rPr>
            <b/>
            <sz val="9"/>
            <color indexed="81"/>
            <rFont val="Tahoma"/>
            <family val="2"/>
          </rPr>
          <t>Sally Blair:</t>
        </r>
        <r>
          <rPr>
            <sz val="9"/>
            <color indexed="81"/>
            <rFont val="Tahoma"/>
            <family val="2"/>
          </rPr>
          <t xml:space="preserve">
All of the "NA" choices will grey out column 04-11 for this row.</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Rosemary Howley</author>
  </authors>
  <commentList>
    <comment ref="A8" authorId="0" shapeId="0" xr:uid="{00000000-0006-0000-0F00-000001000000}">
      <text>
        <r>
          <rPr>
            <b/>
            <sz val="9"/>
            <color indexed="81"/>
            <rFont val="Tahoma"/>
            <family val="2"/>
          </rPr>
          <t>Rosemary Howley:</t>
        </r>
        <r>
          <rPr>
            <sz val="9"/>
            <color indexed="81"/>
            <rFont val="Tahoma"/>
            <family val="2"/>
          </rPr>
          <t xml:space="preserve">
This should be automatically set to yes, because it will apply to any building envelope construction.  I can't think of a case where someone should change it to no, but if they do, they need to explain why, and have it be an exceptional condition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Hussein, Zalmie</author>
    <author>Sally Blair</author>
  </authors>
  <commentList>
    <comment ref="A9" authorId="0" shapeId="0" xr:uid="{CFF5CEF1-088F-4411-9200-6EAF9D8BE238}">
      <text>
        <r>
          <rPr>
            <sz val="9"/>
            <color indexed="81"/>
            <rFont val="Tahoma"/>
            <family val="2"/>
          </rPr>
          <t>Defaults to "Yes" and cannot be changed to "No"</t>
        </r>
      </text>
    </comment>
    <comment ref="A10" authorId="1" shapeId="0" xr:uid="{E34358C4-9B1D-4274-97BA-2E466755267C}">
      <text>
        <r>
          <rPr>
            <sz val="9"/>
            <color indexed="8"/>
            <rFont val="Tahoma"/>
            <family val="2"/>
          </rPr>
          <t>If either "New Construction" or "Addition &gt; 700ft2" selected in B01 both ENV-21 and ENV-22 are automatically Yes &amp; cannot be moved to No.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7" authorId="0" shapeId="0" xr:uid="{00000000-0006-0000-1000-000002000000}">
      <text>
        <r>
          <rPr>
            <b/>
            <sz val="9"/>
            <color indexed="81"/>
            <rFont val="Tahoma"/>
            <family val="2"/>
          </rPr>
          <t>Rosemary Howley:</t>
        </r>
        <r>
          <rPr>
            <sz val="9"/>
            <color indexed="81"/>
            <rFont val="Tahoma"/>
            <family val="2"/>
          </rPr>
          <t xml:space="preserve">
This should move to "Yes" if Table K "Fenestration Schedule" is triggered. 
If user has fenestration but moves to "No" need to include note in Table D. </t>
        </r>
      </text>
    </comment>
    <comment ref="D7" authorId="1" shapeId="0" xr:uid="{00000000-0006-0000-1000-000003000000}">
      <text>
        <r>
          <rPr>
            <sz val="9"/>
            <color indexed="81"/>
            <rFont val="Tahoma"/>
            <family val="2"/>
          </rPr>
          <t xml:space="preserve">This column is blank and user input. The cells should wrap text and get larger if the user runs out of room just like the Table E- Additional Remarks 
</t>
        </r>
      </text>
    </comment>
    <comment ref="B8" authorId="0" shapeId="0" xr:uid="{00000000-0006-0000-1000-000004000000}">
      <text>
        <r>
          <rPr>
            <sz val="9"/>
            <color indexed="81"/>
            <rFont val="Tahoma"/>
            <family val="2"/>
          </rPr>
          <t>Added NRCA-ENV-03.  These are always greyed out. This is just a note to user that ENV-03 is addressed on LTI form.</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Alexis Markstrum</author>
    <author>Sally Blair</author>
  </authors>
  <commentList>
    <comment ref="D8" authorId="0" shapeId="0" xr:uid="{CDA811AE-D819-454C-B534-2D26E9DC5E34}">
      <text>
        <r>
          <rPr>
            <b/>
            <sz val="9"/>
            <color rgb="FF000000"/>
            <rFont val="Tahoma"/>
            <family val="2"/>
          </rPr>
          <t>Alexis Markstrum:</t>
        </r>
        <r>
          <rPr>
            <sz val="9"/>
            <color rgb="FF000000"/>
            <rFont val="Tahoma"/>
            <family val="2"/>
          </rPr>
          <t xml:space="preserve">
</t>
        </r>
        <r>
          <rPr>
            <sz val="9"/>
            <color rgb="FF000000"/>
            <rFont val="Tahoma"/>
            <family val="2"/>
          </rPr>
          <t>I'm assuming these will all change to "ECC" forms. Not 100% though</t>
        </r>
      </text>
    </comment>
    <comment ref="B10" authorId="1" shapeId="0" xr:uid="{77E34B99-C98B-4596-871A-74705B7B4CC8}">
      <text>
        <r>
          <rPr>
            <sz val="9"/>
            <color indexed="8"/>
            <rFont val="Tahoma"/>
            <family val="2"/>
          </rPr>
          <t>Move any of these forms from "No" to "Yes" if the corresponding form in Table M LMCI moves to Yes.</t>
        </r>
      </text>
    </comment>
  </commentList>
</comments>
</file>

<file path=xl/sharedStrings.xml><?xml version="1.0" encoding="utf-8"?>
<sst xmlns="http://schemas.openxmlformats.org/spreadsheetml/2006/main" count="4234" uniqueCount="1364">
  <si>
    <t>Date</t>
  </si>
  <si>
    <t>Table</t>
  </si>
  <si>
    <t>Edit</t>
  </si>
  <si>
    <t>Color</t>
  </si>
  <si>
    <t>Addressed In XSD Schema</t>
  </si>
  <si>
    <t>Footer</t>
  </si>
  <si>
    <t>Change date in footer</t>
  </si>
  <si>
    <t>Yellow with red text</t>
  </si>
  <si>
    <t>Not In XSD</t>
  </si>
  <si>
    <t>Signature Block</t>
  </si>
  <si>
    <t>Add "Responsible Person Scope" field</t>
  </si>
  <si>
    <t>Added AEA and replaced "HERS" with "ECC"</t>
  </si>
  <si>
    <t>Section A</t>
  </si>
  <si>
    <t>Only the occupancy types that apply show up in Table A PDF</t>
  </si>
  <si>
    <t>Section F - All subtables</t>
  </si>
  <si>
    <t>Added to note on "Required Thermal Performance" field since Table 140.3-B has new U-factor requirements for 2025</t>
  </si>
  <si>
    <t>Add logic for Continuous Insulation field when R-10 exception is selected</t>
  </si>
  <si>
    <t>Section G - Column 04</t>
  </si>
  <si>
    <t>Revised dropdown options and added "Option C" dropdown option</t>
  </si>
  <si>
    <t>Section G - Column 05</t>
  </si>
  <si>
    <t>Revised logic</t>
  </si>
  <si>
    <t>Section G - Column 08</t>
  </si>
  <si>
    <r>
      <rPr>
        <sz val="11"/>
        <color rgb="FF000000"/>
        <rFont val="Calibri"/>
        <scheme val="minor"/>
      </rPr>
      <t xml:space="preserve">Added logic to show different requirements - </t>
    </r>
    <r>
      <rPr>
        <sz val="11"/>
        <color rgb="FF0070C0"/>
        <rFont val="Calibri"/>
        <scheme val="minor"/>
      </rPr>
      <t>made some minor changes</t>
    </r>
  </si>
  <si>
    <t>Section H - All subtables</t>
  </si>
  <si>
    <t xml:space="preserve">Added a note to move "Thermal Performance Unit" field </t>
  </si>
  <si>
    <t>Section H - Framed subtable Column 04</t>
  </si>
  <si>
    <t>Added "Multifamily: Extension" to dropdown</t>
  </si>
  <si>
    <t>Section H - Framed subtable Column 10</t>
  </si>
  <si>
    <t>Added logic to support new "Multifamily: Extension" option</t>
  </si>
  <si>
    <t>Section H - Framed subtable Column 11</t>
  </si>
  <si>
    <t>Section H - Area Weighted Mass Walls</t>
  </si>
  <si>
    <t>Corrected Heavy Mass Required Mandatory U-factor</t>
  </si>
  <si>
    <t>Section K - All subtables</t>
  </si>
  <si>
    <t>Added to note on "Required Thermal Performance" field since Table 170.2-A and Table 180.2-B has new U-factor requirements for 2025</t>
  </si>
  <si>
    <t>Section O - LMCV</t>
  </si>
  <si>
    <r>
      <rPr>
        <sz val="11"/>
        <color rgb="FF000000"/>
        <rFont val="Calibri"/>
        <scheme val="minor"/>
      </rPr>
      <t xml:space="preserve">Replaced "HERS" with "ECC" - </t>
    </r>
    <r>
      <rPr>
        <sz val="11"/>
        <color rgb="FF0070C0"/>
        <rFont val="Calibri"/>
        <scheme val="minor"/>
      </rPr>
      <t>need to fix document names; ECC does not need to be incuded. Ex. LMCV-ENV-20a.</t>
    </r>
  </si>
  <si>
    <t>Section B</t>
  </si>
  <si>
    <t>Ask for slope when altered roofing material and trigger Table F accordingly.</t>
  </si>
  <si>
    <t>Section H - Framed subtable Column 06</t>
  </si>
  <si>
    <t>Added dropdown option and logic - "Demising wall - Non-framed"</t>
  </si>
  <si>
    <t>Section I - Row 01</t>
  </si>
  <si>
    <t>Revised to "Unheated Slab-on-grade" and added logic (added note to show no requirements)</t>
  </si>
  <si>
    <t>Section J - new subtable</t>
  </si>
  <si>
    <t>Changed current table into subtable titled "Exterior Opaque Doors"</t>
  </si>
  <si>
    <r>
      <rPr>
        <sz val="11"/>
        <color rgb="FF000000"/>
        <rFont val="Calibri"/>
        <scheme val="minor"/>
      </rPr>
      <t xml:space="preserve">Added new subtable for "Vestibules." - </t>
    </r>
    <r>
      <rPr>
        <sz val="11"/>
        <color rgb="FF0070C0"/>
        <rFont val="Calibri"/>
        <scheme val="minor"/>
      </rPr>
      <t>missing Exceptions 6-8 to 120.7(e)</t>
    </r>
  </si>
  <si>
    <t>Added "Location in Construction Documents showing Air Barrier" to bottom of every table</t>
  </si>
  <si>
    <t>Section I - All subtables</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</si>
  <si>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</si>
  <si>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</si>
  <si>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</si>
  <si>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</si>
  <si>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</si>
  <si>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</si>
  <si>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</si>
  <si>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</si>
  <si>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</si>
  <si>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</si>
  <si>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</si>
  <si>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</si>
  <si>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</si>
  <si>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</si>
  <si>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</si>
  <si>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Roof Assembly Schedule</t>
  </si>
  <si>
    <t>Table G</t>
  </si>
  <si>
    <t>Rated Roofing Material (Cool Roof)</t>
  </si>
  <si>
    <t>Table H</t>
  </si>
  <si>
    <t>Wall Assembly Schedule</t>
  </si>
  <si>
    <t>Table I</t>
  </si>
  <si>
    <t>Floor Assembly Schedule</t>
  </si>
  <si>
    <t>Table J</t>
  </si>
  <si>
    <t>Exterior Door Schedule</t>
  </si>
  <si>
    <t>Table K</t>
  </si>
  <si>
    <t>Fenestration &amp; Glazed Door Schedule</t>
  </si>
  <si>
    <t>Table L</t>
  </si>
  <si>
    <t>Daylight in Large Enclosed Spaces</t>
  </si>
  <si>
    <t>Table M</t>
  </si>
  <si>
    <t>Declaration of Required Certificates of Installation</t>
  </si>
  <si>
    <t>Table N</t>
  </si>
  <si>
    <t>Declaration of Required Certificates of Acceptance</t>
  </si>
  <si>
    <t>Table O</t>
  </si>
  <si>
    <t>Declaration of Required Certificates of Verification</t>
  </si>
  <si>
    <t>-</t>
  </si>
  <si>
    <t>Signature Page</t>
  </si>
  <si>
    <t>Tables</t>
  </si>
  <si>
    <t>110.8(g)</t>
  </si>
  <si>
    <t>Header</t>
  </si>
  <si>
    <t>120.7(b)</t>
  </si>
  <si>
    <t>Header, H</t>
  </si>
  <si>
    <t xml:space="preserve">141.0(b)1 </t>
  </si>
  <si>
    <t>Header ,B</t>
  </si>
  <si>
    <t>§140.3</t>
  </si>
  <si>
    <t>Header, B, H, K</t>
  </si>
  <si>
    <t>141.0</t>
  </si>
  <si>
    <t>100.0(f)</t>
  </si>
  <si>
    <t>A</t>
  </si>
  <si>
    <t>140.3(c)</t>
  </si>
  <si>
    <t>A, L</t>
  </si>
  <si>
    <t>§141.0(a)1</t>
  </si>
  <si>
    <t>B</t>
  </si>
  <si>
    <t>§141.0(b)2</t>
  </si>
  <si>
    <t>§140.3(a)1B &amp; Biii</t>
  </si>
  <si>
    <t>F</t>
  </si>
  <si>
    <t>Reference Appendix JA4</t>
  </si>
  <si>
    <t>F, H, I</t>
  </si>
  <si>
    <t>Table 141.0-C</t>
  </si>
  <si>
    <t>F, H</t>
  </si>
  <si>
    <t>140.3(a)1A</t>
  </si>
  <si>
    <t>G</t>
  </si>
  <si>
    <t>141.0(b)2B</t>
  </si>
  <si>
    <t>140.3(a)2</t>
  </si>
  <si>
    <t>H</t>
  </si>
  <si>
    <t>140.3(a)3</t>
  </si>
  <si>
    <t>141.0(b)1B</t>
  </si>
  <si>
    <t>JA4 Table 4.3.5</t>
  </si>
  <si>
    <t>JA4 Table 4.3.6</t>
  </si>
  <si>
    <t>141.0(b)1B3</t>
  </si>
  <si>
    <t>141.0(b)1B4</t>
  </si>
  <si>
    <t>141.0(b)1B1</t>
  </si>
  <si>
    <t>JA4 Table 4.3.13</t>
  </si>
  <si>
    <t>140.3(a)4</t>
  </si>
  <si>
    <t>I</t>
  </si>
  <si>
    <t>141.0(b)1C</t>
  </si>
  <si>
    <t>141.0(b)1C1</t>
  </si>
  <si>
    <t>141.0(b)1C2</t>
  </si>
  <si>
    <t>140.3(a)7</t>
  </si>
  <si>
    <t>J</t>
  </si>
  <si>
    <t>§110.6</t>
  </si>
  <si>
    <t>K</t>
  </si>
  <si>
    <t>Table 110.6-A</t>
  </si>
  <si>
    <t>Table 110.6-B</t>
  </si>
  <si>
    <t>140.3(a)5</t>
  </si>
  <si>
    <t>141.0(b)2A</t>
  </si>
  <si>
    <t>Nonresidential Compliance Manual</t>
  </si>
  <si>
    <t>Reference Appendix NA6</t>
  </si>
  <si>
    <t>140.3(c)1 &amp; 4</t>
  </si>
  <si>
    <t>L</t>
  </si>
  <si>
    <t xml:space="preserve">10-103(a)4 </t>
  </si>
  <si>
    <t>N</t>
  </si>
  <si>
    <t>NA7.3.1</t>
  </si>
  <si>
    <t>JA4 Table 4.3.4</t>
  </si>
  <si>
    <t>User input</t>
  </si>
  <si>
    <t>auto calculated</t>
  </si>
  <si>
    <t>From another Table</t>
  </si>
  <si>
    <t>From look up table</t>
  </si>
  <si>
    <r>
      <rPr>
        <sz val="7"/>
        <color rgb="FF231F20"/>
        <rFont val="Arial"/>
        <family val="2"/>
      </rPr>
      <t>STATE OF CALIFORNIA</t>
    </r>
  </si>
  <si>
    <t>Envelope Component Approach</t>
  </si>
  <si>
    <t>NRCC-ENV-E</t>
  </si>
  <si>
    <t xml:space="preserve">CALIFORNIA ENERGY COMMISSION                       </t>
  </si>
  <si>
    <t>CERTIFICATE OF COMPLIANCE</t>
  </si>
  <si>
    <t>This document is used to demonstrate compliance with mandatory requirements in §110.8(g) and §120.7(b)/§160.1 for newly constructed nonresidential, hotel/motel, multifamily and mixed-use buildings, and §141.0(b)1/§180.2 for alterations, related to roof, wall and floor assemblies.  It is also used to demonstrate compliance with prescriptive requirements in §140.3/§170.2 for newly constructed buildings, and §141.0/§180.1/§180.2 for additions and alterations, related to roof, wall, floor, door, fenestration and daylighting requirements.</t>
  </si>
  <si>
    <t>Project Name:</t>
  </si>
  <si>
    <t>Report Page:</t>
  </si>
  <si>
    <t>Page 1 of ??</t>
  </si>
  <si>
    <t>Project Address:</t>
  </si>
  <si>
    <t>Date Prepared:</t>
  </si>
  <si>
    <t xml:space="preserve">LMCC-ENV-01-E </t>
  </si>
  <si>
    <t>LMCC-ENV-01-E</t>
  </si>
  <si>
    <t>This document is used to demonstrate compliance with mandatory requirements in §110.8(g) and §120.7(b)/§160.1 for newly constructed , multifamily and mixed-use buildings, and §141.0(b)1/§180.2 for alterations, related to roof, wall and floor assemblies.  It is also used to demonstrate compliance with prescriptive requirements in §140.3/§170.2 for newly constructed buildings, and §141.0/§180.1/§180.2 for additions and alterations, related to roof, wall, floor, door, fenestration and daylighting requirements.</t>
  </si>
  <si>
    <t>Footer for every page:</t>
  </si>
  <si>
    <t>Registration Number:</t>
  </si>
  <si>
    <t>Registration Date/Time:</t>
  </si>
  <si>
    <t>Registration Provider:</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</si>
  <si>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</si>
  <si>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</si>
  <si>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</si>
  <si>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</si>
  <si>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</si>
  <si>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rPr>
        <sz val="10"/>
        <rFont val="Calibri"/>
        <family val="2"/>
        <scheme val="minor"/>
      </rPr>
      <t>CA Building Energy Efficiency Standards -</t>
    </r>
    <r>
      <rPr>
        <sz val="10"/>
        <color rgb="FFFF0000"/>
        <rFont val="Calibri"/>
        <family val="2"/>
        <scheme val="minor"/>
      </rPr>
      <t xml:space="preserve"> 2025</t>
    </r>
    <r>
      <rPr>
        <sz val="10"/>
        <rFont val="Calibri"/>
        <family val="2"/>
        <scheme val="minor"/>
      </rPr>
      <t xml:space="preserve"> Low-rise Multifamily Compliance</t>
    </r>
  </si>
  <si>
    <t>A. GENERAL INFORMATION</t>
  </si>
  <si>
    <t>01</t>
  </si>
  <si>
    <t>Project Location (city)</t>
  </si>
  <si>
    <t>05</t>
  </si>
  <si>
    <t># of Stories (Habitable Above Grade)</t>
  </si>
  <si>
    <t>02</t>
  </si>
  <si>
    <t>Zipcode</t>
  </si>
  <si>
    <t>06</t>
  </si>
  <si>
    <r>
      <t>Total Conditioned Floor Area (ft</t>
    </r>
    <r>
      <rPr>
        <vertAlign val="superscript"/>
        <sz val="10"/>
        <color theme="1"/>
        <rFont val="Calibri"/>
        <family val="2"/>
        <scheme val="minor"/>
      </rPr>
      <t>2</t>
    </r>
    <r>
      <rPr>
        <sz val="10"/>
        <color theme="1"/>
        <rFont val="Calibri"/>
        <family val="2"/>
        <scheme val="minor"/>
      </rPr>
      <t>)</t>
    </r>
  </si>
  <si>
    <t>03</t>
  </si>
  <si>
    <t>Climate Zone</t>
  </si>
  <si>
    <t>CZ dropdown (select CZ 1 to 16)</t>
  </si>
  <si>
    <t>07</t>
  </si>
  <si>
    <r>
      <t>Total Unconditioned Floor Area (ft</t>
    </r>
    <r>
      <rPr>
        <vertAlign val="superscript"/>
        <sz val="10"/>
        <color theme="1"/>
        <rFont val="Calibri"/>
        <family val="2"/>
        <scheme val="minor"/>
      </rPr>
      <t>2</t>
    </r>
    <r>
      <rPr>
        <sz val="10"/>
        <color theme="1"/>
        <rFont val="Calibri"/>
        <family val="2"/>
        <scheme val="minor"/>
      </rPr>
      <t>)</t>
    </r>
  </si>
  <si>
    <t>04</t>
  </si>
  <si>
    <r>
      <t xml:space="preserve">Occupancy Types Within Project (select all that apply):                                                                                                                                                                                                                                                                                            </t>
    </r>
    <r>
      <rPr>
        <sz val="9"/>
        <rFont val="Calibri"/>
        <family val="2"/>
        <scheme val="minor"/>
      </rPr>
      <t>If one occupancy constitutes &gt;=</t>
    </r>
    <r>
      <rPr>
        <sz val="9"/>
        <rFont val="Calibri"/>
        <family val="2"/>
      </rPr>
      <t xml:space="preserve"> </t>
    </r>
    <r>
      <rPr>
        <sz val="9"/>
        <rFont val="Calibri"/>
        <family val="2"/>
        <scheme val="minor"/>
      </rPr>
      <t xml:space="preserve">80% of the conditioned floor area, the entire building envelope may be designed to comply with the provisions of that occupancy per </t>
    </r>
    <r>
      <rPr>
        <sz val="9"/>
        <rFont val="Calibri"/>
        <family val="2"/>
      </rPr>
      <t>§</t>
    </r>
    <r>
      <rPr>
        <sz val="9.1"/>
        <rFont val="Calibri"/>
        <family val="2"/>
      </rPr>
      <t>100.0(f).</t>
    </r>
  </si>
  <si>
    <t>08</t>
  </si>
  <si>
    <t>¨</t>
  </si>
  <si>
    <r>
      <t>Project includes unconditioned enclosed space(s) &gt; 5,000ft</t>
    </r>
    <r>
      <rPr>
        <vertAlign val="superscript"/>
        <sz val="10"/>
        <color theme="1"/>
        <rFont val="Calibri"/>
        <family val="2"/>
        <scheme val="minor"/>
      </rPr>
      <t>2</t>
    </r>
    <r>
      <rPr>
        <sz val="10"/>
        <color theme="1"/>
        <rFont val="Calibri"/>
        <family val="2"/>
        <scheme val="minor"/>
      </rPr>
      <t xml:space="preserve"> under a roof with a ceiling height of at least 15ft.</t>
    </r>
    <r>
      <rPr>
        <vertAlign val="superscript"/>
        <sz val="10"/>
        <color theme="1"/>
        <rFont val="Calibri"/>
        <family val="2"/>
        <scheme val="minor"/>
      </rPr>
      <t>1</t>
    </r>
  </si>
  <si>
    <r>
      <rPr>
        <i/>
        <vertAlign val="superscript"/>
        <sz val="10"/>
        <rFont val="Calibri"/>
        <family val="2"/>
        <scheme val="minor"/>
      </rPr>
      <t>1</t>
    </r>
    <r>
      <rPr>
        <i/>
        <sz val="10"/>
        <rFont val="Calibri"/>
        <family val="2"/>
        <scheme val="minor"/>
      </rPr>
      <t xml:space="preserve"> FOOTNOTE:  Enclosed spaces  &gt; 5,000 ft² directly under roof with ceiling height &gt; 15ft in climate zones 2 through 15 are required to meet the minimum daylighting requirements defined in §140.3(c)/§170.2(b).  Compliance with  §140.3(c)/§170.2(b) is documented in Table L.  This is the only prescriptive requirement which applies to unconditioned spaces.</t>
    </r>
  </si>
  <si>
    <t>Office</t>
  </si>
  <si>
    <t>Retail</t>
  </si>
  <si>
    <t>Warehouse</t>
  </si>
  <si>
    <t>Grocery</t>
  </si>
  <si>
    <t>Hotel/ Motel</t>
  </si>
  <si>
    <t>School or Classroom</t>
  </si>
  <si>
    <t>Healthcare facility</t>
  </si>
  <si>
    <t>Financial Institution</t>
  </si>
  <si>
    <t>Low-Rise Residential</t>
  </si>
  <si>
    <t>Relocatable Public School</t>
  </si>
  <si>
    <t>All Other Occupancy Types</t>
  </si>
  <si>
    <t>Unleased Tenant Space</t>
  </si>
  <si>
    <t>Auditorium</t>
  </si>
  <si>
    <t>Library</t>
  </si>
  <si>
    <t>Restaurant</t>
  </si>
  <si>
    <t xml:space="preserve">Parking Garage </t>
  </si>
  <si>
    <t>Convention Center</t>
  </si>
  <si>
    <t>Medical Office Bldg/ Clinic</t>
  </si>
  <si>
    <t>Theater</t>
  </si>
  <si>
    <r>
      <rPr>
        <sz val="10"/>
        <color rgb="FFFF0000"/>
        <rFont val="Calibri"/>
        <family val="2"/>
        <scheme val="minor"/>
      </rPr>
      <t xml:space="preserve">Religious </t>
    </r>
    <r>
      <rPr>
        <strike/>
        <sz val="10"/>
        <color rgb="FFFF0000"/>
        <rFont val="Calibri"/>
        <family val="2"/>
        <scheme val="minor"/>
      </rPr>
      <t>Facility</t>
    </r>
    <r>
      <rPr>
        <sz val="10"/>
        <color rgb="FFFF0000"/>
        <rFont val="Calibri"/>
        <family val="2"/>
        <scheme val="minor"/>
      </rPr>
      <t xml:space="preserve"> Worship</t>
    </r>
    <r>
      <rPr>
        <sz val="10"/>
        <rFont val="Calibri"/>
        <family val="2"/>
        <scheme val="minor"/>
      </rPr>
      <t>           </t>
    </r>
  </si>
  <si>
    <t>Commercial Industrial             </t>
  </si>
  <si>
    <t>Data Center  </t>
  </si>
  <si>
    <t>Gymnasium</t>
  </si>
  <si>
    <t>Support Area</t>
  </si>
  <si>
    <t>B. PROJECT SCOPE</t>
  </si>
  <si>
    <t xml:space="preserve">This table specifies project envelope components within the permit application demonstrating compliance using the prescriptive paths outlined in §140.3/§170.2, and §141.0(a)1/§180.1 and §141.0(b)1 and 2/ §180.2 for additions and alterations. </t>
  </si>
  <si>
    <t>My project consists of (check all that apply):</t>
  </si>
  <si>
    <t>Component Types</t>
  </si>
  <si>
    <t>New Construction or Newly Conditioned Space</t>
  </si>
  <si>
    <r>
      <t xml:space="preserve">   </t>
    </r>
    <r>
      <rPr>
        <sz val="10"/>
        <rFont val="Wingdings"/>
        <charset val="2"/>
      </rPr>
      <t>¨</t>
    </r>
    <r>
      <rPr>
        <sz val="10"/>
        <rFont val="Calibri"/>
        <family val="2"/>
      </rPr>
      <t xml:space="preserve">  Roof </t>
    </r>
  </si>
  <si>
    <r>
      <t xml:space="preserve">   </t>
    </r>
    <r>
      <rPr>
        <sz val="10"/>
        <rFont val="Wingdings"/>
        <charset val="2"/>
      </rPr>
      <t>¨</t>
    </r>
    <r>
      <rPr>
        <sz val="10"/>
        <rFont val="Calibri"/>
        <family val="2"/>
      </rPr>
      <t xml:space="preserve">  Floors</t>
    </r>
  </si>
  <si>
    <r>
      <rPr>
        <sz val="10"/>
        <rFont val="Wingdings"/>
        <charset val="2"/>
      </rPr>
      <t xml:space="preserve"> ¨</t>
    </r>
    <r>
      <rPr>
        <sz val="10"/>
        <rFont val="Calibri"/>
        <family val="2"/>
      </rPr>
      <t xml:space="preserve">  Exterior Opaque Doors</t>
    </r>
  </si>
  <si>
    <t>One or more enclosed spaces &gt; 5,000 ft² directly under roof with ceiling height &gt; 15ft</t>
  </si>
  <si>
    <r>
      <t xml:space="preserve">   </t>
    </r>
    <r>
      <rPr>
        <sz val="10"/>
        <rFont val="Wingdings"/>
        <charset val="2"/>
      </rPr>
      <t>¨</t>
    </r>
    <r>
      <rPr>
        <sz val="10"/>
        <rFont val="Calibri"/>
        <family val="2"/>
      </rPr>
      <t xml:space="preserve">  Walls</t>
    </r>
  </si>
  <si>
    <r>
      <t xml:space="preserve">   </t>
    </r>
    <r>
      <rPr>
        <sz val="10"/>
        <color rgb="FFFF0000"/>
        <rFont val="Wingdings"/>
        <charset val="2"/>
      </rPr>
      <t>¨</t>
    </r>
    <r>
      <rPr>
        <sz val="10"/>
        <color rgb="FFFF0000"/>
        <rFont val="Calibri"/>
        <family val="2"/>
      </rPr>
      <t xml:space="preserve">  Vestibules</t>
    </r>
  </si>
  <si>
    <r>
      <rPr>
        <sz val="10"/>
        <rFont val="Wingdings"/>
        <charset val="2"/>
      </rPr>
      <t xml:space="preserve"> ¨</t>
    </r>
    <r>
      <rPr>
        <sz val="10"/>
        <rFont val="Calibri"/>
        <family val="2"/>
      </rPr>
      <t xml:space="preserve">  Fenestration/ Glazed Doors</t>
    </r>
    <r>
      <rPr>
        <vertAlign val="superscript"/>
        <sz val="10"/>
        <rFont val="Calibri"/>
        <family val="2"/>
      </rPr>
      <t>1</t>
    </r>
  </si>
  <si>
    <t>Addition of conditioned space</t>
  </si>
  <si>
    <r>
      <t>Addition is &lt;= 700 ft</t>
    </r>
    <r>
      <rPr>
        <vertAlign val="superscript"/>
        <sz val="10"/>
        <rFont val="Calibri"/>
        <family val="2"/>
        <scheme val="minor"/>
      </rPr>
      <t>2</t>
    </r>
  </si>
  <si>
    <r>
      <t>Addition is &gt; 700 ft</t>
    </r>
    <r>
      <rPr>
        <vertAlign val="superscript"/>
        <sz val="10"/>
        <rFont val="Calibri"/>
        <family val="2"/>
        <scheme val="minor"/>
      </rPr>
      <t>2</t>
    </r>
  </si>
  <si>
    <t>Alteration of conditioned space</t>
  </si>
  <si>
    <r>
      <t xml:space="preserve">   </t>
    </r>
    <r>
      <rPr>
        <sz val="10"/>
        <rFont val="Wingdings"/>
        <charset val="2"/>
      </rPr>
      <t>¨</t>
    </r>
    <r>
      <rPr>
        <sz val="10"/>
        <rFont val="Calibri"/>
        <family val="2"/>
      </rPr>
      <t xml:space="preserve">  Roof Assembly</t>
    </r>
  </si>
  <si>
    <t>Exterior Opaque Doors NA for Alts.</t>
  </si>
  <si>
    <t>One or more enclosed spaces &gt; 5,000 ft² directly under roof with ceiling height &gt; 15ft and lighting system installed for the first time</t>
  </si>
  <si>
    <r>
      <t xml:space="preserve">   </t>
    </r>
    <r>
      <rPr>
        <sz val="10"/>
        <rFont val="Wingdings"/>
        <charset val="2"/>
      </rPr>
      <t>¨</t>
    </r>
    <r>
      <rPr>
        <sz val="10"/>
        <rFont val="Calibri"/>
        <family val="2"/>
      </rPr>
      <t xml:space="preserve">  Roofing Material </t>
    </r>
    <r>
      <rPr>
        <b/>
        <vertAlign val="superscript"/>
        <sz val="10"/>
        <color rgb="FFFF0000"/>
        <rFont val="Calibri"/>
        <family val="2"/>
      </rPr>
      <t>2</t>
    </r>
  </si>
  <si>
    <r>
      <rPr>
        <sz val="10"/>
        <rFont val="Wingdings"/>
        <charset val="2"/>
      </rPr>
      <t xml:space="preserve"> ¨</t>
    </r>
    <r>
      <rPr>
        <sz val="10"/>
        <rFont val="Calibri"/>
        <family val="2"/>
      </rPr>
      <t xml:space="preserve">  Fenestration</t>
    </r>
  </si>
  <si>
    <r>
      <rPr>
        <i/>
        <vertAlign val="superscript"/>
        <sz val="10"/>
        <color theme="1"/>
        <rFont val="Calibri"/>
        <family val="2"/>
        <scheme val="minor"/>
      </rPr>
      <t>1</t>
    </r>
    <r>
      <rPr>
        <i/>
        <sz val="10"/>
        <color theme="1"/>
        <rFont val="Calibri"/>
        <family val="2"/>
        <scheme val="minor"/>
      </rPr>
      <t xml:space="preserve"> FOOTNOTE:  Doors that are more than 25% glass in area are considered Glazed Doors and should be documented on Table K with fenestration.</t>
    </r>
  </si>
  <si>
    <r>
      <rPr>
        <i/>
        <vertAlign val="superscript"/>
        <sz val="10"/>
        <rFont val="Calibri"/>
        <family val="2"/>
        <scheme val="minor"/>
      </rPr>
      <t>2</t>
    </r>
    <r>
      <rPr>
        <i/>
        <sz val="10"/>
        <rFont val="Calibri"/>
        <family val="2"/>
        <scheme val="minor"/>
      </rPr>
      <t xml:space="preserve"> Roof recovers and replacements must also check the "Roof Assembly" box and document compliance with insulation requirements in Table F. Roof recoats may document compliance with roof material only in Table G.</t>
    </r>
  </si>
  <si>
    <r>
      <t xml:space="preserve">   </t>
    </r>
    <r>
      <rPr>
        <sz val="10"/>
        <rFont val="Wingdings"/>
        <charset val="2"/>
      </rPr>
      <t>¨</t>
    </r>
    <r>
      <rPr>
        <sz val="10"/>
        <rFont val="Calibri"/>
        <family val="2"/>
      </rPr>
      <t xml:space="preserve">  Roofing Material </t>
    </r>
    <r>
      <rPr>
        <vertAlign val="superscript"/>
        <sz val="10"/>
        <rFont val="Calibri"/>
        <family val="2"/>
      </rPr>
      <t>2</t>
    </r>
  </si>
  <si>
    <t>C. COMPLIANCE RESULTS</t>
  </si>
  <si>
    <r>
      <t>Results in this table are automatically calculated from data input and calculations in Tables F through L. Note: If any cell on this table says "COMPLIES with Exceptional Conditions" refer to Table D. Exceptional Conditions for guidance or see the applicable Table referenced below.</t>
    </r>
    <r>
      <rPr>
        <b/>
        <sz val="10"/>
        <color rgb="FF00B050"/>
        <rFont val="Calibri"/>
        <family val="2"/>
      </rPr>
      <t xml:space="preserve"> </t>
    </r>
  </si>
  <si>
    <t>Opaque Envelope Components</t>
  </si>
  <si>
    <t>Fenestration</t>
  </si>
  <si>
    <r>
      <t>Daylighting Spaces &gt; 5,000ft</t>
    </r>
    <r>
      <rPr>
        <b/>
        <vertAlign val="superscript"/>
        <sz val="11"/>
        <rFont val="Calibri"/>
        <family val="2"/>
      </rPr>
      <t>2</t>
    </r>
  </si>
  <si>
    <t>Roof Assembly</t>
  </si>
  <si>
    <t>Roofing Materials</t>
  </si>
  <si>
    <t>Walls</t>
  </si>
  <si>
    <t>Floors</t>
  </si>
  <si>
    <t>Doors</t>
  </si>
  <si>
    <t>(See Table F)</t>
  </si>
  <si>
    <t>(See Table G)</t>
  </si>
  <si>
    <t>(See Table H)</t>
  </si>
  <si>
    <t>(See Table I)</t>
  </si>
  <si>
    <t>(See Table J)</t>
  </si>
  <si>
    <t>(See Table K)</t>
  </si>
  <si>
    <t>(See Table L)</t>
  </si>
  <si>
    <r>
      <t>COMPLIES</t>
    </r>
    <r>
      <rPr>
        <b/>
        <i/>
        <sz val="11"/>
        <rFont val="Calibri"/>
        <family val="2"/>
        <scheme val="minor"/>
      </rPr>
      <t xml:space="preserve"> or</t>
    </r>
    <r>
      <rPr>
        <b/>
        <sz val="11"/>
        <rFont val="Calibri"/>
        <family val="2"/>
        <scheme val="minor"/>
      </rPr>
      <t xml:space="preserve"> COMPLIES with Exceptional Conditions  </t>
    </r>
    <r>
      <rPr>
        <b/>
        <i/>
        <sz val="11"/>
        <rFont val="Calibri"/>
        <family val="2"/>
        <scheme val="minor"/>
      </rPr>
      <t>or</t>
    </r>
    <r>
      <rPr>
        <b/>
        <sz val="11"/>
        <rFont val="Calibri"/>
        <family val="2"/>
        <scheme val="minor"/>
      </rPr>
      <t xml:space="preserve">  DOES NOT COMPLY </t>
    </r>
  </si>
  <si>
    <t>Gray out and NA any of these cells where table is not triggered. &gt;&gt;&gt;</t>
  </si>
  <si>
    <t>Yes or No</t>
  </si>
  <si>
    <t>Tool Tip:</t>
  </si>
  <si>
    <t>D. EXCEPTIONAL CONDITIONS</t>
  </si>
  <si>
    <t>This table is auto-filled with uneditable comments because of selections made or data entered in tables throughout the form.</t>
  </si>
  <si>
    <t>Comment</t>
  </si>
  <si>
    <t>The note about making changes in the NRCI/NRCA [LMCI/LMCA] tables need to show up too just like on LTI.  Note Table letters will need to be updated to match this form.</t>
  </si>
  <si>
    <r>
      <t>Table F indicates the roof alteration scope meets an exception listed in §141.0(b)2Biii</t>
    </r>
    <r>
      <rPr>
        <b/>
        <sz val="10"/>
        <rFont val="Calibri"/>
        <family val="2"/>
        <scheme val="minor"/>
      </rPr>
      <t>/§180.2</t>
    </r>
    <r>
      <rPr>
        <sz val="10"/>
        <rFont val="Calibri"/>
        <family val="2"/>
        <scheme val="minor"/>
      </rPr>
      <t xml:space="preserve"> and therefore does not trigger roof assembly insulation requirements.</t>
    </r>
  </si>
  <si>
    <t>Table K indictes that overhangs are being used to adjust vertical fenestration SHGC to RSHGC.  Overhang details are included in Table K for the fenestration assembly being adjusted.</t>
  </si>
  <si>
    <t>Table H indicates an area-weighted average is being used for one or more wall assemblies to demonstrate compliance.  Area-weighted average tables are included at the bottom of Table H.</t>
  </si>
  <si>
    <t>Table F indicates an area-weighted average is being used for one or more roof assemblies to demonstrate compliance.  Area-weighted average tables are included at the bottom of Table F.</t>
  </si>
  <si>
    <t>Table I indicates an area-weighted average is being used for one or more floor assemblies to demonstrate compliance.  Area-weighted average tables are included at the bottom of Table I.</t>
  </si>
  <si>
    <t>Additional documentation for any assembly complying using "Approved Software" or "Other per JA4.1.2.1" to calculate design thermal performance may be requested by the plans examiner.</t>
  </si>
  <si>
    <r>
      <t>Quality Insulation Installation (QII) is required for low-rise multifamily/ low-rise MF mixed-use occupancies per §170.2(a)6 for new construction and additions &lt;= 700ft</t>
    </r>
    <r>
      <rPr>
        <vertAlign val="superscript"/>
        <sz val="10"/>
        <rFont val="Calibri"/>
        <family val="2"/>
        <scheme val="minor"/>
      </rPr>
      <t>2</t>
    </r>
    <r>
      <rPr>
        <sz val="10"/>
        <rFont val="Calibri"/>
        <family val="2"/>
        <scheme val="minor"/>
      </rPr>
      <t>. Installers must follow QII requirements specified in Reference Appendix RA3.5 &amp; field verification must be conducted by a HERS Rater for all "R" occupancies.</t>
    </r>
  </si>
  <si>
    <t>E. ADDITIONAL REMARKS</t>
  </si>
  <si>
    <t>This table includes remarks made by the permit applicant to the Authority Having Jurisdiction.</t>
  </si>
  <si>
    <t>F. ROOF ASSEMBLY SCHEDULE</t>
  </si>
  <si>
    <t xml:space="preserve">This table demonstrates compliance with prescriptive roof assembly requirements in §140.3(a)1B/§170.2(a)1B for new construction, §141.0(a)/§180.1 for additions and §141.0(b)2Biii/§180.2 for alterations. </t>
  </si>
  <si>
    <t>Indicate roof types included in the project:</t>
  </si>
  <si>
    <r>
      <rPr>
        <sz val="11"/>
        <color theme="1"/>
        <rFont val="Wingdings"/>
        <charset val="2"/>
      </rPr>
      <t>¨</t>
    </r>
    <r>
      <rPr>
        <sz val="11"/>
        <color theme="1"/>
        <rFont val="Calibri"/>
        <family val="2"/>
      </rPr>
      <t xml:space="preserve"> Framed</t>
    </r>
  </si>
  <si>
    <r>
      <rPr>
        <sz val="11"/>
        <rFont val="Wingdings"/>
        <charset val="2"/>
      </rPr>
      <t>¨</t>
    </r>
    <r>
      <rPr>
        <sz val="11"/>
        <rFont val="Calibri"/>
        <family val="2"/>
      </rPr>
      <t xml:space="preserve"> Framed-Multifamily</t>
    </r>
  </si>
  <si>
    <r>
      <rPr>
        <sz val="11"/>
        <color theme="1"/>
        <rFont val="Wingdings"/>
        <charset val="2"/>
      </rPr>
      <t>¨</t>
    </r>
    <r>
      <rPr>
        <sz val="11"/>
        <color theme="1"/>
        <rFont val="Calibri"/>
        <family val="2"/>
      </rPr>
      <t xml:space="preserve"> SIPs</t>
    </r>
  </si>
  <si>
    <r>
      <t xml:space="preserve"> </t>
    </r>
    <r>
      <rPr>
        <sz val="11"/>
        <color theme="1"/>
        <rFont val="Wingdings"/>
        <charset val="2"/>
      </rPr>
      <t>¨</t>
    </r>
    <r>
      <rPr>
        <sz val="11"/>
        <color theme="1"/>
        <rFont val="Calibri"/>
        <family val="2"/>
      </rPr>
      <t xml:space="preserve"> Span Deck &amp; Concrete</t>
    </r>
  </si>
  <si>
    <r>
      <t xml:space="preserve"> </t>
    </r>
    <r>
      <rPr>
        <sz val="11"/>
        <color theme="1"/>
        <rFont val="Wingdings"/>
        <charset val="2"/>
      </rPr>
      <t>¨</t>
    </r>
    <r>
      <rPr>
        <sz val="11"/>
        <color theme="1"/>
        <rFont val="Calibri"/>
        <family val="2"/>
      </rPr>
      <t xml:space="preserve"> Metal Panels </t>
    </r>
  </si>
  <si>
    <r>
      <t xml:space="preserve"> </t>
    </r>
    <r>
      <rPr>
        <sz val="11"/>
        <color theme="1"/>
        <rFont val="Wingdings"/>
        <charset val="2"/>
      </rPr>
      <t>¨</t>
    </r>
    <r>
      <rPr>
        <sz val="11"/>
        <color theme="1"/>
        <rFont val="Calibri"/>
        <family val="2"/>
      </rPr>
      <t xml:space="preserve"> Metal Building</t>
    </r>
  </si>
  <si>
    <t>Framed Roof Assemblies</t>
  </si>
  <si>
    <r>
      <t>Include Framed Roof Assemblies in Area-Weighted Average U-factor Calculation</t>
    </r>
    <r>
      <rPr>
        <b/>
        <vertAlign val="superscript"/>
        <sz val="11"/>
        <rFont val="Calibri"/>
        <family val="2"/>
        <scheme val="minor"/>
      </rPr>
      <t>1</t>
    </r>
  </si>
  <si>
    <t>Tag/Plan Detail ID</t>
  </si>
  <si>
    <t>Name/Description</t>
  </si>
  <si>
    <t>Status</t>
  </si>
  <si>
    <t>Exception to Roof Insulation Requirements in §141.0(b)2Bii (Alts. Only)</t>
  </si>
  <si>
    <t>Occupancy Type</t>
  </si>
  <si>
    <t>(pull down)</t>
  </si>
  <si>
    <t>Reset</t>
  </si>
  <si>
    <t>Add Row</t>
  </si>
  <si>
    <t>Remove Last</t>
  </si>
  <si>
    <t>09</t>
  </si>
  <si>
    <t>10</t>
  </si>
  <si>
    <t>11</t>
  </si>
  <si>
    <t>12</t>
  </si>
  <si>
    <t>13</t>
  </si>
  <si>
    <t>14</t>
  </si>
  <si>
    <t>15</t>
  </si>
  <si>
    <t>16</t>
  </si>
  <si>
    <t>How Design U-factor was determined</t>
  </si>
  <si>
    <t>Roof Type &amp; Frame Material</t>
  </si>
  <si>
    <t>Frame Spacing &amp; Depth</t>
  </si>
  <si>
    <r>
      <t>Cavity Insulation per Design</t>
    </r>
    <r>
      <rPr>
        <b/>
        <vertAlign val="superscript"/>
        <sz val="9"/>
        <rFont val="Calibri"/>
        <family val="2"/>
        <scheme val="minor"/>
      </rPr>
      <t>2</t>
    </r>
  </si>
  <si>
    <r>
      <t>Continuous Insulation per Design</t>
    </r>
    <r>
      <rPr>
        <b/>
        <vertAlign val="superscript"/>
        <sz val="9"/>
        <rFont val="Calibri"/>
        <family val="2"/>
        <scheme val="minor"/>
      </rPr>
      <t>2</t>
    </r>
  </si>
  <si>
    <t>Thermal Performance Unit</t>
  </si>
  <si>
    <r>
      <t>Required Thermal Performance</t>
    </r>
    <r>
      <rPr>
        <b/>
        <vertAlign val="superscript"/>
        <sz val="9"/>
        <rFont val="Calibri"/>
        <family val="2"/>
        <scheme val="minor"/>
      </rPr>
      <t>3</t>
    </r>
  </si>
  <si>
    <t>U-factor per Design</t>
  </si>
  <si>
    <r>
      <t>Net Area</t>
    </r>
    <r>
      <rPr>
        <b/>
        <vertAlign val="superscript"/>
        <sz val="9"/>
        <rFont val="Calibri"/>
        <family val="2"/>
        <scheme val="minor"/>
      </rPr>
      <t>4</t>
    </r>
    <r>
      <rPr>
        <b/>
        <sz val="9"/>
        <rFont val="Calibri"/>
        <family val="2"/>
        <scheme val="minor"/>
      </rPr>
      <t xml:space="preserve">
(ft</t>
    </r>
    <r>
      <rPr>
        <b/>
        <vertAlign val="superscript"/>
        <sz val="9"/>
        <rFont val="Calibri"/>
        <family val="2"/>
        <scheme val="minor"/>
      </rPr>
      <t>2</t>
    </r>
    <r>
      <rPr>
        <b/>
        <sz val="9"/>
        <rFont val="Calibri"/>
        <family val="2"/>
        <scheme val="minor"/>
      </rPr>
      <t>)</t>
    </r>
  </si>
  <si>
    <t>From 02 above</t>
  </si>
  <si>
    <t>(look up)</t>
  </si>
  <si>
    <t>per JA4</t>
  </si>
  <si>
    <t>per Software/ Other</t>
  </si>
  <si>
    <t>Location in Construction Documents showing Air Barrier</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</si>
  <si>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</si>
  <si>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rPr>
        <i/>
        <vertAlign val="superscript"/>
        <sz val="10"/>
        <rFont val="Calibri"/>
        <family val="2"/>
        <scheme val="minor"/>
      </rPr>
      <t>2</t>
    </r>
    <r>
      <rPr>
        <i/>
        <sz val="10"/>
        <rFont val="Calibri"/>
        <family val="2"/>
        <scheme val="minor"/>
      </rPr>
      <t xml:space="preserve"> For alterations using U-factor as the Thermal Performance Unit, at least R-10 insulation must be above deck.</t>
    </r>
  </si>
  <si>
    <r>
      <rPr>
        <b/>
        <i/>
        <vertAlign val="superscript"/>
        <sz val="10"/>
        <rFont val="Calibri"/>
        <family val="2"/>
        <scheme val="minor"/>
      </rPr>
      <t>3</t>
    </r>
    <r>
      <rPr>
        <i/>
        <sz val="10"/>
        <rFont val="Calibri"/>
        <family val="2"/>
        <scheme val="minor"/>
      </rPr>
      <t xml:space="preserve"> If "R-value" is shown in cell 13 as the Thermal Performance Unit, the R-value shown here is for continuous insulation per Table 141.0-C.</t>
    </r>
  </si>
  <si>
    <r>
      <rPr>
        <b/>
        <i/>
        <vertAlign val="superscript"/>
        <sz val="10"/>
        <rFont val="Calibri"/>
        <family val="2"/>
        <scheme val="minor"/>
      </rPr>
      <t>4</t>
    </r>
    <r>
      <rPr>
        <i/>
        <sz val="10"/>
        <rFont val="Calibri"/>
        <family val="2"/>
        <scheme val="minor"/>
      </rPr>
      <t xml:space="preserve"> Roof area minus any fenestration/ skylight area</t>
    </r>
  </si>
  <si>
    <t>Status dropdown</t>
  </si>
  <si>
    <t>Exception to S141.0(b)2Bii dropdown</t>
  </si>
  <si>
    <t>Occupancy Type dropdown</t>
  </si>
  <si>
    <t>New</t>
  </si>
  <si>
    <t>Roof recovers with new R-10 insulation added above deck</t>
  </si>
  <si>
    <t>Nonresidential/ Relocatable 1 CZ</t>
  </si>
  <si>
    <t>Altered</t>
  </si>
  <si>
    <t>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</si>
  <si>
    <t>The area of the roof recoat is not required to be insulated</t>
  </si>
  <si>
    <t>Relocatable all CZ</t>
  </si>
  <si>
    <t>None of these exceptions apply</t>
  </si>
  <si>
    <t>How Ufactor Determined</t>
  </si>
  <si>
    <t>Roof Type &amp; Frame</t>
  </si>
  <si>
    <t>Frame Space &amp; Depth dropdown</t>
  </si>
  <si>
    <t>Cavity Insulation per Design</t>
  </si>
  <si>
    <t>Continuous Insulation per Design</t>
  </si>
  <si>
    <t>Perf. Unit Dropdown</t>
  </si>
  <si>
    <t>JA4 Tables (default)</t>
  </si>
  <si>
    <t>Attic- Wood</t>
  </si>
  <si>
    <t>Attic dropdown</t>
  </si>
  <si>
    <t>Attic opts</t>
  </si>
  <si>
    <t>JA4 Options</t>
  </si>
  <si>
    <t>U-factor</t>
  </si>
  <si>
    <t>Table Updated for 2022:</t>
  </si>
  <si>
    <t>Approved Software</t>
  </si>
  <si>
    <t>Attic- Metal</t>
  </si>
  <si>
    <t>16" OC &amp; 2x4 framing</t>
  </si>
  <si>
    <t>None</t>
  </si>
  <si>
    <t>R-value</t>
  </si>
  <si>
    <t>Other per JA4.1.2.1</t>
  </si>
  <si>
    <t>Rafter- Wood</t>
  </si>
  <si>
    <t>24" OC &amp; 2x4 framing</t>
  </si>
  <si>
    <t>R-11</t>
  </si>
  <si>
    <t>R-2</t>
  </si>
  <si>
    <t>Rafter- Metal</t>
  </si>
  <si>
    <t>Rafter dropdown</t>
  </si>
  <si>
    <t>R-13</t>
  </si>
  <si>
    <t>R-4</t>
  </si>
  <si>
    <t>R-19</t>
  </si>
  <si>
    <t>R-6</t>
  </si>
  <si>
    <t>16" OC &amp; 2x6 framing</t>
  </si>
  <si>
    <t>R-21</t>
  </si>
  <si>
    <t>R-7</t>
  </si>
  <si>
    <t>16" OC &amp; 2x8 framing</t>
  </si>
  <si>
    <t>R-22</t>
  </si>
  <si>
    <t>R-8</t>
  </si>
  <si>
    <t>16" OC &amp; 2x10 framing</t>
  </si>
  <si>
    <t>R-25</t>
  </si>
  <si>
    <t>R-10</t>
  </si>
  <si>
    <t>16" OC &amp; 2x12 framing</t>
  </si>
  <si>
    <t>R-30</t>
  </si>
  <si>
    <t>R-14</t>
  </si>
  <si>
    <t>16" OC &amp; 2x14 framing</t>
  </si>
  <si>
    <t>R-38</t>
  </si>
  <si>
    <t>R-44</t>
  </si>
  <si>
    <t>24" OC &amp; 2x6 framing</t>
  </si>
  <si>
    <t>R-49</t>
  </si>
  <si>
    <t>24" OC &amp; 2x8 framing</t>
  </si>
  <si>
    <t>R-60</t>
  </si>
  <si>
    <t>24" OC &amp; 2x10 framing</t>
  </si>
  <si>
    <t>Rafter Opts when 2x4</t>
  </si>
  <si>
    <t>24" OC &amp; 2x12 framing</t>
  </si>
  <si>
    <t>24" OC &amp; 2x14 framing</t>
  </si>
  <si>
    <t>R-15</t>
  </si>
  <si>
    <t>R-19 (batt)</t>
  </si>
  <si>
    <t>R-19 (spray/rigid)</t>
  </si>
  <si>
    <t>Rafter Opts when 2x6</t>
  </si>
  <si>
    <t>R-17</t>
  </si>
  <si>
    <t>R-20</t>
  </si>
  <si>
    <t>R-23</t>
  </si>
  <si>
    <t>Rafter Opts when 2x8</t>
  </si>
  <si>
    <t>Rafter Opts when 2x10</t>
  </si>
  <si>
    <t>Rafter Opts when 2x12</t>
  </si>
  <si>
    <t>Rafter Opts when 2x14</t>
  </si>
  <si>
    <t>Structural Insulated Panels (SIPs) Roof/Ceiling Assemblies</t>
  </si>
  <si>
    <r>
      <t>Include SIPs Roof assemblies in Area-Weighted Average U-factor Calculation</t>
    </r>
    <r>
      <rPr>
        <b/>
        <vertAlign val="superscript"/>
        <sz val="11"/>
        <rFont val="Calibri"/>
        <family val="2"/>
        <scheme val="minor"/>
      </rPr>
      <t>1</t>
    </r>
  </si>
  <si>
    <t>Wood Framing Connection Type (Spline)</t>
  </si>
  <si>
    <t>Panel Thickness
(in.)</t>
  </si>
  <si>
    <r>
      <t xml:space="preserve">Core Insulation per Design </t>
    </r>
    <r>
      <rPr>
        <b/>
        <vertAlign val="superscript"/>
        <sz val="9"/>
        <rFont val="Calibri"/>
        <family val="2"/>
        <scheme val="minor"/>
      </rPr>
      <t>2</t>
    </r>
  </si>
  <si>
    <t>U-factor Per Design</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</si>
  <si>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</si>
  <si>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rPr>
        <i/>
        <vertAlign val="superscript"/>
        <sz val="10"/>
        <rFont val="Calibri"/>
        <family val="2"/>
        <scheme val="minor"/>
      </rPr>
      <t>3</t>
    </r>
    <r>
      <rPr>
        <i/>
        <sz val="10"/>
        <rFont val="Calibri"/>
        <family val="2"/>
        <scheme val="minor"/>
      </rPr>
      <t xml:space="preserve"> If "R-value" is shown in cell 13 as the Thermal Performance Unit, the R-value shown here is for continuous insulation per Table 141.0-C.</t>
    </r>
  </si>
  <si>
    <r>
      <rPr>
        <i/>
        <vertAlign val="superscript"/>
        <sz val="10"/>
        <rFont val="Calibri"/>
        <family val="2"/>
        <scheme val="minor"/>
      </rPr>
      <t>4</t>
    </r>
    <r>
      <rPr>
        <i/>
        <sz val="10"/>
        <rFont val="Calibri"/>
        <family val="2"/>
        <scheme val="minor"/>
      </rPr>
      <t xml:space="preserve"> Roof area minus any fenestration/ skylight area</t>
    </r>
  </si>
  <si>
    <t>No exception applies</t>
  </si>
  <si>
    <t>Multifamily</t>
  </si>
  <si>
    <t>Framing Connect. Type</t>
  </si>
  <si>
    <t>Panel Thickness</t>
  </si>
  <si>
    <t>Core Insulation per Design</t>
  </si>
  <si>
    <t>CI Per Design</t>
  </si>
  <si>
    <t>Thermal Perf Unit</t>
  </si>
  <si>
    <t>JA4 Tables</t>
  </si>
  <si>
    <t>OSB</t>
  </si>
  <si>
    <t>6.5 in</t>
  </si>
  <si>
    <t>R-X</t>
  </si>
  <si>
    <t>Single 2x</t>
  </si>
  <si>
    <t>8.25 in</t>
  </si>
  <si>
    <t>R-2 c.i.</t>
  </si>
  <si>
    <t>Double 2x</t>
  </si>
  <si>
    <t>10.25 in</t>
  </si>
  <si>
    <t>R-4 c.i.</t>
  </si>
  <si>
    <t>I-joist</t>
  </si>
  <si>
    <t>12.25 in</t>
  </si>
  <si>
    <t>R-5 c.i.</t>
  </si>
  <si>
    <t>Steel Framing</t>
  </si>
  <si>
    <t>R-7 c.i.</t>
  </si>
  <si>
    <t>R-8 c.i.</t>
  </si>
  <si>
    <t>Panel Thickness (Steel Framing)</t>
  </si>
  <si>
    <t>48 in</t>
  </si>
  <si>
    <t>Span Deck &amp; Concrete Roof Assemblies</t>
  </si>
  <si>
    <r>
      <t>Include Span Deck &amp; Concrete Roof assemblies in Area-Weighted Average U-factor Calculation</t>
    </r>
    <r>
      <rPr>
        <b/>
        <vertAlign val="superscript"/>
        <sz val="11"/>
        <rFont val="Calibri"/>
        <family val="2"/>
        <scheme val="minor"/>
      </rPr>
      <t>1</t>
    </r>
  </si>
  <si>
    <t>Fireproofing</t>
  </si>
  <si>
    <t>Concrete Topping Thickness
(in)</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</si>
  <si>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</si>
  <si>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t>2 For alterations using U-factor as the Thermal Performance Unit, at least R-10 insulation must be above deck.</t>
  </si>
  <si>
    <r>
      <rPr>
        <i/>
        <vertAlign val="superscript"/>
        <sz val="10"/>
        <rFont val="Calibri"/>
        <family val="2"/>
        <scheme val="minor"/>
      </rPr>
      <t>3</t>
    </r>
    <r>
      <rPr>
        <i/>
        <sz val="10"/>
        <rFont val="Calibri"/>
        <family val="2"/>
        <scheme val="minor"/>
      </rPr>
      <t xml:space="preserve"> If "R-value" is shown in cell 12 as the Thermal Performance Unit, the R-value shown here is for continuous insulation per Table 141.0-C.</t>
    </r>
  </si>
  <si>
    <r>
      <rPr>
        <vertAlign val="superscript"/>
        <sz val="10"/>
        <rFont val="Calibri"/>
        <family val="2"/>
        <scheme val="minor"/>
      </rPr>
      <t>4</t>
    </r>
    <r>
      <rPr>
        <i/>
        <sz val="10"/>
        <rFont val="Calibri"/>
        <family val="2"/>
        <scheme val="minor"/>
      </rPr>
      <t xml:space="preserve"> Roof area minus any fenestration/ skylight area</t>
    </r>
  </si>
  <si>
    <t>Conc. Topping Thickness</t>
  </si>
  <si>
    <t>CI per Design</t>
  </si>
  <si>
    <t>Yes</t>
  </si>
  <si>
    <t>No</t>
  </si>
  <si>
    <t>2 in</t>
  </si>
  <si>
    <t>4 in</t>
  </si>
  <si>
    <t>R-6 c.i.</t>
  </si>
  <si>
    <t>6 in</t>
  </si>
  <si>
    <t>R-10 c.i.</t>
  </si>
  <si>
    <t>R-12 c.i.</t>
  </si>
  <si>
    <t>R-15 c.i.</t>
  </si>
  <si>
    <t>R-20 c.i.</t>
  </si>
  <si>
    <t>R-25 c.i.</t>
  </si>
  <si>
    <t>R-30 c.i.</t>
  </si>
  <si>
    <t>Metal Panel Assemblies</t>
  </si>
  <si>
    <r>
      <t>Include Metal Panel Roof assemblies in Area-Weighted Average U-factor Calculation</t>
    </r>
    <r>
      <rPr>
        <b/>
        <vertAlign val="superscript"/>
        <sz val="11"/>
        <rFont val="Calibri"/>
        <family val="2"/>
        <scheme val="minor"/>
      </rPr>
      <t>1</t>
    </r>
  </si>
  <si>
    <t>Panel Thickness 
(in)</t>
  </si>
  <si>
    <t>Required Thermal Performance</t>
  </si>
  <si>
    <r>
      <t>Net Area</t>
    </r>
    <r>
      <rPr>
        <b/>
        <vertAlign val="superscript"/>
        <sz val="9"/>
        <rFont val="Calibri"/>
        <family val="2"/>
        <scheme val="minor"/>
      </rPr>
      <t>2</t>
    </r>
    <r>
      <rPr>
        <b/>
        <sz val="9"/>
        <rFont val="Calibri"/>
        <family val="2"/>
        <scheme val="minor"/>
      </rPr>
      <t xml:space="preserve">
(ft</t>
    </r>
    <r>
      <rPr>
        <b/>
        <vertAlign val="superscript"/>
        <sz val="9"/>
        <rFont val="Calibri"/>
        <family val="2"/>
        <scheme val="minor"/>
      </rPr>
      <t>2</t>
    </r>
    <r>
      <rPr>
        <b/>
        <sz val="9"/>
        <rFont val="Calibri"/>
        <family val="2"/>
        <scheme val="minor"/>
      </rPr>
      <t>)</t>
    </r>
  </si>
  <si>
    <r>
      <rPr>
        <i/>
        <vertAlign val="superscript"/>
        <sz val="10"/>
        <color theme="1"/>
        <rFont val="Calibri"/>
        <family val="2"/>
        <scheme val="minor"/>
      </rPr>
      <t>2</t>
    </r>
    <r>
      <rPr>
        <i/>
        <sz val="10"/>
        <color theme="1"/>
        <rFont val="Calibri"/>
        <family val="2"/>
        <scheme val="minor"/>
      </rPr>
      <t xml:space="preserve"> Roof area minus any fenestration/ skylight area</t>
    </r>
  </si>
  <si>
    <t>2.5 in</t>
  </si>
  <si>
    <t>3 in</t>
  </si>
  <si>
    <t>5 in</t>
  </si>
  <si>
    <t>Metal Building Roof Assemblies</t>
  </si>
  <si>
    <r>
      <t>Calculate Area-Weighted Average U-factor for Metal Building Roof</t>
    </r>
    <r>
      <rPr>
        <b/>
        <vertAlign val="superscript"/>
        <sz val="11"/>
        <rFont val="Calibri"/>
        <family val="2"/>
        <scheme val="minor"/>
      </rPr>
      <t>1</t>
    </r>
  </si>
  <si>
    <t>Insulation System</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</si>
  <si>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</si>
  <si>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t>Cont. Insulation per Design</t>
  </si>
  <si>
    <t>Screw Down Roofs</t>
  </si>
  <si>
    <t>Screw Down Options</t>
  </si>
  <si>
    <t>Standing Seam-1 Layer of insulation</t>
  </si>
  <si>
    <t>Standing Seam-2 Layers of insulation</t>
  </si>
  <si>
    <t>R-9</t>
  </si>
  <si>
    <t>Filled Cavity with thermal blocks</t>
  </si>
  <si>
    <t>R-16</t>
  </si>
  <si>
    <t>Standing Seam-1 Lay</t>
  </si>
  <si>
    <t>R-32</t>
  </si>
  <si>
    <t>Standing Seam-2 Lay</t>
  </si>
  <si>
    <t>R-10+R-10</t>
  </si>
  <si>
    <t>R-10+R-11</t>
  </si>
  <si>
    <t>R-10+R-13</t>
  </si>
  <si>
    <t>R-10+R-19</t>
  </si>
  <si>
    <t>R-11+R-11</t>
  </si>
  <si>
    <t>R-11+R-13</t>
  </si>
  <si>
    <t>R-11+R-19</t>
  </si>
  <si>
    <t>R-13+R-13</t>
  </si>
  <si>
    <t>R-13+R-19</t>
  </si>
  <si>
    <t>R-16+R-19</t>
  </si>
  <si>
    <t>R-19+R-19</t>
  </si>
  <si>
    <t>Filled Cavity</t>
  </si>
  <si>
    <t>Multifamily Framed Roof Assemblies</t>
  </si>
  <si>
    <t xml:space="preserve">New construction multifamily occupancies with attic roofs may choose between U-factor or R-value to demonstrate compliance with Table 170.2-A or Section 180.2(b)1 for alterations. New construction non-attic roofs must comply with U-factors per Table 170.2-A. </t>
  </si>
  <si>
    <r>
      <t xml:space="preserve">Roof Type </t>
    </r>
    <r>
      <rPr>
        <b/>
        <vertAlign val="superscript"/>
        <sz val="9"/>
        <color theme="1"/>
        <rFont val="Calibri"/>
        <family val="2"/>
        <scheme val="minor"/>
      </rPr>
      <t>2</t>
    </r>
    <r>
      <rPr>
        <b/>
        <sz val="9"/>
        <color theme="1"/>
        <rFont val="Calibri"/>
        <family val="2"/>
        <scheme val="minor"/>
      </rPr>
      <t xml:space="preserve"> </t>
    </r>
  </si>
  <si>
    <t>Exception to Roof Insulation Requirements in §180.2(b)1 (Alts. Only)</t>
  </si>
  <si>
    <t>Compliance Unit</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</si>
  <si>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The area-weighted compliance option is not available for assemblies demonstrating compliance with R-value requirements.</t>
    </r>
  </si>
  <si>
    <r>
      <rPr>
        <i/>
        <vertAlign val="superscript"/>
        <sz val="10"/>
        <rFont val="Calibri"/>
        <family val="2"/>
        <scheme val="minor"/>
      </rPr>
      <t>2</t>
    </r>
    <r>
      <rPr>
        <i/>
        <sz val="10"/>
        <rFont val="Calibri"/>
        <family val="2"/>
        <scheme val="minor"/>
      </rPr>
      <t xml:space="preserve"> Option B: insulation installed between the roof rafters in contact with the roof deck and an additional layer of ceiling insulation located between the attic and the conditioned space; Option C: ceiling insulation located between the attic and the conditioned space.</t>
    </r>
  </si>
  <si>
    <t>Assemblies Using U-factor as Compliance Unit</t>
  </si>
  <si>
    <t>17</t>
  </si>
  <si>
    <t>Frame Material</t>
  </si>
  <si>
    <r>
      <t>Net Area</t>
    </r>
    <r>
      <rPr>
        <b/>
        <vertAlign val="superscript"/>
        <sz val="9"/>
        <rFont val="Calibri"/>
        <family val="2"/>
        <scheme val="minor"/>
      </rPr>
      <t>3</t>
    </r>
    <r>
      <rPr>
        <b/>
        <sz val="9"/>
        <rFont val="Calibri"/>
        <family val="2"/>
        <scheme val="minor"/>
      </rPr>
      <t xml:space="preserve">
(ft</t>
    </r>
    <r>
      <rPr>
        <b/>
        <vertAlign val="superscript"/>
        <sz val="9"/>
        <rFont val="Calibri"/>
        <family val="2"/>
        <scheme val="minor"/>
      </rPr>
      <t>2</t>
    </r>
    <r>
      <rPr>
        <b/>
        <sz val="9"/>
        <rFont val="Calibri"/>
        <family val="2"/>
        <scheme val="minor"/>
      </rPr>
      <t>)</t>
    </r>
  </si>
  <si>
    <r>
      <rPr>
        <b/>
        <i/>
        <vertAlign val="superscript"/>
        <sz val="10"/>
        <rFont val="Calibri"/>
        <family val="2"/>
        <scheme val="minor"/>
      </rPr>
      <t>3</t>
    </r>
    <r>
      <rPr>
        <i/>
        <sz val="10"/>
        <color theme="1"/>
        <rFont val="Calibri"/>
        <family val="2"/>
        <scheme val="minor"/>
      </rPr>
      <t xml:space="preserve"> Roof area minus any fenestration/ skylight area</t>
    </r>
  </si>
  <si>
    <t>Assemblies Using R-value as Compliance Unit</t>
  </si>
  <si>
    <t>18</t>
  </si>
  <si>
    <t>19</t>
  </si>
  <si>
    <t>20</t>
  </si>
  <si>
    <t>21</t>
  </si>
  <si>
    <t>22</t>
  </si>
  <si>
    <t>Radiant Barrier Req?</t>
  </si>
  <si>
    <r>
      <t>Minimum R-value Required</t>
    </r>
    <r>
      <rPr>
        <b/>
        <vertAlign val="superscript"/>
        <sz val="9"/>
        <rFont val="Calibri"/>
        <family val="2"/>
        <scheme val="minor"/>
      </rPr>
      <t>3</t>
    </r>
  </si>
  <si>
    <t>R-value per Design</t>
  </si>
  <si>
    <t>Yes/No</t>
  </si>
  <si>
    <r>
      <t>Below Roof Deck</t>
    </r>
    <r>
      <rPr>
        <vertAlign val="superscript"/>
        <sz val="9"/>
        <rFont val="Calibri"/>
        <family val="2"/>
        <scheme val="minor"/>
      </rPr>
      <t>4</t>
    </r>
  </si>
  <si>
    <t>At Ceiling</t>
  </si>
  <si>
    <r>
      <rPr>
        <b/>
        <i/>
        <vertAlign val="superscript"/>
        <sz val="10"/>
        <rFont val="Calibri"/>
        <family val="2"/>
        <scheme val="minor"/>
      </rPr>
      <t>3</t>
    </r>
    <r>
      <rPr>
        <i/>
        <sz val="10"/>
        <rFont val="Calibri"/>
        <family val="2"/>
        <scheme val="minor"/>
      </rPr>
      <t xml:space="preserve"> When R-value is used for low-sloped roof alterations, the value shown here is for continuous insulation per §180.2(b)1Aiii.</t>
    </r>
  </si>
  <si>
    <r>
      <rPr>
        <b/>
        <i/>
        <vertAlign val="superscript"/>
        <sz val="10"/>
        <rFont val="Calibri"/>
        <family val="2"/>
        <scheme val="minor"/>
      </rPr>
      <t>4</t>
    </r>
    <r>
      <rPr>
        <i/>
        <sz val="10"/>
        <rFont val="Calibri"/>
        <family val="2"/>
        <scheme val="minor"/>
      </rPr>
      <t xml:space="preserve"> Install the specified R-value with an air space present between the roofing and the roof deck. Such as standard installation of concrete or clay tile. R-values shown  are for wood-frame construction with insulation installed between the framing members. Alternatives including insulation above rafters or above roof deck shall comply with the performance standards.</t>
    </r>
  </si>
  <si>
    <t>Remove 07 and make the appropriate choices based on LMCC or NRCC</t>
  </si>
  <si>
    <t>Roof Type dropdown</t>
  </si>
  <si>
    <t>Exception to §180.2(b)1 dropdown</t>
  </si>
  <si>
    <r>
      <t>New or Add &gt; 700ft</t>
    </r>
    <r>
      <rPr>
        <vertAlign val="superscript"/>
        <sz val="11"/>
        <color theme="1"/>
        <rFont val="Calibri"/>
        <family val="2"/>
        <scheme val="minor"/>
      </rPr>
      <t>2</t>
    </r>
  </si>
  <si>
    <t xml:space="preserve">Attic- Opt. B </t>
  </si>
  <si>
    <r>
      <t>Add &lt;= 700ft</t>
    </r>
    <r>
      <rPr>
        <vertAlign val="superscript"/>
        <sz val="11"/>
        <color theme="1"/>
        <rFont val="Calibri"/>
        <family val="2"/>
        <scheme val="minor"/>
      </rPr>
      <t>2</t>
    </r>
  </si>
  <si>
    <t>Attic- Opt. C</t>
  </si>
  <si>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</si>
  <si>
    <t xml:space="preserve">Alt. Low Slope &lt; 2:12 </t>
  </si>
  <si>
    <t>Non-attic- Opt. D</t>
  </si>
  <si>
    <t xml:space="preserve">Alt. Steep Slope &gt;= 2:12 </t>
  </si>
  <si>
    <t>Vented Attic</t>
  </si>
  <si>
    <t>Project located in Climate Zone 5, 6, or 7</t>
  </si>
  <si>
    <t>Enclosed Rafter Ceiling</t>
  </si>
  <si>
    <t>Dwelling units have at least R-19 existing insulation installed at the ceiling level in climate zone 1, 3, 4 or 9.</t>
  </si>
  <si>
    <t>Not vented attic or enclosed rafter</t>
  </si>
  <si>
    <t>Dwelling units have at least R-38 existing insulation installed at the ceiling level in climate zone 2, 8 or 10-16</t>
  </si>
  <si>
    <t>The alteration would directly cause the disturbance of asbestos and the asbestos is not being abated.</t>
  </si>
  <si>
    <t>There is knob and tube wiring located in the vented attic.</t>
  </si>
  <si>
    <t>Accessible space in the attic is not large enough to accommodate the required R-value and the entire accessible space will be filled with insulation provided such installation does not violate Section 806.3 of Title 24, Part 2.5.</t>
  </si>
  <si>
    <t>Other than Vented Attic</t>
  </si>
  <si>
    <t>Attic space above the altered dwelling unit is shared with other dwelling units and the requirements of Section 180.2(b)1Bi are not triggered for the other dwelling units.</t>
  </si>
  <si>
    <t>Wood</t>
  </si>
  <si>
    <t>Metal</t>
  </si>
  <si>
    <t>Example Area Weighted Avg calc for totals</t>
  </si>
  <si>
    <t>Roof Type</t>
  </si>
  <si>
    <t>Area</t>
  </si>
  <si>
    <t>Required U-factor</t>
  </si>
  <si>
    <t>Designed U-factor</t>
  </si>
  <si>
    <t>If any of these area-weighted tables are triggered, the exceptional condition in Table D row 18 should be triggered.</t>
  </si>
  <si>
    <t>Roof A</t>
  </si>
  <si>
    <t>SIPS</t>
  </si>
  <si>
    <t>Roof B</t>
  </si>
  <si>
    <t>Area-Weighted Average U-factor Compliance Calculation for Framed/SIPs/Span Deck &amp; Concrete/ Metal Panel Roofs</t>
  </si>
  <si>
    <t>Roof C</t>
  </si>
  <si>
    <t>Concrete</t>
  </si>
  <si>
    <r>
      <t>Total Area of Roof Type
(ft</t>
    </r>
    <r>
      <rPr>
        <b/>
        <vertAlign val="superscript"/>
        <sz val="9"/>
        <rFont val="Calibri"/>
        <family val="2"/>
        <scheme val="minor"/>
      </rPr>
      <t>2</t>
    </r>
    <r>
      <rPr>
        <b/>
        <sz val="9"/>
        <rFont val="Calibri"/>
        <family val="2"/>
        <scheme val="minor"/>
      </rPr>
      <t>)</t>
    </r>
  </si>
  <si>
    <t>Area-weighted U-factor for Roof Type</t>
  </si>
  <si>
    <t>Compliance Results Using Area-Weighted Calculation Option</t>
  </si>
  <si>
    <t>Required</t>
  </si>
  <si>
    <t>Designed</t>
  </si>
  <si>
    <t>Area (ft2)</t>
  </si>
  <si>
    <t>Ben, pulls in Subtable Name (ie "Framed Roof") for any subtable with column 02 checked</t>
  </si>
  <si>
    <r>
      <t>Ben, sum of "Area (ft</t>
    </r>
    <r>
      <rPr>
        <i/>
        <vertAlign val="superscript"/>
        <sz val="9"/>
        <rFont val="Calibri"/>
        <family val="2"/>
        <scheme val="minor"/>
      </rPr>
      <t>2</t>
    </r>
    <r>
      <rPr>
        <i/>
        <sz val="9"/>
        <rFont val="Calibri"/>
        <family val="2"/>
        <scheme val="minor"/>
      </rPr>
      <t>)" column for the subtable</t>
    </r>
  </si>
  <si>
    <t>= (sum (required thermal performance x area))/ total area of roof type</t>
  </si>
  <si>
    <t>= (sum (designed thermal performance x area))/ total area of roof type</t>
  </si>
  <si>
    <t>Total For All Roof Types:</t>
  </si>
  <si>
    <t>=sum (column 02)</t>
  </si>
  <si>
    <t>= (sum (required thermal performance x area))/ total area of all roof types</t>
  </si>
  <si>
    <t>= (sum (designed thermal performance x area))/ total area of all roof types</t>
  </si>
  <si>
    <t>COMPLIES or DOES NOT COMPLY</t>
  </si>
  <si>
    <t>Area-Weighted Average U-factor Compliance Calculation for Metal Building Roof</t>
  </si>
  <si>
    <r>
      <t>Total Area of Roof Type
(ft</t>
    </r>
    <r>
      <rPr>
        <b/>
        <vertAlign val="superscript"/>
        <sz val="9"/>
        <color theme="1"/>
        <rFont val="Calibri"/>
        <family val="2"/>
        <scheme val="minor"/>
      </rPr>
      <t>2</t>
    </r>
    <r>
      <rPr>
        <b/>
        <sz val="9"/>
        <color theme="1"/>
        <rFont val="Calibri"/>
        <family val="2"/>
        <scheme val="minor"/>
      </rPr>
      <t>)</t>
    </r>
  </si>
  <si>
    <t>Metal Building Roof</t>
  </si>
  <si>
    <t>= (sum (U-factor per Design x area))/ total area of roof type</t>
  </si>
  <si>
    <t>Area-Weighted Average U-factor Compliance Calculation for Multifamily-Framed</t>
  </si>
  <si>
    <t>Multifamily Framed Roof</t>
  </si>
  <si>
    <r>
      <t>Sum of "Area (ft</t>
    </r>
    <r>
      <rPr>
        <i/>
        <vertAlign val="superscript"/>
        <sz val="9"/>
        <rFont val="Calibri"/>
        <family val="2"/>
        <scheme val="minor"/>
      </rPr>
      <t>2</t>
    </r>
    <r>
      <rPr>
        <i/>
        <sz val="9"/>
        <rFont val="Calibri"/>
        <family val="2"/>
        <scheme val="minor"/>
      </rPr>
      <t>)" column 18 for the subtable</t>
    </r>
  </si>
  <si>
    <t>From look-up table</t>
  </si>
  <si>
    <t>G.RATED ROOFING MATERIAL (COOL ROOF)</t>
  </si>
  <si>
    <t>This table demonstrates compliance with prescriptive roof material requirements in §140.3(a)1A/§170.2(a)1A for new construction, §141.0(a)/§180.1 for additions and §141.0(b)2B/§180.2 for alterations. 
Roof recovers and replacements must also document compliance with insulation requirements in Table F. Roof recoats may document compliance with roof material only in Table G.</t>
  </si>
  <si>
    <t>paged</t>
  </si>
  <si>
    <t>pinitial</t>
  </si>
  <si>
    <t>.9</t>
  </si>
  <si>
    <t>0.65</t>
  </si>
  <si>
    <t>field applied coating in 06</t>
  </si>
  <si>
    <t>Name/ Description/ Location</t>
  </si>
  <si>
    <t>Roof Slope</t>
  </si>
  <si>
    <t>Roof Material</t>
  </si>
  <si>
    <t>Compliance Method</t>
  </si>
  <si>
    <t>Required Minimum Material Performance</t>
  </si>
  <si>
    <t>Designed Material Performance</t>
  </si>
  <si>
    <t>U-factor/ R-value of Assembly</t>
  </si>
  <si>
    <t>anything else in 06</t>
  </si>
  <si>
    <t>Dropdown</t>
  </si>
  <si>
    <t xml:space="preserve">Dropdown </t>
  </si>
  <si>
    <t>Reflectance</t>
  </si>
  <si>
    <r>
      <t>Reflectance</t>
    </r>
    <r>
      <rPr>
        <vertAlign val="superscript"/>
        <sz val="10"/>
        <rFont val="Calibri"/>
        <family val="2"/>
        <scheme val="minor"/>
      </rPr>
      <t>1</t>
    </r>
  </si>
  <si>
    <t>dropdown</t>
  </si>
  <si>
    <t>Emittance</t>
  </si>
  <si>
    <t>SRI</t>
  </si>
  <si>
    <r>
      <rPr>
        <i/>
        <vertAlign val="superscript"/>
        <sz val="10"/>
        <rFont val="Calibri"/>
        <family val="2"/>
        <scheme val="minor"/>
      </rPr>
      <t>1</t>
    </r>
    <r>
      <rPr>
        <i/>
        <sz val="10"/>
        <rFont val="Calibri"/>
        <family val="2"/>
        <scheme val="minor"/>
      </rPr>
      <t xml:space="preserve"> FOOTNOTE: If Solar Reflectance (Initial) is indicated in column 07, enter the Initial Reflectance here and the form will convert it to a "Calculated Aged Solar Reflectance" when determining compliance.</t>
    </r>
  </si>
  <si>
    <t>Status Dropdown</t>
  </si>
  <si>
    <t>Occ Typ Dropdown</t>
  </si>
  <si>
    <t xml:space="preserve">Roof Slope Dropdown              </t>
  </si>
  <si>
    <t>Material Dropdown</t>
  </si>
  <si>
    <t xml:space="preserve">Compliance Method 
Dropdown       </t>
  </si>
  <si>
    <t>Ufactor Assembly Dropdown</t>
  </si>
  <si>
    <t>resulting SR for column 08</t>
  </si>
  <si>
    <t>&lt; 2:12 (Low)</t>
  </si>
  <si>
    <t>To Be Determined</t>
  </si>
  <si>
    <t>Solar Reflectance (Initial)/ Emittance</t>
  </si>
  <si>
    <t>&lt;=0.031</t>
  </si>
  <si>
    <t>&gt;= 2:12 (Steep)</t>
  </si>
  <si>
    <t>Asphalt Shingle</t>
  </si>
  <si>
    <t>Solar Reflectance (Aged)/ Emittance</t>
  </si>
  <si>
    <t>0.0311-0.033</t>
  </si>
  <si>
    <t>Aggregate or Ballast</t>
  </si>
  <si>
    <t>Solar Reflectance Index (SRI)</t>
  </si>
  <si>
    <t>0.0331-0.035</t>
  </si>
  <si>
    <r>
      <t xml:space="preserve">Multifamily- Attic Roof </t>
    </r>
    <r>
      <rPr>
        <sz val="10"/>
        <color rgb="FFFF0000"/>
        <rFont val="Calibri"/>
        <family val="2"/>
        <scheme val="minor"/>
      </rPr>
      <t>(Option B)</t>
    </r>
  </si>
  <si>
    <t>Bitumen</t>
  </si>
  <si>
    <t xml:space="preserve"> U-factor Trade-off per Table 141.0-B</t>
  </si>
  <si>
    <t>0.0351-0.038</t>
  </si>
  <si>
    <t>Multifamily- Attic Roof (Option C)</t>
  </si>
  <si>
    <t>Field-Applied Coating</t>
  </si>
  <si>
    <t>NA: Roof-integrated PV or Solar Thermal</t>
  </si>
  <si>
    <r>
      <t xml:space="preserve">Multifamily- Non-attic Roof </t>
    </r>
    <r>
      <rPr>
        <sz val="10"/>
        <color rgb="FFFF0000"/>
        <rFont val="Calibri"/>
        <family val="2"/>
        <scheme val="minor"/>
      </rPr>
      <t>(Option D)</t>
    </r>
  </si>
  <si>
    <t>Fluid-Applied Membrane</t>
  </si>
  <si>
    <t>NA: Weight &gt;= 25lb/ft²  over membrane</t>
  </si>
  <si>
    <t xml:space="preserve">Metal </t>
  </si>
  <si>
    <r>
      <t>NA: &lt;= 50% roof area &amp; &lt; 2,000ft</t>
    </r>
    <r>
      <rPr>
        <vertAlign val="superscript"/>
        <sz val="10"/>
        <color rgb="FF000000"/>
        <rFont val="Calibri"/>
        <family val="2"/>
        <scheme val="minor"/>
      </rPr>
      <t>2</t>
    </r>
    <r>
      <rPr>
        <sz val="10"/>
        <color rgb="FF000000"/>
        <rFont val="Calibri"/>
        <family val="2"/>
        <scheme val="minor"/>
      </rPr>
      <t xml:space="preserve"> altered</t>
    </r>
  </si>
  <si>
    <t>&lt;=0.037</t>
  </si>
  <si>
    <t>Metal Shake or Shingle</t>
  </si>
  <si>
    <t>NA: Demising Roof</t>
  </si>
  <si>
    <t>0.0371-0.039</t>
  </si>
  <si>
    <t>Paver</t>
  </si>
  <si>
    <t>0.0391-0.042</t>
  </si>
  <si>
    <t>Polymer or Composite</t>
  </si>
  <si>
    <t>0.0421-0.045</t>
  </si>
  <si>
    <t>Single-Ply</t>
  </si>
  <si>
    <t>Spray Polyurethane Foam</t>
  </si>
  <si>
    <t>Tile or Slate</t>
  </si>
  <si>
    <t>&lt;=0.028</t>
  </si>
  <si>
    <t>0.0281-0.029</t>
  </si>
  <si>
    <t>Metal Building</t>
  </si>
  <si>
    <t>0.0291-0.030</t>
  </si>
  <si>
    <t>0.0301-0.032</t>
  </si>
  <si>
    <t>&lt;= 0.026</t>
  </si>
  <si>
    <t>0.0261- 0.028</t>
  </si>
  <si>
    <t>0.0291- 0.032</t>
  </si>
  <si>
    <t>U-factor Trade-off per Table 140.3</t>
  </si>
  <si>
    <t>0.0321- 0.034</t>
  </si>
  <si>
    <t>0.0341- 0.038</t>
  </si>
  <si>
    <t>0.0381- 0.041</t>
  </si>
  <si>
    <t>0.0411- 0.043</t>
  </si>
  <si>
    <t>&lt;= 0.024</t>
  </si>
  <si>
    <t xml:space="preserve"> 0.0241- 0.025</t>
  </si>
  <si>
    <t xml:space="preserve"> 0.0251- 0.026</t>
  </si>
  <si>
    <t>0.0281- 0.029</t>
  </si>
  <si>
    <t>0.0291- 0.031</t>
  </si>
  <si>
    <t>NA: Wood Frame Roof U &lt;= 0.034</t>
  </si>
  <si>
    <t xml:space="preserve"> 0.0311- 0.034</t>
  </si>
  <si>
    <t>0.0341- 0.035</t>
  </si>
  <si>
    <t>Rvalue Assembly Dropdown</t>
  </si>
  <si>
    <t>&gt;= 10</t>
  </si>
  <si>
    <t>8-9.99</t>
  </si>
  <si>
    <t>6-7.99</t>
  </si>
  <si>
    <t>4-5.99</t>
  </si>
  <si>
    <t>2-3.99</t>
  </si>
  <si>
    <t>&gt;= 24</t>
  </si>
  <si>
    <t>22-23.99</t>
  </si>
  <si>
    <t>20-21.99</t>
  </si>
  <si>
    <t>18-19.99</t>
  </si>
  <si>
    <t>16-17.99</t>
  </si>
  <si>
    <t>R-value Trade-off per Table 180.2-A</t>
  </si>
  <si>
    <r>
      <t>NA: &lt;= 50% roof area &amp; &lt; 2,000ft</t>
    </r>
    <r>
      <rPr>
        <vertAlign val="superscript"/>
        <sz val="10"/>
        <rFont val="Calibri"/>
        <family val="2"/>
        <scheme val="minor"/>
      </rPr>
      <t>2</t>
    </r>
    <r>
      <rPr>
        <sz val="10"/>
        <rFont val="Calibri"/>
        <family val="2"/>
        <scheme val="minor"/>
      </rPr>
      <t xml:space="preserve"> altered</t>
    </r>
  </si>
  <si>
    <t>NA: Ceiling U-factor &lt;= 0.25</t>
  </si>
  <si>
    <t>NA: Attic ceiling insulation &gt;= R-38</t>
  </si>
  <si>
    <t>NA: Attic radiant barrier per §170.2(a)1C</t>
  </si>
  <si>
    <t>NA: No ducts in attic &amp; CZ 2, 4, 9, 10, 12, 14</t>
  </si>
  <si>
    <t>NA: Continuous insulation above/below roof deck &gt;= R-2</t>
  </si>
  <si>
    <t>H. WALL ASSEMBLY SCHEDULE</t>
  </si>
  <si>
    <t xml:space="preserve">This table demonstrates compliance with prescriptive wall assembly requirements in §140.3(a)/§170.2(a) for new construction, §141.0(a)/§180.1 for additions and §141.0(b)1B/§180.2 for alterations. </t>
  </si>
  <si>
    <r>
      <t>Indicate wall types included in the project:</t>
    </r>
    <r>
      <rPr>
        <vertAlign val="superscript"/>
        <sz val="11"/>
        <color theme="1"/>
        <rFont val="Calibri"/>
        <family val="2"/>
        <scheme val="minor"/>
      </rPr>
      <t>1</t>
    </r>
  </si>
  <si>
    <r>
      <rPr>
        <sz val="11"/>
        <color theme="1"/>
        <rFont val="Wingdings"/>
        <charset val="2"/>
      </rPr>
      <t>¨</t>
    </r>
    <r>
      <rPr>
        <sz val="11"/>
        <color theme="1"/>
        <rFont val="Calibri"/>
        <family val="2"/>
      </rPr>
      <t xml:space="preserve"> Mass (new only)</t>
    </r>
  </si>
  <si>
    <r>
      <rPr>
        <sz val="11"/>
        <color theme="1"/>
        <rFont val="Wingdings"/>
        <charset val="2"/>
      </rPr>
      <t>¨</t>
    </r>
    <r>
      <rPr>
        <sz val="11"/>
        <color theme="1"/>
        <rFont val="Calibri"/>
        <family val="2"/>
      </rPr>
      <t xml:space="preserve"> Concrete Sandwich Panel (new only)</t>
    </r>
  </si>
  <si>
    <r>
      <rPr>
        <sz val="11"/>
        <color theme="1"/>
        <rFont val="Wingdings"/>
        <charset val="2"/>
      </rPr>
      <t>¨</t>
    </r>
    <r>
      <rPr>
        <sz val="11"/>
        <color theme="1"/>
        <rFont val="Calibri"/>
        <family val="2"/>
      </rPr>
      <t xml:space="preserve"> ICF (new only)</t>
    </r>
  </si>
  <si>
    <r>
      <rPr>
        <sz val="11"/>
        <color theme="1"/>
        <rFont val="Wingdings"/>
        <charset val="2"/>
      </rPr>
      <t>¨</t>
    </r>
    <r>
      <rPr>
        <sz val="11"/>
        <color theme="1"/>
        <rFont val="Calibri"/>
        <family val="2"/>
      </rPr>
      <t xml:space="preserve"> Metal Panel</t>
    </r>
  </si>
  <si>
    <r>
      <rPr>
        <sz val="11"/>
        <color theme="1"/>
        <rFont val="Wingdings"/>
        <charset val="2"/>
      </rPr>
      <t>¨</t>
    </r>
    <r>
      <rPr>
        <sz val="11"/>
        <color theme="1"/>
        <rFont val="Calibri"/>
        <family val="2"/>
      </rPr>
      <t xml:space="preserve"> Metal Building</t>
    </r>
  </si>
  <si>
    <r>
      <rPr>
        <sz val="11"/>
        <color theme="1"/>
        <rFont val="Wingdings"/>
        <charset val="2"/>
      </rPr>
      <t>¨</t>
    </r>
    <r>
      <rPr>
        <sz val="11"/>
        <color theme="1"/>
        <rFont val="Calibri"/>
        <family val="2"/>
      </rPr>
      <t xml:space="preserve"> Spandrel/ Curtain Wall</t>
    </r>
  </si>
  <si>
    <r>
      <rPr>
        <sz val="11"/>
        <color theme="1"/>
        <rFont val="Wingdings"/>
        <charset val="2"/>
      </rPr>
      <t>¨</t>
    </r>
    <r>
      <rPr>
        <sz val="11"/>
        <color theme="1"/>
        <rFont val="Calibri"/>
        <family val="2"/>
      </rPr>
      <t xml:space="preserve"> Straw Bale</t>
    </r>
  </si>
  <si>
    <r>
      <rPr>
        <sz val="11"/>
        <color theme="1"/>
        <rFont val="Wingdings"/>
        <charset val="2"/>
      </rPr>
      <t>¨</t>
    </r>
    <r>
      <rPr>
        <sz val="11"/>
        <color theme="1"/>
        <rFont val="Calibri"/>
        <family val="2"/>
      </rPr>
      <t xml:space="preserve"> Log Home (new only)</t>
    </r>
  </si>
  <si>
    <r>
      <rPr>
        <i/>
        <vertAlign val="superscript"/>
        <sz val="10"/>
        <color theme="1"/>
        <rFont val="Calibri"/>
        <family val="2"/>
        <scheme val="minor"/>
      </rPr>
      <t xml:space="preserve">1 </t>
    </r>
    <r>
      <rPr>
        <i/>
        <sz val="10"/>
        <color theme="1"/>
        <rFont val="Calibri"/>
        <family val="2"/>
        <scheme val="minor"/>
      </rPr>
      <t>FOOTNOTE: Wall types indicated above as "(new only)" do not have Title 24, Part 6 requirements for alterations.  New construction and additions do have requirements and should be clicked above and compliance demonstrated within this table.</t>
    </r>
  </si>
  <si>
    <t>Framed Walls</t>
  </si>
  <si>
    <r>
      <t xml:space="preserve">Calculate Area-Weighted Average U-factor for Metal Framed </t>
    </r>
    <r>
      <rPr>
        <sz val="11"/>
        <rFont val="Calibri"/>
        <family val="2"/>
        <scheme val="minor"/>
      </rPr>
      <t>Walls</t>
    </r>
    <r>
      <rPr>
        <b/>
        <vertAlign val="superscript"/>
        <sz val="11"/>
        <rFont val="Calibri"/>
        <family val="2"/>
        <scheme val="minor"/>
      </rPr>
      <t>1</t>
    </r>
  </si>
  <si>
    <r>
      <t>Include Wood Framed Walls in Area-Weighted Average U-factor Calculat</t>
    </r>
    <r>
      <rPr>
        <sz val="11"/>
        <rFont val="Calibri"/>
        <family val="2"/>
        <scheme val="minor"/>
      </rPr>
      <t>ion</t>
    </r>
    <r>
      <rPr>
        <b/>
        <vertAlign val="superscript"/>
        <sz val="11"/>
        <rFont val="Calibri"/>
        <family val="2"/>
        <scheme val="minor"/>
      </rPr>
      <t>1</t>
    </r>
  </si>
  <si>
    <t>Occupancy &amp; Status</t>
  </si>
  <si>
    <t>Location/ Fire Rating</t>
  </si>
  <si>
    <t>Frame Material, Spacing &amp; Depth</t>
  </si>
  <si>
    <r>
      <t>Required Thermal Performance</t>
    </r>
    <r>
      <rPr>
        <b/>
        <vertAlign val="superscript"/>
        <sz val="9"/>
        <rFont val="Calibri"/>
        <family val="2"/>
        <scheme val="minor"/>
      </rPr>
      <t>2</t>
    </r>
  </si>
  <si>
    <r>
      <t>Net Area</t>
    </r>
    <r>
      <rPr>
        <b/>
        <vertAlign val="superscript"/>
        <sz val="9"/>
        <color theme="1"/>
        <rFont val="Calibri"/>
        <family val="2"/>
        <scheme val="minor"/>
      </rPr>
      <t>3</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</si>
  <si>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framed walls may not be combined with other wall types.  Wood framed walls are combined with SIPs, spandrel &amp; curtain, metal panel and straw bale wall types. The area-weighted compliance option is not available for alterations demonstrating compliance with R-values in Table 141.0-C.</t>
    </r>
  </si>
  <si>
    <r>
      <rPr>
        <i/>
        <vertAlign val="superscript"/>
        <sz val="10"/>
        <rFont val="Calibri"/>
        <family val="2"/>
        <scheme val="minor"/>
      </rPr>
      <t>2</t>
    </r>
    <r>
      <rPr>
        <i/>
        <sz val="10"/>
        <rFont val="Calibri"/>
        <family val="2"/>
        <scheme val="minor"/>
      </rPr>
      <t xml:space="preserve"> If "R-value" is shown in cell 10 as the Thermal Performance Unit, the R-value shown here is for cavity insulation per §141.0(b)1B</t>
    </r>
  </si>
  <si>
    <r>
      <rPr>
        <i/>
        <vertAlign val="superscript"/>
        <sz val="10"/>
        <color theme="1"/>
        <rFont val="Calibri"/>
        <family val="2"/>
        <scheme val="minor"/>
      </rPr>
      <t>3</t>
    </r>
    <r>
      <rPr>
        <i/>
        <sz val="10"/>
        <color theme="1"/>
        <rFont val="Calibri"/>
        <family val="2"/>
        <scheme val="minor"/>
      </rPr>
      <t xml:space="preserve"> Wall area minus any fenestration area</t>
    </r>
  </si>
  <si>
    <t>Metal Framed Wall Values updated for 2022.</t>
  </si>
  <si>
    <t>Nonresidential/ Relocatable 1 CZ: New</t>
  </si>
  <si>
    <t>Exterior</t>
  </si>
  <si>
    <t xml:space="preserve">Metal 16" OC &amp; 2x4 </t>
  </si>
  <si>
    <t>Hotel/ Motel: New</t>
  </si>
  <si>
    <t>Demising</t>
  </si>
  <si>
    <t xml:space="preserve">Metal 16" OC &amp; 2x6 </t>
  </si>
  <si>
    <t>R-5</t>
  </si>
  <si>
    <t>Relocatable all CZ: New</t>
  </si>
  <si>
    <t>Demising - Non-framed</t>
  </si>
  <si>
    <t xml:space="preserve">Metal 16" OC &amp; 2x8 </t>
  </si>
  <si>
    <t>Any Occupancy: Altered</t>
  </si>
  <si>
    <t>Metal 24" OC &amp; 2x4</t>
  </si>
  <si>
    <t>Multifamily: New</t>
  </si>
  <si>
    <t>Exterior &gt; 1hr fire rating</t>
  </si>
  <si>
    <t xml:space="preserve">Metal 24" OC &amp; 2x6 </t>
  </si>
  <si>
    <t>Multifamily: Extension</t>
  </si>
  <si>
    <t>Exterior &lt;= 1hr fire rating</t>
  </si>
  <si>
    <t xml:space="preserve">Metal 24" OC &amp; 2x8 </t>
  </si>
  <si>
    <t>Wood 16" OC &amp; 2x4- 1/2"gyp</t>
  </si>
  <si>
    <t>Wood 16" OC &amp; 2x6- 1/2"gyp</t>
  </si>
  <si>
    <t>Wood 16" OC &amp; 2x8- 1/2"gyp</t>
  </si>
  <si>
    <t>Wood 24" OC &amp; 2x4- 1/2"gyp</t>
  </si>
  <si>
    <t>R-14 c.i.</t>
  </si>
  <si>
    <t xml:space="preserve">Wood 24" OC &amp; 2x6- 1/2"gyp </t>
  </si>
  <si>
    <t xml:space="preserve">Wood 24" OC &amp; 2x8- 1/2"gyp </t>
  </si>
  <si>
    <t>Wood 16" OC &amp; 2x4- 5/8"gyp</t>
  </si>
  <si>
    <t xml:space="preserve">Wood 16" OC &amp; 2x6- 5/8"gyp </t>
  </si>
  <si>
    <t xml:space="preserve">Wood 16" OC &amp; 2x8- 5/8"gyp </t>
  </si>
  <si>
    <t>Wood 24" OC &amp; 2x4- 5/8"gyp</t>
  </si>
  <si>
    <t xml:space="preserve">Wood 24" OC &amp; 2x6- 5/8"gyp </t>
  </si>
  <si>
    <t xml:space="preserve">Wood 24" OC &amp; 2x8- 5/8"gyp </t>
  </si>
  <si>
    <t>Mass Walls (new walls only)</t>
  </si>
  <si>
    <r>
      <t>Calculate Area-Weighted Average U-factor for Mass Walls</t>
    </r>
    <r>
      <rPr>
        <b/>
        <vertAlign val="superscript"/>
        <sz val="11"/>
        <rFont val="Calibri"/>
        <family val="2"/>
        <scheme val="minor"/>
      </rPr>
      <t>1</t>
    </r>
  </si>
  <si>
    <t>Mass Information</t>
  </si>
  <si>
    <t>Additional Insulation Information</t>
  </si>
  <si>
    <r>
      <t>Maximum U-factor Allowed</t>
    </r>
    <r>
      <rPr>
        <b/>
        <vertAlign val="superscript"/>
        <sz val="9"/>
        <rFont val="Calibri"/>
        <family val="2"/>
        <scheme val="minor"/>
      </rPr>
      <t>2</t>
    </r>
  </si>
  <si>
    <t>Mass Material</t>
  </si>
  <si>
    <t>Fill Options</t>
  </si>
  <si>
    <t>Thickness
(in)</t>
  </si>
  <si>
    <t>Frame Material &amp; Thickness 
(in)</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</si>
  <si>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Mass walls are combined with concrete sandwich panel, log &amp; ICF wall types.  Mass walls must meet mandatory insulation requirements in §120.7(b), but may area-weight to comply with prescriptive requirements in Table 140.3 for new construction.</t>
    </r>
  </si>
  <si>
    <r>
      <rPr>
        <b/>
        <i/>
        <vertAlign val="superscript"/>
        <sz val="10"/>
        <rFont val="Calibri"/>
        <family val="2"/>
        <scheme val="minor"/>
      </rPr>
      <t>2</t>
    </r>
    <r>
      <rPr>
        <b/>
        <i/>
        <vertAlign val="superscript"/>
        <sz val="10"/>
        <color rgb="FFFF0000"/>
        <rFont val="Calibri"/>
        <family val="2"/>
        <scheme val="minor"/>
      </rPr>
      <t xml:space="preserve"> </t>
    </r>
    <r>
      <rPr>
        <i/>
        <sz val="10"/>
        <color theme="1"/>
        <rFont val="Calibri"/>
        <family val="2"/>
        <scheme val="minor"/>
      </rPr>
      <t>Mass walls are defined as "light" or "heavy" depending on their Heat Capacity.  Heat Capacity is determined in Tables 4.3.5 and 4.3.6 in Joint Appendix 4.  Walls with Heat Capacity of 15 or greater are "heavy" while walls with Heat Capacity from 7 to less than 15 are "light".  Walls with heat capacity less than 7 would be categorized as "Wood framed and Other" for compliance purposes.</t>
    </r>
  </si>
  <si>
    <r>
      <rPr>
        <b/>
        <i/>
        <vertAlign val="superscript"/>
        <sz val="10"/>
        <rFont val="Calibri"/>
        <family val="2"/>
        <scheme val="minor"/>
      </rPr>
      <t xml:space="preserve">3 </t>
    </r>
    <r>
      <rPr>
        <i/>
        <sz val="10"/>
        <color theme="1"/>
        <rFont val="Calibri"/>
        <family val="2"/>
        <scheme val="minor"/>
      </rPr>
      <t>Wall area minus any fenestration area</t>
    </r>
  </si>
  <si>
    <t>Fill Options Dropdown</t>
  </si>
  <si>
    <t>Thickness Dropdown</t>
  </si>
  <si>
    <t>Solid Concrete</t>
  </si>
  <si>
    <t>Solid Unit</t>
  </si>
  <si>
    <t>NA</t>
  </si>
  <si>
    <t>CMU- LW</t>
  </si>
  <si>
    <t>No frame type-Any Thick</t>
  </si>
  <si>
    <t>CMU- MW</t>
  </si>
  <si>
    <t>Wood-0.5 in</t>
  </si>
  <si>
    <t>R-1</t>
  </si>
  <si>
    <t>Multifamily &gt; 1hr fire rating</t>
  </si>
  <si>
    <t>CMU-NW</t>
  </si>
  <si>
    <t>Solid Grout</t>
  </si>
  <si>
    <t>Wood-0.75 in</t>
  </si>
  <si>
    <t>Multifamily &lt;= 1hr fire rating</t>
  </si>
  <si>
    <t>Clay Brick</t>
  </si>
  <si>
    <t>Partial Grout-uninsulated</t>
  </si>
  <si>
    <t>7 in</t>
  </si>
  <si>
    <t>Wood-1 in</t>
  </si>
  <si>
    <t>R-3</t>
  </si>
  <si>
    <t>Hollow Clay Unit</t>
  </si>
  <si>
    <t>Partial Grout-insulated</t>
  </si>
  <si>
    <t>8 in</t>
  </si>
  <si>
    <t>Wood-1.5 in</t>
  </si>
  <si>
    <t>Umass</t>
  </si>
  <si>
    <t>Rinside</t>
  </si>
  <si>
    <t>Routside</t>
  </si>
  <si>
    <t>Utotal</t>
  </si>
  <si>
    <t>9 in</t>
  </si>
  <si>
    <t>Wood-2 in</t>
  </si>
  <si>
    <t>10 in</t>
  </si>
  <si>
    <t>Wood-2.5 in</t>
  </si>
  <si>
    <t>11 in</t>
  </si>
  <si>
    <t>Wood-3 in</t>
  </si>
  <si>
    <t>12 in</t>
  </si>
  <si>
    <t>Wood-3.5 in</t>
  </si>
  <si>
    <t>Wood-4 in</t>
  </si>
  <si>
    <t>Wood-4.5 in</t>
  </si>
  <si>
    <t>Wood-5 in</t>
  </si>
  <si>
    <t>Wood-5.5 in</t>
  </si>
  <si>
    <t>R-12</t>
  </si>
  <si>
    <t>Metal-0.5 in</t>
  </si>
  <si>
    <t>Metal-0.75 in</t>
  </si>
  <si>
    <t>Metal-1 in</t>
  </si>
  <si>
    <t>Metal-1.5 in</t>
  </si>
  <si>
    <t>Metal-2 in</t>
  </si>
  <si>
    <t>Metal-2.5 in</t>
  </si>
  <si>
    <t>R-18</t>
  </si>
  <si>
    <t>Metal-3 in</t>
  </si>
  <si>
    <t>Metal-3.5 in</t>
  </si>
  <si>
    <t>Metal-4 in</t>
  </si>
  <si>
    <t>Metal-4.5 in</t>
  </si>
  <si>
    <t>Metal-5 in</t>
  </si>
  <si>
    <t>Metal-5.5 in</t>
  </si>
  <si>
    <t>EIFS</t>
  </si>
  <si>
    <t>Concrete Sandwich Panel Walls (new walls only)</t>
  </si>
  <si>
    <r>
      <t>Calculate Area-Weighted Average U-factor for Concrete Sandwich Panel Walls</t>
    </r>
    <r>
      <rPr>
        <b/>
        <vertAlign val="superscript"/>
        <sz val="11"/>
        <rFont val="Calibri"/>
        <family val="2"/>
        <scheme val="minor"/>
      </rPr>
      <t>1</t>
    </r>
  </si>
  <si>
    <t>Insulation Thickness/ R-value</t>
  </si>
  <si>
    <t>Percent Concrete Web</t>
  </si>
  <si>
    <t>Steel Penetrates Insulation?</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</si>
  <si>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Concrete sandwich panels are combined with mass, log &amp; ICF wall types.  Concrete Sandwich Panel walls must meet mandatory insulation requirements in §120.7(b), but may area-weight to comply with prescriptive requirements in Table 140.3 for new construction.</t>
    </r>
  </si>
  <si>
    <r>
      <rPr>
        <i/>
        <vertAlign val="superscript"/>
        <sz val="10"/>
        <color theme="1"/>
        <rFont val="Calibri"/>
        <family val="2"/>
        <scheme val="minor"/>
      </rPr>
      <t>2</t>
    </r>
    <r>
      <rPr>
        <i/>
        <sz val="10"/>
        <color theme="1"/>
        <rFont val="Calibri"/>
        <family val="2"/>
        <scheme val="minor"/>
      </rPr>
      <t xml:space="preserve"> Concrete Sandwich Panel walls are defined as "heavy" since their Heat Capacity is 15 or greater as determined in Table 4.3.7 in Joint Appendix 4.  </t>
    </r>
  </si>
  <si>
    <t>1.5 in/ R-7.0</t>
  </si>
  <si>
    <t>2.0 in/ R-9.3</t>
  </si>
  <si>
    <t>3.0 in/ R-14.0</t>
  </si>
  <si>
    <t>4.0 in/ R-18.6</t>
  </si>
  <si>
    <t>6.0 in/ R-27.9</t>
  </si>
  <si>
    <t>Ucsp</t>
  </si>
  <si>
    <t>Structural Insulated Panels (SIPs) Walls</t>
  </si>
  <si>
    <r>
      <t>Include SIPs Walls in Area-Weighted Average U-factor Calculation</t>
    </r>
    <r>
      <rPr>
        <b/>
        <vertAlign val="superscript"/>
        <sz val="11"/>
        <rFont val="Calibri"/>
        <family val="2"/>
        <scheme val="minor"/>
      </rPr>
      <t>1</t>
    </r>
  </si>
  <si>
    <t>per Software/Other</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</si>
  <si>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SIP walls are combined with wood framed, spandrel &amp; curtain, metal panel and straw bale wall types. The area-weighted compliance option is not available for alterations demonstrating compliance with R-values in §141.0(b)1B3.</t>
    </r>
  </si>
  <si>
    <r>
      <rPr>
        <i/>
        <vertAlign val="superscript"/>
        <sz val="10"/>
        <color theme="1"/>
        <rFont val="Calibri"/>
        <family val="2"/>
        <scheme val="minor"/>
      </rPr>
      <t>2</t>
    </r>
    <r>
      <rPr>
        <i/>
        <sz val="10"/>
        <color theme="1"/>
        <rFont val="Calibri"/>
        <family val="2"/>
        <scheme val="minor"/>
      </rPr>
      <t xml:space="preserve"> If "R-value" is shown in cell 09 as the Thermal Performance Unit, the R-value shown here is for core insulation per §141.0(b)1B3.</t>
    </r>
  </si>
  <si>
    <t>4.5 in</t>
  </si>
  <si>
    <t>Spandrel &amp; Curtain Walls</t>
  </si>
  <si>
    <r>
      <t>Include Spandrel/ Curtain Walls in Area-Weighted Average U-factor Calculation</t>
    </r>
    <r>
      <rPr>
        <b/>
        <vertAlign val="superscript"/>
        <sz val="11"/>
        <rFont val="Calibri"/>
        <family val="2"/>
        <scheme val="minor"/>
      </rPr>
      <t>1</t>
    </r>
  </si>
  <si>
    <t>Type</t>
  </si>
  <si>
    <t>Finish</t>
  </si>
  <si>
    <t>Insulation 
R-value</t>
  </si>
  <si>
    <r>
      <t>Net Area</t>
    </r>
    <r>
      <rPr>
        <b/>
        <vertAlign val="superscript"/>
        <sz val="9"/>
        <color theme="1"/>
        <rFont val="Calibri"/>
        <family val="2"/>
        <scheme val="minor"/>
      </rPr>
      <t>2</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</si>
  <si>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Spandrel/ Curtain walls are combined with wood framed, SIPs, metal panel and straw bale wall types. The area-weighted compliance option is not available for alterations demonstrating compliance with R-values in §141.0(b)1B4.</t>
    </r>
  </si>
  <si>
    <r>
      <rPr>
        <i/>
        <vertAlign val="superscript"/>
        <sz val="10"/>
        <color theme="1"/>
        <rFont val="Calibri"/>
        <family val="2"/>
        <scheme val="minor"/>
      </rPr>
      <t>2</t>
    </r>
    <r>
      <rPr>
        <i/>
        <sz val="10"/>
        <color theme="1"/>
        <rFont val="Calibri"/>
        <family val="2"/>
        <scheme val="minor"/>
      </rPr>
      <t xml:space="preserve"> Wall area minus any fenestration area</t>
    </r>
  </si>
  <si>
    <t>Spandrel: Aluminum, no thermal break</t>
  </si>
  <si>
    <t>Single Pane Glass</t>
  </si>
  <si>
    <t>Spandrel: Aluminum, with thermal break</t>
  </si>
  <si>
    <t>Dual Pane Glass, no Low-E</t>
  </si>
  <si>
    <t>Spandrel: Structural Glazing</t>
  </si>
  <si>
    <t>Dual Pane Glass with Low-E</t>
  </si>
  <si>
    <t>Spandrel: No framing/Continuous insulation</t>
  </si>
  <si>
    <t>Triple Pane Glass</t>
  </si>
  <si>
    <t>CW: Aluminum, no thermal break</t>
  </si>
  <si>
    <t>Veneer, Metal, Concrete Panel</t>
  </si>
  <si>
    <t>CW: Aluminum, with thermal break</t>
  </si>
  <si>
    <t>CW: Structural Glazing</t>
  </si>
  <si>
    <t>CW: No framing/Continuous insulation</t>
  </si>
  <si>
    <t>Metal Building Walls</t>
  </si>
  <si>
    <r>
      <t>Calculate Area-Weighted Average U-factor for Metal Building Walls</t>
    </r>
    <r>
      <rPr>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</si>
  <si>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walls may not be combined with other wall types. The area-weighted compliance option is not available for alterations demonstrating compliance with R-value in §141.0(b)1B1.</t>
    </r>
  </si>
  <si>
    <r>
      <rPr>
        <i/>
        <vertAlign val="superscript"/>
        <sz val="10"/>
        <color theme="1"/>
        <rFont val="Calibri"/>
        <family val="2"/>
        <scheme val="minor"/>
      </rPr>
      <t>2</t>
    </r>
    <r>
      <rPr>
        <i/>
        <sz val="10"/>
        <color theme="1"/>
        <rFont val="Calibri"/>
        <family val="2"/>
        <scheme val="minor"/>
      </rPr>
      <t xml:space="preserve"> If "R-value" is shown in cell 10 as the Thermal Performance Unit, the R-value shown here is for  cavity insulation per §141.0(b)1B1.</t>
    </r>
  </si>
  <si>
    <t>Single Layer Batt Insulation</t>
  </si>
  <si>
    <t>Single Layer Opts</t>
  </si>
  <si>
    <t>Double Layer Batt Insulation</t>
  </si>
  <si>
    <t>Double Layer Opts</t>
  </si>
  <si>
    <t>R-6 + R-13</t>
  </si>
  <si>
    <t>R-10 + R-13</t>
  </si>
  <si>
    <t>R-13 + R-13</t>
  </si>
  <si>
    <t>R-19 + R-13</t>
  </si>
  <si>
    <t>Metal Panel Walls</t>
  </si>
  <si>
    <r>
      <t>Include Metal Panel Walls in Area-Weighted Average U-factor Calculation</t>
    </r>
    <r>
      <rPr>
        <b/>
        <vertAlign val="superscript"/>
        <sz val="11"/>
        <rFont val="Calibri"/>
        <family val="2"/>
        <scheme val="minor"/>
      </rPr>
      <t>1</t>
    </r>
  </si>
  <si>
    <t>Maximum U-factor Allowed</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</si>
  <si>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Panel walls are combined with wood framed, spandrel &amp; curtain, SIPs and straw bale wall types. The area-weighted compliance option is not available for alterations demonstrating compliance with R-values in §141.0(b)1B3.</t>
    </r>
  </si>
  <si>
    <t>Log Home Walls (new walls only)</t>
  </si>
  <si>
    <r>
      <t>Calculate Area-Weighted Average U-factor for Log Home Walls</t>
    </r>
    <r>
      <rPr>
        <b/>
        <vertAlign val="superscript"/>
        <sz val="11"/>
        <rFont val="Calibri"/>
        <family val="2"/>
        <scheme val="minor"/>
      </rPr>
      <t>1</t>
    </r>
  </si>
  <si>
    <t>Log Diameter 
(in)</t>
  </si>
  <si>
    <t>per Software</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</si>
  <si>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Log walls are combined with concrete sandwich panel, mass &amp; ICF wall types.  Log Home walls must meet mandatory insulation requirements in </t>
    </r>
    <r>
      <rPr>
        <i/>
        <sz val="10"/>
        <color rgb="FF0070C0"/>
        <rFont val="Calibri"/>
        <family val="2"/>
        <scheme val="minor"/>
      </rPr>
      <t>§120.7(b)</t>
    </r>
    <r>
      <rPr>
        <i/>
        <sz val="10"/>
        <color theme="1"/>
        <rFont val="Calibri"/>
        <family val="2"/>
        <scheme val="minor"/>
      </rPr>
      <t xml:space="preserve">, but may area-weight to comply with prescriptive requirements in </t>
    </r>
    <r>
      <rPr>
        <i/>
        <sz val="10"/>
        <color rgb="FF0070C0"/>
        <rFont val="Calibri"/>
        <family val="2"/>
        <scheme val="minor"/>
      </rPr>
      <t>Table 140.3</t>
    </r>
    <r>
      <rPr>
        <i/>
        <sz val="10"/>
        <color theme="1"/>
        <rFont val="Calibri"/>
        <family val="2"/>
        <scheme val="minor"/>
      </rPr>
      <t xml:space="preserve"> for new construction.</t>
    </r>
  </si>
  <si>
    <r>
      <rPr>
        <i/>
        <vertAlign val="superscript"/>
        <sz val="10"/>
        <color theme="1"/>
        <rFont val="Calibri"/>
        <family val="2"/>
        <scheme val="minor"/>
      </rPr>
      <t>2</t>
    </r>
    <r>
      <rPr>
        <i/>
        <sz val="10"/>
        <color theme="1"/>
        <rFont val="Calibri"/>
        <family val="2"/>
        <scheme val="minor"/>
      </rPr>
      <t xml:space="preserve"> Log Home walls are defined as "wood framed and other" or "light" depending on their Heat Capacity.  Heat Capacity is determined in Table 4.3.11 in Joint Appendix 4.  Walls with Heat Capacity from 7 to less than 15 are "light".  Walls with heat capacity less than 7 would be categorized as "Wood framed and Other" for compliance purposes.</t>
    </r>
  </si>
  <si>
    <t xml:space="preserve">Log Diameter </t>
  </si>
  <si>
    <t>Ulog</t>
  </si>
  <si>
    <t>14 in</t>
  </si>
  <si>
    <t>16 in</t>
  </si>
  <si>
    <t>Straw Bale Walls</t>
  </si>
  <si>
    <r>
      <t>Include Straw Bale Walls in Area-Weighted Average U-factor Calculation</t>
    </r>
    <r>
      <rPr>
        <b/>
        <vertAlign val="superscript"/>
        <sz val="11"/>
        <rFont val="Calibri"/>
        <family val="2"/>
        <scheme val="minor"/>
      </rPr>
      <t>1</t>
    </r>
  </si>
  <si>
    <t>Insulation per Design</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</si>
  <si>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Straw bale walls are combined with wood framed, spandrel &amp; curtain, metal panel and SIPs wall types. The area-weighted compliance option is not available for alterations demonstrating compliance with R-values in </t>
    </r>
    <r>
      <rPr>
        <i/>
        <sz val="10"/>
        <color rgb="FF0070C0"/>
        <rFont val="Calibri"/>
        <family val="2"/>
        <scheme val="minor"/>
      </rPr>
      <t>§141.0(b)1B3</t>
    </r>
    <r>
      <rPr>
        <i/>
        <sz val="10"/>
        <color theme="1"/>
        <rFont val="Calibri"/>
        <family val="2"/>
        <scheme val="minor"/>
      </rPr>
      <t>.</t>
    </r>
  </si>
  <si>
    <r>
      <rPr>
        <i/>
        <vertAlign val="superscript"/>
        <sz val="10"/>
        <color theme="1"/>
        <rFont val="Calibri"/>
        <family val="2"/>
        <scheme val="minor"/>
      </rPr>
      <t>2</t>
    </r>
    <r>
      <rPr>
        <i/>
        <sz val="10"/>
        <color theme="1"/>
        <rFont val="Calibri"/>
        <family val="2"/>
        <scheme val="minor"/>
      </rPr>
      <t xml:space="preserve"> If "R-value" is shown in cell 07 as the Thermal Performance Unit, the R-value shown here is for  cavity insulation per §141.0(b)1B3.</t>
    </r>
  </si>
  <si>
    <t>Insulated Concrete Form Walls (new walls only)</t>
  </si>
  <si>
    <r>
      <t>Calculate Area-Weighted Average U-factor for ICF Walls</t>
    </r>
    <r>
      <rPr>
        <vertAlign val="superscript"/>
        <sz val="11"/>
        <rFont val="Calibri"/>
        <family val="2"/>
        <scheme val="minor"/>
      </rPr>
      <t>1</t>
    </r>
  </si>
  <si>
    <t>ICF Type</t>
  </si>
  <si>
    <t>Concrete Core Thickness
(in)</t>
  </si>
  <si>
    <t>Insulation Type</t>
  </si>
  <si>
    <t>Insulation Thickness
(in)</t>
  </si>
  <si>
    <r>
      <t>Maximum Allowed U-factor</t>
    </r>
    <r>
      <rPr>
        <b/>
        <vertAlign val="superscript"/>
        <sz val="9"/>
        <rFont val="Calibri"/>
        <family val="2"/>
        <scheme val="minor"/>
      </rPr>
      <t>2</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</si>
  <si>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ICF walls are combined with concrete sandwich panel, log &amp; mass wall types.  ICF walls must meet mandatory insulation requirements in §120.7(b), but may area-weight to comply with prescriptive requirements in Table 140.3 for new construction.</t>
    </r>
  </si>
  <si>
    <r>
      <rPr>
        <i/>
        <vertAlign val="superscript"/>
        <sz val="10"/>
        <color theme="1"/>
        <rFont val="Calibri"/>
        <family val="2"/>
        <scheme val="minor"/>
      </rPr>
      <t>2</t>
    </r>
    <r>
      <rPr>
        <i/>
        <sz val="10"/>
        <color theme="1"/>
        <rFont val="Calibri"/>
        <family val="2"/>
        <scheme val="minor"/>
      </rPr>
      <t xml:space="preserve"> ICF walls are defined as "light" or "heavy" depending on their Heat Capacity.  Heat Capacity is determined in Table 4.3.13 in Joint Appendix 4.  Walls with Heat Capacity of 15 or greater are "heavy" while walls with Heat Capacity from 7 to less than 15 are "light". </t>
    </r>
  </si>
  <si>
    <t>Concrete Core Thickness</t>
  </si>
  <si>
    <t>Insulation Type 
(Flat col 05)</t>
  </si>
  <si>
    <t>Insulation Thickness</t>
  </si>
  <si>
    <t>Flat</t>
  </si>
  <si>
    <t>EPS</t>
  </si>
  <si>
    <t>Waffle Grid</t>
  </si>
  <si>
    <t>XPS</t>
  </si>
  <si>
    <t>2.0 in</t>
  </si>
  <si>
    <t>Screen Grid</t>
  </si>
  <si>
    <t>Polyurethane</t>
  </si>
  <si>
    <t>2.25 in</t>
  </si>
  <si>
    <t>2.5 In</t>
  </si>
  <si>
    <t>2.625 in</t>
  </si>
  <si>
    <t>(Waffle col 05)</t>
  </si>
  <si>
    <t>2.75 in</t>
  </si>
  <si>
    <t>3.0 in</t>
  </si>
  <si>
    <t>Cement/EPS Compound</t>
  </si>
  <si>
    <t>3.5 in</t>
  </si>
  <si>
    <t>4.0 in</t>
  </si>
  <si>
    <t>(Screen col 05)</t>
  </si>
  <si>
    <t>2.625 In</t>
  </si>
  <si>
    <t>1.5 in</t>
  </si>
  <si>
    <t>4.5 In</t>
  </si>
  <si>
    <t>If any of these area-weighted tables are triggered, the exceptional condition in Table D row 17 should be triggered.</t>
  </si>
  <si>
    <t>Area-Weighted Average U-factor Compliance Calculation for Metal Framed Walls</t>
  </si>
  <si>
    <t>Wall Type</t>
  </si>
  <si>
    <r>
      <t>Total Area of Wall Type
(ft</t>
    </r>
    <r>
      <rPr>
        <b/>
        <vertAlign val="superscript"/>
        <sz val="9"/>
        <rFont val="Calibri"/>
        <family val="2"/>
        <scheme val="minor"/>
      </rPr>
      <t>2</t>
    </r>
    <r>
      <rPr>
        <b/>
        <sz val="9"/>
        <rFont val="Calibri"/>
        <family val="2"/>
        <scheme val="minor"/>
      </rPr>
      <t>)</t>
    </r>
  </si>
  <si>
    <t>Area-weighted U-factor for Wall Type</t>
  </si>
  <si>
    <t>Metal Framed</t>
  </si>
  <si>
    <t>= (sum (required thermal performance x area))/ total area of wall type</t>
  </si>
  <si>
    <t>= (sum (U-factor per Design x area))/ total area of wall type</t>
  </si>
  <si>
    <t>Area-Weighted Average U-factor Compliance Calculation for Mass Walls</t>
  </si>
  <si>
    <t>Mandatory U-factor</t>
  </si>
  <si>
    <t>Light Mass</t>
  </si>
  <si>
    <t>=0.440 if column 07 in subtable is &gt;=6in and column 05 is CMU, otherwise "NA"</t>
  </si>
  <si>
    <t>Heavy Mass</t>
  </si>
  <si>
    <r>
      <rPr>
        <i/>
        <strike/>
        <sz val="9"/>
        <color rgb="FFFF0000"/>
        <rFont val="Calibri"/>
        <family val="2"/>
        <scheme val="minor"/>
      </rPr>
      <t xml:space="preserve">=0.440 </t>
    </r>
    <r>
      <rPr>
        <b/>
        <i/>
        <sz val="9"/>
        <color rgb="FFFF0000"/>
        <rFont val="Calibri"/>
        <family val="2"/>
        <scheme val="minor"/>
      </rPr>
      <t>0.690</t>
    </r>
    <r>
      <rPr>
        <i/>
        <sz val="9"/>
        <rFont val="Calibri"/>
        <family val="2"/>
        <scheme val="minor"/>
      </rPr>
      <t xml:space="preserve"> if column 07 in subtable is &gt;=8in and column 05 is CMU, otherwise "NA"</t>
    </r>
  </si>
  <si>
    <t>Area-Weighted Average U-factor Compliance Calculation for Wood Framed/ SIPs/ Spandrel/ Curtain/ Metal Panel/ Straw Bale Wall Types</t>
  </si>
  <si>
    <t>Ben, pulls in Subtable Name (ie "SIPs Wall") for any subtable with column 01 checked</t>
  </si>
  <si>
    <t>= (sum (designed thermal performance x area))/ total area of  wall type</t>
  </si>
  <si>
    <t>Total For All Wall Types:</t>
  </si>
  <si>
    <t>= (sum (required thermal performance x area))/ total area of all wall types</t>
  </si>
  <si>
    <t>= (sum (designed thermal performance x area))/ total area of all wall types</t>
  </si>
  <si>
    <t>Area-Weighted Average U-factor Compliance Calculation for Metal Building Walls</t>
  </si>
  <si>
    <t>I. FLOOR ASSEMBLY SCHEDULE</t>
  </si>
  <si>
    <t>This table demonstrates compliance with prescriptive floor assembly requirements in §140.3(a)4/§170.2(a)5 for new construction,  §141.0(a)/§180.1 for additions or mandatory floor assembly requirements in §141.0(b)1C/§180.2 for alterations.</t>
  </si>
  <si>
    <r>
      <t>Indicate floor types included in the project:</t>
    </r>
    <r>
      <rPr>
        <vertAlign val="superscript"/>
        <sz val="11"/>
        <color theme="1"/>
        <rFont val="Calibri"/>
        <family val="2"/>
        <scheme val="minor"/>
      </rPr>
      <t>1</t>
    </r>
  </si>
  <si>
    <r>
      <rPr>
        <sz val="11"/>
        <color theme="1"/>
        <rFont val="Wingdings"/>
        <charset val="2"/>
      </rPr>
      <t>¨</t>
    </r>
    <r>
      <rPr>
        <sz val="11"/>
        <color theme="1"/>
        <rFont val="Calibri"/>
        <family val="2"/>
      </rPr>
      <t xml:space="preserve"> SIPs (new only)</t>
    </r>
  </si>
  <si>
    <r>
      <t xml:space="preserve"> </t>
    </r>
    <r>
      <rPr>
        <sz val="11"/>
        <color theme="1"/>
        <rFont val="Wingdings"/>
        <charset val="2"/>
      </rPr>
      <t>¨</t>
    </r>
    <r>
      <rPr>
        <sz val="11"/>
        <color theme="1"/>
        <rFont val="Calibri"/>
        <family val="2"/>
      </rPr>
      <t xml:space="preserve"> Raised Mass</t>
    </r>
  </si>
  <si>
    <r>
      <t xml:space="preserve"> </t>
    </r>
    <r>
      <rPr>
        <sz val="11"/>
        <color theme="1"/>
        <rFont val="Wingdings"/>
        <charset val="2"/>
      </rPr>
      <t>¨</t>
    </r>
    <r>
      <rPr>
        <sz val="11"/>
        <color theme="1"/>
        <rFont val="Calibri"/>
        <family val="2"/>
      </rPr>
      <t xml:space="preserve"> Heated Slab-on-grade (new only)</t>
    </r>
  </si>
  <si>
    <r>
      <t xml:space="preserve"> </t>
    </r>
    <r>
      <rPr>
        <sz val="11"/>
        <rFont val="Wingdings"/>
        <charset val="2"/>
      </rPr>
      <t>¨</t>
    </r>
    <r>
      <rPr>
        <sz val="11"/>
        <rFont val="Calibri"/>
        <family val="2"/>
      </rPr>
      <t xml:space="preserve"> </t>
    </r>
    <r>
      <rPr>
        <sz val="11"/>
        <color rgb="FFFF0000"/>
        <rFont val="Calibri"/>
        <family val="2"/>
      </rPr>
      <t>Unheated</t>
    </r>
    <r>
      <rPr>
        <sz val="11"/>
        <rFont val="Calibri"/>
        <family val="2"/>
      </rPr>
      <t xml:space="preserve"> Slab-on-grade </t>
    </r>
    <r>
      <rPr>
        <strike/>
        <sz val="11"/>
        <color rgb="FFFF0000"/>
        <rFont val="Calibri"/>
        <family val="2"/>
      </rPr>
      <t>(new Low-rise MF only)</t>
    </r>
  </si>
  <si>
    <r>
      <rPr>
        <i/>
        <vertAlign val="superscript"/>
        <sz val="10"/>
        <color theme="1"/>
        <rFont val="Calibri"/>
        <family val="2"/>
        <scheme val="minor"/>
      </rPr>
      <t>1</t>
    </r>
    <r>
      <rPr>
        <i/>
        <sz val="10"/>
        <color theme="1"/>
        <rFont val="Calibri"/>
        <family val="2"/>
        <scheme val="minor"/>
      </rPr>
      <t xml:space="preserve"> FOOTNOTE: Floor types indicated above as "(new only)" do not have Title 24, Part 6 requirements for alterations.  New construction and additions do have requirements and should be clicked above and compliance demonstrated within this table.</t>
    </r>
  </si>
  <si>
    <t>There are no prescriptive requirements for unheated slab-on-grade floors for nonresidential buildings, so you do not need to document them.</t>
  </si>
  <si>
    <t>Framed Floors</t>
  </si>
  <si>
    <r>
      <t>Include Framed Floors in Area-Weighted Average U-factor Calculation</t>
    </r>
    <r>
      <rPr>
        <vertAlign val="superscript"/>
        <sz val="11"/>
        <rFont val="Calibri"/>
        <family val="2"/>
        <scheme val="minor"/>
      </rPr>
      <t>1</t>
    </r>
  </si>
  <si>
    <t>Crawlspace</t>
  </si>
  <si>
    <r>
      <t>Required Thermal Performance</t>
    </r>
    <r>
      <rPr>
        <b/>
        <vertAlign val="superscript"/>
        <sz val="9"/>
        <color theme="1"/>
        <rFont val="Calibri"/>
        <family val="2"/>
        <scheme val="minor"/>
      </rPr>
      <t>2</t>
    </r>
  </si>
  <si>
    <r>
      <t>Area
(ft</t>
    </r>
    <r>
      <rPr>
        <b/>
        <vertAlign val="superscript"/>
        <sz val="9"/>
        <color theme="1"/>
        <rFont val="Calibri"/>
        <family val="2"/>
        <scheme val="minor"/>
      </rPr>
      <t>2</t>
    </r>
    <r>
      <rPr>
        <b/>
        <sz val="9"/>
        <color theme="1"/>
        <rFont val="Calibri"/>
        <family val="2"/>
        <scheme val="minor"/>
      </rPr>
      <t>)</t>
    </r>
  </si>
  <si>
    <t>Loca</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</si>
  <si>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Framed floors are combined with SIPs floors. The area-weighted compliance option is not available for assemblies demonstrating compliance with R-values.</t>
    </r>
  </si>
  <si>
    <r>
      <rPr>
        <i/>
        <vertAlign val="superscript"/>
        <sz val="10"/>
        <rFont val="Calibri"/>
        <family val="2"/>
        <scheme val="minor"/>
      </rPr>
      <t>2</t>
    </r>
    <r>
      <rPr>
        <i/>
        <sz val="10"/>
        <rFont val="Calibri"/>
        <family val="2"/>
        <scheme val="minor"/>
      </rPr>
      <t xml:space="preserve"> If "R-value" is shown in cell 09 as the Thermal Performance Unit, the R-value shown here is for cavity insulation.</t>
    </r>
  </si>
  <si>
    <t xml:space="preserve">Metal 16" OC </t>
  </si>
  <si>
    <t>Cavity Ins Dropdown</t>
  </si>
  <si>
    <t>Metal 16" OC &amp; 2x10</t>
  </si>
  <si>
    <t>Mulitfamily: New</t>
  </si>
  <si>
    <t>Metal 16" OC &amp; 2x12</t>
  </si>
  <si>
    <t xml:space="preserve">Metal 24" OC </t>
  </si>
  <si>
    <t>Metal 24" OC &amp; 2x10</t>
  </si>
  <si>
    <t>Metal 24" OC &amp; 2x12</t>
  </si>
  <si>
    <t xml:space="preserve">Wood 16" OC </t>
  </si>
  <si>
    <t xml:space="preserve">Wood 16" OC &amp; 2x6 </t>
  </si>
  <si>
    <t xml:space="preserve">Wood 16" OC &amp; 2x8 </t>
  </si>
  <si>
    <t>Wood 16" OC &amp; 2x10</t>
  </si>
  <si>
    <t>Wood 16" OC &amp; 2x12</t>
  </si>
  <si>
    <t xml:space="preserve">Wood 24" OC </t>
  </si>
  <si>
    <t xml:space="preserve">Wood 24" OC &amp; 2x6 </t>
  </si>
  <si>
    <t xml:space="preserve">Wood 24" OC &amp; 2x8 </t>
  </si>
  <si>
    <t>Wood 24" OC &amp; 2x10</t>
  </si>
  <si>
    <t>Wood 24" OC &amp; 2x12</t>
  </si>
  <si>
    <t>Structural Insulated Panels (SIPs) Floors (new floors only)</t>
  </si>
  <si>
    <r>
      <t>Include SIPs Floors in Area-Weighted Average U-factor Calculation</t>
    </r>
    <r>
      <rPr>
        <b/>
        <vertAlign val="superscript"/>
        <sz val="11"/>
        <rFont val="Calibri"/>
        <family val="2"/>
        <scheme val="minor"/>
      </rPr>
      <t>1</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</si>
  <si>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SIPs floors are combined with Framed floors.</t>
    </r>
  </si>
  <si>
    <t>R-33</t>
  </si>
  <si>
    <t>R-28</t>
  </si>
  <si>
    <t>R-36</t>
  </si>
  <si>
    <t>Raised Mass Floors</t>
  </si>
  <si>
    <r>
      <t>Calculate Area-Weighted Average U-factor for Raised Mass Floors</t>
    </r>
    <r>
      <rPr>
        <vertAlign val="superscript"/>
        <sz val="11"/>
        <color theme="1"/>
        <rFont val="Calibri"/>
        <family val="2"/>
        <scheme val="minor"/>
      </rPr>
      <t>1</t>
    </r>
  </si>
  <si>
    <t>Insulation Location</t>
  </si>
  <si>
    <r>
      <t>Area
(ft</t>
    </r>
    <r>
      <rPr>
        <b/>
        <vertAlign val="superscript"/>
        <sz val="9"/>
        <rFont val="Calibri"/>
        <family val="2"/>
        <scheme val="minor"/>
      </rPr>
      <t>2</t>
    </r>
    <r>
      <rPr>
        <b/>
        <sz val="9"/>
        <rFont val="Calibri"/>
        <family val="2"/>
        <scheme val="minor"/>
      </rPr>
      <t>)</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</si>
  <si>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Raised Mass floors may not be combined with other floor types. The area-weighted compliance option is not available for assemblies demonstrating compliance with R-values.</t>
    </r>
  </si>
  <si>
    <r>
      <rPr>
        <i/>
        <vertAlign val="superscript"/>
        <sz val="10"/>
        <rFont val="Calibri"/>
        <family val="2"/>
        <scheme val="minor"/>
      </rPr>
      <t>2</t>
    </r>
    <r>
      <rPr>
        <i/>
        <sz val="10"/>
        <rFont val="Calibri"/>
        <family val="2"/>
        <scheme val="minor"/>
      </rPr>
      <t xml:space="preserve"> If "R-value" is shown in cell 08 as the Thermal Performance Unit, the R-value shown here is for continuous insulation.</t>
    </r>
  </si>
  <si>
    <t>Continuous Underneath</t>
  </si>
  <si>
    <t>Continuous above deck, no sleepers</t>
  </si>
  <si>
    <t>Continuous above deck with sleepers</t>
  </si>
  <si>
    <t>Multifamily/Hotel/ Motel: Altered</t>
  </si>
  <si>
    <t>Heated Slab-on-Grade Floors (new floors only)</t>
  </si>
  <si>
    <t>Insulation Orientation</t>
  </si>
  <si>
    <t>Min. R-value required</t>
  </si>
  <si>
    <t>Insulation Materials &amp; Install</t>
  </si>
  <si>
    <t>Location in Construction Documents</t>
  </si>
  <si>
    <t>Vertical</t>
  </si>
  <si>
    <t>R-</t>
  </si>
  <si>
    <t>Materials &amp; install requirements meeting §110.8(g) have been included in the construction documents.</t>
  </si>
  <si>
    <t>Horizontal</t>
  </si>
  <si>
    <t>Outside edge</t>
  </si>
  <si>
    <t>Between slab &amp; outside foundation wall</t>
  </si>
  <si>
    <r>
      <rPr>
        <b/>
        <strike/>
        <sz val="11"/>
        <color rgb="FFFF0000"/>
        <rFont val="Calibri"/>
        <family val="2"/>
        <scheme val="minor"/>
      </rPr>
      <t>Low-rise</t>
    </r>
    <r>
      <rPr>
        <b/>
        <sz val="11"/>
        <rFont val="Calibri"/>
        <family val="2"/>
        <scheme val="minor"/>
      </rPr>
      <t xml:space="preserve"> Mult</t>
    </r>
    <r>
      <rPr>
        <b/>
        <strike/>
        <sz val="11"/>
        <rFont val="Calibri"/>
        <family val="2"/>
        <scheme val="minor"/>
      </rPr>
      <t>i</t>
    </r>
    <r>
      <rPr>
        <b/>
        <sz val="11"/>
        <rFont val="Calibri"/>
        <family val="2"/>
        <scheme val="minor"/>
      </rPr>
      <t>family Slab-on-Grade Floors (new floors in Climate Zone 16 only)</t>
    </r>
  </si>
  <si>
    <t>Thermal Performance per Design</t>
  </si>
  <si>
    <t>Insulation Depth</t>
  </si>
  <si>
    <t>Slab floor perimeter</t>
  </si>
  <si>
    <t>The minimum depth of concrete slab floor perimeter insulation shall be 16 inches or the depth of the footing of the building, whichever is less.</t>
  </si>
  <si>
    <t>Unit Dropdown</t>
  </si>
  <si>
    <t>If any of these area-weighted tables are triggered, the exceptional condition in Table D row 19 should be triggered.</t>
  </si>
  <si>
    <t>Area-Weighted Average U-factor Compliance Calculation for Raised Mass Floors</t>
  </si>
  <si>
    <t>Floor Type</t>
  </si>
  <si>
    <r>
      <t>Total Area of Floor Type
(ft</t>
    </r>
    <r>
      <rPr>
        <b/>
        <vertAlign val="superscript"/>
        <sz val="9"/>
        <color theme="1"/>
        <rFont val="Calibri"/>
        <family val="2"/>
        <scheme val="minor"/>
      </rPr>
      <t>2</t>
    </r>
    <r>
      <rPr>
        <b/>
        <sz val="9"/>
        <color theme="1"/>
        <rFont val="Calibri"/>
        <family val="2"/>
        <scheme val="minor"/>
      </rPr>
      <t>)</t>
    </r>
  </si>
  <si>
    <t>Area-weighted U-factor for Floor Type</t>
  </si>
  <si>
    <t>Raised Mass</t>
  </si>
  <si>
    <t>= (sum (required thermal performance x area))/ total area of floor type</t>
  </si>
  <si>
    <t>= (sum (U-factor per Design x area))/ total area of floor type</t>
  </si>
  <si>
    <t>Area-Weighted Average U-factor Compliance Calculation for Framed/ SIPs Floor Types</t>
  </si>
  <si>
    <r>
      <t>Total Area of Floor Type
(ft</t>
    </r>
    <r>
      <rPr>
        <b/>
        <vertAlign val="superscript"/>
        <sz val="9"/>
        <rFont val="Calibri"/>
        <family val="2"/>
        <scheme val="minor"/>
      </rPr>
      <t>2</t>
    </r>
    <r>
      <rPr>
        <b/>
        <sz val="9"/>
        <rFont val="Calibri"/>
        <family val="2"/>
        <scheme val="minor"/>
      </rPr>
      <t>)</t>
    </r>
  </si>
  <si>
    <t>Ben, pulls in Subtable Name (ie "SIPs Floor") for any subtable with column 01 checked</t>
  </si>
  <si>
    <t>= (sum (designed thermal performance x area))/ total area of  floor type</t>
  </si>
  <si>
    <t>Total For All Floor Types:</t>
  </si>
  <si>
    <t>= (sum (required thermal performance x area))/ total area of all floor types</t>
  </si>
  <si>
    <t>= (sum (designed thermal performance x area))/ total area of all floor types</t>
  </si>
  <si>
    <t>J. EXTERIOR DOOR SCHEDULE</t>
  </si>
  <si>
    <t>This table demonstrates compliance with prescriptive exterior door requirements in §140.3(a)7/§170.2(a)4 for new construction or additions. Doors which are being replaced (alterations) do not need to be documented in this table because there are no Title 24, Part 6 requirements that apply. Exterior doors separate conditioned space from unconditioned space or from ambient air. Doors that are more than 25% glass in area are considered Glazed Doors and should be documented on Table K with fenestration per Table B.</t>
  </si>
  <si>
    <t>Exterior Opaque Doors</t>
  </si>
  <si>
    <t>Door Type</t>
  </si>
  <si>
    <t>Door Insulation</t>
  </si>
  <si>
    <t>Maximum Allowed U-factor</t>
  </si>
  <si>
    <t>Swinging</t>
  </si>
  <si>
    <t xml:space="preserve">Uninsulated single-layer metal </t>
  </si>
  <si>
    <t>Non-swinging</t>
  </si>
  <si>
    <t xml:space="preserve">Uninsulated double-layer metal </t>
  </si>
  <si>
    <t>Multifamily Fire Rated Swinging</t>
  </si>
  <si>
    <t>Insulated metal swing doors</t>
  </si>
  <si>
    <t>MF Dwelling Unit Entry</t>
  </si>
  <si>
    <t>Wood doors &gt;= 1 3/4"</t>
  </si>
  <si>
    <t>Multifamily (MF)</t>
  </si>
  <si>
    <t>MF Common use area entry Non-swinging</t>
  </si>
  <si>
    <t>Any other wood door</t>
  </si>
  <si>
    <t>MF Common use are entry Swinging</t>
  </si>
  <si>
    <t>Uninsulated single-layer metal roll up door</t>
  </si>
  <si>
    <t>Insulated single layer metal sectional doors with EPS</t>
  </si>
  <si>
    <t>NFRC Rated Insulated Door w Ufactor &lt;= 0.20</t>
  </si>
  <si>
    <t>NEW TABLE FOR 2025</t>
  </si>
  <si>
    <t xml:space="preserve">Vestibules </t>
  </si>
  <si>
    <t>Equipped with Self-Closing Device?</t>
  </si>
  <si>
    <t>Self-Closing Device</t>
  </si>
  <si>
    <t>NA: Not used by the public</t>
  </si>
  <si>
    <t>NA: Directly from sleeping or dwelling unit</t>
  </si>
  <si>
    <t xml:space="preserve">NA: Directly from space &lt; 3,0000 ft2 </t>
  </si>
  <si>
    <t xml:space="preserve">NA: Revolving doors installed </t>
  </si>
  <si>
    <t>NA: Used to facilitate vehicular movement or material handling</t>
  </si>
  <si>
    <t>K. FENESTRATION AND GLAZED DOOR SCHEDULE</t>
  </si>
  <si>
    <t xml:space="preserve"> This table demonstrates compliance with prescriptive fenestration requirements in §140.3(a)5/§170.2(a)3 for new construction, §141.0(a)/§180.1 for additions, or §141.0(b)2A/§180.2 for alterations.  Exterior doors that are more than 25% glass in area are considered Glazed Doors and should be documented on this table with fenestration. </t>
  </si>
  <si>
    <r>
      <t>Indicate fenestration types included in the project:</t>
    </r>
    <r>
      <rPr>
        <vertAlign val="superscript"/>
        <sz val="11"/>
        <color theme="1"/>
        <rFont val="Calibri"/>
        <family val="2"/>
        <scheme val="minor"/>
      </rPr>
      <t xml:space="preserve">1 </t>
    </r>
  </si>
  <si>
    <r>
      <rPr>
        <sz val="11"/>
        <color theme="1"/>
        <rFont val="Wingdings"/>
        <charset val="2"/>
      </rPr>
      <t>¨</t>
    </r>
    <r>
      <rPr>
        <sz val="11"/>
        <color theme="1"/>
        <rFont val="Calibri"/>
        <family val="2"/>
      </rPr>
      <t xml:space="preserve"> Vertical (alteration)</t>
    </r>
  </si>
  <si>
    <r>
      <rPr>
        <sz val="11"/>
        <color theme="1"/>
        <rFont val="Wingdings"/>
        <charset val="2"/>
      </rPr>
      <t>¨</t>
    </r>
    <r>
      <rPr>
        <sz val="11"/>
        <color theme="1"/>
        <rFont val="Calibri"/>
        <family val="2"/>
      </rPr>
      <t xml:space="preserve"> Vertical (new)</t>
    </r>
  </si>
  <si>
    <r>
      <rPr>
        <sz val="11"/>
        <rFont val="Wingdings"/>
        <charset val="2"/>
      </rPr>
      <t>¨</t>
    </r>
    <r>
      <rPr>
        <sz val="11"/>
        <rFont val="Calibri"/>
        <family val="2"/>
      </rPr>
      <t xml:space="preserve"> Multifamily Vertical/Glazed Door (new)</t>
    </r>
  </si>
  <si>
    <r>
      <rPr>
        <sz val="11"/>
        <color theme="1"/>
        <rFont val="Wingdings"/>
        <charset val="2"/>
      </rPr>
      <t>¨</t>
    </r>
    <r>
      <rPr>
        <sz val="11"/>
        <color theme="1"/>
        <rFont val="Calibri"/>
        <family val="2"/>
      </rPr>
      <t xml:space="preserve"> Skylights</t>
    </r>
  </si>
  <si>
    <r>
      <t xml:space="preserve"> </t>
    </r>
    <r>
      <rPr>
        <sz val="11"/>
        <color theme="1"/>
        <rFont val="Wingdings"/>
        <charset val="2"/>
      </rPr>
      <t>¨</t>
    </r>
    <r>
      <rPr>
        <sz val="11"/>
        <color theme="1"/>
        <rFont val="Calibri"/>
        <family val="2"/>
      </rPr>
      <t xml:space="preserve"> Glazed Doors (new only)</t>
    </r>
  </si>
  <si>
    <r>
      <rPr>
        <i/>
        <vertAlign val="superscript"/>
        <sz val="10"/>
        <color theme="1"/>
        <rFont val="Calibri"/>
        <family val="2"/>
        <scheme val="minor"/>
      </rPr>
      <t>1</t>
    </r>
    <r>
      <rPr>
        <i/>
        <sz val="10"/>
        <color theme="1"/>
        <rFont val="Calibri"/>
        <family val="2"/>
        <scheme val="minor"/>
      </rPr>
      <t xml:space="preserve"> FOOTNOTE: Fenestration types indicated above as "(new only)" do not have Title 24, Part 6 requirements for alterations.  New construction and additions do have requirements and should be clicked above and compliance demonstrated within this table.</t>
    </r>
  </si>
  <si>
    <t>Vertical Fenestration and Glazed Doors- Total Building &amp; West Facing Area (New Construction &amp; Additions Only)</t>
  </si>
  <si>
    <t>ALTERATIONS:</t>
  </si>
  <si>
    <t>Elevation Item Tag/ Description</t>
  </si>
  <si>
    <r>
      <t>Orientation (Azimuth)</t>
    </r>
    <r>
      <rPr>
        <vertAlign val="superscript"/>
        <sz val="11"/>
        <color rgb="FF000000"/>
        <rFont val="Calibri"/>
        <family val="2"/>
      </rPr>
      <t>1</t>
    </r>
  </si>
  <si>
    <r>
      <t>Gross Exterior Wall Area</t>
    </r>
    <r>
      <rPr>
        <b/>
        <vertAlign val="superscript"/>
        <sz val="9"/>
        <rFont val="Calibri"/>
        <family val="2"/>
      </rPr>
      <t>2</t>
    </r>
    <r>
      <rPr>
        <b/>
        <sz val="9"/>
        <rFont val="Calibri"/>
        <family val="2"/>
      </rPr>
      <t xml:space="preserve">
(ft²)</t>
    </r>
  </si>
  <si>
    <r>
      <t>Display Perimeter Length</t>
    </r>
    <r>
      <rPr>
        <b/>
        <vertAlign val="superscript"/>
        <sz val="9"/>
        <rFont val="Calibri"/>
        <family val="2"/>
      </rPr>
      <t>2</t>
    </r>
    <r>
      <rPr>
        <b/>
        <sz val="9"/>
        <rFont val="Calibri"/>
        <family val="2"/>
      </rPr>
      <t xml:space="preserve">
(ft)</t>
    </r>
  </si>
  <si>
    <r>
      <t>Vertical Fenestration Area per Design</t>
    </r>
    <r>
      <rPr>
        <b/>
        <vertAlign val="superscript"/>
        <sz val="9"/>
        <color theme="1"/>
        <rFont val="Calibri"/>
        <family val="2"/>
        <scheme val="minor"/>
      </rPr>
      <t xml:space="preserve">3 </t>
    </r>
    <r>
      <rPr>
        <b/>
        <sz val="9"/>
        <color theme="1"/>
        <rFont val="Calibri"/>
        <family val="2"/>
        <scheme val="minor"/>
      </rPr>
      <t xml:space="preserve">
(ft²)</t>
    </r>
  </si>
  <si>
    <t>Add Elevation</t>
  </si>
  <si>
    <r>
      <t>Maximum Allowed Vertical Fenestration (ft</t>
    </r>
    <r>
      <rPr>
        <b/>
        <vertAlign val="superscript"/>
        <sz val="9"/>
        <color rgb="FF000000"/>
        <rFont val="Calibri"/>
        <family val="2"/>
      </rPr>
      <t>2</t>
    </r>
    <r>
      <rPr>
        <b/>
        <sz val="9"/>
        <color rgb="FF000000"/>
        <rFont val="Calibri"/>
        <family val="2"/>
      </rPr>
      <t>)- 
All Orientations</t>
    </r>
  </si>
  <si>
    <r>
      <t>Total Vertical Fenestration (ft</t>
    </r>
    <r>
      <rPr>
        <b/>
        <vertAlign val="superscript"/>
        <sz val="9"/>
        <color rgb="FF000000"/>
        <rFont val="Calibri"/>
        <family val="2"/>
      </rPr>
      <t>2</t>
    </r>
    <r>
      <rPr>
        <b/>
        <sz val="9"/>
        <color rgb="FF000000"/>
        <rFont val="Calibri"/>
        <family val="2"/>
      </rPr>
      <t>) per Design- All Orientations</t>
    </r>
  </si>
  <si>
    <r>
      <t>Maximum Allowed Vertical Fenestration (ft</t>
    </r>
    <r>
      <rPr>
        <b/>
        <vertAlign val="superscript"/>
        <sz val="9"/>
        <color rgb="FF000000"/>
        <rFont val="Calibri"/>
        <family val="2"/>
      </rPr>
      <t>2</t>
    </r>
    <r>
      <rPr>
        <b/>
        <sz val="9"/>
        <color rgb="FF000000"/>
        <rFont val="Calibri"/>
        <family val="2"/>
      </rPr>
      <t>)- 
West Facing</t>
    </r>
  </si>
  <si>
    <r>
      <t>Total Vertical Fenestration (ft</t>
    </r>
    <r>
      <rPr>
        <b/>
        <vertAlign val="superscript"/>
        <sz val="9"/>
        <color rgb="FF000000"/>
        <rFont val="Calibri"/>
        <family val="2"/>
      </rPr>
      <t>2</t>
    </r>
    <r>
      <rPr>
        <b/>
        <sz val="9"/>
        <color rgb="FF000000"/>
        <rFont val="Calibri"/>
        <family val="2"/>
      </rPr>
      <t>) per Design- West Facing</t>
    </r>
  </si>
  <si>
    <r>
      <rPr>
        <i/>
        <vertAlign val="superscript"/>
        <sz val="9"/>
        <rFont val="Calibri"/>
        <family val="2"/>
        <scheme val="minor"/>
      </rPr>
      <t>1</t>
    </r>
    <r>
      <rPr>
        <i/>
        <sz val="9"/>
        <rFont val="Calibri"/>
        <family val="2"/>
        <scheme val="minor"/>
      </rPr>
      <t xml:space="preserve"> FOOTNOTE: Orientation between 226 deg and 315 deg are considered "West Facing".  A diagram has been provided in the Nonresidential Compliance Manual for visual reference.</t>
    </r>
  </si>
  <si>
    <r>
      <rPr>
        <i/>
        <vertAlign val="superscript"/>
        <sz val="9"/>
        <rFont val="Calibri"/>
        <family val="2"/>
        <scheme val="minor"/>
      </rPr>
      <t>2</t>
    </r>
    <r>
      <rPr>
        <i/>
        <sz val="9"/>
        <rFont val="Calibri"/>
        <family val="2"/>
        <scheme val="minor"/>
      </rPr>
      <t xml:space="preserve"> Do not include demising walls per §140.3(a)5.</t>
    </r>
  </si>
  <si>
    <t>Orientation</t>
  </si>
  <si>
    <r>
      <rPr>
        <i/>
        <vertAlign val="superscript"/>
        <sz val="9"/>
        <rFont val="Calibri"/>
        <family val="2"/>
        <scheme val="minor"/>
      </rPr>
      <t>3</t>
    </r>
    <r>
      <rPr>
        <i/>
        <sz val="9"/>
        <rFont val="Calibri"/>
        <family val="2"/>
        <scheme val="minor"/>
      </rPr>
      <t xml:space="preserve"> Includes glazed door fenestration area.</t>
    </r>
  </si>
  <si>
    <t>North</t>
  </si>
  <si>
    <t>South</t>
  </si>
  <si>
    <t>East</t>
  </si>
  <si>
    <t>West</t>
  </si>
  <si>
    <t>Multifamily Exterior Vertical Fenestration and Glazed Doors- Total Building Area (New Construction &amp; Additions Only)</t>
  </si>
  <si>
    <r>
      <t>Orientation (Azimuth)</t>
    </r>
    <r>
      <rPr>
        <vertAlign val="superscript"/>
        <sz val="11"/>
        <rFont val="Calibri"/>
        <family val="2"/>
      </rPr>
      <t>1</t>
    </r>
  </si>
  <si>
    <r>
      <t>Multifamily Conditioned Floor Area
(ft</t>
    </r>
    <r>
      <rPr>
        <b/>
        <vertAlign val="superscript"/>
        <sz val="9"/>
        <rFont val="Calibri"/>
        <family val="2"/>
      </rPr>
      <t>2</t>
    </r>
    <r>
      <rPr>
        <b/>
        <sz val="9"/>
        <rFont val="Calibri"/>
        <family val="2"/>
      </rPr>
      <t>)</t>
    </r>
  </si>
  <si>
    <r>
      <t>Vertical Fenestration Area per Design</t>
    </r>
    <r>
      <rPr>
        <b/>
        <vertAlign val="superscript"/>
        <sz val="9"/>
        <rFont val="Calibri"/>
        <family val="2"/>
        <scheme val="minor"/>
      </rPr>
      <t xml:space="preserve">3 </t>
    </r>
    <r>
      <rPr>
        <b/>
        <sz val="9"/>
        <rFont val="Calibri"/>
        <family val="2"/>
        <scheme val="minor"/>
      </rPr>
      <t xml:space="preserve">
(ft²)</t>
    </r>
  </si>
  <si>
    <r>
      <t>Maximum Allowed Vertical Fenestration (ft</t>
    </r>
    <r>
      <rPr>
        <b/>
        <vertAlign val="superscript"/>
        <sz val="9"/>
        <rFont val="Calibri"/>
        <family val="2"/>
      </rPr>
      <t>2</t>
    </r>
    <r>
      <rPr>
        <b/>
        <sz val="9"/>
        <rFont val="Calibri"/>
        <family val="2"/>
      </rPr>
      <t>)- 
All Orientations</t>
    </r>
  </si>
  <si>
    <r>
      <t>Total Vertical Fenestration (ft</t>
    </r>
    <r>
      <rPr>
        <b/>
        <vertAlign val="superscript"/>
        <sz val="9"/>
        <rFont val="Calibri"/>
        <family val="2"/>
      </rPr>
      <t>2</t>
    </r>
    <r>
      <rPr>
        <b/>
        <sz val="9"/>
        <rFont val="Calibri"/>
        <family val="2"/>
      </rPr>
      <t>) per Design- All Orientations</t>
    </r>
  </si>
  <si>
    <r>
      <rPr>
        <i/>
        <vertAlign val="superscript"/>
        <sz val="9"/>
        <rFont val="Calibri"/>
        <family val="2"/>
        <scheme val="minor"/>
      </rPr>
      <t>2</t>
    </r>
    <r>
      <rPr>
        <i/>
        <sz val="9"/>
        <rFont val="Calibri"/>
        <family val="2"/>
        <scheme val="minor"/>
      </rPr>
      <t xml:space="preserve"> Do not include demising walls per §170.2(a)3Ai.</t>
    </r>
  </si>
  <si>
    <r>
      <rPr>
        <i/>
        <vertAlign val="superscript"/>
        <sz val="9"/>
        <rFont val="Calibri"/>
        <family val="2"/>
        <scheme val="minor"/>
      </rPr>
      <t>3</t>
    </r>
    <r>
      <rPr>
        <i/>
        <sz val="9"/>
        <rFont val="Calibri"/>
        <family val="2"/>
        <scheme val="minor"/>
      </rPr>
      <t xml:space="preserve"> Includes glazed door fenestration area but does not include fenestration in demising walls.</t>
    </r>
  </si>
  <si>
    <t>NA 6 equations &amp; Tables:</t>
  </si>
  <si>
    <t>Vertical Fenestration and Glazed Doors- U-factor, Solar Heat Gain Coefficient (RSHGC/SHGC), Visible Transmittance (VT)</t>
  </si>
  <si>
    <r>
      <t>Calculate Area-Weighted Average U-factor for Vertical Fenestration and Glazed Doors</t>
    </r>
    <r>
      <rPr>
        <b/>
        <vertAlign val="superscript"/>
        <sz val="11"/>
        <rFont val="Calibri"/>
        <family val="2"/>
        <scheme val="minor"/>
      </rPr>
      <t>1</t>
    </r>
  </si>
  <si>
    <r>
      <t>Calculate Area-Weighted Average (R)SHGC for Vertical Fenestration and Glazed Doors</t>
    </r>
    <r>
      <rPr>
        <b/>
        <vertAlign val="superscript"/>
        <sz val="11"/>
        <rFont val="Calibri"/>
        <family val="2"/>
        <scheme val="minor"/>
      </rPr>
      <t>1</t>
    </r>
  </si>
  <si>
    <r>
      <t>Calculate Area-Weighted Average VT for Vertical Fenestration and Glazed Doors</t>
    </r>
    <r>
      <rPr>
        <b/>
        <vertAlign val="superscript"/>
        <sz val="11"/>
        <rFont val="Calibri"/>
        <family val="2"/>
        <scheme val="minor"/>
      </rPr>
      <t>1</t>
    </r>
  </si>
  <si>
    <t>Tag/Plan ID</t>
  </si>
  <si>
    <t>Fenestration Type</t>
  </si>
  <si>
    <t>U-factor/ (R)SHGC Compliance Method</t>
  </si>
  <si>
    <t>VT Compliance Method</t>
  </si>
  <si>
    <r>
      <t>Calculation Method for Performance Values per Design</t>
    </r>
    <r>
      <rPr>
        <b/>
        <vertAlign val="superscript"/>
        <sz val="9"/>
        <color rgb="FF000000"/>
        <rFont val="Calibri"/>
        <family val="2"/>
      </rPr>
      <t>2</t>
    </r>
  </si>
  <si>
    <t>Product Performance Unit</t>
  </si>
  <si>
    <t>Required Product Performance</t>
  </si>
  <si>
    <t>Product Performance per Design</t>
  </si>
  <si>
    <r>
      <t>Area
(ft</t>
    </r>
    <r>
      <rPr>
        <b/>
        <vertAlign val="superscript"/>
        <sz val="9"/>
        <color rgb="FF000000"/>
        <rFont val="Calibri"/>
        <family val="2"/>
      </rPr>
      <t>2</t>
    </r>
    <r>
      <rPr>
        <b/>
        <sz val="9"/>
        <color rgb="FF000000"/>
        <rFont val="Calibri"/>
        <family val="2"/>
      </rPr>
      <t>)</t>
    </r>
  </si>
  <si>
    <t>U-factor (max)</t>
  </si>
  <si>
    <t>look up</t>
  </si>
  <si>
    <t>(R)SHGC (max)</t>
  </si>
  <si>
    <t>Overhang/ Slats used for RSHGC</t>
  </si>
  <si>
    <t>VT (min)</t>
  </si>
  <si>
    <t>UT</t>
  </si>
  <si>
    <t>NA6 Default Calculation</t>
  </si>
  <si>
    <t>C1</t>
  </si>
  <si>
    <r>
      <t>Is the Window Projecting?</t>
    </r>
    <r>
      <rPr>
        <b/>
        <vertAlign val="superscript"/>
        <sz val="9"/>
        <rFont val="Calibri"/>
        <family val="2"/>
      </rPr>
      <t>4</t>
    </r>
  </si>
  <si>
    <t>Frame Type</t>
  </si>
  <si>
    <t>Glazing Type</t>
  </si>
  <si>
    <t>Center of Glass (COG) Product Performance</t>
  </si>
  <si>
    <t>Product Performance per NA6</t>
  </si>
  <si>
    <t>C2</t>
  </si>
  <si>
    <t>See NA6.2 eq. to right</t>
  </si>
  <si>
    <t>Uc</t>
  </si>
  <si>
    <t>SHGC</t>
  </si>
  <si>
    <t>See NA6.3 eq. to right</t>
  </si>
  <si>
    <t>VT</t>
  </si>
  <si>
    <t>See NA6.4 eq. to right</t>
  </si>
  <si>
    <t>23</t>
  </si>
  <si>
    <t>24</t>
  </si>
  <si>
    <t>25</t>
  </si>
  <si>
    <t>§110.6 Default Tables</t>
  </si>
  <si>
    <t>Greenhouse/ Garden Window?</t>
  </si>
  <si>
    <t>Glazing Tint</t>
  </si>
  <si>
    <t>Product Performance per Default 110.6 Tables</t>
  </si>
  <si>
    <t>See 110.6 Tables to the right</t>
  </si>
  <si>
    <t>See NA6.4 values to right</t>
  </si>
  <si>
    <t>27</t>
  </si>
  <si>
    <t>28</t>
  </si>
  <si>
    <t>29</t>
  </si>
  <si>
    <t>30</t>
  </si>
  <si>
    <t>31</t>
  </si>
  <si>
    <t>32</t>
  </si>
  <si>
    <t>Overhang Details for RSHGC per §140.3/ §170.2</t>
  </si>
  <si>
    <t>SHGCt</t>
  </si>
  <si>
    <t>SHGC of Window</t>
  </si>
  <si>
    <t>Overhang or Horizontal Slats?</t>
  </si>
  <si>
    <t>Azimuth of Fenestration
(deg)</t>
  </si>
  <si>
    <t>Projection per Eq. 140.3-C/ 170.2-A</t>
  </si>
  <si>
    <t>Spacing per Eq. 140.3-C/ 170.2-A</t>
  </si>
  <si>
    <t>Projection Factor</t>
  </si>
  <si>
    <t>RSHGC</t>
  </si>
  <si>
    <t>SHGCc</t>
  </si>
  <si>
    <r>
      <t xml:space="preserve">
</t>
    </r>
    <r>
      <rPr>
        <b/>
        <sz val="9"/>
        <rFont val="Calibri"/>
        <family val="2"/>
        <scheme val="minor"/>
      </rPr>
      <t>= col29 / col30</t>
    </r>
  </si>
  <si>
    <t>See equation 140.3-A</t>
  </si>
  <si>
    <r>
      <rPr>
        <i/>
        <vertAlign val="superscript"/>
        <sz val="9"/>
        <rFont val="Calibri"/>
        <family val="2"/>
        <scheme val="minor"/>
      </rPr>
      <t>1</t>
    </r>
    <r>
      <rPr>
        <i/>
        <sz val="9"/>
        <rFont val="Calibri"/>
        <family val="2"/>
        <scheme val="minor"/>
      </rPr>
      <t xml:space="preserve"> FOOTNOTE: If any individual fenestration product is non-compliant, products may show compliance using an area-weighted calculation.  Chromogenic glazing is not included in area-weighted calculations. Area-weighted calculations shown in separate area-weighted table below.</t>
    </r>
  </si>
  <si>
    <r>
      <rPr>
        <i/>
        <vertAlign val="superscript"/>
        <sz val="9"/>
        <rFont val="Calibri"/>
        <family val="2"/>
        <scheme val="minor"/>
      </rPr>
      <t>2</t>
    </r>
    <r>
      <rPr>
        <i/>
        <sz val="9"/>
        <rFont val="Calibri"/>
        <family val="2"/>
        <scheme val="minor"/>
      </rPr>
      <t xml:space="preserve"> The NA6 Default Calculation can only be used for alterations or dwelling units in buildings with &lt;= 3 habitable stories. Alterations are limited to 200 ft</t>
    </r>
    <r>
      <rPr>
        <i/>
        <vertAlign val="superscript"/>
        <sz val="9"/>
        <rFont val="Calibri"/>
        <family val="2"/>
        <scheme val="minor"/>
      </rPr>
      <t>2</t>
    </r>
    <r>
      <rPr>
        <i/>
        <sz val="9"/>
        <rFont val="Calibri"/>
        <family val="2"/>
        <scheme val="minor"/>
      </rPr>
      <t xml:space="preserve"> of site built glazing and dwelling units are limited to 250ft</t>
    </r>
    <r>
      <rPr>
        <i/>
        <vertAlign val="superscript"/>
        <sz val="9"/>
        <rFont val="Calibri"/>
        <family val="2"/>
        <scheme val="minor"/>
      </rPr>
      <t>2</t>
    </r>
    <r>
      <rPr>
        <i/>
        <sz val="9"/>
        <rFont val="Calibri"/>
        <family val="2"/>
        <scheme val="minor"/>
      </rPr>
      <t xml:space="preserve"> or 5% of conditioned floor area. If the fenestration does not meet these conditions, the only options for determining fenestration values are NFRC Certification or the Default Tables in §110.6.</t>
    </r>
  </si>
  <si>
    <r>
      <rPr>
        <b/>
        <i/>
        <vertAlign val="superscript"/>
        <sz val="9"/>
        <rFont val="Calibri"/>
        <family val="2"/>
        <scheme val="minor"/>
      </rPr>
      <t>3</t>
    </r>
    <r>
      <rPr>
        <i/>
        <vertAlign val="superscript"/>
        <sz val="9"/>
        <rFont val="Calibri"/>
        <family val="2"/>
        <scheme val="minor"/>
      </rPr>
      <t xml:space="preserve"> </t>
    </r>
    <r>
      <rPr>
        <i/>
        <sz val="9"/>
        <rFont val="Calibri"/>
        <family val="2"/>
        <scheme val="minor"/>
      </rPr>
      <t>Overhangs must extend past the left and right window the same distance as the depth of the overhang or greater to show an affect on the RSHGC.  If an overhang does not meet this requirement, the affect of the overhang will be ignored.</t>
    </r>
  </si>
  <si>
    <r>
      <rPr>
        <b/>
        <i/>
        <vertAlign val="superscript"/>
        <sz val="9"/>
        <rFont val="Calibri"/>
        <family val="2"/>
        <scheme val="minor"/>
      </rPr>
      <t xml:space="preserve">4 </t>
    </r>
    <r>
      <rPr>
        <i/>
        <sz val="9"/>
        <rFont val="Calibri"/>
        <family val="2"/>
        <scheme val="minor"/>
      </rPr>
      <t>Projecting includes casement and awning windows.</t>
    </r>
  </si>
  <si>
    <t>05 dropdown</t>
  </si>
  <si>
    <t>06 dropdown</t>
  </si>
  <si>
    <t>07 dropdown</t>
  </si>
  <si>
    <t>08 dropdown</t>
  </si>
  <si>
    <t>09 dropdown</t>
  </si>
  <si>
    <t>Fixed Window</t>
  </si>
  <si>
    <t>Table 140.3-B/C/D</t>
  </si>
  <si>
    <t>NFRC Certified</t>
  </si>
  <si>
    <t>Operable Window</t>
  </si>
  <si>
    <t>1st flr display perimeter- no overhang</t>
  </si>
  <si>
    <t>Equation 140.3-B (new only)</t>
  </si>
  <si>
    <r>
      <t>NA6 Default (COG)</t>
    </r>
    <r>
      <rPr>
        <vertAlign val="superscript"/>
        <sz val="9"/>
        <rFont val="Calibri"/>
        <family val="2"/>
        <scheme val="minor"/>
      </rPr>
      <t>2</t>
    </r>
  </si>
  <si>
    <t>V</t>
  </si>
  <si>
    <t>Storefront</t>
  </si>
  <si>
    <t>NA: Skylit &amp; Sidelit Daylit zones overlap</t>
  </si>
  <si>
    <t>§110.6 Defaults</t>
  </si>
  <si>
    <t>Curtain Wall</t>
  </si>
  <si>
    <r>
      <t>Nonresidential/ Relocatable 1 CZ: Alt. (Replacement &gt; 150ft</t>
    </r>
    <r>
      <rPr>
        <vertAlign val="superscript"/>
        <sz val="9"/>
        <rFont val="Calibri"/>
        <family val="2"/>
        <scheme val="minor"/>
      </rPr>
      <t>2)</t>
    </r>
  </si>
  <si>
    <t>Chromogenic Glazing</t>
  </si>
  <si>
    <r>
      <t>Hotel/ Motel: Alt. (Replacement &gt; 150ft</t>
    </r>
    <r>
      <rPr>
        <vertAlign val="superscript"/>
        <sz val="9"/>
        <rFont val="Calibri"/>
        <family val="2"/>
        <scheme val="minor"/>
      </rPr>
      <t>2)</t>
    </r>
  </si>
  <si>
    <t>Fenestration in Demising Wall</t>
  </si>
  <si>
    <r>
      <t>Relocatable all CZ: Alt. (Replacement &gt; 150ft</t>
    </r>
    <r>
      <rPr>
        <vertAlign val="superscript"/>
        <sz val="9"/>
        <rFont val="Calibri"/>
        <family val="2"/>
        <scheme val="minor"/>
      </rPr>
      <t>2)</t>
    </r>
  </si>
  <si>
    <t>Table 141.0-A</t>
  </si>
  <si>
    <t>Glazed Door</t>
  </si>
  <si>
    <r>
      <rPr>
        <strike/>
        <sz val="9"/>
        <rFont val="Calibri"/>
        <family val="2"/>
        <scheme val="minor"/>
      </rPr>
      <t xml:space="preserve">Any </t>
    </r>
    <r>
      <rPr>
        <sz val="9"/>
        <rFont val="Calibri"/>
        <family val="2"/>
        <scheme val="minor"/>
      </rPr>
      <t>Occupancy other than dwelling unit: Alt. (Replacement &lt;= 150ft</t>
    </r>
    <r>
      <rPr>
        <vertAlign val="superscript"/>
        <sz val="9"/>
        <rFont val="Calibri"/>
        <family val="2"/>
        <scheme val="minor"/>
      </rPr>
      <t>2)</t>
    </r>
  </si>
  <si>
    <t>Architectural Window- Fixed (Multifamily only)</t>
  </si>
  <si>
    <r>
      <t>Nonresidential/ Relocatable 1 CZ: Alt.(Adding New &gt; 50ft</t>
    </r>
    <r>
      <rPr>
        <vertAlign val="superscript"/>
        <sz val="9"/>
        <rFont val="Calibri"/>
        <family val="2"/>
        <scheme val="minor"/>
      </rPr>
      <t>2</t>
    </r>
    <r>
      <rPr>
        <sz val="9"/>
        <rFont val="Calibri"/>
        <family val="2"/>
        <scheme val="minor"/>
      </rPr>
      <t>)</t>
    </r>
  </si>
  <si>
    <t>Table 170.2-A</t>
  </si>
  <si>
    <t>Architectural Window- Operable (Multifamily only)</t>
  </si>
  <si>
    <r>
      <t>Hotel/ Motel: Alt.(Adding New &gt; 50ft</t>
    </r>
    <r>
      <rPr>
        <vertAlign val="superscript"/>
        <sz val="9"/>
        <rFont val="Calibri"/>
        <family val="2"/>
        <scheme val="minor"/>
      </rPr>
      <t>2</t>
    </r>
    <r>
      <rPr>
        <sz val="9"/>
        <rFont val="Calibri"/>
        <family val="2"/>
        <scheme val="minor"/>
      </rPr>
      <t>)</t>
    </r>
  </si>
  <si>
    <t>Equation 170.2-B (new only)</t>
  </si>
  <si>
    <r>
      <t>&lt;= 3ft</t>
    </r>
    <r>
      <rPr>
        <vertAlign val="superscript"/>
        <sz val="9"/>
        <rFont val="Calibri"/>
        <family val="2"/>
        <scheme val="minor"/>
      </rPr>
      <t>2</t>
    </r>
    <r>
      <rPr>
        <sz val="9"/>
        <rFont val="Calibri"/>
        <family val="2"/>
        <scheme val="minor"/>
      </rPr>
      <t xml:space="preserve"> glass in dwelling unit door</t>
    </r>
  </si>
  <si>
    <r>
      <t>Relocatable all CZ: Alt.(Adding New &gt; 50ft</t>
    </r>
    <r>
      <rPr>
        <vertAlign val="superscript"/>
        <sz val="9"/>
        <rFont val="Calibri"/>
        <family val="2"/>
        <scheme val="minor"/>
      </rPr>
      <t>2</t>
    </r>
    <r>
      <rPr>
        <sz val="9"/>
        <rFont val="Calibri"/>
        <family val="2"/>
        <scheme val="minor"/>
      </rPr>
      <t>)</t>
    </r>
  </si>
  <si>
    <r>
      <t>Nonresidential/ Relocatable 1 CZ: Alt. (Adding New &lt;= 50ft</t>
    </r>
    <r>
      <rPr>
        <vertAlign val="superscript"/>
        <sz val="9"/>
        <rFont val="Calibri"/>
        <family val="2"/>
        <scheme val="minor"/>
      </rPr>
      <t>2</t>
    </r>
    <r>
      <rPr>
        <sz val="9"/>
        <rFont val="Calibri"/>
        <family val="2"/>
        <scheme val="minor"/>
      </rPr>
      <t>)</t>
    </r>
  </si>
  <si>
    <r>
      <t>Hotel/ Motel: Alt. (Adding New &lt;= 50ft</t>
    </r>
    <r>
      <rPr>
        <vertAlign val="superscript"/>
        <sz val="9"/>
        <rFont val="Calibri"/>
        <family val="2"/>
        <scheme val="minor"/>
      </rPr>
      <t>2</t>
    </r>
    <r>
      <rPr>
        <sz val="9"/>
        <rFont val="Calibri"/>
        <family val="2"/>
        <scheme val="minor"/>
      </rPr>
      <t>)</t>
    </r>
  </si>
  <si>
    <t>Table 180.2-B</t>
  </si>
  <si>
    <t>VTF</t>
  </si>
  <si>
    <r>
      <t>Relocatable all CZ: Alt. (Adding New &lt;= 50ft</t>
    </r>
    <r>
      <rPr>
        <vertAlign val="superscript"/>
        <sz val="9"/>
        <rFont val="Calibri"/>
        <family val="2"/>
        <scheme val="minor"/>
      </rPr>
      <t>2</t>
    </r>
    <r>
      <rPr>
        <sz val="9"/>
        <rFont val="Calibri"/>
        <family val="2"/>
        <scheme val="minor"/>
      </rPr>
      <t>)</t>
    </r>
  </si>
  <si>
    <t>VTC</t>
  </si>
  <si>
    <t>Dwellng Units &gt; 3 stories: New</t>
  </si>
  <si>
    <r>
      <t>Dwelling Units &gt; 3 stories: Alt. (Replacement &gt; 150ft</t>
    </r>
    <r>
      <rPr>
        <vertAlign val="superscript"/>
        <sz val="9"/>
        <rFont val="Calibri"/>
        <family val="2"/>
        <scheme val="minor"/>
      </rPr>
      <t>2</t>
    </r>
    <r>
      <rPr>
        <sz val="9"/>
        <rFont val="Calibri"/>
        <family val="2"/>
        <scheme val="minor"/>
      </rPr>
      <t>)</t>
    </r>
  </si>
  <si>
    <r>
      <t>Dwelling Units &gt; 3 stories: Alt. (Replacement &lt;= 150ft</t>
    </r>
    <r>
      <rPr>
        <vertAlign val="superscript"/>
        <sz val="9"/>
        <rFont val="Calibri"/>
        <family val="2"/>
        <scheme val="minor"/>
      </rPr>
      <t>2</t>
    </r>
    <r>
      <rPr>
        <sz val="9"/>
        <rFont val="Calibri"/>
        <family val="2"/>
        <scheme val="minor"/>
      </rPr>
      <t>)</t>
    </r>
  </si>
  <si>
    <r>
      <t>Dwelling Units &gt; 3 stories: Alt. (Adding New &gt; 50ft</t>
    </r>
    <r>
      <rPr>
        <vertAlign val="superscript"/>
        <sz val="9"/>
        <rFont val="Calibri"/>
        <family val="2"/>
        <scheme val="minor"/>
      </rPr>
      <t>2</t>
    </r>
    <r>
      <rPr>
        <sz val="9"/>
        <rFont val="Calibri"/>
        <family val="2"/>
        <scheme val="minor"/>
      </rPr>
      <t>)</t>
    </r>
  </si>
  <si>
    <t>Default Tables from S110.6:</t>
  </si>
  <si>
    <t>14 dropdown</t>
  </si>
  <si>
    <t>15 dropdown</t>
  </si>
  <si>
    <t>16 dropdown</t>
  </si>
  <si>
    <t>Non-metal</t>
  </si>
  <si>
    <t>Single Pane</t>
  </si>
  <si>
    <t>Double Pane</t>
  </si>
  <si>
    <t>Metal w Thermal Break</t>
  </si>
  <si>
    <t>23 dropdown</t>
  </si>
  <si>
    <t>20 dropdown</t>
  </si>
  <si>
    <t>21 dropdown</t>
  </si>
  <si>
    <t>22 dropdown</t>
  </si>
  <si>
    <t>24 dropdown</t>
  </si>
  <si>
    <t>Double Pane- w/ spacers</t>
  </si>
  <si>
    <t>Double Pane- divided lite</t>
  </si>
  <si>
    <t>Glass Block</t>
  </si>
  <si>
    <t>27 dropdown</t>
  </si>
  <si>
    <t>Overhang</t>
  </si>
  <si>
    <t>Exterior Horizontal Slats</t>
  </si>
  <si>
    <t>Skylights- Total Area</t>
  </si>
  <si>
    <t>□</t>
  </si>
  <si>
    <t>Multifamily adding up to 16ft2 of skylight per dwelling unit?</t>
  </si>
  <si>
    <r>
      <t xml:space="preserve">Equation 140.3-A  to calc RSHGC resulting from overhang </t>
    </r>
    <r>
      <rPr>
        <b/>
        <sz val="11"/>
        <color rgb="FFFF0000"/>
        <rFont val="Calibri"/>
        <family val="2"/>
        <scheme val="minor"/>
      </rPr>
      <t>(VERIFY WE USE "+c")</t>
    </r>
  </si>
  <si>
    <t>Bulding has Atria &gt; 55ft?</t>
  </si>
  <si>
    <t>Gross Exterior Roof Area
(ft²)</t>
  </si>
  <si>
    <r>
      <t>Maximum Allowed Skylight Area</t>
    </r>
    <r>
      <rPr>
        <b/>
        <vertAlign val="superscript"/>
        <sz val="9"/>
        <rFont val="Calibri"/>
        <family val="2"/>
        <scheme val="minor"/>
      </rPr>
      <t xml:space="preserve">1
</t>
    </r>
    <r>
      <rPr>
        <b/>
        <sz val="9"/>
        <rFont val="Calibri"/>
        <family val="2"/>
        <scheme val="minor"/>
      </rPr>
      <t>(ft²)</t>
    </r>
  </si>
  <si>
    <t>Total Skylight Area per Design 
(ft²)</t>
  </si>
  <si>
    <r>
      <rPr>
        <i/>
        <vertAlign val="superscript"/>
        <sz val="9"/>
        <rFont val="Calibri"/>
        <family val="2"/>
        <scheme val="minor"/>
      </rPr>
      <t>1</t>
    </r>
    <r>
      <rPr>
        <i/>
        <sz val="9"/>
        <rFont val="Calibri"/>
        <family val="2"/>
        <scheme val="minor"/>
      </rPr>
      <t xml:space="preserve"> FOOTNOTE: 5% of total roof area allowed for areas other than atria &gt; 55ft.  10% allowed for atria &gt; 55ft.</t>
    </r>
  </si>
  <si>
    <t>01 dropdown</t>
  </si>
  <si>
    <t>Skylights- U-factor, Solar Heat Gain Coefficient (SHGC), Visible Transmittance (VT)</t>
  </si>
  <si>
    <r>
      <t>Calculate Area-Weighted Average U-factor for Skylights</t>
    </r>
    <r>
      <rPr>
        <b/>
        <vertAlign val="superscript"/>
        <sz val="11"/>
        <rFont val="Calibri"/>
        <family val="2"/>
        <scheme val="minor"/>
      </rPr>
      <t>1</t>
    </r>
  </si>
  <si>
    <r>
      <t>Calculate Area-Weighted Average SHGC for Skylights</t>
    </r>
    <r>
      <rPr>
        <b/>
        <vertAlign val="superscript"/>
        <sz val="11"/>
        <rFont val="Calibri"/>
        <family val="2"/>
        <scheme val="minor"/>
      </rPr>
      <t>1</t>
    </r>
  </si>
  <si>
    <r>
      <t>Calculate Area-Weighted Average VT for Skylights</t>
    </r>
    <r>
      <rPr>
        <b/>
        <vertAlign val="superscript"/>
        <sz val="11"/>
        <rFont val="Calibri"/>
        <family val="2"/>
        <scheme val="minor"/>
      </rPr>
      <t>1</t>
    </r>
  </si>
  <si>
    <t xml:space="preserve">08 </t>
  </si>
  <si>
    <t>Glaze/ Diffuser with Haze Value &gt; 90%?</t>
  </si>
  <si>
    <t>Compliance Method for Multifamily Alterations</t>
  </si>
  <si>
    <t>Pull down</t>
  </si>
  <si>
    <t>SHGC (max)</t>
  </si>
  <si>
    <t>Operable/Fixed</t>
  </si>
  <si>
    <r>
      <rPr>
        <i/>
        <vertAlign val="superscript"/>
        <sz val="9"/>
        <color theme="1"/>
        <rFont val="Calibri"/>
        <family val="2"/>
        <scheme val="minor"/>
      </rPr>
      <t>1</t>
    </r>
    <r>
      <rPr>
        <i/>
        <sz val="9"/>
        <color theme="1"/>
        <rFont val="Calibri"/>
        <family val="2"/>
        <scheme val="minor"/>
      </rPr>
      <t xml:space="preserve"> FOOTNOTE: If any individual skylight product is non-compliant, products may show compliance using an area-weighted calculation.  Chromogenic glazing is not included in area-weighted calculations. </t>
    </r>
    <r>
      <rPr>
        <i/>
        <sz val="9"/>
        <rFont val="Calibri"/>
        <family val="2"/>
        <scheme val="minor"/>
      </rPr>
      <t>Area-weighted calculations shown in separate area-weighted table below.</t>
    </r>
  </si>
  <si>
    <r>
      <rPr>
        <i/>
        <vertAlign val="superscript"/>
        <sz val="9"/>
        <rFont val="Calibri"/>
        <family val="2"/>
        <scheme val="minor"/>
      </rPr>
      <t>2</t>
    </r>
    <r>
      <rPr>
        <i/>
        <sz val="9"/>
        <rFont val="Calibri"/>
        <family val="2"/>
        <scheme val="minor"/>
      </rPr>
      <t xml:space="preserve"> The NA6 Default Calculation can only be used </t>
    </r>
    <r>
      <rPr>
        <b/>
        <i/>
        <sz val="9"/>
        <rFont val="Calibri"/>
        <family val="2"/>
        <scheme val="minor"/>
      </rPr>
      <t>for alterations or dwelling units in buildings with &lt;= 3 habitable stories. with less than Alterations are limited to 200 ft2 of site built glazing and dwelling units are limited to 250ft2 or 5% of conditioned floor area. If the project fenestration does not meet these conditions has greater than 200 ft2, the only options for determining fenestration values are NFRC Certification or the Default Tables in §110.6.</t>
    </r>
  </si>
  <si>
    <r>
      <t>Nonresidential/ Relocatable 1 CZ: Alt. (Add/Replacement &gt; 50ft</t>
    </r>
    <r>
      <rPr>
        <vertAlign val="superscript"/>
        <sz val="9"/>
        <color theme="1"/>
        <rFont val="Calibri"/>
        <family val="2"/>
        <scheme val="minor"/>
      </rPr>
      <t>2)</t>
    </r>
  </si>
  <si>
    <r>
      <t>Nonresidential/ Relocatable 1 CZ: Alt. (Add/Replacement &lt;= 50ft</t>
    </r>
    <r>
      <rPr>
        <vertAlign val="superscript"/>
        <sz val="9"/>
        <color theme="1"/>
        <rFont val="Calibri"/>
        <family val="2"/>
        <scheme val="minor"/>
      </rPr>
      <t>2)</t>
    </r>
  </si>
  <si>
    <t>08 Dropdown</t>
  </si>
  <si>
    <t>Glass, curb mounted</t>
  </si>
  <si>
    <t>Glass, deck mounted</t>
  </si>
  <si>
    <t>NA: No direct sun on skylight</t>
  </si>
  <si>
    <t>Plastic, curb mounted</t>
  </si>
  <si>
    <t>Tubular Daylight Devices</t>
  </si>
  <si>
    <r>
      <t>Hotel/ Motel: Alt. (Add/Replacement &gt; 50ft</t>
    </r>
    <r>
      <rPr>
        <vertAlign val="superscript"/>
        <sz val="9"/>
        <color theme="1"/>
        <rFont val="Calibri"/>
        <family val="2"/>
        <scheme val="minor"/>
      </rPr>
      <t>2)</t>
    </r>
  </si>
  <si>
    <r>
      <t>Relocatable all CZ: Alt. (Add/Replacement &gt; 50ft</t>
    </r>
    <r>
      <rPr>
        <vertAlign val="superscript"/>
        <sz val="9"/>
        <color theme="1"/>
        <rFont val="Calibri"/>
        <family val="2"/>
        <scheme val="minor"/>
      </rPr>
      <t>2)</t>
    </r>
  </si>
  <si>
    <t>13 dropdown</t>
  </si>
  <si>
    <r>
      <t>Hotel/ Motel: Alt. (Add/Replacement &lt;= 50ft</t>
    </r>
    <r>
      <rPr>
        <vertAlign val="superscript"/>
        <sz val="9"/>
        <color theme="1"/>
        <rFont val="Calibri"/>
        <family val="2"/>
        <scheme val="minor"/>
      </rPr>
      <t>2)</t>
    </r>
  </si>
  <si>
    <r>
      <t>Relocatable all CZ: Alt. (Add/Replacement &lt;= 50ft</t>
    </r>
    <r>
      <rPr>
        <vertAlign val="superscript"/>
        <sz val="9"/>
        <color theme="1"/>
        <rFont val="Calibri"/>
        <family val="2"/>
        <scheme val="minor"/>
      </rPr>
      <t>2)</t>
    </r>
  </si>
  <si>
    <t>&lt;= 16ft2 new skylight per dwelling unit</t>
  </si>
  <si>
    <t>Dwelling Units &gt; 3 stories: New</t>
  </si>
  <si>
    <t>Dwelling Units &gt; 3 stories: Alt. (Replacement)</t>
  </si>
  <si>
    <r>
      <t>Dwelling Units &gt; 3 stories: Alt. (Adding &gt; 16ft</t>
    </r>
    <r>
      <rPr>
        <vertAlign val="superscript"/>
        <sz val="9"/>
        <rFont val="Calibri"/>
        <family val="2"/>
        <scheme val="minor"/>
      </rPr>
      <t>2</t>
    </r>
    <r>
      <rPr>
        <sz val="9"/>
        <rFont val="Calibri"/>
        <family val="2"/>
        <scheme val="minor"/>
      </rPr>
      <t>)</t>
    </r>
  </si>
  <si>
    <t>17 dropdown</t>
  </si>
  <si>
    <t>18 dropdown</t>
  </si>
  <si>
    <t>19 dropdown</t>
  </si>
  <si>
    <t>Operable</t>
  </si>
  <si>
    <t>Fixed</t>
  </si>
  <si>
    <t xml:space="preserve">Area-Weighted Average U-factor, SHGC, VT Compliance Calculation for Vertical Fenestration and Glazed Doors </t>
  </si>
  <si>
    <r>
      <t>Total Area of Fenestration
(ft</t>
    </r>
    <r>
      <rPr>
        <b/>
        <vertAlign val="superscript"/>
        <sz val="9"/>
        <color theme="1"/>
        <rFont val="Calibri"/>
        <family val="2"/>
        <scheme val="minor"/>
      </rPr>
      <t>2</t>
    </r>
    <r>
      <rPr>
        <b/>
        <sz val="9"/>
        <color theme="1"/>
        <rFont val="Calibri"/>
        <family val="2"/>
        <scheme val="minor"/>
      </rPr>
      <t>)</t>
    </r>
  </si>
  <si>
    <t>Area-weighted Calculation for Fenestration</t>
  </si>
  <si>
    <t>U-Factor</t>
  </si>
  <si>
    <r>
      <t>Ben, sum of "Area (ft</t>
    </r>
    <r>
      <rPr>
        <i/>
        <vertAlign val="superscript"/>
        <sz val="9"/>
        <rFont val="Calibri"/>
        <family val="2"/>
        <scheme val="minor"/>
      </rPr>
      <t>2</t>
    </r>
    <r>
      <rPr>
        <i/>
        <sz val="9"/>
        <rFont val="Calibri"/>
        <family val="2"/>
        <scheme val="minor"/>
      </rPr>
      <t>)" column for the subtables</t>
    </r>
  </si>
  <si>
    <t>= (sum (required performance x area))/ total area of fenestration</t>
  </si>
  <si>
    <t>= (sum (U-factor per Design x area))/ total area of fenestration</t>
  </si>
  <si>
    <t>(R)SHGC</t>
  </si>
  <si>
    <t>= (sum (RSHGC per Design x area))/ total area of fenestration</t>
  </si>
  <si>
    <t>= (sum (VT per Design x area))/ total area of fenestration</t>
  </si>
  <si>
    <t>Area-Weighted Average U-factor, SHGC, VT Compliance Calculation for Skylights</t>
  </si>
  <si>
    <t>Total Area of Skylights</t>
  </si>
  <si>
    <t>Area-weighted Calculation for Skylights</t>
  </si>
  <si>
    <t>= (sum (required performance x area))/ total area of skylights</t>
  </si>
  <si>
    <t>= (sum (U-factor per Design x area))/ total area of skylights</t>
  </si>
  <si>
    <t>= (sum (RSHGC per Design x area))/ total area of skylights</t>
  </si>
  <si>
    <t>= (sum (VT per Design x area))/ total area of skylights</t>
  </si>
  <si>
    <r>
      <t>Orientation (Azimuth)</t>
    </r>
    <r>
      <rPr>
        <b/>
        <vertAlign val="superscript"/>
        <sz val="11"/>
        <rFont val="Calibri"/>
        <family val="2"/>
      </rPr>
      <t>1</t>
    </r>
  </si>
  <si>
    <r>
      <t xml:space="preserve">
</t>
    </r>
    <r>
      <rPr>
        <sz val="9"/>
        <rFont val="Calibri"/>
        <family val="2"/>
        <scheme val="minor"/>
      </rPr>
      <t>= col29 / col30</t>
    </r>
  </si>
  <si>
    <r>
      <rPr>
        <i/>
        <vertAlign val="superscript"/>
        <sz val="9"/>
        <rFont val="Calibri"/>
        <family val="2"/>
        <scheme val="minor"/>
      </rPr>
      <t>2</t>
    </r>
    <r>
      <rPr>
        <i/>
        <sz val="9"/>
        <rFont val="Calibri"/>
        <family val="2"/>
        <scheme val="minor"/>
      </rPr>
      <t xml:space="preserve"> The NA6 Default Calculation can only be used for alterations or dwelling units in buildings with &lt;= 3 habitable stories. Alterations are limited to 200 ft</t>
    </r>
    <r>
      <rPr>
        <i/>
        <vertAlign val="superscript"/>
        <sz val="9"/>
        <rFont val="Calibri"/>
        <family val="2"/>
        <scheme val="minor"/>
      </rPr>
      <t>2</t>
    </r>
    <r>
      <rPr>
        <i/>
        <sz val="9"/>
        <rFont val="Calibri"/>
        <family val="2"/>
        <scheme val="minor"/>
      </rPr>
      <t xml:space="preserve"> of site built glazing and dwelling units are limited to 250ft</t>
    </r>
    <r>
      <rPr>
        <i/>
        <vertAlign val="superscript"/>
        <sz val="9"/>
        <rFont val="Calibri"/>
        <family val="2"/>
        <scheme val="minor"/>
      </rPr>
      <t>2</t>
    </r>
    <r>
      <rPr>
        <i/>
        <sz val="9"/>
        <rFont val="Calibri"/>
        <family val="2"/>
        <scheme val="minor"/>
      </rPr>
      <t xml:space="preserve"> or 5% of conditioned floor area. If the fenestration does not meet these conditions , the only options for determining fenestration values are NFRC Certification or the Default Tables in §110.6.</t>
    </r>
  </si>
  <si>
    <t>Nonresidential: New</t>
  </si>
  <si>
    <r>
      <t>Nonresidential: Alt. (Replacement &gt; 150ft</t>
    </r>
    <r>
      <rPr>
        <vertAlign val="superscript"/>
        <sz val="9"/>
        <rFont val="Calibri"/>
        <family val="2"/>
        <scheme val="minor"/>
      </rPr>
      <t>2)</t>
    </r>
  </si>
  <si>
    <r>
      <t>Nonresidential: Alt.(Adding New &gt; 50ft</t>
    </r>
    <r>
      <rPr>
        <vertAlign val="superscript"/>
        <sz val="9"/>
        <rFont val="Calibri"/>
        <family val="2"/>
        <scheme val="minor"/>
      </rPr>
      <t>2</t>
    </r>
    <r>
      <rPr>
        <sz val="9"/>
        <rFont val="Calibri"/>
        <family val="2"/>
        <scheme val="minor"/>
      </rPr>
      <t>)</t>
    </r>
  </si>
  <si>
    <r>
      <t>Nonresidential: Alt. (Adding New &lt;= 50ft</t>
    </r>
    <r>
      <rPr>
        <vertAlign val="superscript"/>
        <sz val="9"/>
        <rFont val="Calibri"/>
        <family val="2"/>
        <scheme val="minor"/>
      </rPr>
      <t>2</t>
    </r>
    <r>
      <rPr>
        <sz val="9"/>
        <rFont val="Calibri"/>
        <family val="2"/>
        <scheme val="minor"/>
      </rPr>
      <t>)</t>
    </r>
  </si>
  <si>
    <t>Dwelling Units &lt;= 3 stories: New</t>
  </si>
  <si>
    <r>
      <t>Dwelling Units &lt;= 3 stories: Alt. (Replacement &gt; 150ft</t>
    </r>
    <r>
      <rPr>
        <vertAlign val="superscript"/>
        <sz val="9"/>
        <rFont val="Calibri"/>
        <family val="2"/>
        <scheme val="minor"/>
      </rPr>
      <t>2</t>
    </r>
    <r>
      <rPr>
        <sz val="9"/>
        <rFont val="Calibri"/>
        <family val="2"/>
        <scheme val="minor"/>
      </rPr>
      <t>)</t>
    </r>
  </si>
  <si>
    <r>
      <t>Dwelling Units &lt;= 3 stories: Alt. (Replacement &lt;= 150ft</t>
    </r>
    <r>
      <rPr>
        <vertAlign val="superscript"/>
        <sz val="9"/>
        <rFont val="Calibri"/>
        <family val="2"/>
        <scheme val="minor"/>
      </rPr>
      <t>2</t>
    </r>
    <r>
      <rPr>
        <sz val="9"/>
        <rFont val="Calibri"/>
        <family val="2"/>
        <scheme val="minor"/>
      </rPr>
      <t>)</t>
    </r>
  </si>
  <si>
    <r>
      <t>Dwelling Units &lt;= 3 stories: Alt. (Adding New &gt; 50ft</t>
    </r>
    <r>
      <rPr>
        <vertAlign val="superscript"/>
        <sz val="9"/>
        <rFont val="Calibri"/>
        <family val="2"/>
        <scheme val="minor"/>
      </rPr>
      <t>2</t>
    </r>
    <r>
      <rPr>
        <sz val="9"/>
        <rFont val="Calibri"/>
        <family val="2"/>
        <scheme val="minor"/>
      </rPr>
      <t>)</t>
    </r>
  </si>
  <si>
    <t>01a</t>
  </si>
  <si>
    <t>01b</t>
  </si>
  <si>
    <r>
      <t>Multifamily adding up to 16ft</t>
    </r>
    <r>
      <rPr>
        <b/>
        <vertAlign val="superscript"/>
        <sz val="9"/>
        <rFont val="Calibri"/>
        <family val="2"/>
        <scheme val="minor"/>
      </rPr>
      <t>2</t>
    </r>
    <r>
      <rPr>
        <b/>
        <sz val="9"/>
        <rFont val="Calibri"/>
        <family val="2"/>
        <scheme val="minor"/>
      </rPr>
      <t xml:space="preserve"> of skylight per dwelling unit?</t>
    </r>
  </si>
  <si>
    <r>
      <t xml:space="preserve">NEW for 2022: Equation 140.3-A  to calc RSHGC resulting from overhang </t>
    </r>
    <r>
      <rPr>
        <b/>
        <sz val="11"/>
        <color rgb="FFFF0000"/>
        <rFont val="Calibri"/>
        <family val="2"/>
        <scheme val="minor"/>
      </rPr>
      <t>(VERIFY WE USE "+c")</t>
    </r>
  </si>
  <si>
    <t>01a dropdown</t>
  </si>
  <si>
    <t>01b dropdown</t>
  </si>
  <si>
    <t xml:space="preserve">11 </t>
  </si>
  <si>
    <r>
      <rPr>
        <i/>
        <vertAlign val="superscript"/>
        <sz val="9"/>
        <rFont val="Calibri"/>
        <family val="2"/>
        <scheme val="minor"/>
      </rPr>
      <t>2</t>
    </r>
    <r>
      <rPr>
        <i/>
        <sz val="9"/>
        <rFont val="Calibri"/>
        <family val="2"/>
        <scheme val="minor"/>
      </rPr>
      <t xml:space="preserve"> The NA6 Default Calculation can only be used for alterations or dwelling units in buildings with &lt;= 3 habitable stories. with less than Alterations are limited to 200 ft2 of site built glazing and dwelling units are limited to 250ft2 or 5% of conditioned floor area. If the project fenestration does not meet these conditions has greater than 200 ft2, the only options for determining fenestration values are NFRC Certification or the Default Tables in §110.6.</t>
    </r>
  </si>
  <si>
    <r>
      <t>Nonresidential: Alt. (Add/Replacement &gt; 50ft</t>
    </r>
    <r>
      <rPr>
        <vertAlign val="superscript"/>
        <sz val="9"/>
        <color theme="1"/>
        <rFont val="Calibri"/>
        <family val="2"/>
        <scheme val="minor"/>
      </rPr>
      <t>2)</t>
    </r>
  </si>
  <si>
    <r>
      <t>Nonresidential: Alt. (Add/Replacement &lt;= 50ft</t>
    </r>
    <r>
      <rPr>
        <vertAlign val="superscript"/>
        <sz val="9"/>
        <color theme="1"/>
        <rFont val="Calibri"/>
        <family val="2"/>
        <scheme val="minor"/>
      </rPr>
      <t>2)</t>
    </r>
  </si>
  <si>
    <r>
      <t>Nonresidential: Alt. (Add/Replacement &gt; 50ft</t>
    </r>
    <r>
      <rPr>
        <vertAlign val="superscript"/>
        <sz val="9"/>
        <rFont val="Calibri"/>
        <family val="2"/>
        <scheme val="minor"/>
      </rPr>
      <t>2)</t>
    </r>
  </si>
  <si>
    <r>
      <t>Hotel/ Motel: Alt. (Add/Replacement &gt; 50ft</t>
    </r>
    <r>
      <rPr>
        <vertAlign val="superscript"/>
        <sz val="9"/>
        <rFont val="Calibri"/>
        <family val="2"/>
        <scheme val="minor"/>
      </rPr>
      <t>2)</t>
    </r>
  </si>
  <si>
    <r>
      <t>Nonresidential: Alt. (Add/Replacement &lt;= 50ft</t>
    </r>
    <r>
      <rPr>
        <vertAlign val="superscript"/>
        <sz val="9"/>
        <rFont val="Calibri"/>
        <family val="2"/>
        <scheme val="minor"/>
      </rPr>
      <t>2)</t>
    </r>
  </si>
  <si>
    <r>
      <t>Hotel/ Motel: Alt. (Add/Replacement &lt;= 50ft</t>
    </r>
    <r>
      <rPr>
        <vertAlign val="superscript"/>
        <sz val="9"/>
        <rFont val="Calibri"/>
        <family val="2"/>
        <scheme val="minor"/>
      </rPr>
      <t>2)</t>
    </r>
  </si>
  <si>
    <t>Dwelling Units &lt;= 3 stories: Alt. (Replacement)</t>
  </si>
  <si>
    <r>
      <t>Dwelling Units &lt;= 3 stories: Alt. (Adding &gt; 16ft</t>
    </r>
    <r>
      <rPr>
        <vertAlign val="superscript"/>
        <sz val="9"/>
        <rFont val="Calibri"/>
        <family val="2"/>
        <scheme val="minor"/>
      </rPr>
      <t>2</t>
    </r>
    <r>
      <rPr>
        <sz val="9"/>
        <rFont val="Calibri"/>
        <family val="2"/>
        <scheme val="minor"/>
      </rPr>
      <t>)</t>
    </r>
  </si>
  <si>
    <t>L. DAYLIGHT IN LARGE ENCLOSED SPACES</t>
  </si>
  <si>
    <r>
      <t>This table demonstrates compliance with prescriptive daylight zone requirements in §140.3(c)/§170.2(b) for new construction, additions, or alterations which install a new lighting system within climate zones 2-15.  Enclosed spaces greater than 5,000ft2 and under a roof with at least a 15ft ceiling height must be included in the table.</t>
    </r>
    <r>
      <rPr>
        <sz val="10"/>
        <rFont val="Calibri"/>
        <family val="2"/>
      </rPr>
      <t xml:space="preserve"> </t>
    </r>
  </si>
  <si>
    <t xml:space="preserve">Plan Sheet Showing Daylit Zones: </t>
  </si>
  <si>
    <t>OR</t>
  </si>
  <si>
    <t>Space Name</t>
  </si>
  <si>
    <r>
      <t>Total Area of Space 
(ft</t>
    </r>
    <r>
      <rPr>
        <b/>
        <vertAlign val="superscript"/>
        <sz val="11"/>
        <rFont val="Calibri"/>
        <family val="2"/>
      </rPr>
      <t>2</t>
    </r>
    <r>
      <rPr>
        <b/>
        <sz val="11"/>
        <rFont val="Calibri"/>
        <family val="2"/>
      </rPr>
      <t xml:space="preserve">)                    </t>
    </r>
  </si>
  <si>
    <r>
      <t>Skylit Daylit Zone Area per Design
(ft</t>
    </r>
    <r>
      <rPr>
        <b/>
        <vertAlign val="superscript"/>
        <sz val="11"/>
        <rFont val="Calibri"/>
        <family val="2"/>
      </rPr>
      <t>2</t>
    </r>
    <r>
      <rPr>
        <b/>
        <sz val="11"/>
        <rFont val="Calibri"/>
        <family val="2"/>
      </rPr>
      <t>)</t>
    </r>
  </si>
  <si>
    <r>
      <t>Primary Sidelit Daylit Zone Area per Design</t>
    </r>
    <r>
      <rPr>
        <b/>
        <vertAlign val="superscript"/>
        <sz val="11"/>
        <rFont val="Calibri"/>
        <family val="2"/>
      </rPr>
      <t>1</t>
    </r>
    <r>
      <rPr>
        <b/>
        <sz val="11"/>
        <rFont val="Calibri"/>
        <family val="2"/>
      </rPr>
      <t xml:space="preserve">
(ft</t>
    </r>
    <r>
      <rPr>
        <b/>
        <vertAlign val="superscript"/>
        <sz val="11"/>
        <rFont val="Calibri"/>
        <family val="2"/>
      </rPr>
      <t>2</t>
    </r>
    <r>
      <rPr>
        <b/>
        <sz val="11"/>
        <rFont val="Calibri"/>
        <family val="2"/>
      </rPr>
      <t>)</t>
    </r>
  </si>
  <si>
    <t>Compliance with §140.3(c)1/§170.2(b)</t>
  </si>
  <si>
    <r>
      <t>Total Skylight Area per Design</t>
    </r>
    <r>
      <rPr>
        <b/>
        <vertAlign val="superscript"/>
        <sz val="11"/>
        <rFont val="Calibri"/>
        <family val="2"/>
      </rPr>
      <t>2</t>
    </r>
    <r>
      <rPr>
        <b/>
        <sz val="11"/>
        <rFont val="Calibri"/>
        <family val="2"/>
      </rPr>
      <t xml:space="preserve">
(ft</t>
    </r>
    <r>
      <rPr>
        <b/>
        <vertAlign val="superscript"/>
        <sz val="11"/>
        <rFont val="Calibri"/>
        <family val="2"/>
      </rPr>
      <t>2</t>
    </r>
    <r>
      <rPr>
        <b/>
        <sz val="11"/>
        <rFont val="Calibri"/>
        <family val="2"/>
      </rPr>
      <t>)</t>
    </r>
  </si>
  <si>
    <t>Compliance with §140.3(c)4/§170.2(b)</t>
  </si>
  <si>
    <t>Alternate Compliance with §140.3(c)4/§170.2(b)</t>
  </si>
  <si>
    <r>
      <t>Required Minimum Daylit Area
(ft</t>
    </r>
    <r>
      <rPr>
        <b/>
        <vertAlign val="superscript"/>
        <sz val="11"/>
        <rFont val="Calibri"/>
        <family val="2"/>
      </rPr>
      <t>2</t>
    </r>
    <r>
      <rPr>
        <b/>
        <sz val="11"/>
        <rFont val="Calibri"/>
        <family val="2"/>
      </rPr>
      <t>)</t>
    </r>
  </si>
  <si>
    <r>
      <t>Daylit Area per Design
(ft</t>
    </r>
    <r>
      <rPr>
        <b/>
        <vertAlign val="superscript"/>
        <sz val="11"/>
        <rFont val="Calibri"/>
        <family val="2"/>
      </rPr>
      <t>2</t>
    </r>
    <r>
      <rPr>
        <b/>
        <sz val="11"/>
        <rFont val="Calibri"/>
        <family val="2"/>
      </rPr>
      <t>)</t>
    </r>
  </si>
  <si>
    <r>
      <t>Skylight Area to Skylit Daylit Zone Area Ratio</t>
    </r>
    <r>
      <rPr>
        <b/>
        <vertAlign val="superscript"/>
        <sz val="11"/>
        <rFont val="Calibri"/>
        <family val="2"/>
      </rPr>
      <t>3</t>
    </r>
    <r>
      <rPr>
        <b/>
        <sz val="11"/>
        <rFont val="Calibri"/>
        <family val="2"/>
      </rPr>
      <t xml:space="preserve">
(%)</t>
    </r>
  </si>
  <si>
    <r>
      <t>Skylight Weighted Average VT</t>
    </r>
    <r>
      <rPr>
        <b/>
        <vertAlign val="superscript"/>
        <sz val="11"/>
        <rFont val="Calibri"/>
        <family val="2"/>
      </rPr>
      <t>2</t>
    </r>
  </si>
  <si>
    <r>
      <t>Skylight AreaxVT to Skylit Daylit Zone Area Ratio</t>
    </r>
    <r>
      <rPr>
        <b/>
        <vertAlign val="superscript"/>
        <sz val="11"/>
        <rFont val="Calibri"/>
        <family val="2"/>
      </rPr>
      <t>4</t>
    </r>
    <r>
      <rPr>
        <b/>
        <sz val="11"/>
        <rFont val="Calibri"/>
        <family val="2"/>
      </rPr>
      <t xml:space="preserve">
(%)</t>
    </r>
  </si>
  <si>
    <t>(drop down)</t>
  </si>
  <si>
    <t>.8</t>
  </si>
  <si>
    <t>=((H9*K9)/D9)</t>
  </si>
  <si>
    <r>
      <rPr>
        <i/>
        <vertAlign val="superscript"/>
        <sz val="10"/>
        <rFont val="Calibri"/>
        <family val="2"/>
        <scheme val="minor"/>
      </rPr>
      <t>1</t>
    </r>
    <r>
      <rPr>
        <i/>
        <sz val="10"/>
        <rFont val="Calibri"/>
        <family val="2"/>
        <scheme val="minor"/>
      </rPr>
      <t xml:space="preserve"> FOOTNOTE: Any area which falls within the Skylit Daylit Zone may not be double counted for the Primary Sidelit Daylit Zone.</t>
    </r>
  </si>
  <si>
    <t>Add Space</t>
  </si>
  <si>
    <r>
      <rPr>
        <i/>
        <vertAlign val="superscript"/>
        <sz val="10"/>
        <rFont val="Calibri"/>
        <family val="2"/>
        <scheme val="minor"/>
      </rPr>
      <t>2</t>
    </r>
    <r>
      <rPr>
        <i/>
        <sz val="10"/>
        <rFont val="Calibri"/>
        <family val="2"/>
        <scheme val="minor"/>
      </rPr>
      <t xml:space="preserve">  May be calculated by Table K Fenestration Schedule.</t>
    </r>
  </si>
  <si>
    <r>
      <rPr>
        <i/>
        <vertAlign val="superscript"/>
        <sz val="10"/>
        <rFont val="Calibri"/>
        <family val="2"/>
        <scheme val="minor"/>
      </rPr>
      <t>3</t>
    </r>
    <r>
      <rPr>
        <i/>
        <sz val="10"/>
        <rFont val="Calibri"/>
        <family val="2"/>
        <scheme val="minor"/>
      </rPr>
      <t xml:space="preserve">  Must be at least 3% to comply with §140.3(c)4/§170.2(b).</t>
    </r>
  </si>
  <si>
    <r>
      <rPr>
        <i/>
        <vertAlign val="superscript"/>
        <sz val="10"/>
        <rFont val="Calibri"/>
        <family val="2"/>
        <scheme val="minor"/>
      </rPr>
      <t>4</t>
    </r>
    <r>
      <rPr>
        <i/>
        <sz val="10"/>
        <rFont val="Calibri"/>
        <family val="2"/>
        <scheme val="minor"/>
      </rPr>
      <t xml:space="preserve">  Must be at least 1.5% to comply with §140.3(c)4/§170.2(b).</t>
    </r>
  </si>
  <si>
    <t>Compliance Method Dropdown</t>
  </si>
  <si>
    <t>Provided Min Daylit Areas per §140.3(c)/§170.2(b)</t>
  </si>
  <si>
    <r>
      <t>NA: All space types w/lighting &lt;0.5 w/ft</t>
    </r>
    <r>
      <rPr>
        <vertAlign val="superscript"/>
        <sz val="10"/>
        <color rgb="FF000000"/>
        <rFont val="Calibri"/>
        <family val="2"/>
        <scheme val="minor"/>
      </rPr>
      <t>2</t>
    </r>
  </si>
  <si>
    <t>NA: Documented no solar access</t>
  </si>
  <si>
    <r>
      <t>NA: Future space to be &lt;5,000 ft</t>
    </r>
    <r>
      <rPr>
        <vertAlign val="superscript"/>
        <sz val="10"/>
        <color rgb="FF000000"/>
        <rFont val="Calibri"/>
        <family val="2"/>
        <scheme val="minor"/>
      </rPr>
      <t>2</t>
    </r>
  </si>
  <si>
    <t>NA: Future space ceiling to be &lt;15ft</t>
  </si>
  <si>
    <t>NA: Auditorium</t>
  </si>
  <si>
    <t xml:space="preserve">NA: Church </t>
  </si>
  <si>
    <t>NA: Movie Theater</t>
  </si>
  <si>
    <t xml:space="preserve">NA: Museum </t>
  </si>
  <si>
    <t xml:space="preserve">NA: Refrigerated Warehouse </t>
  </si>
  <si>
    <r>
      <rPr>
        <b/>
        <sz val="11"/>
        <rFont val="Calibri"/>
        <family val="2"/>
      </rPr>
      <t>M.</t>
    </r>
    <r>
      <rPr>
        <b/>
        <sz val="11"/>
        <color rgb="FFFF0000"/>
        <rFont val="Calibri"/>
        <family val="2"/>
      </rPr>
      <t xml:space="preserve"> </t>
    </r>
    <r>
      <rPr>
        <b/>
        <sz val="11"/>
        <color rgb="FF231F20"/>
        <rFont val="Calibri"/>
        <family val="2"/>
      </rPr>
      <t>DECLARATION OF REQUIRED CERTIFICATES OF INSTALLATION</t>
    </r>
  </si>
  <si>
    <t>Nonresidential, Hotel/Motel, and High-rise Multifamily and Multifamily Mixed-use Certificates of Installation</t>
  </si>
  <si>
    <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r>
    <r>
      <rPr>
        <b/>
        <i/>
        <strike/>
        <sz val="10"/>
        <rFont val="Calibri"/>
        <family val="2"/>
      </rPr>
      <t xml:space="preserve"> </t>
    </r>
    <r>
      <rPr>
        <b/>
        <sz val="10"/>
        <rFont val="Calibri"/>
        <family val="2"/>
      </rPr>
      <t xml:space="preserve"> </t>
    </r>
  </si>
  <si>
    <t>YES</t>
  </si>
  <si>
    <t>NO</t>
  </si>
  <si>
    <t>Form/Title</t>
  </si>
  <si>
    <t>Field Inspector</t>
  </si>
  <si>
    <t>Pass</t>
  </si>
  <si>
    <t>Fail</t>
  </si>
  <si>
    <t>●</t>
  </si>
  <si>
    <t>m</t>
  </si>
  <si>
    <t xml:space="preserve">NRCI-ENV-E - Must be submitted for all buildings. </t>
  </si>
  <si>
    <t>o</t>
  </si>
  <si>
    <t>Low-rise Multifamily and Multifamily Mixed-use Certificates of Installation</t>
  </si>
  <si>
    <t>Selections have been made based on information provided in this document.  If any selections have been changed by the permit applicant, an explanation should be included in Table E. Additional Remarks.  These documents must be completed by the installer and provided to the building inspector during construction.  The final documents must be created by a HERS Providers registry, but drafts can be found online.</t>
  </si>
  <si>
    <t xml:space="preserve">LMCI-ENV-E - Must be submitted for all buildings. </t>
  </si>
  <si>
    <r>
      <t xml:space="preserve">LMCI-HERS-ENV-21-H -QII Framing Stage
</t>
    </r>
    <r>
      <rPr>
        <i/>
        <sz val="10"/>
        <rFont val="Calibri"/>
        <family val="2"/>
        <scheme val="minor"/>
      </rPr>
      <t>(Applies to "R" occupancy only)</t>
    </r>
  </si>
  <si>
    <r>
      <t xml:space="preserve">LMCI-HERS-ENV-22-H -QII Insulation Stage
</t>
    </r>
    <r>
      <rPr>
        <i/>
        <sz val="10"/>
        <rFont val="Calibri"/>
        <family val="2"/>
        <scheme val="minor"/>
      </rPr>
      <t>(Applies to "R" occupancy only)</t>
    </r>
  </si>
  <si>
    <t>N. DECLARATION OF REQUIRED CERTIFICATES OF ACCEPTANCE</t>
  </si>
  <si>
    <t>Selections have been made based on information provided in previous tables of this document.  If any selection needs to be changed, form user must provide an explanation to be added to Table D Exceptional Conditions.  These documents must be provided to the building inspector during construction and can be found online at https://www.energy.ca.gov/programs-and-topics/programs/building-energy-efficiency-standards/2022-building-energy-efficiency-4. Individuals who perform the field testing and verification work, and provide the information required for completion of the fenestration Certificate of Acceptance documentation are not required to be licensed professionals. However, the person who signs the Certificate of Acceptance document to certify compliance with the acceptance requirements shall be licensed as specified in Standards Section 10-103(a)4 and NA7.3.1.</t>
  </si>
  <si>
    <t>System to be Field Verified</t>
  </si>
  <si>
    <t>NRCA-ENV-02-F - Must be submitted for all new, added or altered site built fenestration.</t>
  </si>
  <si>
    <r>
      <t xml:space="preserve">NRCA-ENV-03-F - Daylighting design indoor lighting power adjustment factors (PAF).
</t>
    </r>
    <r>
      <rPr>
        <i/>
        <sz val="10"/>
        <color theme="1"/>
        <rFont val="Calibri"/>
        <family val="2"/>
        <scheme val="minor"/>
      </rPr>
      <t>Note: The requirement for this NRCA is indicated on the NRCC-LTI (prescriptive) or NRCC-PRF (performance) because it is only relevant if a PAF is used for clerestories, daylight redirection devices or horizontal slats.</t>
    </r>
  </si>
  <si>
    <t>O. DECLARATION OF REQUIRED CERTIFICATES OF VERIFICATION</t>
  </si>
  <si>
    <t>There are no Certificates of Verification that apply to this project.</t>
  </si>
  <si>
    <r>
      <rPr>
        <b/>
        <sz val="11"/>
        <rFont val="Calibri"/>
        <family val="2"/>
        <scheme val="minor"/>
      </rPr>
      <t>O</t>
    </r>
    <r>
      <rPr>
        <b/>
        <sz val="11"/>
        <color theme="1"/>
        <rFont val="Calibri"/>
        <family val="2"/>
        <scheme val="minor"/>
      </rPr>
      <t>. DECLARATION OF REQUIRED CERTIFICATES OF VERIFICATION</t>
    </r>
  </si>
  <si>
    <t>Low-rise Multifamily and Multifamily Mixed-use Certificates of Verification</t>
  </si>
  <si>
    <r>
      <t xml:space="preserve">Selections have been made based on information provided in this document.  If any selections have been changed by the permit applicant, an explanation should be included in Table E. Additional Remarks.  These documents must be completed by a </t>
    </r>
    <r>
      <rPr>
        <i/>
        <strike/>
        <sz val="10"/>
        <color rgb="FFFF0000"/>
        <rFont val="Calibri"/>
        <family val="2"/>
      </rPr>
      <t>HERS</t>
    </r>
    <r>
      <rPr>
        <i/>
        <sz val="10"/>
        <color rgb="FF231F20"/>
        <rFont val="Calibri"/>
        <family val="2"/>
      </rPr>
      <t xml:space="preserve"> </t>
    </r>
    <r>
      <rPr>
        <b/>
        <i/>
        <sz val="10"/>
        <color rgb="FFFF0000"/>
        <rFont val="Calibri"/>
        <family val="2"/>
      </rPr>
      <t>ECC</t>
    </r>
    <r>
      <rPr>
        <i/>
        <sz val="10"/>
        <color rgb="FF231F20"/>
        <rFont val="Calibri"/>
        <family val="2"/>
      </rPr>
      <t xml:space="preserve"> Rater and provided to the building inspector during construction.  The final documents must be created by a </t>
    </r>
    <r>
      <rPr>
        <i/>
        <strike/>
        <sz val="10"/>
        <color rgb="FFFF0000"/>
        <rFont val="Calibri"/>
        <family val="2"/>
      </rPr>
      <t>HERS</t>
    </r>
    <r>
      <rPr>
        <i/>
        <sz val="10"/>
        <color rgb="FF231F20"/>
        <rFont val="Calibri"/>
        <family val="2"/>
      </rPr>
      <t xml:space="preserve"> </t>
    </r>
    <r>
      <rPr>
        <b/>
        <i/>
        <sz val="10"/>
        <color rgb="FFFF0000"/>
        <rFont val="Calibri"/>
        <family val="2"/>
      </rPr>
      <t>ECC</t>
    </r>
    <r>
      <rPr>
        <i/>
        <sz val="10"/>
        <color rgb="FF231F20"/>
        <rFont val="Calibri"/>
        <family val="2"/>
      </rPr>
      <t xml:space="preserve"> Providers registry, but drafts can be found online.</t>
    </r>
  </si>
  <si>
    <r>
      <rPr>
        <sz val="10"/>
        <color rgb="FF000000"/>
        <rFont val="Calibri"/>
        <scheme val="minor"/>
      </rPr>
      <t xml:space="preserve">LMCV-ENV-20a-H -Enclosure Air Leakage Single Point Test- Manual Meter
</t>
    </r>
    <r>
      <rPr>
        <i/>
        <sz val="10"/>
        <color rgb="FF000000"/>
        <rFont val="Calibri"/>
        <scheme val="minor"/>
      </rPr>
      <t xml:space="preserve">(Applies to "R" occupancy only)
</t>
    </r>
    <r>
      <rPr>
        <sz val="10"/>
        <color rgb="FF000000"/>
        <rFont val="Calibri"/>
        <scheme val="minor"/>
      </rPr>
      <t>Note: The requirement for this LMCV is indicated on the LMCC-MCH (prescriptive) or LMCC-PRF (performance) because it is only relevant if the mechanical IAQ system is not balanced.</t>
    </r>
  </si>
  <si>
    <r>
      <rPr>
        <sz val="10"/>
        <color rgb="FF000000"/>
        <rFont val="Calibri"/>
        <scheme val="minor"/>
      </rPr>
      <t xml:space="preserve">LMCV-ENV-20b-H -Enclosure Air Leakage Single Point Test- Automatic Meter
</t>
    </r>
    <r>
      <rPr>
        <i/>
        <sz val="10"/>
        <color rgb="FF000000"/>
        <rFont val="Calibri"/>
        <scheme val="minor"/>
      </rPr>
      <t xml:space="preserve">(Applies to "R" occupancy only)
</t>
    </r>
    <r>
      <rPr>
        <sz val="10"/>
        <color rgb="FF000000"/>
        <rFont val="Calibri"/>
        <scheme val="minor"/>
      </rPr>
      <t>Note: The requirement for this LMCV is indicated on the LMCC-MCH (prescriptive) or LMCC-PRF (performance) because it is only relevant if the mechanical IAQ system is not balanced.</t>
    </r>
  </si>
  <si>
    <r>
      <rPr>
        <sz val="10"/>
        <color rgb="FF000000"/>
        <rFont val="Calibri"/>
        <scheme val="minor"/>
      </rPr>
      <t xml:space="preserve">LMCV-ENV-21-H -QII Framing Stage
</t>
    </r>
    <r>
      <rPr>
        <i/>
        <sz val="10"/>
        <color rgb="FF000000"/>
        <rFont val="Calibri"/>
        <scheme val="minor"/>
      </rPr>
      <t>(Applies to "R" occupancy only)</t>
    </r>
  </si>
  <si>
    <r>
      <rPr>
        <sz val="10"/>
        <color rgb="FF000000"/>
        <rFont val="Calibri"/>
        <scheme val="minor"/>
      </rPr>
      <t xml:space="preserve">LMCV-ENV-22-H -QII Insulation Stage
</t>
    </r>
    <r>
      <rPr>
        <i/>
        <sz val="10"/>
        <color rgb="FF000000"/>
        <rFont val="Calibri"/>
        <scheme val="minor"/>
      </rPr>
      <t>(Applies to "R" occupancy only)</t>
    </r>
  </si>
  <si>
    <t>DOCUMENTATION AUTHOR'S DECLARATION STATEMENT</t>
  </si>
  <si>
    <t>Documentation Author Name:</t>
  </si>
  <si>
    <t>Documentation Author Signature:</t>
  </si>
  <si>
    <t>Company:</t>
  </si>
  <si>
    <t>Signature Date:</t>
  </si>
  <si>
    <t>Address:</t>
  </si>
  <si>
    <r>
      <t>CEA/</t>
    </r>
    <r>
      <rPr>
        <b/>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</si>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</sst>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
    <numFmt numFmtId="168" formatCode="0.000"/>
  </numFmts>
  <fonts count="165">
    <font>
      <sz val="11"/>
      <color theme="1"/>
      <name val="Calibri"/>
      <family val="2"/>
      <scheme val="minor"/>
    </font>
    <font>
      <sz val="11"/>
      <color theme="1"/>
      <name val="Calibri"/>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sz val="10"/>
      <color rgb="FF000000"/>
      <name val="Times New Roman"/>
      <family val="1"/>
    </font>
    <font>
      <sz val="9"/>
      <name val="Calibri"/>
      <family val="2"/>
    </font>
    <font>
      <sz val="11"/>
      <color rgb="FF000000"/>
      <name val="Times New Roman"/>
      <family val="1"/>
    </font>
    <font>
      <i/>
      <sz val="11"/>
      <color rgb="FFFF0000"/>
      <name val="Calibri"/>
      <family val="2"/>
    </font>
    <font>
      <sz val="11"/>
      <color rgb="FF000000"/>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0"/>
      <color rgb="FF000000"/>
      <name val="Times New Roman"/>
      <family val="1"/>
    </font>
    <font>
      <sz val="9"/>
      <color rgb="FFFF0000"/>
      <name val="Calibri"/>
      <family val="2"/>
      <scheme val="minor"/>
    </font>
    <font>
      <sz val="11"/>
      <name val="Arial"/>
      <family val="2"/>
    </font>
    <font>
      <sz val="11"/>
      <color rgb="FF000000"/>
      <name val="Calibri"/>
      <family val="2"/>
      <scheme val="minor"/>
    </font>
    <font>
      <sz val="11"/>
      <color rgb="FF000000"/>
      <name val="Wingdings"/>
      <charset val="2"/>
    </font>
    <font>
      <b/>
      <sz val="9"/>
      <name val="Calibri"/>
      <family val="2"/>
      <scheme val="minor"/>
    </font>
    <font>
      <i/>
      <sz val="11"/>
      <color rgb="FFFF0000"/>
      <name val="Calibri"/>
      <family val="2"/>
      <scheme val="minor"/>
    </font>
    <font>
      <i/>
      <sz val="9"/>
      <color theme="1"/>
      <name val="Calibri"/>
      <family val="2"/>
      <scheme val="minor"/>
    </font>
    <font>
      <sz val="16"/>
      <color theme="1"/>
      <name val="Arial"/>
      <family val="2"/>
    </font>
    <font>
      <b/>
      <sz val="11"/>
      <color theme="1"/>
      <name val="Calibri"/>
      <family val="2"/>
      <scheme val="minor"/>
    </font>
    <font>
      <b/>
      <sz val="10"/>
      <color theme="1"/>
      <name val="Calibri"/>
      <family val="2"/>
      <scheme val="minor"/>
    </font>
    <font>
      <b/>
      <i/>
      <sz val="10"/>
      <color rgb="FFFF0000"/>
      <name val="Calibri"/>
      <family val="2"/>
      <scheme val="minor"/>
    </font>
    <font>
      <b/>
      <sz val="11"/>
      <color rgb="FFFF0000"/>
      <name val="Calibri"/>
      <family val="2"/>
      <scheme val="minor"/>
    </font>
    <font>
      <sz val="11"/>
      <color theme="1"/>
      <name val="Calibri"/>
      <family val="2"/>
    </font>
    <font>
      <sz val="10"/>
      <color rgb="FFFF0000"/>
      <name val="Times New Roman"/>
      <family val="1"/>
    </font>
    <font>
      <sz val="10"/>
      <name val="Calibri"/>
      <family val="2"/>
      <scheme val="minor"/>
    </font>
    <font>
      <b/>
      <i/>
      <sz val="10"/>
      <color rgb="FFFF0000"/>
      <name val="Calibri"/>
      <family val="2"/>
    </font>
    <font>
      <sz val="9"/>
      <color theme="1"/>
      <name val="Calibri"/>
      <family val="2"/>
      <scheme val="minor"/>
    </font>
    <font>
      <b/>
      <sz val="11"/>
      <color rgb="FF000000"/>
      <name val="Calibri"/>
      <family val="2"/>
    </font>
    <font>
      <b/>
      <sz val="10"/>
      <color rgb="FFFF0000"/>
      <name val="Times New Roman"/>
      <family val="1"/>
    </font>
    <font>
      <b/>
      <sz val="10"/>
      <name val="Calibri"/>
      <family val="2"/>
    </font>
    <font>
      <sz val="9"/>
      <name val="Calibri"/>
      <family val="2"/>
      <scheme val="minor"/>
    </font>
    <font>
      <i/>
      <sz val="9"/>
      <color rgb="FFFF0000"/>
      <name val="Calibri"/>
      <family val="2"/>
      <scheme val="minor"/>
    </font>
    <font>
      <b/>
      <sz val="9"/>
      <color theme="1"/>
      <name val="Calibri"/>
      <family val="2"/>
      <scheme val="minor"/>
    </font>
    <font>
      <b/>
      <sz val="9"/>
      <color rgb="FF000000"/>
      <name val="Calibri"/>
      <family val="2"/>
    </font>
    <font>
      <sz val="10"/>
      <color rgb="FFC00000"/>
      <name val="Times New Roman"/>
      <family val="1"/>
    </font>
    <font>
      <b/>
      <sz val="10"/>
      <color rgb="FFFF0000"/>
      <name val="Calibri"/>
      <family val="2"/>
      <scheme val="minor"/>
    </font>
    <font>
      <sz val="11"/>
      <color rgb="FFFF0000"/>
      <name val="Calibri"/>
      <family val="2"/>
      <scheme val="minor"/>
    </font>
    <font>
      <b/>
      <i/>
      <sz val="9"/>
      <color rgb="FFFF0000"/>
      <name val="Calibri"/>
      <family val="2"/>
      <scheme val="minor"/>
    </font>
    <font>
      <b/>
      <sz val="12"/>
      <name val="Calibri"/>
      <family val="2"/>
    </font>
    <font>
      <i/>
      <sz val="10"/>
      <color rgb="FFFF0000"/>
      <name val="Calibri"/>
      <family val="2"/>
      <scheme val="minor"/>
    </font>
    <font>
      <b/>
      <sz val="11"/>
      <color rgb="FF000000"/>
      <name val="Calibri"/>
      <family val="2"/>
      <scheme val="minor"/>
    </font>
    <font>
      <b/>
      <i/>
      <sz val="11"/>
      <name val="Calibri"/>
      <family val="2"/>
      <scheme val="minor"/>
    </font>
    <font>
      <b/>
      <sz val="11"/>
      <color rgb="FFC00000"/>
      <name val="Calibri"/>
      <family val="2"/>
      <scheme val="minor"/>
    </font>
    <font>
      <b/>
      <i/>
      <sz val="10"/>
      <color rgb="FFFF0000"/>
      <name val="Times New Roman"/>
      <family val="1"/>
    </font>
    <font>
      <i/>
      <sz val="11"/>
      <color rgb="FFC00000"/>
      <name val="Calibri"/>
      <family val="2"/>
      <scheme val="minor"/>
    </font>
    <font>
      <b/>
      <sz val="12"/>
      <color rgb="FF000000"/>
      <name val="Calibri"/>
      <family val="2"/>
      <scheme val="minor"/>
    </font>
    <font>
      <sz val="24"/>
      <color rgb="FF000000"/>
      <name val="Calibri"/>
      <family val="2"/>
    </font>
    <font>
      <sz val="24"/>
      <color rgb="FF000000"/>
      <name val="Calibri"/>
      <family val="2"/>
      <scheme val="minor"/>
    </font>
    <font>
      <vertAlign val="superscript"/>
      <sz val="10"/>
      <color rgb="FF000000"/>
      <name val="Calibri"/>
      <family val="2"/>
      <scheme val="minor"/>
    </font>
    <font>
      <b/>
      <sz val="26"/>
      <color rgb="FF000000"/>
      <name val="Calibri"/>
      <family val="2"/>
      <scheme val="minor"/>
    </font>
    <font>
      <i/>
      <sz val="10"/>
      <color rgb="FFFF0000"/>
      <name val="Times New Roman"/>
      <family val="1"/>
    </font>
    <font>
      <b/>
      <sz val="10"/>
      <color rgb="FF000000"/>
      <name val="Calibri"/>
      <family val="2"/>
      <scheme val="minor"/>
    </font>
    <font>
      <b/>
      <vertAlign val="superscript"/>
      <sz val="9"/>
      <color theme="1"/>
      <name val="Calibri"/>
      <family val="2"/>
      <scheme val="minor"/>
    </font>
    <font>
      <vertAlign val="superscript"/>
      <sz val="10"/>
      <color theme="1"/>
      <name val="Calibri"/>
      <family val="2"/>
      <scheme val="minor"/>
    </font>
    <font>
      <i/>
      <vertAlign val="superscript"/>
      <sz val="9"/>
      <color theme="1"/>
      <name val="Calibri"/>
      <family val="2"/>
      <scheme val="minor"/>
    </font>
    <font>
      <sz val="11"/>
      <name val="Calibri"/>
      <family val="2"/>
      <scheme val="minor"/>
    </font>
    <font>
      <i/>
      <vertAlign val="superscript"/>
      <sz val="10"/>
      <color theme="1"/>
      <name val="Calibri"/>
      <family val="2"/>
      <scheme val="minor"/>
    </font>
    <font>
      <i/>
      <sz val="10"/>
      <color rgb="FF0070C0"/>
      <name val="Calibri"/>
      <family val="2"/>
      <scheme val="minor"/>
    </font>
    <font>
      <sz val="10"/>
      <name val="Wingdings"/>
      <charset val="2"/>
    </font>
    <font>
      <sz val="11"/>
      <color theme="1"/>
      <name val="Wingdings"/>
      <charset val="2"/>
    </font>
    <font>
      <u/>
      <sz val="9"/>
      <color indexed="81"/>
      <name val="Tahoma"/>
      <family val="2"/>
    </font>
    <font>
      <b/>
      <vertAlign val="superscript"/>
      <sz val="11"/>
      <name val="Calibri"/>
      <family val="2"/>
      <scheme val="minor"/>
    </font>
    <font>
      <vertAlign val="superscript"/>
      <sz val="11"/>
      <color theme="1"/>
      <name val="Calibri"/>
      <family val="2"/>
      <scheme val="minor"/>
    </font>
    <font>
      <i/>
      <sz val="10"/>
      <name val="Calibri"/>
      <family val="2"/>
      <scheme val="minor"/>
    </font>
    <font>
      <i/>
      <vertAlign val="superscript"/>
      <sz val="10"/>
      <name val="Calibri"/>
      <family val="2"/>
      <scheme val="minor"/>
    </font>
    <font>
      <vertAlign val="superscript"/>
      <sz val="11"/>
      <name val="Calibri"/>
      <family val="2"/>
      <scheme val="minor"/>
    </font>
    <font>
      <vertAlign val="superscript"/>
      <sz val="10"/>
      <name val="Calibri"/>
      <family val="2"/>
    </font>
    <font>
      <b/>
      <vertAlign val="superscript"/>
      <sz val="9"/>
      <name val="Calibri"/>
      <family val="2"/>
    </font>
    <font>
      <i/>
      <sz val="9"/>
      <name val="Calibri"/>
      <family val="2"/>
      <scheme val="minor"/>
    </font>
    <font>
      <i/>
      <vertAlign val="superscript"/>
      <sz val="9"/>
      <name val="Calibri"/>
      <family val="2"/>
      <scheme val="minor"/>
    </font>
    <font>
      <vertAlign val="superscript"/>
      <sz val="9"/>
      <name val="Calibri"/>
      <family val="2"/>
      <scheme val="minor"/>
    </font>
    <font>
      <vertAlign val="superscript"/>
      <sz val="9"/>
      <color theme="1"/>
      <name val="Calibri"/>
      <family val="2"/>
      <scheme val="minor"/>
    </font>
    <font>
      <b/>
      <vertAlign val="superscript"/>
      <sz val="9"/>
      <color rgb="FF000000"/>
      <name val="Calibri"/>
      <family val="2"/>
    </font>
    <font>
      <b/>
      <sz val="12"/>
      <name val="Calibri"/>
      <family val="2"/>
      <scheme val="minor"/>
    </font>
    <font>
      <b/>
      <vertAlign val="superscript"/>
      <sz val="11"/>
      <name val="Calibri"/>
      <family val="2"/>
    </font>
    <font>
      <vertAlign val="superscript"/>
      <sz val="11"/>
      <color rgb="FF000000"/>
      <name val="Calibri"/>
      <family val="2"/>
    </font>
    <font>
      <b/>
      <sz val="10"/>
      <color rgb="FF000000"/>
      <name val="Calibri"/>
      <family val="2"/>
    </font>
    <font>
      <b/>
      <sz val="11"/>
      <color rgb="FFFF0000"/>
      <name val="Arial"/>
      <family val="2"/>
    </font>
    <font>
      <b/>
      <sz val="10"/>
      <color rgb="FF00B050"/>
      <name val="Calibri"/>
      <family val="2"/>
    </font>
    <font>
      <sz val="11"/>
      <color rgb="FFCC99FF"/>
      <name val="Calibri"/>
      <family val="2"/>
      <scheme val="minor"/>
    </font>
    <font>
      <strike/>
      <sz val="9"/>
      <name val="Calibri"/>
      <family val="2"/>
      <scheme val="minor"/>
    </font>
    <font>
      <i/>
      <sz val="11"/>
      <name val="Calibri"/>
      <family val="2"/>
    </font>
    <font>
      <i/>
      <sz val="11"/>
      <name val="Calibri"/>
      <family val="2"/>
      <scheme val="minor"/>
    </font>
    <font>
      <i/>
      <sz val="10"/>
      <name val="Times New Roman"/>
      <family val="1"/>
    </font>
    <font>
      <sz val="11"/>
      <name val="Wingdings"/>
      <charset val="2"/>
    </font>
    <font>
      <i/>
      <sz val="9"/>
      <name val="Calibri"/>
      <family val="2"/>
    </font>
    <font>
      <b/>
      <vertAlign val="superscript"/>
      <sz val="9"/>
      <name val="Calibri"/>
      <family val="2"/>
      <scheme val="minor"/>
    </font>
    <font>
      <b/>
      <i/>
      <sz val="9"/>
      <name val="Calibri"/>
      <family val="2"/>
      <scheme val="minor"/>
    </font>
    <font>
      <sz val="10"/>
      <name val="Times New Roman"/>
      <family val="1"/>
    </font>
    <font>
      <b/>
      <i/>
      <sz val="10"/>
      <name val="Calibri"/>
      <family val="2"/>
    </font>
    <font>
      <vertAlign val="superscript"/>
      <sz val="10"/>
      <name val="Calibri"/>
      <family val="2"/>
      <scheme val="minor"/>
    </font>
    <font>
      <sz val="8"/>
      <name val="Calibri"/>
      <family val="2"/>
      <scheme val="minor"/>
    </font>
    <font>
      <b/>
      <strike/>
      <sz val="10"/>
      <color rgb="FFFF0000"/>
      <name val="Calibri"/>
      <family val="2"/>
      <scheme val="minor"/>
    </font>
    <font>
      <sz val="9.1"/>
      <name val="Calibri"/>
      <family val="2"/>
    </font>
    <font>
      <b/>
      <strike/>
      <sz val="11"/>
      <color rgb="FFFF0000"/>
      <name val="Calibri"/>
      <family val="2"/>
      <scheme val="minor"/>
    </font>
    <font>
      <b/>
      <sz val="9"/>
      <color rgb="FFFF0000"/>
      <name val="Calibri"/>
      <family val="2"/>
      <scheme val="minor"/>
    </font>
    <font>
      <strike/>
      <sz val="11"/>
      <color rgb="FFFF0000"/>
      <name val="Calibri"/>
      <family val="2"/>
      <scheme val="minor"/>
    </font>
    <font>
      <b/>
      <i/>
      <vertAlign val="superscript"/>
      <sz val="10"/>
      <color rgb="FFFF0000"/>
      <name val="Calibri"/>
      <family val="2"/>
      <scheme val="minor"/>
    </font>
    <font>
      <b/>
      <i/>
      <sz val="9"/>
      <name val="Calibri"/>
      <family val="2"/>
    </font>
    <font>
      <b/>
      <i/>
      <vertAlign val="superscript"/>
      <sz val="9"/>
      <name val="Calibri"/>
      <family val="2"/>
      <scheme val="minor"/>
    </font>
    <font>
      <strike/>
      <sz val="10"/>
      <color rgb="FFFF0000"/>
      <name val="Calibri"/>
      <family val="2"/>
      <scheme val="minor"/>
    </font>
    <font>
      <b/>
      <i/>
      <vertAlign val="superscript"/>
      <sz val="10"/>
      <name val="Calibri"/>
      <family val="2"/>
      <scheme val="minor"/>
    </font>
    <font>
      <sz val="10"/>
      <name val="Calibri"/>
      <family val="2"/>
      <charset val="2"/>
    </font>
    <font>
      <b/>
      <vertAlign val="superscript"/>
      <sz val="10"/>
      <color rgb="FFFF0000"/>
      <name val="Calibri"/>
      <family val="2"/>
    </font>
    <font>
      <b/>
      <strike/>
      <sz val="9"/>
      <color rgb="FF0070C0"/>
      <name val="Calibri"/>
      <family val="2"/>
      <scheme val="minor"/>
    </font>
    <font>
      <b/>
      <sz val="18"/>
      <color rgb="FF000000"/>
      <name val="Calibri"/>
      <family val="2"/>
    </font>
    <font>
      <b/>
      <sz val="9"/>
      <color indexed="8"/>
      <name val="Tahoma"/>
      <family val="2"/>
    </font>
    <font>
      <sz val="9"/>
      <color indexed="8"/>
      <name val="Tahoma"/>
      <family val="2"/>
    </font>
    <font>
      <sz val="11"/>
      <name val="Calibri"/>
      <family val="2"/>
      <charset val="2"/>
    </font>
    <font>
      <b/>
      <i/>
      <sz val="11"/>
      <name val="Calibri"/>
      <family val="2"/>
    </font>
    <font>
      <vertAlign val="superscript"/>
      <sz val="11"/>
      <name val="Calibri"/>
      <family val="2"/>
    </font>
    <font>
      <b/>
      <i/>
      <strike/>
      <sz val="10"/>
      <name val="Calibri"/>
      <family val="2"/>
    </font>
    <font>
      <sz val="16"/>
      <name val="Arial"/>
      <family val="2"/>
    </font>
    <font>
      <sz val="11"/>
      <color theme="1"/>
      <name val="Calibri"/>
      <family val="2"/>
      <scheme val="minor"/>
    </font>
    <font>
      <i/>
      <strike/>
      <sz val="10"/>
      <color rgb="FFFF0000"/>
      <name val="Calibri"/>
      <family val="2"/>
    </font>
    <font>
      <i/>
      <strike/>
      <sz val="9"/>
      <color rgb="FFFF0000"/>
      <name val="Calibri"/>
      <family val="2"/>
      <scheme val="minor"/>
    </font>
    <font>
      <b/>
      <sz val="9"/>
      <color rgb="FFFF0000"/>
      <name val="Tahoma"/>
      <family val="2"/>
    </font>
    <font>
      <b/>
      <sz val="9"/>
      <color rgb="FF000000"/>
      <name val="Tahoma"/>
      <family val="2"/>
    </font>
    <font>
      <sz val="9"/>
      <color rgb="FF000000"/>
      <name val="Tahoma"/>
      <family val="2"/>
    </font>
    <font>
      <strike/>
      <sz val="9"/>
      <color rgb="FF000000"/>
      <name val="Tahoma"/>
      <family val="2"/>
    </font>
    <font>
      <b/>
      <sz val="9"/>
      <color indexed="10"/>
      <name val="Tahoma"/>
      <family val="2"/>
    </font>
    <font>
      <strike/>
      <sz val="11"/>
      <color rgb="FFFF0000"/>
      <name val="Calibri"/>
      <family val="2"/>
    </font>
    <font>
      <b/>
      <strike/>
      <sz val="11"/>
      <name val="Calibri"/>
      <family val="2"/>
      <scheme val="minor"/>
    </font>
    <font>
      <sz val="11"/>
      <color rgb="FFCE9178"/>
      <name val="Consolas"/>
      <family val="3"/>
    </font>
    <font>
      <sz val="10"/>
      <color rgb="FFFF0000"/>
      <name val="Calibri"/>
      <family val="2"/>
    </font>
    <font>
      <sz val="10"/>
      <color rgb="FFFF0000"/>
      <name val="Wingdings"/>
      <charset val="2"/>
    </font>
    <font>
      <sz val="9"/>
      <color indexed="10"/>
      <name val="Tahoma"/>
      <family val="2"/>
    </font>
    <font>
      <b/>
      <sz val="11"/>
      <color rgb="FFFF0000"/>
      <name val="Calibri"/>
      <family val="2"/>
    </font>
    <font>
      <sz val="11"/>
      <color rgb="FFFF0000"/>
      <name val="Calibri"/>
      <family val="2"/>
    </font>
    <font>
      <sz val="11"/>
      <color theme="1"/>
      <name val="Calibri"/>
      <family val="2"/>
      <charset val="2"/>
    </font>
    <font>
      <sz val="11"/>
      <color rgb="FF000000"/>
      <name val="Calibri"/>
      <scheme val="minor"/>
    </font>
    <font>
      <sz val="11"/>
      <color rgb="FF0070C0"/>
      <name val="Calibri"/>
      <scheme val="minor"/>
    </font>
    <font>
      <sz val="10"/>
      <color rgb="FF000000"/>
      <name val="Calibri"/>
      <scheme val="minor"/>
    </font>
    <font>
      <i/>
      <sz val="10"/>
      <color rgb="FF000000"/>
      <name val="Calibri"/>
      <scheme val="minor"/>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bgColor indexed="64"/>
      </patternFill>
    </fill>
    <fill>
      <patternFill patternType="solid">
        <fgColor rgb="FF0070C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0.249977111117893"/>
        <bgColor indexed="64"/>
      </patternFill>
    </fill>
    <fill>
      <patternFill patternType="solid">
        <fgColor theme="9"/>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rgb="FF231F20"/>
      </top>
      <bottom/>
      <diagonal/>
    </border>
  </borders>
  <cellStyleXfs count="17">
    <xf numFmtId="0" fontId="0" fillId="0" borderId="0"/>
    <xf numFmtId="0" fontId="24" fillId="0" borderId="0"/>
    <xf numFmtId="0" fontId="27" fillId="0" borderId="0"/>
    <xf numFmtId="0" fontId="28" fillId="0" borderId="0"/>
    <xf numFmtId="0" fontId="7" fillId="0" borderId="0"/>
    <xf numFmtId="0" fontId="5" fillId="0" borderId="0"/>
    <xf numFmtId="0" fontId="40" fillId="0" borderId="0"/>
    <xf numFmtId="0" fontId="4" fillId="0" borderId="0"/>
    <xf numFmtId="0" fontId="24" fillId="0" borderId="0"/>
    <xf numFmtId="0" fontId="4" fillId="0" borderId="0"/>
    <xf numFmtId="0" fontId="3" fillId="0" borderId="0"/>
    <xf numFmtId="0" fontId="3" fillId="0" borderId="0"/>
    <xf numFmtId="0" fontId="24" fillId="0" borderId="0"/>
    <xf numFmtId="0" fontId="3" fillId="0" borderId="0"/>
    <xf numFmtId="0" fontId="3" fillId="0" borderId="0"/>
    <xf numFmtId="0" fontId="2" fillId="0" borderId="0"/>
    <xf numFmtId="0" fontId="2" fillId="0" borderId="0"/>
  </cellStyleXfs>
  <cellXfs count="1210">
    <xf numFmtId="0" fontId="0" fillId="0" borderId="0" xfId="0"/>
    <xf numFmtId="0" fontId="15" fillId="0" borderId="0" xfId="0" applyFont="1"/>
    <xf numFmtId="0" fontId="15" fillId="0" borderId="0" xfId="0" applyFont="1" applyAlignment="1">
      <alignment horizontal="center" vertical="center"/>
    </xf>
    <xf numFmtId="0" fontId="24" fillId="0" borderId="0" xfId="1" applyAlignment="1">
      <alignment horizontal="left" vertical="top"/>
    </xf>
    <xf numFmtId="0" fontId="24" fillId="0" borderId="0" xfId="1" applyAlignment="1">
      <alignment horizontal="center" vertical="top"/>
    </xf>
    <xf numFmtId="0" fontId="34" fillId="0" borderId="0" xfId="0" applyFont="1" applyAlignment="1">
      <alignment horizontal="center" vertical="center"/>
    </xf>
    <xf numFmtId="0" fontId="7" fillId="0" borderId="0" xfId="4"/>
    <xf numFmtId="0" fontId="7" fillId="0" borderId="0" xfId="4" applyAlignment="1">
      <alignment horizontal="center"/>
    </xf>
    <xf numFmtId="0" fontId="15" fillId="0" borderId="0" xfId="0" applyFont="1" applyAlignment="1">
      <alignment horizontal="right"/>
    </xf>
    <xf numFmtId="0" fontId="6" fillId="0" borderId="0" xfId="4" applyFont="1"/>
    <xf numFmtId="0" fontId="0" fillId="9" borderId="0" xfId="0" applyFill="1"/>
    <xf numFmtId="0" fontId="0" fillId="7" borderId="0" xfId="0" applyFill="1"/>
    <xf numFmtId="0" fontId="0" fillId="5" borderId="0" xfId="0" applyFill="1"/>
    <xf numFmtId="0" fontId="15" fillId="7" borderId="2" xfId="0" applyFont="1" applyFill="1" applyBorder="1" applyAlignment="1">
      <alignment horizontal="right" vertical="center"/>
    </xf>
    <xf numFmtId="0" fontId="15" fillId="9" borderId="12" xfId="0" applyFont="1" applyFill="1" applyBorder="1"/>
    <xf numFmtId="0" fontId="22" fillId="0" borderId="2" xfId="1" applyFont="1" applyBorder="1" applyAlignment="1">
      <alignment horizontal="center" vertical="top"/>
    </xf>
    <xf numFmtId="0" fontId="39" fillId="0" borderId="0" xfId="0" applyFont="1" applyAlignment="1">
      <alignment vertical="top" wrapText="1"/>
    </xf>
    <xf numFmtId="0" fontId="16" fillId="0" borderId="0" xfId="0" applyFont="1" applyAlignment="1">
      <alignment vertical="top" wrapText="1"/>
    </xf>
    <xf numFmtId="0" fontId="34" fillId="0" borderId="2" xfId="0" applyFont="1" applyBorder="1" applyAlignment="1">
      <alignment horizontal="center" vertical="center"/>
    </xf>
    <xf numFmtId="0" fontId="48" fillId="0" borderId="2" xfId="0" applyFont="1" applyBorder="1" applyAlignment="1">
      <alignment horizontal="center" vertical="center"/>
    </xf>
    <xf numFmtId="0" fontId="34" fillId="9" borderId="2" xfId="0" applyFont="1" applyFill="1" applyBorder="1" applyAlignment="1">
      <alignment horizontal="center" vertical="center"/>
    </xf>
    <xf numFmtId="49" fontId="15" fillId="0" borderId="2" xfId="0" applyNumberFormat="1" applyFont="1" applyBorder="1" applyAlignment="1">
      <alignment horizontal="center" vertical="center"/>
    </xf>
    <xf numFmtId="0" fontId="24" fillId="0" borderId="0" xfId="8" applyAlignment="1">
      <alignment horizontal="left" vertical="top"/>
    </xf>
    <xf numFmtId="0" fontId="15" fillId="0" borderId="0" xfId="0" applyFont="1" applyAlignment="1">
      <alignment vertical="top"/>
    </xf>
    <xf numFmtId="0" fontId="15" fillId="0" borderId="0" xfId="0" applyFont="1" applyAlignment="1">
      <alignment horizontal="left" vertical="top"/>
    </xf>
    <xf numFmtId="0" fontId="15" fillId="0" borderId="0" xfId="0" applyFont="1" applyAlignment="1">
      <alignment horizontal="center" vertical="top"/>
    </xf>
    <xf numFmtId="0" fontId="16" fillId="0" borderId="0" xfId="0" applyFont="1" applyAlignment="1">
      <alignment horizontal="center" vertical="top" wrapText="1"/>
    </xf>
    <xf numFmtId="0" fontId="17" fillId="0" borderId="0" xfId="0" applyFont="1" applyAlignment="1">
      <alignment horizontal="left" vertical="top" wrapText="1"/>
    </xf>
    <xf numFmtId="0" fontId="38" fillId="0" borderId="0" xfId="0" applyFont="1" applyAlignment="1">
      <alignment vertical="center" wrapText="1"/>
    </xf>
    <xf numFmtId="0" fontId="49" fillId="0" borderId="0" xfId="0" applyFont="1" applyAlignment="1">
      <alignment vertical="center"/>
    </xf>
    <xf numFmtId="49" fontId="0" fillId="0" borderId="0" xfId="0" applyNumberFormat="1" applyAlignment="1">
      <alignment horizontal="center" vertical="center"/>
    </xf>
    <xf numFmtId="0" fontId="52" fillId="0" borderId="0" xfId="0" applyFont="1"/>
    <xf numFmtId="0" fontId="0" fillId="10" borderId="0" xfId="0" applyFill="1"/>
    <xf numFmtId="49" fontId="15" fillId="0" borderId="12" xfId="0" applyNumberFormat="1" applyFont="1" applyBorder="1" applyAlignment="1">
      <alignment horizontal="center" vertical="center"/>
    </xf>
    <xf numFmtId="0" fontId="54" fillId="0" borderId="0" xfId="1" applyFont="1" applyAlignment="1">
      <alignment vertical="top" wrapText="1"/>
    </xf>
    <xf numFmtId="0" fontId="22" fillId="0" borderId="0" xfId="1" applyFont="1" applyAlignment="1">
      <alignment horizontal="center" vertical="top"/>
    </xf>
    <xf numFmtId="0" fontId="0" fillId="4" borderId="0" xfId="0" applyFill="1"/>
    <xf numFmtId="0" fontId="24" fillId="0" borderId="0" xfId="1" applyAlignment="1">
      <alignment horizontal="center" vertical="center"/>
    </xf>
    <xf numFmtId="165" fontId="56" fillId="0" borderId="0" xfId="1" applyNumberFormat="1" applyFont="1" applyAlignment="1">
      <alignment vertical="top" wrapText="1"/>
    </xf>
    <xf numFmtId="0" fontId="15" fillId="13" borderId="2" xfId="0" applyFont="1" applyFill="1" applyBorder="1" applyAlignment="1">
      <alignment horizontal="center" vertical="center"/>
    </xf>
    <xf numFmtId="0" fontId="15" fillId="12" borderId="2" xfId="0" applyFont="1" applyFill="1" applyBorder="1" applyAlignment="1">
      <alignment horizontal="center" vertical="center"/>
    </xf>
    <xf numFmtId="0" fontId="57" fillId="0" borderId="0" xfId="0" applyFont="1" applyAlignment="1">
      <alignment vertical="center" wrapText="1"/>
    </xf>
    <xf numFmtId="0" fontId="0" fillId="0" borderId="14" xfId="0" applyBorder="1" applyAlignment="1">
      <alignment horizontal="center" vertical="center"/>
    </xf>
    <xf numFmtId="0" fontId="57" fillId="0" borderId="0" xfId="0" applyFont="1" applyAlignment="1">
      <alignment horizontal="center" vertical="center"/>
    </xf>
    <xf numFmtId="0" fontId="61" fillId="0" borderId="0" xfId="0" applyFont="1" applyAlignment="1">
      <alignment horizontal="center" vertical="center"/>
    </xf>
    <xf numFmtId="0" fontId="62" fillId="0" borderId="0" xfId="0" applyFont="1" applyAlignment="1">
      <alignment horizontal="center" vertical="center"/>
    </xf>
    <xf numFmtId="0" fontId="41" fillId="0" borderId="0" xfId="0" applyFont="1" applyAlignment="1">
      <alignment vertical="top" wrapText="1"/>
    </xf>
    <xf numFmtId="0" fontId="57" fillId="0" borderId="0" xfId="0" applyFont="1" applyAlignment="1">
      <alignment vertical="center"/>
    </xf>
    <xf numFmtId="0" fontId="63" fillId="0" borderId="0" xfId="0" applyFont="1" applyAlignment="1">
      <alignment horizontal="center" vertical="center"/>
    </xf>
    <xf numFmtId="0" fontId="15" fillId="0" borderId="0" xfId="0" applyFont="1" applyAlignment="1">
      <alignment horizontal="center" vertical="center" wrapText="1"/>
    </xf>
    <xf numFmtId="0" fontId="59" fillId="0" borderId="0" xfId="1" applyFont="1" applyAlignment="1">
      <alignment vertical="top" wrapText="1"/>
    </xf>
    <xf numFmtId="0" fontId="0" fillId="0" borderId="0" xfId="0" applyAlignment="1">
      <alignment vertical="center"/>
    </xf>
    <xf numFmtId="0" fontId="0" fillId="0" borderId="0" xfId="0" applyAlignment="1">
      <alignment vertical="top" wrapText="1"/>
    </xf>
    <xf numFmtId="0" fontId="24" fillId="0" borderId="0" xfId="1" applyAlignment="1">
      <alignment horizontal="left" vertical="center"/>
    </xf>
    <xf numFmtId="49" fontId="15" fillId="0" borderId="2" xfId="0" applyNumberFormat="1" applyFont="1" applyBorder="1" applyAlignment="1">
      <alignment horizontal="center"/>
    </xf>
    <xf numFmtId="49" fontId="15" fillId="0" borderId="0" xfId="0" applyNumberFormat="1" applyFont="1"/>
    <xf numFmtId="0" fontId="66" fillId="0" borderId="8" xfId="0" applyFont="1" applyBorder="1" applyAlignment="1">
      <alignment wrapText="1"/>
    </xf>
    <xf numFmtId="0" fontId="66" fillId="0" borderId="0" xfId="0" applyFont="1" applyAlignment="1">
      <alignment wrapText="1"/>
    </xf>
    <xf numFmtId="0" fontId="65" fillId="0" borderId="0" xfId="1" applyFont="1" applyAlignment="1">
      <alignment vertical="top" wrapText="1"/>
    </xf>
    <xf numFmtId="0" fontId="21" fillId="5" borderId="4" xfId="1" applyFont="1" applyFill="1" applyBorder="1" applyAlignment="1">
      <alignment horizontal="center" vertical="center" wrapText="1"/>
    </xf>
    <xf numFmtId="0" fontId="21" fillId="0" borderId="0" xfId="1" applyFont="1" applyAlignment="1">
      <alignment vertical="center" wrapText="1"/>
    </xf>
    <xf numFmtId="0" fontId="30" fillId="0" borderId="0" xfId="1" applyFont="1" applyAlignment="1">
      <alignment horizontal="left" vertical="top"/>
    </xf>
    <xf numFmtId="0" fontId="24" fillId="0" borderId="0" xfId="1" applyAlignment="1">
      <alignment horizontal="center"/>
    </xf>
    <xf numFmtId="0" fontId="81" fillId="0" borderId="0" xfId="1" applyFont="1" applyAlignment="1">
      <alignment horizontal="left" vertical="top"/>
    </xf>
    <xf numFmtId="0" fontId="22" fillId="0" borderId="0" xfId="1" applyFont="1" applyAlignment="1">
      <alignment wrapText="1"/>
    </xf>
    <xf numFmtId="0" fontId="22" fillId="0" borderId="0" xfId="1" applyFont="1"/>
    <xf numFmtId="0" fontId="76" fillId="0" borderId="0" xfId="1" applyFont="1" applyAlignment="1">
      <alignment vertical="center"/>
    </xf>
    <xf numFmtId="49" fontId="32" fillId="0" borderId="0" xfId="1" applyNumberFormat="1" applyFont="1" applyAlignment="1">
      <alignment horizontal="center" vertical="center" wrapText="1"/>
    </xf>
    <xf numFmtId="0" fontId="19" fillId="0" borderId="0" xfId="1" applyFont="1" applyAlignment="1">
      <alignment horizontal="center" vertical="center" wrapText="1"/>
    </xf>
    <xf numFmtId="0" fontId="44" fillId="0" borderId="0" xfId="1" applyFont="1" applyAlignment="1">
      <alignment horizontal="center" vertical="center" wrapText="1"/>
    </xf>
    <xf numFmtId="49" fontId="32" fillId="0" borderId="0" xfId="1" applyNumberFormat="1" applyFont="1" applyAlignment="1">
      <alignment vertical="top" wrapText="1"/>
    </xf>
    <xf numFmtId="0" fontId="44" fillId="0" borderId="0" xfId="1" applyFont="1" applyAlignment="1">
      <alignment vertical="center" wrapText="1"/>
    </xf>
    <xf numFmtId="0" fontId="20" fillId="0" borderId="0" xfId="1" applyFont="1" applyAlignment="1">
      <alignment vertical="center" wrapText="1"/>
    </xf>
    <xf numFmtId="0" fontId="62" fillId="0" borderId="0" xfId="0" applyFont="1" applyAlignment="1">
      <alignment vertical="top" wrapText="1"/>
    </xf>
    <xf numFmtId="0" fontId="63" fillId="0" borderId="0" xfId="0" applyFont="1" applyAlignment="1">
      <alignment vertical="center" wrapText="1"/>
    </xf>
    <xf numFmtId="0" fontId="0" fillId="0" borderId="15" xfId="0" applyBorder="1" applyAlignment="1">
      <alignment horizontal="center" vertical="center"/>
    </xf>
    <xf numFmtId="0" fontId="41" fillId="0" borderId="8" xfId="0" applyFont="1" applyBorder="1"/>
    <xf numFmtId="0" fontId="41" fillId="0" borderId="0" xfId="0" applyFont="1"/>
    <xf numFmtId="0" fontId="0" fillId="9" borderId="2" xfId="0" applyFill="1" applyBorder="1"/>
    <xf numFmtId="0" fontId="62" fillId="0" borderId="0" xfId="0" applyFont="1" applyAlignment="1">
      <alignment vertical="center"/>
    </xf>
    <xf numFmtId="0" fontId="57" fillId="0" borderId="0" xfId="0" applyFont="1"/>
    <xf numFmtId="0" fontId="57" fillId="0" borderId="0" xfId="0" applyFont="1" applyAlignment="1">
      <alignment horizontal="right"/>
    </xf>
    <xf numFmtId="49" fontId="58" fillId="0" borderId="0" xfId="1" applyNumberFormat="1" applyFont="1" applyAlignment="1">
      <alignment vertical="center" wrapText="1"/>
    </xf>
    <xf numFmtId="0" fontId="61" fillId="0" borderId="15" xfId="0" applyFont="1" applyBorder="1" applyAlignment="1">
      <alignment horizontal="center" vertical="center"/>
    </xf>
    <xf numFmtId="0" fontId="61" fillId="0" borderId="9" xfId="0" applyFont="1" applyBorder="1" applyAlignment="1">
      <alignment horizontal="center" vertical="center"/>
    </xf>
    <xf numFmtId="0" fontId="15" fillId="0" borderId="2" xfId="0" applyFont="1" applyBorder="1" applyAlignment="1">
      <alignment horizontal="center" vertical="center"/>
    </xf>
    <xf numFmtId="0" fontId="13" fillId="8" borderId="10" xfId="0" applyFont="1" applyFill="1" applyBorder="1"/>
    <xf numFmtId="0" fontId="13" fillId="8" borderId="10" xfId="0" applyFont="1" applyFill="1" applyBorder="1" applyAlignment="1">
      <alignment horizontal="left"/>
    </xf>
    <xf numFmtId="0" fontId="68" fillId="0" borderId="0" xfId="0" applyFont="1"/>
    <xf numFmtId="0" fontId="15" fillId="0" borderId="0" xfId="0" applyFont="1" applyAlignment="1">
      <alignment vertical="center"/>
    </xf>
    <xf numFmtId="0" fontId="15" fillId="0" borderId="2" xfId="0" applyFont="1" applyBorder="1" applyAlignment="1">
      <alignment vertical="center"/>
    </xf>
    <xf numFmtId="49" fontId="32" fillId="3" borderId="6" xfId="1" applyNumberFormat="1" applyFont="1" applyFill="1" applyBorder="1" applyAlignment="1">
      <alignment horizontal="center" vertical="top" wrapText="1"/>
    </xf>
    <xf numFmtId="49" fontId="32" fillId="3" borderId="17" xfId="1" applyNumberFormat="1" applyFont="1" applyFill="1" applyBorder="1" applyAlignment="1">
      <alignment horizontal="center" vertical="top" wrapText="1"/>
    </xf>
    <xf numFmtId="49" fontId="32" fillId="3" borderId="6" xfId="1" applyNumberFormat="1" applyFont="1" applyFill="1" applyBorder="1" applyAlignment="1">
      <alignment horizontal="center" vertical="center" wrapText="1"/>
    </xf>
    <xf numFmtId="0" fontId="0" fillId="3" borderId="2" xfId="0" applyFill="1" applyBorder="1" applyAlignment="1">
      <alignment horizontal="center" vertical="center"/>
    </xf>
    <xf numFmtId="0" fontId="63" fillId="3" borderId="2" xfId="0" applyFont="1" applyFill="1" applyBorder="1" applyAlignment="1">
      <alignment horizontal="center" vertical="center"/>
    </xf>
    <xf numFmtId="0" fontId="63" fillId="3" borderId="0" xfId="0" applyFont="1" applyFill="1" applyAlignment="1">
      <alignment horizontal="center" vertical="center" wrapText="1"/>
    </xf>
    <xf numFmtId="0" fontId="45" fillId="3" borderId="2" xfId="0" applyFont="1" applyFill="1" applyBorder="1" applyAlignment="1">
      <alignment horizontal="right" vertical="center"/>
    </xf>
    <xf numFmtId="0" fontId="90" fillId="9" borderId="2" xfId="0" applyFont="1" applyFill="1" applyBorder="1" applyAlignment="1">
      <alignment horizontal="center"/>
    </xf>
    <xf numFmtId="0" fontId="15" fillId="11" borderId="2" xfId="0" applyFont="1" applyFill="1" applyBorder="1" applyAlignment="1">
      <alignment horizontal="center" vertical="center"/>
    </xf>
    <xf numFmtId="0" fontId="62" fillId="0" borderId="0" xfId="0" applyFont="1" applyAlignment="1">
      <alignment vertical="center" wrapText="1"/>
    </xf>
    <xf numFmtId="0" fontId="63" fillId="3" borderId="4" xfId="0" applyFont="1" applyFill="1" applyBorder="1" applyAlignment="1">
      <alignment horizontal="center" vertical="center"/>
    </xf>
    <xf numFmtId="0" fontId="49" fillId="0" borderId="0" xfId="0" applyFont="1"/>
    <xf numFmtId="0" fontId="70" fillId="0" borderId="0" xfId="0" applyFont="1" applyAlignment="1">
      <alignment vertical="center"/>
    </xf>
    <xf numFmtId="0" fontId="57" fillId="0" borderId="0" xfId="0" applyFont="1" applyAlignment="1">
      <alignment wrapText="1"/>
    </xf>
    <xf numFmtId="0" fontId="45" fillId="0" borderId="0" xfId="0" applyFont="1" applyAlignment="1">
      <alignment horizontal="right" vertical="center"/>
    </xf>
    <xf numFmtId="0" fontId="49" fillId="4" borderId="2" xfId="0" applyFont="1" applyFill="1" applyBorder="1" applyAlignment="1">
      <alignment vertical="center" wrapText="1"/>
    </xf>
    <xf numFmtId="0" fontId="62" fillId="0" borderId="0" xfId="0" applyFont="1" applyAlignment="1">
      <alignment horizontal="left" vertical="top" wrapText="1"/>
    </xf>
    <xf numFmtId="0" fontId="21" fillId="0" borderId="0" xfId="1" applyFont="1" applyAlignment="1">
      <alignment horizontal="center" vertical="center" wrapText="1"/>
    </xf>
    <xf numFmtId="49" fontId="0" fillId="0" borderId="11" xfId="0" applyNumberFormat="1" applyBorder="1" applyAlignment="1">
      <alignment horizontal="center" vertical="center"/>
    </xf>
    <xf numFmtId="0" fontId="0" fillId="0" borderId="14" xfId="0" applyBorder="1" applyAlignment="1">
      <alignment horizontal="left"/>
    </xf>
    <xf numFmtId="0" fontId="53" fillId="0" borderId="14" xfId="0" applyFont="1" applyBorder="1" applyAlignment="1">
      <alignment horizontal="center" vertical="center"/>
    </xf>
    <xf numFmtId="0" fontId="86" fillId="0" borderId="2" xfId="0" applyFont="1" applyBorder="1" applyAlignment="1">
      <alignment horizontal="center" vertical="center" wrapText="1"/>
    </xf>
    <xf numFmtId="49" fontId="32" fillId="0" borderId="0" xfId="1" applyNumberFormat="1" applyFont="1" applyAlignment="1">
      <alignment vertical="center" wrapText="1"/>
    </xf>
    <xf numFmtId="0" fontId="57" fillId="0" borderId="14" xfId="0" applyFont="1" applyBorder="1" applyAlignment="1">
      <alignment horizontal="center" vertical="center"/>
    </xf>
    <xf numFmtId="0" fontId="33" fillId="0" borderId="14" xfId="0" applyFont="1" applyBorder="1" applyAlignment="1">
      <alignment vertical="center" wrapText="1"/>
    </xf>
    <xf numFmtId="0" fontId="22" fillId="0" borderId="0" xfId="1" applyFont="1" applyAlignment="1">
      <alignment horizontal="center" vertical="top" wrapText="1"/>
    </xf>
    <xf numFmtId="0" fontId="54" fillId="0" borderId="0" xfId="1" applyFont="1" applyAlignment="1">
      <alignment horizontal="left" vertical="top" wrapText="1"/>
    </xf>
    <xf numFmtId="0" fontId="21" fillId="5" borderId="2" xfId="1" applyFont="1" applyFill="1" applyBorder="1" applyAlignment="1">
      <alignment horizontal="center" vertical="center" wrapText="1"/>
    </xf>
    <xf numFmtId="0" fontId="55" fillId="0" borderId="2" xfId="1" applyFont="1" applyBorder="1" applyAlignment="1">
      <alignment horizontal="center" vertical="center" wrapText="1"/>
    </xf>
    <xf numFmtId="20" fontId="22" fillId="0" borderId="0" xfId="1" applyNumberFormat="1" applyFont="1" applyAlignment="1">
      <alignment horizontal="center" vertical="top"/>
    </xf>
    <xf numFmtId="0" fontId="0" fillId="5" borderId="2" xfId="0" applyFill="1" applyBorder="1" applyAlignment="1">
      <alignment horizontal="center" vertical="center"/>
    </xf>
    <xf numFmtId="0" fontId="24" fillId="5" borderId="2" xfId="1" applyFill="1" applyBorder="1" applyAlignment="1">
      <alignment horizontal="center" vertical="top"/>
    </xf>
    <xf numFmtId="0" fontId="15" fillId="3" borderId="10" xfId="0" applyFont="1" applyFill="1" applyBorder="1" applyAlignment="1">
      <alignment horizontal="right" vertical="center"/>
    </xf>
    <xf numFmtId="0" fontId="60" fillId="0" borderId="0" xfId="1" applyFont="1" applyAlignment="1">
      <alignment vertical="center" wrapText="1"/>
    </xf>
    <xf numFmtId="0" fontId="50" fillId="5" borderId="2" xfId="0" applyFont="1" applyFill="1" applyBorder="1" applyAlignment="1">
      <alignment horizontal="center" vertical="center"/>
    </xf>
    <xf numFmtId="9" fontId="15" fillId="0" borderId="2" xfId="0" applyNumberFormat="1" applyFont="1" applyBorder="1" applyAlignment="1">
      <alignment horizontal="center" vertical="center"/>
    </xf>
    <xf numFmtId="0" fontId="61" fillId="0" borderId="0" xfId="0" applyFont="1" applyAlignment="1">
      <alignment vertical="center"/>
    </xf>
    <xf numFmtId="0" fontId="86" fillId="0" borderId="0" xfId="0" applyFont="1"/>
    <xf numFmtId="0" fontId="86" fillId="0" borderId="0" xfId="0" applyFont="1" applyAlignment="1">
      <alignment vertical="center"/>
    </xf>
    <xf numFmtId="0" fontId="53" fillId="9" borderId="2" xfId="0" applyFont="1" applyFill="1" applyBorder="1" applyAlignment="1">
      <alignment vertical="center"/>
    </xf>
    <xf numFmtId="0" fontId="53" fillId="9" borderId="2" xfId="0" applyFont="1" applyFill="1" applyBorder="1" applyAlignment="1">
      <alignment horizontal="center" vertical="center"/>
    </xf>
    <xf numFmtId="0" fontId="33" fillId="0" borderId="0" xfId="0" applyFont="1" applyAlignment="1">
      <alignment vertical="center" wrapText="1"/>
    </xf>
    <xf numFmtId="0" fontId="0" fillId="0" borderId="0" xfId="0" applyAlignment="1">
      <alignment horizontal="left"/>
    </xf>
    <xf numFmtId="0" fontId="53" fillId="0" borderId="0" xfId="0" applyFont="1" applyAlignment="1">
      <alignment vertical="center"/>
    </xf>
    <xf numFmtId="0" fontId="53" fillId="0" borderId="0" xfId="0" applyFont="1" applyAlignment="1">
      <alignment horizontal="center" vertical="center"/>
    </xf>
    <xf numFmtId="0" fontId="52" fillId="0" borderId="0" xfId="0" applyFont="1" applyAlignment="1">
      <alignment vertical="top" wrapText="1"/>
    </xf>
    <xf numFmtId="0" fontId="73" fillId="0" borderId="8" xfId="0" applyFont="1" applyBorder="1" applyAlignment="1">
      <alignment wrapText="1"/>
    </xf>
    <xf numFmtId="0" fontId="73" fillId="0" borderId="0" xfId="0" applyFont="1" applyAlignment="1">
      <alignment wrapText="1"/>
    </xf>
    <xf numFmtId="49" fontId="62" fillId="0" borderId="0" xfId="0" applyNumberFormat="1" applyFont="1" applyAlignment="1">
      <alignment horizontal="center" vertical="top" wrapText="1"/>
    </xf>
    <xf numFmtId="0" fontId="62" fillId="0" borderId="8" xfId="0" applyFont="1" applyBorder="1" applyAlignment="1">
      <alignment horizontal="center" vertical="center" wrapText="1"/>
    </xf>
    <xf numFmtId="49" fontId="32" fillId="0" borderId="1" xfId="1" applyNumberFormat="1" applyFont="1" applyBorder="1" applyAlignment="1">
      <alignment vertical="center" wrapText="1"/>
    </xf>
    <xf numFmtId="49" fontId="32" fillId="0" borderId="16" xfId="1" applyNumberFormat="1" applyFont="1" applyBorder="1" applyAlignment="1">
      <alignment vertical="center" wrapText="1"/>
    </xf>
    <xf numFmtId="49" fontId="32" fillId="0" borderId="1" xfId="1" applyNumberFormat="1" applyFont="1" applyBorder="1" applyAlignment="1">
      <alignment horizontal="center" vertical="center" wrapText="1"/>
    </xf>
    <xf numFmtId="49" fontId="32" fillId="0" borderId="16" xfId="1" applyNumberFormat="1" applyFont="1" applyBorder="1" applyAlignment="1">
      <alignment horizontal="center" vertical="center" wrapText="1"/>
    </xf>
    <xf numFmtId="0" fontId="61" fillId="3" borderId="2" xfId="0" applyFont="1" applyFill="1" applyBorder="1" applyAlignment="1">
      <alignment horizontal="right" vertical="center"/>
    </xf>
    <xf numFmtId="0" fontId="49" fillId="5" borderId="2" xfId="0" applyFont="1" applyFill="1" applyBorder="1" applyAlignment="1">
      <alignment horizontal="center"/>
    </xf>
    <xf numFmtId="0" fontId="21" fillId="9" borderId="2" xfId="1" applyFont="1" applyFill="1" applyBorder="1" applyAlignment="1">
      <alignment horizontal="center" vertical="center" wrapText="1"/>
    </xf>
    <xf numFmtId="0" fontId="0" fillId="0" borderId="10" xfId="0" applyBorder="1" applyAlignment="1">
      <alignment horizontal="center"/>
    </xf>
    <xf numFmtId="0" fontId="57" fillId="0" borderId="0" xfId="0" applyFont="1" applyAlignment="1">
      <alignment vertical="top"/>
    </xf>
    <xf numFmtId="0" fontId="57" fillId="0" borderId="0" xfId="0" applyFont="1" applyAlignment="1">
      <alignment horizontal="center" vertical="top"/>
    </xf>
    <xf numFmtId="49" fontId="32" fillId="0" borderId="14" xfId="1" applyNumberFormat="1" applyFont="1" applyBorder="1" applyAlignment="1">
      <alignment horizontal="center" vertical="center" wrapText="1"/>
    </xf>
    <xf numFmtId="49" fontId="32" fillId="0" borderId="15" xfId="1" applyNumberFormat="1" applyFont="1" applyBorder="1" applyAlignment="1">
      <alignment horizontal="center" vertical="center" wrapText="1"/>
    </xf>
    <xf numFmtId="49" fontId="32" fillId="0" borderId="9" xfId="1" applyNumberFormat="1" applyFont="1" applyBorder="1" applyAlignment="1">
      <alignment horizontal="center" vertical="center" wrapText="1"/>
    </xf>
    <xf numFmtId="49" fontId="32" fillId="0" borderId="14" xfId="1" applyNumberFormat="1" applyFont="1" applyBorder="1" applyAlignment="1">
      <alignment vertical="center" wrapText="1"/>
    </xf>
    <xf numFmtId="49" fontId="32" fillId="0" borderId="15" xfId="1" applyNumberFormat="1" applyFont="1" applyBorder="1" applyAlignment="1">
      <alignment vertical="center" wrapText="1"/>
    </xf>
    <xf numFmtId="49" fontId="32" fillId="0" borderId="9" xfId="1" applyNumberFormat="1" applyFont="1" applyBorder="1" applyAlignment="1">
      <alignment vertical="center" wrapText="1"/>
    </xf>
    <xf numFmtId="0" fontId="74" fillId="0" borderId="0" xfId="1" applyFont="1" applyAlignment="1">
      <alignment horizontal="left" vertical="top" wrapText="1"/>
    </xf>
    <xf numFmtId="49" fontId="58" fillId="0" borderId="0" xfId="1" applyNumberFormat="1" applyFont="1" applyAlignment="1">
      <alignment horizontal="center" vertical="center" wrapText="1"/>
    </xf>
    <xf numFmtId="0" fontId="31" fillId="0" borderId="0" xfId="1" applyFont="1" applyAlignment="1">
      <alignment horizontal="center" vertical="top" wrapText="1"/>
    </xf>
    <xf numFmtId="0" fontId="58" fillId="0" borderId="0" xfId="1" applyFont="1" applyAlignment="1">
      <alignment vertical="center"/>
    </xf>
    <xf numFmtId="0" fontId="104" fillId="0" borderId="0" xfId="0" applyFont="1" applyAlignment="1">
      <alignment vertical="top" wrapText="1"/>
    </xf>
    <xf numFmtId="0" fontId="47" fillId="0" borderId="0" xfId="0" applyFont="1" applyAlignment="1">
      <alignment vertical="top" wrapText="1"/>
    </xf>
    <xf numFmtId="0" fontId="49" fillId="0" borderId="0" xfId="0" applyFont="1" applyAlignment="1">
      <alignment horizontal="center" vertical="center"/>
    </xf>
    <xf numFmtId="0" fontId="71" fillId="0" borderId="0" xfId="1" applyFont="1" applyAlignment="1">
      <alignment horizontal="center" vertical="top" wrapText="1"/>
    </xf>
    <xf numFmtId="0" fontId="71" fillId="0" borderId="0" xfId="1" applyFont="1" applyAlignment="1">
      <alignment horizontal="center"/>
    </xf>
    <xf numFmtId="49" fontId="71" fillId="0" borderId="0" xfId="1" applyNumberFormat="1" applyFont="1" applyAlignment="1">
      <alignment horizontal="center" vertical="center" wrapText="1"/>
    </xf>
    <xf numFmtId="0" fontId="46" fillId="0" borderId="0" xfId="1" applyFont="1" applyAlignment="1">
      <alignment horizontal="center" vertical="center" wrapText="1"/>
    </xf>
    <xf numFmtId="0" fontId="71" fillId="0" borderId="0" xfId="1" applyFont="1" applyAlignment="1">
      <alignment horizontal="center" vertical="center" wrapText="1"/>
    </xf>
    <xf numFmtId="9" fontId="71" fillId="0" borderId="0" xfId="1" applyNumberFormat="1" applyFont="1" applyAlignment="1">
      <alignment horizontal="center" vertical="center" wrapText="1"/>
    </xf>
    <xf numFmtId="9" fontId="46" fillId="0" borderId="0" xfId="1" applyNumberFormat="1" applyFont="1" applyAlignment="1">
      <alignment horizontal="center" vertical="center" wrapText="1"/>
    </xf>
    <xf numFmtId="0" fontId="70" fillId="0" borderId="0" xfId="1" applyFont="1" applyAlignment="1">
      <alignment horizontal="center" vertical="center" wrapText="1"/>
    </xf>
    <xf numFmtId="0" fontId="22" fillId="0" borderId="0" xfId="1" applyFont="1" applyAlignment="1">
      <alignment vertical="top"/>
    </xf>
    <xf numFmtId="0" fontId="76" fillId="0" borderId="0" xfId="1" applyFont="1" applyAlignment="1">
      <alignment vertical="top" wrapText="1"/>
    </xf>
    <xf numFmtId="0" fontId="78" fillId="0" borderId="0" xfId="1" applyFont="1" applyAlignment="1">
      <alignment vertical="center" wrapText="1"/>
    </xf>
    <xf numFmtId="0" fontId="77" fillId="0" borderId="0" xfId="1" applyFont="1" applyAlignment="1">
      <alignment vertical="center" wrapText="1"/>
    </xf>
    <xf numFmtId="166" fontId="78" fillId="0" borderId="0" xfId="1" applyNumberFormat="1" applyFont="1" applyAlignment="1">
      <alignment vertical="center" wrapText="1"/>
    </xf>
    <xf numFmtId="0" fontId="71" fillId="0" borderId="0" xfId="1" applyFont="1" applyAlignment="1">
      <alignment vertical="top" wrapText="1"/>
    </xf>
    <xf numFmtId="0" fontId="75" fillId="0" borderId="0" xfId="1" applyFont="1" applyAlignment="1">
      <alignment vertical="top" wrapText="1"/>
    </xf>
    <xf numFmtId="0" fontId="80" fillId="0" borderId="0" xfId="1" applyFont="1"/>
    <xf numFmtId="0" fontId="75" fillId="0" borderId="0" xfId="1" applyFont="1" applyAlignment="1">
      <alignment vertical="center" wrapText="1"/>
    </xf>
    <xf numFmtId="0" fontId="74" fillId="0" borderId="0" xfId="1" applyFont="1" applyAlignment="1">
      <alignment vertical="top" wrapText="1"/>
    </xf>
    <xf numFmtId="0" fontId="22" fillId="0" borderId="2" xfId="1" applyFont="1" applyBorder="1" applyAlignment="1">
      <alignment horizontal="center" vertical="center" wrapText="1"/>
    </xf>
    <xf numFmtId="0" fontId="90" fillId="9" borderId="0" xfId="0" applyFont="1" applyFill="1" applyAlignment="1">
      <alignment horizontal="center" vertical="center"/>
    </xf>
    <xf numFmtId="0" fontId="13" fillId="8" borderId="2" xfId="0" applyFont="1" applyFill="1" applyBorder="1" applyAlignment="1">
      <alignment vertical="center"/>
    </xf>
    <xf numFmtId="0" fontId="34" fillId="9" borderId="4" xfId="0" applyFont="1" applyFill="1" applyBorder="1" applyAlignment="1">
      <alignment horizontal="center" vertical="center"/>
    </xf>
    <xf numFmtId="0" fontId="34" fillId="0" borderId="2" xfId="0" applyFont="1" applyBorder="1" applyAlignment="1">
      <alignment vertical="center"/>
    </xf>
    <xf numFmtId="0" fontId="34" fillId="9" borderId="6" xfId="0" applyFont="1" applyFill="1" applyBorder="1" applyAlignment="1">
      <alignment horizontal="center" vertical="center"/>
    </xf>
    <xf numFmtId="0" fontId="13" fillId="8" borderId="10" xfId="0" applyFont="1" applyFill="1" applyBorder="1" applyAlignment="1">
      <alignment horizontal="left" vertical="center"/>
    </xf>
    <xf numFmtId="49" fontId="32" fillId="9" borderId="2" xfId="1" applyNumberFormat="1" applyFont="1" applyFill="1" applyBorder="1" applyAlignment="1">
      <alignment horizontal="center" vertical="center" wrapText="1"/>
    </xf>
    <xf numFmtId="0" fontId="70" fillId="0" borderId="13" xfId="0" applyFont="1" applyBorder="1" applyAlignment="1">
      <alignment vertical="center" wrapText="1"/>
    </xf>
    <xf numFmtId="0" fontId="57" fillId="5" borderId="2" xfId="0" applyFont="1" applyFill="1" applyBorder="1" applyAlignment="1">
      <alignment horizontal="center" vertical="center" wrapText="1"/>
    </xf>
    <xf numFmtId="0" fontId="45" fillId="0" borderId="0" xfId="0" applyFont="1" applyAlignment="1">
      <alignment vertical="center"/>
    </xf>
    <xf numFmtId="49" fontId="0" fillId="0" borderId="8" xfId="0" applyNumberFormat="1" applyBorder="1" applyAlignment="1">
      <alignment horizontal="center" vertical="center"/>
    </xf>
    <xf numFmtId="0" fontId="0" fillId="0" borderId="9" xfId="0" applyBorder="1" applyAlignment="1">
      <alignment horizontal="center" vertical="center"/>
    </xf>
    <xf numFmtId="0" fontId="55" fillId="0" borderId="0" xfId="1" applyFont="1" applyAlignment="1">
      <alignment horizontal="center" vertical="center" wrapText="1"/>
    </xf>
    <xf numFmtId="0" fontId="63" fillId="3" borderId="0" xfId="0" applyFont="1" applyFill="1" applyAlignment="1">
      <alignment horizontal="center" vertical="center"/>
    </xf>
    <xf numFmtId="0" fontId="20" fillId="0" borderId="0" xfId="1" applyFont="1" applyAlignment="1">
      <alignment vertical="top" wrapText="1"/>
    </xf>
    <xf numFmtId="0" fontId="24" fillId="0" borderId="0" xfId="1" applyAlignment="1">
      <alignment vertical="top"/>
    </xf>
    <xf numFmtId="49" fontId="69" fillId="3" borderId="2" xfId="1" applyNumberFormat="1" applyFont="1" applyFill="1" applyBorder="1" applyAlignment="1">
      <alignment horizontal="center" vertical="center" wrapText="1"/>
    </xf>
    <xf numFmtId="0" fontId="69" fillId="3" borderId="2" xfId="1" applyFont="1" applyFill="1" applyBorder="1" applyAlignment="1">
      <alignment horizontal="right" vertical="top" wrapText="1"/>
    </xf>
    <xf numFmtId="49" fontId="33" fillId="0" borderId="0" xfId="0" applyNumberFormat="1" applyFont="1" applyAlignment="1">
      <alignment vertical="center"/>
    </xf>
    <xf numFmtId="49" fontId="32" fillId="4" borderId="2" xfId="1" applyNumberFormat="1" applyFont="1" applyFill="1" applyBorder="1" applyAlignment="1">
      <alignment horizontal="center" vertical="center" wrapText="1"/>
    </xf>
    <xf numFmtId="0" fontId="2" fillId="0" borderId="0" xfId="4" applyFont="1"/>
    <xf numFmtId="49" fontId="2" fillId="0" borderId="0" xfId="4" applyNumberFormat="1" applyFont="1" applyAlignment="1">
      <alignment horizontal="left"/>
    </xf>
    <xf numFmtId="0" fontId="29" fillId="0" borderId="0" xfId="8" applyFont="1" applyAlignment="1">
      <alignment vertical="center" wrapText="1"/>
    </xf>
    <xf numFmtId="0" fontId="29" fillId="0" borderId="0" xfId="8" applyFont="1" applyAlignment="1">
      <alignment horizontal="left" vertical="center" wrapText="1"/>
    </xf>
    <xf numFmtId="0" fontId="24" fillId="0" borderId="0" xfId="8" applyAlignment="1">
      <alignment horizontal="left" vertical="center"/>
    </xf>
    <xf numFmtId="0" fontId="17" fillId="3" borderId="2" xfId="8" applyFont="1" applyFill="1" applyBorder="1" applyAlignment="1">
      <alignment horizontal="center" vertical="center"/>
    </xf>
    <xf numFmtId="49" fontId="18" fillId="3" borderId="2" xfId="8" applyNumberFormat="1" applyFont="1" applyFill="1" applyBorder="1" applyAlignment="1">
      <alignment horizontal="center" vertical="center"/>
    </xf>
    <xf numFmtId="49" fontId="18" fillId="3" borderId="10" xfId="8" applyNumberFormat="1" applyFont="1" applyFill="1" applyBorder="1" applyAlignment="1">
      <alignment horizontal="center" vertical="center"/>
    </xf>
    <xf numFmtId="0" fontId="13" fillId="3" borderId="10" xfId="8" applyFont="1" applyFill="1" applyBorder="1" applyAlignment="1">
      <alignment horizontal="center" vertical="center" wrapText="1"/>
    </xf>
    <xf numFmtId="0" fontId="13" fillId="3" borderId="11" xfId="8" applyFont="1" applyFill="1" applyBorder="1" applyAlignment="1">
      <alignment horizontal="center" vertical="center" wrapText="1"/>
    </xf>
    <xf numFmtId="0" fontId="22" fillId="0" borderId="0" xfId="8" applyFont="1" applyAlignment="1">
      <alignment horizontal="left" vertical="top"/>
    </xf>
    <xf numFmtId="0" fontId="25" fillId="0" borderId="0" xfId="8" applyFont="1" applyAlignment="1">
      <alignment horizontal="left" vertical="top"/>
    </xf>
    <xf numFmtId="0" fontId="54" fillId="0" borderId="0" xfId="8" applyFont="1" applyAlignment="1">
      <alignment horizontal="left" vertical="top"/>
    </xf>
    <xf numFmtId="0" fontId="54" fillId="0" borderId="0" xfId="8" applyFont="1" applyAlignment="1">
      <alignment horizontal="center" vertical="top" wrapText="1"/>
    </xf>
    <xf numFmtId="0" fontId="26" fillId="0" borderId="0" xfId="8" applyFont="1" applyAlignment="1">
      <alignment horizontal="left" vertical="top"/>
    </xf>
    <xf numFmtId="0" fontId="15" fillId="14" borderId="2" xfId="0" applyFont="1" applyFill="1" applyBorder="1"/>
    <xf numFmtId="0" fontId="63" fillId="5" borderId="2" xfId="0" applyFont="1" applyFill="1" applyBorder="1" applyAlignment="1">
      <alignment horizontal="center" vertical="center" wrapText="1"/>
    </xf>
    <xf numFmtId="0" fontId="63" fillId="5" borderId="0" xfId="0" applyFont="1" applyFill="1" applyAlignment="1">
      <alignment horizontal="center" vertical="center" wrapText="1"/>
    </xf>
    <xf numFmtId="0" fontId="63" fillId="5" borderId="4" xfId="0" applyFont="1" applyFill="1" applyBorder="1" applyAlignment="1">
      <alignment horizontal="center" vertical="center"/>
    </xf>
    <xf numFmtId="0" fontId="63" fillId="5" borderId="4" xfId="0" applyFont="1" applyFill="1" applyBorder="1" applyAlignment="1">
      <alignment horizontal="center" vertical="center" wrapText="1"/>
    </xf>
    <xf numFmtId="0" fontId="45" fillId="5" borderId="2" xfId="1" applyFont="1" applyFill="1" applyBorder="1" applyAlignment="1">
      <alignment horizontal="center" vertical="center" wrapText="1"/>
    </xf>
    <xf numFmtId="0" fontId="63" fillId="5" borderId="0" xfId="0" applyFont="1" applyFill="1" applyAlignment="1">
      <alignment horizontal="center" wrapText="1"/>
    </xf>
    <xf numFmtId="168" fontId="0" fillId="0" borderId="0" xfId="0" applyNumberFormat="1" applyAlignment="1">
      <alignment horizontal="center"/>
    </xf>
    <xf numFmtId="49" fontId="63" fillId="3" borderId="2" xfId="0" applyNumberFormat="1" applyFont="1" applyFill="1" applyBorder="1" applyAlignment="1">
      <alignment horizontal="center" vertical="center" wrapText="1"/>
    </xf>
    <xf numFmtId="167" fontId="0" fillId="0" borderId="2" xfId="0" applyNumberFormat="1" applyBorder="1" applyAlignment="1">
      <alignment horizontal="center"/>
    </xf>
    <xf numFmtId="168" fontId="0" fillId="0" borderId="2" xfId="0" applyNumberFormat="1" applyBorder="1" applyAlignment="1">
      <alignment horizontal="center"/>
    </xf>
    <xf numFmtId="0" fontId="49" fillId="0" borderId="2" xfId="0" applyFont="1" applyBorder="1" applyAlignment="1">
      <alignment horizontal="right"/>
    </xf>
    <xf numFmtId="167" fontId="63" fillId="0" borderId="0" xfId="0" applyNumberFormat="1" applyFont="1" applyAlignment="1">
      <alignment horizontal="center" vertical="center" wrapText="1"/>
    </xf>
    <xf numFmtId="0" fontId="50" fillId="0" borderId="0" xfId="0" applyFont="1" applyAlignment="1">
      <alignment horizontal="center" vertical="center"/>
    </xf>
    <xf numFmtId="0" fontId="108" fillId="0" borderId="0" xfId="4" applyFont="1"/>
    <xf numFmtId="0" fontId="57" fillId="0" borderId="5" xfId="0" applyFont="1" applyBorder="1" applyAlignment="1">
      <alignment horizontal="center" vertical="center"/>
    </xf>
    <xf numFmtId="0" fontId="57" fillId="0" borderId="9" xfId="0" applyFont="1" applyBorder="1" applyAlignment="1">
      <alignment horizontal="center" vertical="center"/>
    </xf>
    <xf numFmtId="2" fontId="32" fillId="0" borderId="0" xfId="1" applyNumberFormat="1" applyFont="1" applyAlignment="1">
      <alignment horizontal="center" vertical="center" wrapText="1"/>
    </xf>
    <xf numFmtId="2" fontId="32" fillId="4" borderId="2" xfId="1" applyNumberFormat="1" applyFont="1" applyFill="1" applyBorder="1" applyAlignment="1">
      <alignment horizontal="center" vertical="center" wrapText="1"/>
    </xf>
    <xf numFmtId="0" fontId="15" fillId="0" borderId="2" xfId="0" applyFont="1" applyBorder="1" applyAlignment="1">
      <alignment horizontal="center" vertical="center" wrapText="1"/>
    </xf>
    <xf numFmtId="0" fontId="110" fillId="0" borderId="2" xfId="0" applyFont="1" applyBorder="1"/>
    <xf numFmtId="0" fontId="15" fillId="0" borderId="2" xfId="0" applyFont="1" applyBorder="1" applyAlignment="1">
      <alignment horizontal="left" wrapText="1"/>
    </xf>
    <xf numFmtId="0" fontId="112" fillId="9" borderId="2" xfId="1" applyFont="1" applyFill="1" applyBorder="1" applyAlignment="1">
      <alignment horizontal="center" vertical="center" wrapText="1"/>
    </xf>
    <xf numFmtId="0" fontId="112" fillId="5" borderId="2" xfId="1" applyFont="1" applyFill="1" applyBorder="1" applyAlignment="1">
      <alignment horizontal="center" vertical="center" wrapText="1"/>
    </xf>
    <xf numFmtId="0" fontId="20" fillId="9" borderId="2" xfId="1" applyFont="1" applyFill="1" applyBorder="1" applyAlignment="1">
      <alignment horizontal="center" vertical="center" wrapText="1"/>
    </xf>
    <xf numFmtId="0" fontId="113" fillId="9" borderId="2" xfId="1" applyFont="1" applyFill="1" applyBorder="1" applyAlignment="1">
      <alignment vertical="center" wrapText="1"/>
    </xf>
    <xf numFmtId="164" fontId="112" fillId="4" borderId="2" xfId="1" applyNumberFormat="1" applyFont="1" applyFill="1" applyBorder="1" applyAlignment="1">
      <alignment horizontal="center" vertical="center" wrapText="1"/>
    </xf>
    <xf numFmtId="0" fontId="112" fillId="4" borderId="2" xfId="1" applyFont="1" applyFill="1" applyBorder="1" applyAlignment="1">
      <alignment horizontal="center" vertical="center" wrapText="1"/>
    </xf>
    <xf numFmtId="49" fontId="17" fillId="9" borderId="2" xfId="1" applyNumberFormat="1" applyFont="1" applyFill="1" applyBorder="1" applyAlignment="1">
      <alignment vertical="center" wrapText="1"/>
    </xf>
    <xf numFmtId="49" fontId="112" fillId="4" borderId="2" xfId="1" applyNumberFormat="1" applyFont="1" applyFill="1" applyBorder="1" applyAlignment="1">
      <alignment horizontal="center" vertical="center" wrapText="1"/>
    </xf>
    <xf numFmtId="0" fontId="55" fillId="11" borderId="12" xfId="0" applyFont="1" applyFill="1" applyBorder="1" applyAlignment="1">
      <alignment horizontal="center" vertical="center"/>
    </xf>
    <xf numFmtId="0" fontId="55" fillId="13" borderId="10" xfId="0" applyFont="1" applyFill="1" applyBorder="1" applyAlignment="1">
      <alignment horizontal="center" vertical="center"/>
    </xf>
    <xf numFmtId="0" fontId="114" fillId="0" borderId="0" xfId="1" applyFont="1" applyAlignment="1">
      <alignment horizontal="left" vertical="top"/>
    </xf>
    <xf numFmtId="0" fontId="23" fillId="0" borderId="0" xfId="0" applyFont="1" applyAlignment="1">
      <alignment vertical="center"/>
    </xf>
    <xf numFmtId="0" fontId="99" fillId="9" borderId="2" xfId="0" applyFont="1" applyFill="1" applyBorder="1" applyAlignment="1">
      <alignment vertical="center" wrapText="1"/>
    </xf>
    <xf numFmtId="0" fontId="55" fillId="11" borderId="2" xfId="0" applyFont="1" applyFill="1" applyBorder="1" applyAlignment="1">
      <alignment horizontal="center" vertical="center"/>
    </xf>
    <xf numFmtId="0" fontId="115" fillId="9" borderId="2" xfId="0" applyFont="1" applyFill="1" applyBorder="1" applyAlignment="1">
      <alignment horizontal="center"/>
    </xf>
    <xf numFmtId="0" fontId="86" fillId="3" borderId="2" xfId="0" applyFont="1" applyFill="1" applyBorder="1" applyAlignment="1">
      <alignment horizontal="center" vertical="center"/>
    </xf>
    <xf numFmtId="49" fontId="18" fillId="0" borderId="14" xfId="1" applyNumberFormat="1" applyFont="1" applyBorder="1" applyAlignment="1">
      <alignment vertical="center" wrapText="1"/>
    </xf>
    <xf numFmtId="49" fontId="18" fillId="0" borderId="0" xfId="1" applyNumberFormat="1" applyFont="1" applyAlignment="1">
      <alignment vertical="center" wrapText="1"/>
    </xf>
    <xf numFmtId="49" fontId="116" fillId="4" borderId="2" xfId="1" applyNumberFormat="1" applyFont="1" applyFill="1" applyBorder="1" applyAlignment="1">
      <alignment vertical="center" wrapText="1"/>
    </xf>
    <xf numFmtId="49" fontId="18" fillId="0" borderId="1" xfId="1" applyNumberFormat="1" applyFont="1" applyBorder="1" applyAlignment="1">
      <alignment vertical="center" wrapText="1"/>
    </xf>
    <xf numFmtId="49" fontId="18" fillId="0" borderId="14" xfId="1" applyNumberFormat="1" applyFont="1" applyBorder="1" applyAlignment="1">
      <alignment horizontal="center" vertical="center" wrapText="1"/>
    </xf>
    <xf numFmtId="49" fontId="18" fillId="0" borderId="0" xfId="1" applyNumberFormat="1" applyFont="1" applyAlignment="1">
      <alignment horizontal="center" vertical="center" wrapText="1"/>
    </xf>
    <xf numFmtId="49" fontId="18" fillId="0" borderId="1" xfId="1" applyNumberFormat="1" applyFont="1" applyBorder="1" applyAlignment="1">
      <alignment horizontal="center" vertical="center" wrapText="1"/>
    </xf>
    <xf numFmtId="0" fontId="116" fillId="9" borderId="2" xfId="1" applyFont="1" applyFill="1" applyBorder="1" applyAlignment="1">
      <alignment horizontal="center" vertical="center" wrapText="1"/>
    </xf>
    <xf numFmtId="0" fontId="116" fillId="9" borderId="4" xfId="1" applyFont="1" applyFill="1" applyBorder="1" applyAlignment="1">
      <alignment horizontal="center" vertical="center" wrapText="1"/>
    </xf>
    <xf numFmtId="0" fontId="86" fillId="0" borderId="0" xfId="0" applyFont="1" applyAlignment="1">
      <alignment horizontal="center" vertical="center"/>
    </xf>
    <xf numFmtId="0" fontId="23" fillId="5" borderId="2" xfId="0" applyFont="1" applyFill="1" applyBorder="1" applyAlignment="1">
      <alignment horizontal="center"/>
    </xf>
    <xf numFmtId="49" fontId="99" fillId="0" borderId="0" xfId="0" applyNumberFormat="1" applyFont="1" applyAlignment="1">
      <alignment horizontal="center" vertical="top" wrapText="1"/>
    </xf>
    <xf numFmtId="0" fontId="99" fillId="0" borderId="0" xfId="0" applyFont="1" applyAlignment="1">
      <alignment vertical="top" wrapText="1"/>
    </xf>
    <xf numFmtId="0" fontId="61" fillId="0" borderId="5" xfId="0" applyFont="1" applyBorder="1" applyAlignment="1">
      <alignment horizontal="center" vertical="center"/>
    </xf>
    <xf numFmtId="0" fontId="23" fillId="0" borderId="0" xfId="0" applyFont="1" applyAlignment="1">
      <alignment horizontal="center"/>
    </xf>
    <xf numFmtId="0" fontId="45" fillId="0" borderId="0" xfId="0" applyFont="1" applyAlignment="1">
      <alignment horizontal="center" vertical="center" wrapText="1"/>
    </xf>
    <xf numFmtId="0" fontId="113" fillId="5" borderId="2" xfId="0" applyFont="1" applyFill="1" applyBorder="1" applyAlignment="1">
      <alignment horizontal="center" vertical="center"/>
    </xf>
    <xf numFmtId="0" fontId="99" fillId="4" borderId="2" xfId="0" applyFont="1" applyFill="1" applyBorder="1" applyAlignment="1">
      <alignment horizontal="center" vertical="center" wrapText="1"/>
    </xf>
    <xf numFmtId="0" fontId="99" fillId="0" borderId="0" xfId="0" applyFont="1" applyAlignment="1">
      <alignment horizontal="center" vertical="center" wrapText="1"/>
    </xf>
    <xf numFmtId="0" fontId="61" fillId="0" borderId="0" xfId="0" applyFont="1" applyAlignment="1">
      <alignment vertical="top"/>
    </xf>
    <xf numFmtId="0" fontId="61" fillId="0" borderId="0" xfId="0" applyFont="1" applyAlignment="1">
      <alignment horizontal="right" vertical="top"/>
    </xf>
    <xf numFmtId="0" fontId="61" fillId="0" borderId="0" xfId="0" applyFont="1" applyAlignment="1">
      <alignment horizontal="center" vertical="top"/>
    </xf>
    <xf numFmtId="0" fontId="61" fillId="0" borderId="0" xfId="0" applyFont="1" applyAlignment="1">
      <alignment horizontal="left" wrapText="1"/>
    </xf>
    <xf numFmtId="0" fontId="61" fillId="0" borderId="0" xfId="0" applyFont="1"/>
    <xf numFmtId="0" fontId="61" fillId="0" borderId="0" xfId="0" applyFont="1" applyAlignment="1">
      <alignment horizontal="right"/>
    </xf>
    <xf numFmtId="0" fontId="86" fillId="0" borderId="2" xfId="0" applyFont="1" applyBorder="1" applyAlignment="1">
      <alignment horizontal="center"/>
    </xf>
    <xf numFmtId="0" fontId="61" fillId="0" borderId="0" xfId="0" applyFont="1" applyAlignment="1">
      <alignment horizontal="center"/>
    </xf>
    <xf numFmtId="0" fontId="86" fillId="9" borderId="2" xfId="0" applyFont="1" applyFill="1" applyBorder="1" applyAlignment="1">
      <alignment horizontal="center"/>
    </xf>
    <xf numFmtId="0" fontId="86" fillId="9" borderId="2" xfId="0" applyFont="1" applyFill="1" applyBorder="1"/>
    <xf numFmtId="0" fontId="94" fillId="0" borderId="14" xfId="0" applyFont="1" applyBorder="1" applyAlignment="1">
      <alignment vertical="center" wrapText="1"/>
    </xf>
    <xf numFmtId="0" fontId="55" fillId="0" borderId="2" xfId="0" applyFont="1" applyBorder="1" applyAlignment="1">
      <alignment horizontal="center" vertical="center"/>
    </xf>
    <xf numFmtId="0" fontId="94" fillId="0" borderId="0" xfId="0" applyFont="1" applyAlignment="1">
      <alignment horizontal="left" vertical="center"/>
    </xf>
    <xf numFmtId="0" fontId="115" fillId="8" borderId="2" xfId="0" applyFont="1" applyFill="1" applyBorder="1"/>
    <xf numFmtId="0" fontId="99" fillId="4" borderId="2" xfId="0" applyFont="1" applyFill="1" applyBorder="1" applyAlignment="1">
      <alignment wrapText="1"/>
    </xf>
    <xf numFmtId="49" fontId="99" fillId="4" borderId="2" xfId="0" applyNumberFormat="1" applyFont="1" applyFill="1" applyBorder="1" applyAlignment="1">
      <alignment wrapText="1"/>
    </xf>
    <xf numFmtId="0" fontId="23" fillId="4" borderId="2" xfId="0" applyFont="1" applyFill="1" applyBorder="1" applyAlignment="1">
      <alignment vertical="center" wrapText="1"/>
    </xf>
    <xf numFmtId="0" fontId="99" fillId="0" borderId="0" xfId="0" applyFont="1" applyAlignment="1">
      <alignment horizontal="center" vertical="center"/>
    </xf>
    <xf numFmtId="0" fontId="99" fillId="10" borderId="2" xfId="0" applyFont="1" applyFill="1" applyBorder="1" applyAlignment="1">
      <alignment wrapText="1"/>
    </xf>
    <xf numFmtId="0" fontId="23" fillId="0" borderId="2" xfId="0" applyFont="1" applyBorder="1" applyAlignment="1">
      <alignment horizontal="center" vertical="center" wrapText="1"/>
    </xf>
    <xf numFmtId="49" fontId="99" fillId="4" borderId="2" xfId="0" applyNumberFormat="1" applyFont="1" applyFill="1" applyBorder="1"/>
    <xf numFmtId="0" fontId="45" fillId="3" borderId="0" xfId="0" applyFont="1" applyFill="1" applyAlignment="1">
      <alignment horizontal="center" vertical="center" wrapText="1"/>
    </xf>
    <xf numFmtId="49" fontId="18" fillId="3" borderId="6" xfId="1" applyNumberFormat="1" applyFont="1" applyFill="1" applyBorder="1" applyAlignment="1">
      <alignment horizontal="center" vertical="top" wrapText="1"/>
    </xf>
    <xf numFmtId="49" fontId="18" fillId="3" borderId="17" xfId="1" applyNumberFormat="1" applyFont="1" applyFill="1" applyBorder="1" applyAlignment="1">
      <alignment horizontal="center" vertical="top" wrapText="1"/>
    </xf>
    <xf numFmtId="49" fontId="18" fillId="3" borderId="6" xfId="1" applyNumberFormat="1" applyFont="1" applyFill="1" applyBorder="1" applyAlignment="1">
      <alignment horizontal="center" vertical="center" wrapText="1"/>
    </xf>
    <xf numFmtId="0" fontId="45" fillId="3" borderId="4" xfId="0" applyFont="1" applyFill="1" applyBorder="1" applyAlignment="1">
      <alignment horizontal="center" vertical="center"/>
    </xf>
    <xf numFmtId="0" fontId="111" fillId="0" borderId="2" xfId="0" applyFont="1" applyBorder="1" applyAlignment="1">
      <alignment horizontal="center" vertical="center"/>
    </xf>
    <xf numFmtId="0" fontId="86" fillId="9" borderId="4" xfId="0" applyFont="1" applyFill="1" applyBorder="1" applyAlignment="1">
      <alignment horizontal="center" vertical="center"/>
    </xf>
    <xf numFmtId="0" fontId="23" fillId="0" borderId="0" xfId="0" applyFont="1"/>
    <xf numFmtId="49" fontId="18" fillId="0" borderId="0" xfId="1" applyNumberFormat="1" applyFont="1" applyAlignment="1">
      <alignment horizontal="center" vertical="top" wrapText="1"/>
    </xf>
    <xf numFmtId="0" fontId="23" fillId="0" borderId="2" xfId="0" applyFont="1" applyBorder="1" applyAlignment="1">
      <alignment horizontal="right" vertical="center"/>
    </xf>
    <xf numFmtId="0" fontId="55" fillId="3" borderId="10" xfId="0" applyFont="1" applyFill="1" applyBorder="1" applyAlignment="1">
      <alignment horizontal="right" vertical="center"/>
    </xf>
    <xf numFmtId="0" fontId="86" fillId="8" borderId="2" xfId="0" applyFont="1" applyFill="1" applyBorder="1" applyAlignment="1">
      <alignment horizontal="center" vertical="center"/>
    </xf>
    <xf numFmtId="164" fontId="112" fillId="0" borderId="0" xfId="1" applyNumberFormat="1" applyFont="1" applyAlignment="1">
      <alignment horizontal="center" vertical="top" wrapText="1"/>
    </xf>
    <xf numFmtId="0" fontId="119" fillId="8" borderId="2" xfId="1" applyFont="1" applyFill="1" applyBorder="1" applyAlignment="1">
      <alignment horizontal="center" vertical="top"/>
    </xf>
    <xf numFmtId="0" fontId="119" fillId="0" borderId="0" xfId="1" applyFont="1" applyAlignment="1">
      <alignment horizontal="left" vertical="top"/>
    </xf>
    <xf numFmtId="0" fontId="55" fillId="0" borderId="0" xfId="0" applyFont="1" applyAlignment="1">
      <alignment horizontal="center" vertical="center"/>
    </xf>
    <xf numFmtId="0" fontId="55" fillId="11" borderId="0" xfId="0" applyFont="1" applyFill="1" applyAlignment="1">
      <alignment horizontal="center" vertical="center"/>
    </xf>
    <xf numFmtId="0" fontId="55" fillId="12" borderId="0" xfId="0" applyFont="1" applyFill="1" applyAlignment="1">
      <alignment horizontal="center" vertical="center"/>
    </xf>
    <xf numFmtId="0" fontId="55" fillId="13" borderId="0" xfId="0" applyFont="1" applyFill="1" applyAlignment="1">
      <alignment horizontal="center" vertical="center" wrapText="1"/>
    </xf>
    <xf numFmtId="0" fontId="119" fillId="0" borderId="0" xfId="1" applyFont="1" applyAlignment="1">
      <alignment vertical="top" wrapText="1"/>
    </xf>
    <xf numFmtId="0" fontId="116" fillId="0" borderId="0" xfId="1" applyFont="1" applyAlignment="1">
      <alignment horizontal="center" vertical="center" wrapText="1"/>
    </xf>
    <xf numFmtId="0" fontId="55" fillId="0" borderId="0" xfId="1" applyFont="1" applyAlignment="1">
      <alignment horizontal="center" vertical="top"/>
    </xf>
    <xf numFmtId="0" fontId="119" fillId="0" borderId="0" xfId="1" applyFont="1" applyAlignment="1">
      <alignment horizontal="left" vertical="top" wrapText="1"/>
    </xf>
    <xf numFmtId="0" fontId="55" fillId="0" borderId="0" xfId="1" applyFont="1" applyAlignment="1">
      <alignment horizontal="center" vertical="top" wrapText="1"/>
    </xf>
    <xf numFmtId="20" fontId="55" fillId="0" borderId="0" xfId="1" applyNumberFormat="1" applyFont="1" applyAlignment="1">
      <alignment horizontal="center" vertical="top"/>
    </xf>
    <xf numFmtId="0" fontId="119" fillId="0" borderId="0" xfId="1" applyFont="1" applyAlignment="1">
      <alignment horizontal="center" vertical="top"/>
    </xf>
    <xf numFmtId="2" fontId="116" fillId="0" borderId="0" xfId="1" applyNumberFormat="1" applyFont="1" applyAlignment="1">
      <alignment horizontal="center" vertical="center" wrapText="1"/>
    </xf>
    <xf numFmtId="49" fontId="18" fillId="9" borderId="2" xfId="1" applyNumberFormat="1" applyFont="1" applyFill="1" applyBorder="1" applyAlignment="1">
      <alignment horizontal="center" vertical="center" wrapText="1"/>
    </xf>
    <xf numFmtId="0" fontId="86" fillId="9" borderId="2" xfId="0" applyFont="1" applyFill="1" applyBorder="1" applyAlignment="1">
      <alignment horizontal="left" vertical="center"/>
    </xf>
    <xf numFmtId="0" fontId="86" fillId="0" borderId="0" xfId="0" applyFont="1" applyAlignment="1">
      <alignment horizontal="center"/>
    </xf>
    <xf numFmtId="49" fontId="55" fillId="0" borderId="0" xfId="0" applyNumberFormat="1" applyFont="1"/>
    <xf numFmtId="0" fontId="55" fillId="0" borderId="0" xfId="0" applyFont="1"/>
    <xf numFmtId="0" fontId="86" fillId="6" borderId="0" xfId="0" applyFont="1" applyFill="1"/>
    <xf numFmtId="0" fontId="119" fillId="0" borderId="0" xfId="8" applyFont="1" applyAlignment="1">
      <alignment horizontal="left" vertical="top"/>
    </xf>
    <xf numFmtId="3" fontId="94" fillId="10" borderId="2" xfId="8" applyNumberFormat="1" applyFont="1" applyFill="1" applyBorder="1" applyAlignment="1">
      <alignment horizontal="center" vertical="center" wrapText="1"/>
    </xf>
    <xf numFmtId="0" fontId="55" fillId="0" borderId="0" xfId="0" applyFont="1" applyAlignment="1">
      <alignment horizontal="right"/>
    </xf>
    <xf numFmtId="0" fontId="15" fillId="7" borderId="2" xfId="0" applyFont="1" applyFill="1" applyBorder="1"/>
    <xf numFmtId="0" fontId="54" fillId="0" borderId="0" xfId="1" applyFont="1" applyAlignment="1">
      <alignment wrapText="1"/>
    </xf>
    <xf numFmtId="0" fontId="126" fillId="6" borderId="0" xfId="0" applyFont="1" applyFill="1" applyAlignment="1">
      <alignment wrapText="1"/>
    </xf>
    <xf numFmtId="0" fontId="0" fillId="9" borderId="2" xfId="0" applyFill="1" applyBorder="1" applyAlignment="1">
      <alignment vertical="center"/>
    </xf>
    <xf numFmtId="0" fontId="61" fillId="0" borderId="14" xfId="0" applyFont="1" applyBorder="1" applyAlignment="1">
      <alignment horizontal="center" vertical="center"/>
    </xf>
    <xf numFmtId="0" fontId="99" fillId="0" borderId="0" xfId="0" applyFont="1" applyAlignment="1">
      <alignment vertical="center" wrapText="1"/>
    </xf>
    <xf numFmtId="0" fontId="55" fillId="0" borderId="2" xfId="0" applyFont="1" applyBorder="1" applyAlignment="1">
      <alignment horizontal="center" vertical="center" wrapText="1"/>
    </xf>
    <xf numFmtId="0" fontId="19" fillId="5" borderId="2" xfId="0" applyFont="1" applyFill="1" applyBorder="1" applyAlignment="1">
      <alignment horizontal="center" vertical="center" wrapText="1"/>
    </xf>
    <xf numFmtId="0" fontId="21" fillId="3" borderId="5" xfId="1" applyFont="1" applyFill="1" applyBorder="1" applyAlignment="1">
      <alignment horizontal="center" vertical="center" wrapText="1"/>
    </xf>
    <xf numFmtId="0" fontId="21" fillId="3" borderId="17" xfId="1" applyFont="1" applyFill="1" applyBorder="1" applyAlignment="1">
      <alignment horizontal="center" vertical="center" wrapText="1"/>
    </xf>
    <xf numFmtId="49" fontId="129" fillId="4" borderId="2" xfId="1" applyNumberFormat="1" applyFont="1" applyFill="1" applyBorder="1" applyAlignment="1">
      <alignment vertical="center" wrapText="1"/>
    </xf>
    <xf numFmtId="0" fontId="86" fillId="0" borderId="10" xfId="0" applyFont="1" applyBorder="1" applyAlignment="1">
      <alignment horizontal="center"/>
    </xf>
    <xf numFmtId="0" fontId="86" fillId="0" borderId="2" xfId="0" applyFont="1" applyBorder="1" applyAlignment="1">
      <alignment horizontal="center" vertical="center"/>
    </xf>
    <xf numFmtId="0" fontId="0" fillId="0" borderId="2" xfId="0" applyBorder="1" applyAlignment="1">
      <alignment horizontal="center" vertical="center" wrapText="1"/>
    </xf>
    <xf numFmtId="0" fontId="111" fillId="0" borderId="0" xfId="0" applyFont="1" applyAlignment="1">
      <alignment horizontal="center" vertical="center"/>
    </xf>
    <xf numFmtId="0" fontId="57" fillId="0" borderId="0" xfId="0" applyFont="1" applyAlignment="1">
      <alignment horizontal="center" wrapText="1"/>
    </xf>
    <xf numFmtId="0" fontId="0" fillId="0" borderId="0" xfId="0" applyAlignment="1">
      <alignment horizontal="center" vertical="center" wrapText="1"/>
    </xf>
    <xf numFmtId="0" fontId="45" fillId="0" borderId="2" xfId="0" applyFont="1" applyBorder="1" applyAlignment="1">
      <alignment horizontal="center" vertical="center"/>
    </xf>
    <xf numFmtId="0" fontId="45" fillId="5" borderId="2" xfId="0" applyFont="1" applyFill="1" applyBorder="1" applyAlignment="1">
      <alignment horizontal="center" vertical="center" wrapText="1"/>
    </xf>
    <xf numFmtId="0" fontId="94" fillId="5" borderId="4" xfId="0" applyFont="1" applyFill="1" applyBorder="1" applyAlignment="1">
      <alignment horizontal="center" vertical="center"/>
    </xf>
    <xf numFmtId="0" fontId="94" fillId="0" borderId="0" xfId="0" applyFont="1" applyAlignment="1">
      <alignment horizontal="center" vertical="center"/>
    </xf>
    <xf numFmtId="49" fontId="18" fillId="9" borderId="4" xfId="1" applyNumberFormat="1" applyFont="1" applyFill="1" applyBorder="1" applyAlignment="1">
      <alignment horizontal="center" vertical="center" wrapText="1"/>
    </xf>
    <xf numFmtId="0" fontId="86" fillId="9" borderId="4" xfId="0" applyFont="1" applyFill="1" applyBorder="1" applyAlignment="1">
      <alignment horizontal="left" vertical="center"/>
    </xf>
    <xf numFmtId="0" fontId="86" fillId="0" borderId="0" xfId="0" applyFont="1" applyAlignment="1">
      <alignment horizontal="left" vertical="center"/>
    </xf>
    <xf numFmtId="49" fontId="18" fillId="3" borderId="17" xfId="1" applyNumberFormat="1" applyFont="1" applyFill="1" applyBorder="1" applyAlignment="1">
      <alignment horizontal="center" vertical="center" wrapText="1"/>
    </xf>
    <xf numFmtId="49" fontId="17" fillId="0" borderId="0" xfId="1" applyNumberFormat="1" applyFont="1" applyAlignment="1">
      <alignment vertical="center" wrapText="1"/>
    </xf>
    <xf numFmtId="0" fontId="99" fillId="0" borderId="0" xfId="0" applyFont="1" applyAlignment="1">
      <alignment vertical="center"/>
    </xf>
    <xf numFmtId="0" fontId="115" fillId="0" borderId="0" xfId="0" applyFont="1" applyAlignment="1">
      <alignment vertical="center"/>
    </xf>
    <xf numFmtId="49" fontId="18" fillId="0" borderId="0" xfId="1" applyNumberFormat="1" applyFont="1" applyAlignment="1">
      <alignment vertical="top" wrapText="1"/>
    </xf>
    <xf numFmtId="0" fontId="0" fillId="0" borderId="12" xfId="0" applyBorder="1" applyAlignment="1">
      <alignment horizontal="center" vertical="center" wrapText="1"/>
    </xf>
    <xf numFmtId="0" fontId="22" fillId="0" borderId="0" xfId="8" applyFont="1" applyAlignment="1">
      <alignment vertical="top" wrapText="1"/>
    </xf>
    <xf numFmtId="0" fontId="34" fillId="6" borderId="2" xfId="0" applyFont="1" applyFill="1" applyBorder="1" applyAlignment="1">
      <alignment horizontal="center" vertical="center"/>
    </xf>
    <xf numFmtId="0" fontId="34" fillId="14" borderId="2" xfId="0" applyFont="1" applyFill="1" applyBorder="1" applyAlignment="1">
      <alignment horizontal="center" vertical="center"/>
    </xf>
    <xf numFmtId="0" fontId="49" fillId="0" borderId="0" xfId="15" applyFont="1"/>
    <xf numFmtId="0" fontId="49" fillId="0" borderId="0" xfId="15" applyFont="1" applyAlignment="1">
      <alignment horizontal="left" vertical="center"/>
    </xf>
    <xf numFmtId="0" fontId="56" fillId="0" borderId="0" xfId="0" applyFont="1" applyAlignment="1">
      <alignment vertical="center" wrapText="1"/>
    </xf>
    <xf numFmtId="0" fontId="50" fillId="0" borderId="0" xfId="0" applyFont="1"/>
    <xf numFmtId="0" fontId="67" fillId="0" borderId="0" xfId="0" applyFont="1"/>
    <xf numFmtId="49" fontId="17" fillId="3" borderId="2" xfId="1" applyNumberFormat="1" applyFont="1" applyFill="1" applyBorder="1" applyAlignment="1">
      <alignment horizontal="center" vertical="top" wrapText="1"/>
    </xf>
    <xf numFmtId="0" fontId="136" fillId="3" borderId="2" xfId="1" applyFont="1" applyFill="1" applyBorder="1" applyAlignment="1">
      <alignment horizontal="center" vertical="center"/>
    </xf>
    <xf numFmtId="0" fontId="55" fillId="9" borderId="13" xfId="0" applyFont="1" applyFill="1" applyBorder="1"/>
    <xf numFmtId="0" fontId="55" fillId="9" borderId="12" xfId="0" applyFont="1" applyFill="1" applyBorder="1"/>
    <xf numFmtId="0" fontId="58" fillId="3" borderId="2" xfId="1" applyFont="1" applyFill="1" applyBorder="1" applyAlignment="1">
      <alignment horizontal="left" vertical="center"/>
    </xf>
    <xf numFmtId="0" fontId="42" fillId="6" borderId="0" xfId="4" applyFont="1" applyFill="1"/>
    <xf numFmtId="0" fontId="35" fillId="14" borderId="0" xfId="4" applyFont="1" applyFill="1"/>
    <xf numFmtId="0" fontId="35" fillId="14" borderId="2" xfId="4" applyFont="1" applyFill="1" applyBorder="1"/>
    <xf numFmtId="0" fontId="43" fillId="14" borderId="12" xfId="0" applyFont="1" applyFill="1" applyBorder="1" applyAlignment="1">
      <alignment horizontal="left" vertical="center"/>
    </xf>
    <xf numFmtId="0" fontId="42" fillId="14" borderId="13" xfId="0" applyFont="1" applyFill="1" applyBorder="1" applyAlignment="1">
      <alignment horizontal="left" vertical="top"/>
    </xf>
    <xf numFmtId="0" fontId="0" fillId="14" borderId="13" xfId="0" applyFill="1" applyBorder="1" applyAlignment="1">
      <alignment horizontal="left" vertical="top"/>
    </xf>
    <xf numFmtId="0" fontId="43" fillId="14" borderId="13" xfId="0" applyFont="1" applyFill="1" applyBorder="1" applyAlignment="1">
      <alignment horizontal="right" vertical="center"/>
    </xf>
    <xf numFmtId="0" fontId="86" fillId="14" borderId="12" xfId="0" applyFont="1" applyFill="1" applyBorder="1" applyAlignment="1">
      <alignment horizontal="right" vertical="center"/>
    </xf>
    <xf numFmtId="0" fontId="8" fillId="6" borderId="14" xfId="0" applyFont="1" applyFill="1" applyBorder="1" applyAlignment="1">
      <alignment horizontal="left" vertical="top"/>
    </xf>
    <xf numFmtId="0" fontId="0" fillId="6" borderId="1" xfId="0" applyFill="1" applyBorder="1" applyAlignment="1">
      <alignment horizontal="left" vertical="top"/>
    </xf>
    <xf numFmtId="0" fontId="11" fillId="6" borderId="1" xfId="0" applyFont="1" applyFill="1" applyBorder="1" applyAlignment="1">
      <alignment horizontal="left" vertical="top"/>
    </xf>
    <xf numFmtId="0" fontId="43" fillId="14" borderId="16" xfId="0" applyFont="1" applyFill="1" applyBorder="1" applyAlignment="1">
      <alignment horizontal="left" vertical="center"/>
    </xf>
    <xf numFmtId="0" fontId="42" fillId="14" borderId="1" xfId="0" applyFont="1" applyFill="1" applyBorder="1" applyAlignment="1">
      <alignment horizontal="left" vertical="top"/>
    </xf>
    <xf numFmtId="0" fontId="0" fillId="14" borderId="1" xfId="0" applyFill="1" applyBorder="1" applyAlignment="1">
      <alignment horizontal="left" vertical="top"/>
    </xf>
    <xf numFmtId="0" fontId="43" fillId="14" borderId="1" xfId="0" applyFont="1" applyFill="1" applyBorder="1" applyAlignment="1">
      <alignment horizontal="right" vertical="center"/>
    </xf>
    <xf numFmtId="0" fontId="86" fillId="14" borderId="16" xfId="0" applyFont="1" applyFill="1" applyBorder="1" applyAlignment="1">
      <alignment horizontal="right" vertical="center"/>
    </xf>
    <xf numFmtId="0" fontId="0" fillId="0" borderId="14" xfId="0" applyBorder="1"/>
    <xf numFmtId="0" fontId="0" fillId="0" borderId="15" xfId="0" applyBorder="1"/>
    <xf numFmtId="0" fontId="8" fillId="6" borderId="11" xfId="0" applyFont="1" applyFill="1" applyBorder="1" applyAlignment="1">
      <alignment horizontal="left" vertical="top"/>
    </xf>
    <xf numFmtId="0" fontId="0" fillId="6" borderId="14" xfId="0" applyFill="1" applyBorder="1"/>
    <xf numFmtId="0" fontId="0" fillId="6" borderId="14" xfId="0" applyFill="1" applyBorder="1" applyAlignment="1">
      <alignment horizontal="center"/>
    </xf>
    <xf numFmtId="0" fontId="0" fillId="6" borderId="15" xfId="0" applyFill="1" applyBorder="1"/>
    <xf numFmtId="0" fontId="10" fillId="6" borderId="8" xfId="0" applyFont="1" applyFill="1" applyBorder="1" applyAlignment="1">
      <alignment horizontal="left" vertical="top"/>
    </xf>
    <xf numFmtId="0" fontId="11" fillId="6" borderId="0" xfId="0" applyFont="1" applyFill="1" applyAlignment="1">
      <alignment horizontal="left" vertical="top"/>
    </xf>
    <xf numFmtId="0" fontId="0" fillId="6" borderId="0" xfId="0" applyFill="1" applyAlignment="1">
      <alignment horizontal="left" vertical="top"/>
    </xf>
    <xf numFmtId="0" fontId="8" fillId="6" borderId="0" xfId="0" applyFont="1" applyFill="1" applyAlignment="1">
      <alignment horizontal="left" vertical="top"/>
    </xf>
    <xf numFmtId="0" fontId="0" fillId="6" borderId="9" xfId="0" applyFill="1" applyBorder="1" applyAlignment="1">
      <alignment horizontal="left" vertical="top"/>
    </xf>
    <xf numFmtId="0" fontId="43" fillId="14" borderId="12" xfId="0" applyFont="1" applyFill="1" applyBorder="1" applyAlignment="1">
      <alignment horizontal="right" vertical="center"/>
    </xf>
    <xf numFmtId="0" fontId="0" fillId="7" borderId="14" xfId="0" applyFill="1" applyBorder="1"/>
    <xf numFmtId="0" fontId="0" fillId="7" borderId="15" xfId="0" applyFill="1" applyBorder="1"/>
    <xf numFmtId="0" fontId="55" fillId="6" borderId="8" xfId="0" applyFont="1" applyFill="1" applyBorder="1"/>
    <xf numFmtId="0" fontId="15" fillId="6" borderId="0" xfId="0" applyFont="1" applyFill="1"/>
    <xf numFmtId="0" fontId="0" fillId="6" borderId="0" xfId="0" applyFill="1"/>
    <xf numFmtId="0" fontId="0" fillId="7" borderId="9" xfId="0" applyFill="1" applyBorder="1"/>
    <xf numFmtId="0" fontId="55" fillId="6" borderId="0" xfId="0" applyFont="1" applyFill="1"/>
    <xf numFmtId="0" fontId="55" fillId="0" borderId="8" xfId="0" applyFont="1" applyBorder="1"/>
    <xf numFmtId="0" fontId="0" fillId="0" borderId="9" xfId="0" applyBorder="1"/>
    <xf numFmtId="0" fontId="55" fillId="6" borderId="12" xfId="0" applyFont="1" applyFill="1" applyBorder="1"/>
    <xf numFmtId="0" fontId="55" fillId="6" borderId="12" xfId="0" applyFont="1" applyFill="1" applyBorder="1" applyAlignment="1">
      <alignment horizontal="left"/>
    </xf>
    <xf numFmtId="0" fontId="0" fillId="0" borderId="1" xfId="0" applyBorder="1"/>
    <xf numFmtId="0" fontId="0" fillId="0" borderId="16" xfId="0" applyBorder="1"/>
    <xf numFmtId="0" fontId="89" fillId="9" borderId="2" xfId="0" applyFont="1" applyFill="1" applyBorder="1" applyAlignment="1">
      <alignment horizontal="center" vertical="center"/>
    </xf>
    <xf numFmtId="0" fontId="133" fillId="9" borderId="2" xfId="0" applyFont="1" applyFill="1" applyBorder="1"/>
    <xf numFmtId="0" fontId="13" fillId="9" borderId="2" xfId="0" applyFont="1" applyFill="1" applyBorder="1" applyAlignment="1">
      <alignment vertical="center"/>
    </xf>
    <xf numFmtId="0" fontId="13" fillId="9" borderId="10" xfId="0" applyFont="1" applyFill="1" applyBorder="1"/>
    <xf numFmtId="0" fontId="13" fillId="9" borderId="10" xfId="0" applyFont="1" applyFill="1" applyBorder="1" applyAlignment="1">
      <alignment horizontal="left"/>
    </xf>
    <xf numFmtId="0" fontId="33" fillId="0" borderId="10" xfId="0" applyFont="1" applyBorder="1"/>
    <xf numFmtId="0" fontId="0" fillId="0" borderId="13" xfId="0" applyBorder="1"/>
    <xf numFmtId="0" fontId="0" fillId="0" borderId="12" xfId="0" applyBorder="1"/>
    <xf numFmtId="0" fontId="51" fillId="0" borderId="0" xfId="0" applyFont="1" applyAlignment="1">
      <alignment wrapText="1"/>
    </xf>
    <xf numFmtId="0" fontId="15" fillId="0" borderId="0" xfId="0" applyFont="1" applyAlignment="1">
      <alignment wrapText="1"/>
    </xf>
    <xf numFmtId="0" fontId="0" fillId="0" borderId="0" xfId="0" applyAlignment="1">
      <alignment vertical="top"/>
    </xf>
    <xf numFmtId="0" fontId="68" fillId="0" borderId="0" xfId="0" applyFont="1" applyAlignment="1">
      <alignment vertical="top"/>
    </xf>
    <xf numFmtId="0" fontId="14" fillId="0" borderId="0" xfId="0" applyFont="1"/>
    <xf numFmtId="0" fontId="133" fillId="8" borderId="2" xfId="0" applyFont="1" applyFill="1" applyBorder="1"/>
    <xf numFmtId="0" fontId="86" fillId="8" borderId="2" xfId="0" applyFont="1" applyFill="1" applyBorder="1" applyAlignment="1">
      <alignment horizontal="center"/>
    </xf>
    <xf numFmtId="0" fontId="34" fillId="8" borderId="2" xfId="0" applyFont="1" applyFill="1" applyBorder="1" applyAlignment="1">
      <alignment horizontal="center" vertical="center"/>
    </xf>
    <xf numFmtId="0" fontId="33" fillId="0" borderId="11" xfId="0" applyFont="1" applyBorder="1"/>
    <xf numFmtId="0" fontId="22" fillId="6" borderId="0" xfId="8" applyFont="1" applyFill="1" applyAlignment="1">
      <alignment horizontal="left" vertical="top"/>
    </xf>
    <xf numFmtId="0" fontId="61" fillId="5" borderId="2" xfId="0" applyFont="1" applyFill="1" applyBorder="1" applyAlignment="1">
      <alignment horizontal="center" vertical="center"/>
    </xf>
    <xf numFmtId="0" fontId="61" fillId="5" borderId="2" xfId="0" applyFont="1" applyFill="1" applyBorder="1" applyAlignment="1">
      <alignment horizontal="center" vertical="center" wrapText="1"/>
    </xf>
    <xf numFmtId="0" fontId="86" fillId="6" borderId="2" xfId="0" applyFont="1" applyFill="1" applyBorder="1" applyAlignment="1">
      <alignment horizontal="center" vertical="center" wrapText="1"/>
    </xf>
    <xf numFmtId="49" fontId="32" fillId="14" borderId="2" xfId="1" applyNumberFormat="1" applyFont="1" applyFill="1" applyBorder="1" applyAlignment="1">
      <alignment horizontal="center" vertical="top" wrapText="1"/>
    </xf>
    <xf numFmtId="49" fontId="18" fillId="14" borderId="6" xfId="1" applyNumberFormat="1" applyFont="1" applyFill="1" applyBorder="1" applyAlignment="1">
      <alignment horizontal="center" vertical="top" wrapText="1"/>
    </xf>
    <xf numFmtId="49" fontId="18" fillId="14" borderId="17" xfId="1" applyNumberFormat="1" applyFont="1" applyFill="1" applyBorder="1" applyAlignment="1">
      <alignment horizontal="center" vertical="top" wrapText="1"/>
    </xf>
    <xf numFmtId="49" fontId="18" fillId="14" borderId="6" xfId="1" applyNumberFormat="1" applyFont="1" applyFill="1" applyBorder="1" applyAlignment="1">
      <alignment horizontal="center" vertical="center" wrapText="1"/>
    </xf>
    <xf numFmtId="0" fontId="45" fillId="14" borderId="0" xfId="0" applyFont="1" applyFill="1" applyAlignment="1">
      <alignment horizontal="center" vertical="center" wrapText="1"/>
    </xf>
    <xf numFmtId="0" fontId="45" fillId="14" borderId="2" xfId="0" applyFont="1" applyFill="1" applyBorder="1" applyAlignment="1">
      <alignment horizontal="right" vertical="center"/>
    </xf>
    <xf numFmtId="0" fontId="63" fillId="14" borderId="2" xfId="0" applyFont="1" applyFill="1" applyBorder="1" applyAlignment="1">
      <alignment horizontal="center" vertical="center"/>
    </xf>
    <xf numFmtId="0" fontId="86" fillId="3" borderId="0" xfId="0" applyFont="1" applyFill="1"/>
    <xf numFmtId="0" fontId="21" fillId="14" borderId="4" xfId="1" applyFont="1" applyFill="1" applyBorder="1" applyAlignment="1">
      <alignment horizontal="center" vertical="center" wrapText="1"/>
    </xf>
    <xf numFmtId="0" fontId="55" fillId="6" borderId="2" xfId="1" applyFont="1" applyFill="1" applyBorder="1" applyAlignment="1">
      <alignment horizontal="center" vertical="center" wrapText="1"/>
    </xf>
    <xf numFmtId="0" fontId="55" fillId="6" borderId="2" xfId="1" applyFont="1" applyFill="1" applyBorder="1" applyAlignment="1">
      <alignment horizontal="center" vertical="top"/>
    </xf>
    <xf numFmtId="0" fontId="55" fillId="6" borderId="2" xfId="1" applyFont="1" applyFill="1" applyBorder="1" applyAlignment="1">
      <alignment horizontal="center" vertical="top" wrapText="1"/>
    </xf>
    <xf numFmtId="0" fontId="86" fillId="3" borderId="2" xfId="0" applyFont="1" applyFill="1" applyBorder="1" applyAlignment="1">
      <alignment horizontal="center"/>
    </xf>
    <xf numFmtId="0" fontId="86" fillId="6" borderId="2" xfId="0" applyFont="1" applyFill="1" applyBorder="1" applyAlignment="1">
      <alignment horizontal="center"/>
    </xf>
    <xf numFmtId="0" fontId="57" fillId="6" borderId="10" xfId="0" applyFont="1" applyFill="1" applyBorder="1" applyAlignment="1">
      <alignment horizontal="center" vertical="center"/>
    </xf>
    <xf numFmtId="0" fontId="23" fillId="6" borderId="0" xfId="0" applyFont="1" applyFill="1"/>
    <xf numFmtId="0" fontId="57" fillId="6" borderId="2" xfId="0" applyFont="1" applyFill="1" applyBorder="1" applyAlignment="1">
      <alignment horizontal="center" vertical="center"/>
    </xf>
    <xf numFmtId="0" fontId="61" fillId="6" borderId="10" xfId="0" applyFont="1" applyFill="1" applyBorder="1" applyAlignment="1">
      <alignment horizontal="center" vertical="center" wrapText="1"/>
    </xf>
    <xf numFmtId="0" fontId="55" fillId="6" borderId="2" xfId="0" applyFont="1" applyFill="1" applyBorder="1" applyAlignment="1">
      <alignment horizontal="center" vertical="center"/>
    </xf>
    <xf numFmtId="0" fontId="55" fillId="6" borderId="2" xfId="0" applyFont="1" applyFill="1" applyBorder="1" applyAlignment="1">
      <alignment horizontal="center" vertical="center" wrapText="1"/>
    </xf>
    <xf numFmtId="0" fontId="99" fillId="4" borderId="2" xfId="0" applyFont="1" applyFill="1" applyBorder="1" applyAlignment="1">
      <alignment vertical="center" wrapText="1"/>
    </xf>
    <xf numFmtId="49" fontId="99" fillId="4" borderId="2" xfId="0" applyNumberFormat="1" applyFont="1" applyFill="1" applyBorder="1" applyAlignment="1">
      <alignment vertical="center" wrapText="1"/>
    </xf>
    <xf numFmtId="0" fontId="23" fillId="5" borderId="2" xfId="0" applyFont="1" applyFill="1" applyBorder="1" applyAlignment="1">
      <alignment horizontal="center" vertical="center"/>
    </xf>
    <xf numFmtId="0" fontId="23" fillId="5" borderId="12" xfId="0" applyFont="1" applyFill="1" applyBorder="1" applyAlignment="1">
      <alignment horizontal="center" vertical="center"/>
    </xf>
    <xf numFmtId="0" fontId="125" fillId="0" borderId="0" xfId="0" applyFont="1" applyAlignment="1">
      <alignment horizontal="center"/>
    </xf>
    <xf numFmtId="0" fontId="127" fillId="0" borderId="0" xfId="0" applyFont="1" applyAlignment="1">
      <alignment horizontal="center" vertical="center"/>
    </xf>
    <xf numFmtId="0" fontId="129" fillId="4" borderId="2" xfId="1" applyFont="1" applyFill="1" applyBorder="1" applyAlignment="1">
      <alignment horizontal="center" vertical="center" wrapText="1"/>
    </xf>
    <xf numFmtId="0" fontId="45" fillId="3" borderId="16" xfId="0" applyFont="1" applyFill="1" applyBorder="1" applyAlignment="1">
      <alignment vertical="center"/>
    </xf>
    <xf numFmtId="2" fontId="18" fillId="3" borderId="2" xfId="1" applyNumberFormat="1" applyFont="1" applyFill="1" applyBorder="1" applyAlignment="1">
      <alignment horizontal="center" vertical="center" wrapText="1"/>
    </xf>
    <xf numFmtId="0" fontId="15" fillId="6" borderId="2" xfId="0" applyFont="1" applyFill="1" applyBorder="1" applyAlignment="1">
      <alignment horizontal="center" vertical="center"/>
    </xf>
    <xf numFmtId="0" fontId="23" fillId="6" borderId="0" xfId="0" applyFont="1" applyFill="1" applyAlignment="1">
      <alignment vertical="center"/>
    </xf>
    <xf numFmtId="0" fontId="67" fillId="6" borderId="0" xfId="0" applyFont="1" applyFill="1" applyAlignment="1">
      <alignment vertical="center"/>
    </xf>
    <xf numFmtId="0" fontId="0" fillId="6" borderId="0" xfId="0" applyFill="1" applyAlignment="1">
      <alignment vertical="center"/>
    </xf>
    <xf numFmtId="0" fontId="55" fillId="6" borderId="2" xfId="1" applyFont="1" applyFill="1" applyBorder="1" applyAlignment="1">
      <alignment horizontal="center" vertical="center"/>
    </xf>
    <xf numFmtId="0" fontId="82" fillId="5" borderId="4" xfId="1" applyFont="1" applyFill="1" applyBorder="1" applyAlignment="1">
      <alignment horizontal="center" vertical="center"/>
    </xf>
    <xf numFmtId="0" fontId="22" fillId="0" borderId="6" xfId="1" applyFont="1" applyBorder="1" applyAlignment="1">
      <alignment horizontal="center" vertical="center" wrapText="1"/>
    </xf>
    <xf numFmtId="0" fontId="15" fillId="6" borderId="2" xfId="0" applyFont="1" applyFill="1" applyBorder="1" applyAlignment="1">
      <alignment horizontal="left" vertical="center" wrapText="1"/>
    </xf>
    <xf numFmtId="49" fontId="32" fillId="6" borderId="2" xfId="1" applyNumberFormat="1" applyFont="1" applyFill="1" applyBorder="1" applyAlignment="1">
      <alignment horizontal="center" vertical="center" wrapText="1"/>
    </xf>
    <xf numFmtId="2" fontId="32" fillId="6" borderId="2" xfId="1" applyNumberFormat="1" applyFont="1" applyFill="1" applyBorder="1" applyAlignment="1">
      <alignment horizontal="center" vertical="center" wrapText="1"/>
    </xf>
    <xf numFmtId="49" fontId="32" fillId="6" borderId="0" xfId="1" applyNumberFormat="1" applyFont="1" applyFill="1" applyAlignment="1">
      <alignment horizontal="center" vertical="center" wrapText="1"/>
    </xf>
    <xf numFmtId="0" fontId="62" fillId="6" borderId="8" xfId="0" applyFont="1" applyFill="1" applyBorder="1" applyAlignment="1">
      <alignment horizontal="center" vertical="center" wrapText="1"/>
    </xf>
    <xf numFmtId="0" fontId="62" fillId="6" borderId="0" xfId="0" applyFont="1" applyFill="1" applyAlignment="1">
      <alignment horizontal="center" vertical="center" wrapText="1"/>
    </xf>
    <xf numFmtId="0" fontId="21" fillId="6" borderId="0" xfId="1" applyFont="1" applyFill="1" applyAlignment="1">
      <alignment vertical="center" wrapText="1"/>
    </xf>
    <xf numFmtId="0" fontId="61" fillId="3" borderId="16" xfId="0" applyFont="1" applyFill="1" applyBorder="1" applyAlignment="1">
      <alignment vertical="center"/>
    </xf>
    <xf numFmtId="0" fontId="123" fillId="0" borderId="0" xfId="1" applyFont="1" applyAlignment="1">
      <alignment horizontal="center" vertical="center" wrapText="1"/>
    </xf>
    <xf numFmtId="0" fontId="131" fillId="0" borderId="0" xfId="1" applyFont="1" applyAlignment="1">
      <alignment horizontal="center" vertical="center" wrapText="1"/>
    </xf>
    <xf numFmtId="0" fontId="135" fillId="0" borderId="0" xfId="0" applyFont="1" applyAlignment="1">
      <alignment horizontal="center" vertical="center"/>
    </xf>
    <xf numFmtId="0" fontId="86" fillId="6" borderId="0" xfId="0" applyFont="1" applyFill="1" applyAlignment="1">
      <alignment vertical="center"/>
    </xf>
    <xf numFmtId="0" fontId="143" fillId="6" borderId="2" xfId="0" applyFont="1" applyFill="1" applyBorder="1" applyAlignment="1">
      <alignment horizontal="center" vertical="center"/>
    </xf>
    <xf numFmtId="0" fontId="89" fillId="6" borderId="2" xfId="0" applyFont="1" applyFill="1" applyBorder="1" applyAlignment="1">
      <alignment horizontal="center" vertical="center"/>
    </xf>
    <xf numFmtId="0" fontId="55" fillId="6" borderId="2" xfId="0" applyFont="1" applyFill="1" applyBorder="1" applyAlignment="1">
      <alignment horizontal="left" vertical="center"/>
    </xf>
    <xf numFmtId="0" fontId="55" fillId="6" borderId="2" xfId="0" applyFont="1" applyFill="1" applyBorder="1" applyAlignment="1">
      <alignment horizontal="left" vertical="center" wrapText="1"/>
    </xf>
    <xf numFmtId="0" fontId="89" fillId="14" borderId="2" xfId="0" applyFont="1" applyFill="1" applyBorder="1" applyAlignment="1">
      <alignment horizontal="center" vertical="center"/>
    </xf>
    <xf numFmtId="0" fontId="52" fillId="6" borderId="0" xfId="0" applyFont="1" applyFill="1"/>
    <xf numFmtId="14" fontId="0" fillId="0" borderId="5" xfId="0" applyNumberFormat="1" applyBorder="1"/>
    <xf numFmtId="14" fontId="0" fillId="0" borderId="4" xfId="0" applyNumberFormat="1" applyBorder="1"/>
    <xf numFmtId="0" fontId="38" fillId="17" borderId="17" xfId="0" applyFont="1" applyFill="1" applyBorder="1"/>
    <xf numFmtId="0" fontId="38" fillId="17" borderId="1" xfId="0" applyFont="1" applyFill="1" applyBorder="1"/>
    <xf numFmtId="0" fontId="38" fillId="17" borderId="1" xfId="0" applyFont="1" applyFill="1" applyBorder="1" applyAlignment="1">
      <alignment horizontal="left"/>
    </xf>
    <xf numFmtId="0" fontId="38" fillId="17" borderId="16" xfId="0" applyFont="1" applyFill="1" applyBorder="1"/>
    <xf numFmtId="0" fontId="15" fillId="0" borderId="2" xfId="0" applyFont="1" applyBorder="1"/>
    <xf numFmtId="0" fontId="38" fillId="17" borderId="2" xfId="0" applyFont="1" applyFill="1" applyBorder="1"/>
    <xf numFmtId="0" fontId="55" fillId="17" borderId="12" xfId="0" applyFont="1" applyFill="1" applyBorder="1"/>
    <xf numFmtId="0" fontId="15" fillId="17" borderId="2" xfId="0" applyFont="1" applyFill="1" applyBorder="1"/>
    <xf numFmtId="0" fontId="23" fillId="17" borderId="0" xfId="0" applyFont="1" applyFill="1"/>
    <xf numFmtId="0" fontId="0" fillId="17" borderId="0" xfId="0" applyFill="1"/>
    <xf numFmtId="0" fontId="0" fillId="17" borderId="0" xfId="0" applyFill="1" applyAlignment="1">
      <alignment vertical="center"/>
    </xf>
    <xf numFmtId="0" fontId="126" fillId="17" borderId="10" xfId="0" applyFont="1" applyFill="1" applyBorder="1" applyAlignment="1">
      <alignment horizontal="center" vertical="center"/>
    </xf>
    <xf numFmtId="0" fontId="86" fillId="0" borderId="15" xfId="0" applyFont="1" applyBorder="1"/>
    <xf numFmtId="0" fontId="0" fillId="0" borderId="9" xfId="0" applyBorder="1" applyAlignment="1">
      <alignment wrapText="1"/>
    </xf>
    <xf numFmtId="0" fontId="14" fillId="0" borderId="0" xfId="0" applyFont="1" applyAlignment="1">
      <alignment wrapText="1"/>
    </xf>
    <xf numFmtId="0" fontId="49" fillId="14" borderId="9" xfId="0" applyFont="1" applyFill="1" applyBorder="1"/>
    <xf numFmtId="0" fontId="144" fillId="0" borderId="9" xfId="4" applyFont="1" applyBorder="1" applyAlignment="1">
      <alignment wrapText="1"/>
    </xf>
    <xf numFmtId="14" fontId="0" fillId="0" borderId="9" xfId="0" applyNumberFormat="1" applyBorder="1"/>
    <xf numFmtId="0" fontId="0" fillId="11" borderId="9" xfId="0" applyFill="1" applyBorder="1"/>
    <xf numFmtId="0" fontId="2" fillId="19" borderId="0" xfId="4" applyFont="1" applyFill="1"/>
    <xf numFmtId="49" fontId="2" fillId="19" borderId="0" xfId="4" applyNumberFormat="1" applyFont="1" applyFill="1" applyAlignment="1">
      <alignment horizontal="left"/>
    </xf>
    <xf numFmtId="49" fontId="32" fillId="17" borderId="2" xfId="1" applyNumberFormat="1" applyFont="1" applyFill="1" applyBorder="1" applyAlignment="1">
      <alignment horizontal="center" vertical="top" wrapText="1"/>
    </xf>
    <xf numFmtId="0" fontId="55" fillId="17" borderId="2" xfId="1" applyFont="1" applyFill="1" applyBorder="1" applyAlignment="1">
      <alignment horizontal="center" vertical="top"/>
    </xf>
    <xf numFmtId="0" fontId="55" fillId="17" borderId="2" xfId="1" applyFont="1" applyFill="1" applyBorder="1" applyAlignment="1">
      <alignment horizontal="center" vertical="top" wrapText="1"/>
    </xf>
    <xf numFmtId="0" fontId="38" fillId="17" borderId="2" xfId="1" applyFont="1" applyFill="1" applyBorder="1" applyAlignment="1">
      <alignment horizontal="center" vertical="top"/>
    </xf>
    <xf numFmtId="49" fontId="99" fillId="17" borderId="2" xfId="0" applyNumberFormat="1" applyFont="1" applyFill="1" applyBorder="1" applyAlignment="1">
      <alignment wrapText="1"/>
    </xf>
    <xf numFmtId="0" fontId="154" fillId="0" borderId="0" xfId="0" applyFont="1" applyAlignment="1">
      <alignment vertical="center"/>
    </xf>
    <xf numFmtId="0" fontId="155" fillId="17" borderId="10" xfId="0" applyFont="1" applyFill="1" applyBorder="1" applyAlignment="1">
      <alignment horizontal="left"/>
    </xf>
    <xf numFmtId="0" fontId="160" fillId="9" borderId="2" xfId="0" applyFont="1" applyFill="1" applyBorder="1" applyAlignment="1">
      <alignment vertical="center"/>
    </xf>
    <xf numFmtId="0" fontId="41" fillId="17" borderId="2" xfId="0" applyFont="1" applyFill="1" applyBorder="1" applyAlignment="1">
      <alignment horizontal="center" vertical="center"/>
    </xf>
    <xf numFmtId="0" fontId="99" fillId="9" borderId="14" xfId="0" applyFont="1" applyFill="1" applyBorder="1" applyAlignment="1">
      <alignment horizontal="center" vertical="center"/>
    </xf>
    <xf numFmtId="0" fontId="99" fillId="9" borderId="0" xfId="0" applyFont="1" applyFill="1" applyAlignment="1">
      <alignment horizontal="center" vertical="center"/>
    </xf>
    <xf numFmtId="0" fontId="99" fillId="9" borderId="9" xfId="0" applyFont="1" applyFill="1" applyBorder="1" applyAlignment="1">
      <alignment horizontal="center" vertical="center"/>
    </xf>
    <xf numFmtId="0" fontId="52" fillId="6" borderId="10" xfId="0" applyFont="1" applyFill="1" applyBorder="1" applyAlignment="1">
      <alignment horizontal="left"/>
    </xf>
    <xf numFmtId="0" fontId="52" fillId="6" borderId="13" xfId="0" applyFont="1" applyFill="1" applyBorder="1" applyAlignment="1">
      <alignment horizontal="left"/>
    </xf>
    <xf numFmtId="0" fontId="52" fillId="6" borderId="12" xfId="0" applyFont="1" applyFill="1" applyBorder="1" applyAlignment="1">
      <alignment horizontal="left"/>
    </xf>
    <xf numFmtId="49" fontId="159" fillId="17" borderId="6" xfId="1" applyNumberFormat="1" applyFont="1" applyFill="1" applyBorder="1" applyAlignment="1">
      <alignment horizontal="center" vertical="center" wrapText="1"/>
    </xf>
    <xf numFmtId="49" fontId="159" fillId="17" borderId="2" xfId="1" applyNumberFormat="1" applyFont="1" applyFill="1" applyBorder="1" applyAlignment="1">
      <alignment horizontal="center" vertical="center" wrapText="1"/>
    </xf>
    <xf numFmtId="0" fontId="63" fillId="5" borderId="5" xfId="0" applyFont="1" applyFill="1" applyBorder="1" applyAlignment="1">
      <alignment horizontal="center" vertical="center" wrapText="1"/>
    </xf>
    <xf numFmtId="0" fontId="2" fillId="0" borderId="0" xfId="4" applyFont="1" applyAlignment="1">
      <alignment horizontal="left"/>
    </xf>
    <xf numFmtId="0" fontId="2" fillId="0" borderId="0" xfId="4" applyFont="1" applyAlignment="1">
      <alignment wrapText="1"/>
    </xf>
    <xf numFmtId="0" fontId="2" fillId="0" borderId="0" xfId="4" applyFont="1" applyAlignment="1">
      <alignment horizontal="center" vertical="center"/>
    </xf>
    <xf numFmtId="0" fontId="67" fillId="17" borderId="8" xfId="0" applyFont="1" applyFill="1" applyBorder="1" applyAlignment="1">
      <alignment horizontal="center"/>
    </xf>
    <xf numFmtId="0" fontId="15" fillId="9" borderId="13" xfId="0" applyFont="1" applyFill="1" applyBorder="1"/>
    <xf numFmtId="0" fontId="0" fillId="10" borderId="0" xfId="0" applyFill="1" applyAlignment="1">
      <alignment horizontal="center"/>
    </xf>
    <xf numFmtId="0" fontId="55" fillId="6" borderId="13" xfId="0" applyFont="1" applyFill="1" applyBorder="1" applyAlignment="1">
      <alignment horizontal="left"/>
    </xf>
    <xf numFmtId="49" fontId="0" fillId="3" borderId="2" xfId="0" applyNumberFormat="1" applyFill="1" applyBorder="1" applyAlignment="1">
      <alignment horizontal="center" vertical="center"/>
    </xf>
    <xf numFmtId="0" fontId="13" fillId="9" borderId="10" xfId="0" applyFont="1" applyFill="1" applyBorder="1" applyAlignment="1">
      <alignment horizontal="left" vertical="center"/>
    </xf>
    <xf numFmtId="0" fontId="13" fillId="9" borderId="2" xfId="0" applyFont="1" applyFill="1" applyBorder="1" applyAlignment="1">
      <alignment horizontal="left"/>
    </xf>
    <xf numFmtId="0" fontId="13" fillId="8" borderId="2" xfId="0" applyFont="1" applyFill="1" applyBorder="1" applyAlignment="1">
      <alignment horizontal="left"/>
    </xf>
    <xf numFmtId="0" fontId="15" fillId="0" borderId="0" xfId="0" applyFont="1" applyAlignment="1">
      <alignment horizontal="center"/>
    </xf>
    <xf numFmtId="0" fontId="99" fillId="9" borderId="2" xfId="0" applyFont="1" applyFill="1" applyBorder="1" applyAlignment="1">
      <alignment horizontal="center" vertical="center"/>
    </xf>
    <xf numFmtId="0" fontId="94" fillId="6" borderId="0" xfId="0" applyFont="1" applyFill="1" applyAlignment="1">
      <alignment horizontal="left" vertical="center" wrapText="1"/>
    </xf>
    <xf numFmtId="0" fontId="57" fillId="5" borderId="2" xfId="0" applyFont="1" applyFill="1" applyBorder="1" applyAlignment="1">
      <alignment horizontal="center" vertical="center"/>
    </xf>
    <xf numFmtId="0" fontId="61" fillId="6" borderId="2" xfId="0" applyFont="1" applyFill="1" applyBorder="1" applyAlignment="1">
      <alignment horizontal="center" vertical="center"/>
    </xf>
    <xf numFmtId="49" fontId="32" fillId="3" borderId="2" xfId="1" applyNumberFormat="1" applyFont="1" applyFill="1" applyBorder="1" applyAlignment="1">
      <alignment horizontal="center" vertical="center" wrapText="1"/>
    </xf>
    <xf numFmtId="0" fontId="61" fillId="6" borderId="2" xfId="0" applyFont="1" applyFill="1" applyBorder="1" applyAlignment="1">
      <alignment horizontal="center" vertical="center" wrapText="1"/>
    </xf>
    <xf numFmtId="0" fontId="57" fillId="0" borderId="10" xfId="0" applyFont="1" applyBorder="1" applyAlignment="1">
      <alignment horizontal="center" vertical="center"/>
    </xf>
    <xf numFmtId="0" fontId="57" fillId="0" borderId="13" xfId="0" applyFont="1" applyBorder="1" applyAlignment="1">
      <alignment horizontal="center" vertical="center"/>
    </xf>
    <xf numFmtId="0" fontId="57" fillId="0" borderId="12" xfId="0" applyFont="1" applyBorder="1" applyAlignment="1">
      <alignment horizontal="center" vertical="center"/>
    </xf>
    <xf numFmtId="0" fontId="33" fillId="0" borderId="0" xfId="0" applyFont="1" applyAlignment="1">
      <alignment horizontal="left" vertical="center" wrapText="1"/>
    </xf>
    <xf numFmtId="0" fontId="0" fillId="0" borderId="2" xfId="0" applyBorder="1" applyAlignment="1">
      <alignment horizontal="center" vertical="center"/>
    </xf>
    <xf numFmtId="0" fontId="45" fillId="3" borderId="10" xfId="0" applyFont="1" applyFill="1" applyBorder="1" applyAlignment="1">
      <alignment horizontal="center" vertical="center" wrapText="1"/>
    </xf>
    <xf numFmtId="49" fontId="18" fillId="3" borderId="12" xfId="1" applyNumberFormat="1" applyFont="1" applyFill="1" applyBorder="1" applyAlignment="1">
      <alignment horizontal="center" vertical="center" wrapText="1"/>
    </xf>
    <xf numFmtId="0" fontId="99" fillId="5" borderId="12" xfId="0" applyFont="1" applyFill="1" applyBorder="1" applyAlignment="1">
      <alignment horizontal="center" vertical="center"/>
    </xf>
    <xf numFmtId="0" fontId="57" fillId="0" borderId="2" xfId="0" applyFont="1" applyBorder="1" applyAlignment="1">
      <alignment horizontal="center" vertical="center" wrapText="1"/>
    </xf>
    <xf numFmtId="0" fontId="33" fillId="0" borderId="0" xfId="0" applyFont="1" applyAlignment="1">
      <alignment horizontal="left" vertical="center"/>
    </xf>
    <xf numFmtId="0" fontId="94" fillId="6" borderId="0" xfId="0" applyFont="1" applyFill="1" applyAlignment="1">
      <alignment horizontal="left" vertical="center"/>
    </xf>
    <xf numFmtId="0" fontId="99" fillId="5" borderId="2" xfId="0" applyFont="1" applyFill="1" applyBorder="1" applyAlignment="1">
      <alignment horizontal="center" vertical="center"/>
    </xf>
    <xf numFmtId="0" fontId="99" fillId="17" borderId="2" xfId="0" applyFont="1" applyFill="1" applyBorder="1" applyAlignment="1">
      <alignment horizontal="center" vertical="center"/>
    </xf>
    <xf numFmtId="0" fontId="45" fillId="14" borderId="2" xfId="0" applyFont="1" applyFill="1" applyBorder="1" applyAlignment="1">
      <alignment horizontal="center" vertical="center" wrapText="1"/>
    </xf>
    <xf numFmtId="0" fontId="45" fillId="3" borderId="2" xfId="0" applyFont="1" applyFill="1" applyBorder="1" applyAlignment="1">
      <alignment horizontal="center" vertical="center"/>
    </xf>
    <xf numFmtId="0" fontId="94" fillId="5" borderId="2" xfId="0" applyFont="1" applyFill="1" applyBorder="1" applyAlignment="1">
      <alignment horizontal="center" vertical="center"/>
    </xf>
    <xf numFmtId="49" fontId="18" fillId="14" borderId="2" xfId="1" applyNumberFormat="1" applyFont="1" applyFill="1" applyBorder="1" applyAlignment="1">
      <alignment horizontal="center" vertical="top" wrapText="1"/>
    </xf>
    <xf numFmtId="49" fontId="18" fillId="14" borderId="2" xfId="1" applyNumberFormat="1" applyFont="1" applyFill="1" applyBorder="1" applyAlignment="1">
      <alignment horizontal="center" vertical="center" wrapText="1"/>
    </xf>
    <xf numFmtId="0" fontId="99" fillId="5" borderId="4" xfId="0" applyFont="1" applyFill="1" applyBorder="1" applyAlignment="1">
      <alignment horizontal="center" vertical="center"/>
    </xf>
    <xf numFmtId="0" fontId="61" fillId="0" borderId="10" xfId="0" applyFont="1" applyBorder="1" applyAlignment="1">
      <alignment horizontal="center" vertical="center"/>
    </xf>
    <xf numFmtId="0" fontId="61" fillId="0" borderId="12" xfId="0" applyFont="1" applyBorder="1" applyAlignment="1">
      <alignment horizontal="center" vertical="center"/>
    </xf>
    <xf numFmtId="0" fontId="57" fillId="0" borderId="10" xfId="0" applyFont="1" applyBorder="1" applyAlignment="1">
      <alignment horizontal="center" vertical="center" wrapText="1"/>
    </xf>
    <xf numFmtId="0" fontId="21" fillId="14" borderId="2" xfId="1" applyFont="1" applyFill="1" applyBorder="1" applyAlignment="1">
      <alignment horizontal="center" vertical="center" wrapText="1"/>
    </xf>
    <xf numFmtId="0" fontId="63" fillId="14" borderId="2" xfId="0" applyFont="1" applyFill="1" applyBorder="1" applyAlignment="1">
      <alignment horizontal="center" vertical="center" wrapText="1"/>
    </xf>
    <xf numFmtId="0" fontId="63" fillId="0" borderId="0" xfId="0" applyFont="1" applyAlignment="1">
      <alignment horizontal="center" vertical="center" wrapText="1"/>
    </xf>
    <xf numFmtId="0" fontId="61" fillId="0" borderId="2" xfId="0" applyFont="1" applyBorder="1" applyAlignment="1">
      <alignment horizontal="center" vertical="center"/>
    </xf>
    <xf numFmtId="0" fontId="57" fillId="0" borderId="0" xfId="0" applyFont="1" applyAlignment="1">
      <alignment horizontal="center" vertical="center" wrapText="1"/>
    </xf>
    <xf numFmtId="0" fontId="62" fillId="0" borderId="0" xfId="0" applyFont="1" applyAlignment="1">
      <alignment horizontal="center" vertical="center" wrapText="1"/>
    </xf>
    <xf numFmtId="0" fontId="61" fillId="0" borderId="13" xfId="0" applyFont="1" applyBorder="1" applyAlignment="1">
      <alignment horizontal="center" vertical="center"/>
    </xf>
    <xf numFmtId="0" fontId="49" fillId="14" borderId="2" xfId="0" applyFont="1" applyFill="1" applyBorder="1"/>
    <xf numFmtId="0" fontId="49" fillId="14" borderId="12" xfId="0" applyFont="1" applyFill="1" applyBorder="1"/>
    <xf numFmtId="0" fontId="45" fillId="14" borderId="2" xfId="0" applyFont="1" applyFill="1" applyBorder="1" applyAlignment="1">
      <alignment horizontal="center" vertical="center"/>
    </xf>
    <xf numFmtId="49" fontId="32" fillId="14" borderId="2" xfId="1" applyNumberFormat="1" applyFont="1" applyFill="1" applyBorder="1" applyAlignment="1">
      <alignment horizontal="center" vertical="center" wrapText="1"/>
    </xf>
    <xf numFmtId="0" fontId="86" fillId="9" borderId="2" xfId="0" applyFont="1" applyFill="1" applyBorder="1" applyAlignment="1">
      <alignment horizontal="center" vertical="center"/>
    </xf>
    <xf numFmtId="0" fontId="61" fillId="6" borderId="12" xfId="0" applyFont="1" applyFill="1" applyBorder="1" applyAlignment="1">
      <alignment horizontal="center" vertical="center"/>
    </xf>
    <xf numFmtId="0" fontId="45" fillId="14" borderId="4" xfId="0" applyFont="1" applyFill="1" applyBorder="1" applyAlignment="1">
      <alignment horizontal="center" vertical="center" wrapText="1"/>
    </xf>
    <xf numFmtId="49" fontId="18" fillId="3" borderId="2" xfId="1" applyNumberFormat="1" applyFont="1" applyFill="1" applyBorder="1" applyAlignment="1">
      <alignment horizontal="center" vertical="top" wrapText="1"/>
    </xf>
    <xf numFmtId="0" fontId="45" fillId="3" borderId="2" xfId="0" applyFont="1" applyFill="1" applyBorder="1" applyAlignment="1">
      <alignment horizontal="center" vertical="center" wrapText="1"/>
    </xf>
    <xf numFmtId="49" fontId="32" fillId="0" borderId="0" xfId="1" applyNumberFormat="1" applyFont="1" applyAlignment="1">
      <alignment horizontal="left" vertical="top" wrapText="1"/>
    </xf>
    <xf numFmtId="0" fontId="60" fillId="3" borderId="2" xfId="1" applyFont="1" applyFill="1" applyBorder="1" applyAlignment="1">
      <alignment horizontal="center" vertical="center" wrapText="1"/>
    </xf>
    <xf numFmtId="0" fontId="60" fillId="17" borderId="2" xfId="1" applyFont="1" applyFill="1" applyBorder="1" applyAlignment="1">
      <alignment horizontal="center" vertical="center" wrapText="1"/>
    </xf>
    <xf numFmtId="0" fontId="99" fillId="9" borderId="10" xfId="0" applyFont="1" applyFill="1" applyBorder="1" applyAlignment="1">
      <alignment horizontal="center" vertical="center"/>
    </xf>
    <xf numFmtId="49" fontId="32" fillId="3" borderId="13" xfId="1" applyNumberFormat="1" applyFont="1" applyFill="1" applyBorder="1" applyAlignment="1">
      <alignment horizontal="center" vertical="top" wrapText="1"/>
    </xf>
    <xf numFmtId="0" fontId="21" fillId="3" borderId="4" xfId="1" applyFont="1" applyFill="1" applyBorder="1" applyAlignment="1">
      <alignment horizontal="center" vertical="center" wrapText="1"/>
    </xf>
    <xf numFmtId="0" fontId="21" fillId="3" borderId="6" xfId="1" applyFont="1" applyFill="1" applyBorder="1" applyAlignment="1">
      <alignment horizontal="center" vertical="center" wrapText="1"/>
    </xf>
    <xf numFmtId="0" fontId="45" fillId="3" borderId="4" xfId="0" applyFont="1" applyFill="1" applyBorder="1" applyAlignment="1">
      <alignment horizontal="center" vertical="center" wrapText="1"/>
    </xf>
    <xf numFmtId="0" fontId="86" fillId="9" borderId="6" xfId="0" applyFont="1" applyFill="1" applyBorder="1" applyAlignment="1">
      <alignment horizontal="center" vertical="center"/>
    </xf>
    <xf numFmtId="0" fontId="63" fillId="3" borderId="2" xfId="0" applyFont="1" applyFill="1" applyBorder="1" applyAlignment="1">
      <alignment horizontal="center" vertical="center" wrapText="1"/>
    </xf>
    <xf numFmtId="0" fontId="53" fillId="9" borderId="2" xfId="0" applyFont="1" applyFill="1" applyBorder="1" applyAlignment="1">
      <alignment horizontal="left" vertical="center"/>
    </xf>
    <xf numFmtId="49" fontId="17" fillId="3" borderId="12" xfId="1" applyNumberFormat="1" applyFont="1" applyFill="1" applyBorder="1" applyAlignment="1">
      <alignment horizontal="center" vertical="top" wrapText="1"/>
    </xf>
    <xf numFmtId="49" fontId="32" fillId="3" borderId="2" xfId="1" applyNumberFormat="1" applyFont="1" applyFill="1" applyBorder="1" applyAlignment="1">
      <alignment horizontal="center" vertical="top" wrapText="1"/>
    </xf>
    <xf numFmtId="49" fontId="17" fillId="3" borderId="2" xfId="1" applyNumberFormat="1" applyFont="1" applyFill="1" applyBorder="1" applyAlignment="1">
      <alignment horizontal="center" vertical="center" wrapText="1"/>
    </xf>
    <xf numFmtId="0" fontId="86" fillId="0" borderId="2" xfId="0" applyFont="1" applyBorder="1" applyAlignment="1">
      <alignment horizontal="left" vertical="center"/>
    </xf>
    <xf numFmtId="0" fontId="63" fillId="5" borderId="6" xfId="0" applyFont="1" applyFill="1" applyBorder="1" applyAlignment="1">
      <alignment horizontal="center" vertical="center" wrapText="1"/>
    </xf>
    <xf numFmtId="49" fontId="32" fillId="0" borderId="0" xfId="1" applyNumberFormat="1" applyFont="1" applyAlignment="1">
      <alignment horizontal="center" vertical="top" wrapText="1"/>
    </xf>
    <xf numFmtId="0" fontId="49" fillId="3" borderId="10" xfId="0" applyFont="1" applyFill="1" applyBorder="1" applyAlignment="1">
      <alignment horizontal="left"/>
    </xf>
    <xf numFmtId="0" fontId="49" fillId="3" borderId="13" xfId="0" applyFont="1" applyFill="1" applyBorder="1" applyAlignment="1">
      <alignment horizontal="left"/>
    </xf>
    <xf numFmtId="0" fontId="49" fillId="3" borderId="12" xfId="0" applyFont="1" applyFill="1" applyBorder="1" applyAlignment="1">
      <alignment horizontal="left"/>
    </xf>
    <xf numFmtId="0" fontId="21" fillId="3" borderId="2" xfId="1" applyFont="1" applyFill="1" applyBorder="1" applyAlignment="1">
      <alignment horizontal="center" vertical="center" wrapText="1"/>
    </xf>
    <xf numFmtId="0" fontId="0" fillId="9" borderId="2" xfId="0" applyFill="1" applyBorder="1" applyAlignment="1">
      <alignment horizontal="center"/>
    </xf>
    <xf numFmtId="0" fontId="57" fillId="0" borderId="2" xfId="0" applyFont="1" applyBorder="1" applyAlignment="1">
      <alignment horizontal="center"/>
    </xf>
    <xf numFmtId="0" fontId="0" fillId="0" borderId="2" xfId="0" applyBorder="1" applyAlignment="1">
      <alignment horizontal="center"/>
    </xf>
    <xf numFmtId="0" fontId="63" fillId="3" borderId="4" xfId="0" applyFont="1" applyFill="1" applyBorder="1" applyAlignment="1">
      <alignment horizontal="center" vertical="center" wrapText="1"/>
    </xf>
    <xf numFmtId="0" fontId="57" fillId="0" borderId="2" xfId="0" applyFont="1" applyBorder="1" applyAlignment="1">
      <alignment horizontal="center" vertical="center"/>
    </xf>
    <xf numFmtId="0" fontId="63" fillId="5" borderId="2" xfId="0" applyFont="1" applyFill="1" applyBorder="1" applyAlignment="1">
      <alignment horizontal="center" vertical="center"/>
    </xf>
    <xf numFmtId="0" fontId="0" fillId="0" borderId="2" xfId="0" applyBorder="1" applyAlignment="1">
      <alignment horizontal="left" vertical="center"/>
    </xf>
    <xf numFmtId="0" fontId="57" fillId="0" borderId="0" xfId="0" applyFont="1" applyAlignment="1">
      <alignment horizontal="left" wrapText="1"/>
    </xf>
    <xf numFmtId="0" fontId="57" fillId="0" borderId="0" xfId="0" applyFont="1" applyAlignment="1">
      <alignment horizontal="center"/>
    </xf>
    <xf numFmtId="0" fontId="21" fillId="8" borderId="2" xfId="1" applyFont="1" applyFill="1" applyBorder="1" applyAlignment="1">
      <alignment horizontal="center" vertical="center" wrapText="1"/>
    </xf>
    <xf numFmtId="0" fontId="115" fillId="8" borderId="2" xfId="0" applyFont="1" applyFill="1" applyBorder="1" applyAlignment="1">
      <alignment horizontal="center"/>
    </xf>
    <xf numFmtId="0" fontId="0" fillId="0" borderId="0" xfId="0" applyAlignment="1">
      <alignment horizontal="center"/>
    </xf>
    <xf numFmtId="0" fontId="19" fillId="5" borderId="2" xfId="1" applyFont="1" applyFill="1" applyBorder="1" applyAlignment="1">
      <alignment horizontal="center" vertical="center" wrapText="1"/>
    </xf>
    <xf numFmtId="0" fontId="61" fillId="6" borderId="10" xfId="0" applyFont="1" applyFill="1" applyBorder="1" applyAlignment="1">
      <alignment horizontal="center" vertical="center"/>
    </xf>
    <xf numFmtId="0" fontId="99" fillId="0" borderId="0" xfId="0" applyFont="1" applyAlignment="1">
      <alignment horizontal="left" vertical="center" wrapText="1"/>
    </xf>
    <xf numFmtId="0" fontId="99" fillId="9" borderId="2" xfId="0" applyFont="1" applyFill="1" applyBorder="1" applyAlignment="1">
      <alignment horizontal="center" vertical="center" wrapText="1"/>
    </xf>
    <xf numFmtId="0" fontId="55" fillId="12" borderId="2" xfId="0" applyFont="1" applyFill="1" applyBorder="1" applyAlignment="1">
      <alignment horizontal="center" vertical="center"/>
    </xf>
    <xf numFmtId="0" fontId="55" fillId="13" borderId="2" xfId="0" applyFont="1" applyFill="1" applyBorder="1" applyAlignment="1">
      <alignment horizontal="center" vertical="center"/>
    </xf>
    <xf numFmtId="0" fontId="116" fillId="5" borderId="2" xfId="1" applyFont="1" applyFill="1" applyBorder="1" applyAlignment="1">
      <alignment horizontal="center" vertical="center" wrapText="1"/>
    </xf>
    <xf numFmtId="0" fontId="23" fillId="3" borderId="2" xfId="0" applyFont="1" applyFill="1" applyBorder="1" applyAlignment="1">
      <alignment horizontal="center" vertical="center"/>
    </xf>
    <xf numFmtId="49" fontId="18" fillId="3" borderId="2" xfId="1" applyNumberFormat="1" applyFont="1" applyFill="1" applyBorder="1" applyAlignment="1">
      <alignment horizontal="center" vertical="center" wrapText="1"/>
    </xf>
    <xf numFmtId="0" fontId="15" fillId="0" borderId="0" xfId="0" applyFont="1" applyAlignment="1">
      <alignment horizontal="left" vertical="top" wrapText="1"/>
    </xf>
    <xf numFmtId="0" fontId="23" fillId="3" borderId="2" xfId="0" applyFont="1" applyFill="1" applyBorder="1" applyAlignment="1">
      <alignment horizontal="left"/>
    </xf>
    <xf numFmtId="0" fontId="99" fillId="0" borderId="14" xfId="0" applyFont="1" applyBorder="1" applyAlignment="1">
      <alignment horizontal="left" vertical="center" wrapText="1"/>
    </xf>
    <xf numFmtId="0" fontId="99" fillId="0" borderId="0" xfId="0" applyFont="1" applyAlignment="1">
      <alignment horizontal="left" vertical="top" wrapText="1"/>
    </xf>
    <xf numFmtId="0" fontId="139" fillId="9" borderId="2" xfId="0" applyFont="1" applyFill="1" applyBorder="1" applyAlignment="1">
      <alignment horizontal="left" vertical="center"/>
    </xf>
    <xf numFmtId="0" fontId="0" fillId="0" borderId="0" xfId="0" applyAlignment="1">
      <alignment horizontal="center" vertical="center"/>
    </xf>
    <xf numFmtId="0" fontId="99" fillId="6" borderId="0" xfId="0" applyFont="1" applyFill="1" applyAlignment="1">
      <alignment horizontal="left" vertical="center" wrapText="1"/>
    </xf>
    <xf numFmtId="0" fontId="15" fillId="3" borderId="2" xfId="0" applyFont="1" applyFill="1" applyBorder="1" applyAlignment="1">
      <alignment horizontal="center" vertical="center"/>
    </xf>
    <xf numFmtId="0" fontId="67" fillId="17" borderId="8" xfId="0" applyFont="1" applyFill="1" applyBorder="1" applyAlignment="1">
      <alignment horizontal="center"/>
    </xf>
    <xf numFmtId="0" fontId="67" fillId="17" borderId="0" xfId="0" applyFont="1" applyFill="1" applyAlignment="1">
      <alignment horizontal="center"/>
    </xf>
    <xf numFmtId="0" fontId="49" fillId="14" borderId="10" xfId="0" applyFont="1" applyFill="1" applyBorder="1" applyAlignment="1">
      <alignment horizontal="left"/>
    </xf>
    <xf numFmtId="0" fontId="49" fillId="14" borderId="12" xfId="0" applyFont="1" applyFill="1" applyBorder="1" applyAlignment="1">
      <alignment horizontal="left"/>
    </xf>
    <xf numFmtId="0" fontId="0" fillId="10" borderId="0" xfId="0" applyFill="1" applyAlignment="1">
      <alignment horizontal="center"/>
    </xf>
    <xf numFmtId="0" fontId="20" fillId="6" borderId="10" xfId="0" applyFont="1" applyFill="1" applyBorder="1" applyAlignment="1">
      <alignment horizontal="left" vertical="top" wrapText="1"/>
    </xf>
    <xf numFmtId="0" fontId="20" fillId="6" borderId="13" xfId="0" applyFont="1" applyFill="1" applyBorder="1" applyAlignment="1">
      <alignment horizontal="left" vertical="top" wrapText="1"/>
    </xf>
    <xf numFmtId="0" fontId="20" fillId="6" borderId="12" xfId="0" applyFont="1" applyFill="1" applyBorder="1" applyAlignment="1">
      <alignment horizontal="left" vertical="top" wrapText="1"/>
    </xf>
    <xf numFmtId="0" fontId="12" fillId="6" borderId="1" xfId="0" applyFont="1" applyFill="1" applyBorder="1" applyAlignment="1">
      <alignment horizontal="right" vertical="center"/>
    </xf>
    <xf numFmtId="0" fontId="12" fillId="6" borderId="16" xfId="0" applyFont="1" applyFill="1" applyBorder="1" applyAlignment="1">
      <alignment horizontal="right" vertical="center"/>
    </xf>
    <xf numFmtId="0" fontId="15" fillId="0" borderId="10" xfId="0" applyFont="1" applyBorder="1" applyAlignment="1">
      <alignment horizontal="right"/>
    </xf>
    <xf numFmtId="0" fontId="15" fillId="0" borderId="12" xfId="0" applyFont="1" applyBorder="1" applyAlignment="1">
      <alignment horizontal="right"/>
    </xf>
    <xf numFmtId="0" fontId="122" fillId="6" borderId="17" xfId="0" applyFont="1" applyFill="1" applyBorder="1" applyAlignment="1">
      <alignment horizontal="left" vertical="center"/>
    </xf>
    <xf numFmtId="0" fontId="122" fillId="6" borderId="1" xfId="0" applyFont="1" applyFill="1" applyBorder="1" applyAlignment="1">
      <alignment horizontal="left" vertical="center"/>
    </xf>
    <xf numFmtId="0" fontId="15" fillId="9" borderId="10" xfId="0" applyFont="1" applyFill="1" applyBorder="1" applyAlignment="1">
      <alignment horizontal="center"/>
    </xf>
    <xf numFmtId="0" fontId="15" fillId="9" borderId="13" xfId="0" applyFont="1" applyFill="1" applyBorder="1" applyAlignment="1">
      <alignment horizontal="center"/>
    </xf>
    <xf numFmtId="0" fontId="15" fillId="9" borderId="12" xfId="0" applyFont="1" applyFill="1" applyBorder="1" applyAlignment="1">
      <alignment horizontal="center"/>
    </xf>
    <xf numFmtId="0" fontId="38" fillId="9" borderId="10" xfId="0" applyFont="1" applyFill="1" applyBorder="1" applyAlignment="1">
      <alignment horizontal="left"/>
    </xf>
    <xf numFmtId="0" fontId="38" fillId="9" borderId="13" xfId="0" applyFont="1" applyFill="1" applyBorder="1" applyAlignment="1">
      <alignment horizontal="left"/>
    </xf>
    <xf numFmtId="0" fontId="38" fillId="9" borderId="12" xfId="0" applyFont="1" applyFill="1" applyBorder="1" applyAlignment="1">
      <alignment horizontal="left"/>
    </xf>
    <xf numFmtId="0" fontId="55" fillId="17" borderId="17" xfId="0" applyFont="1" applyFill="1" applyBorder="1" applyAlignment="1">
      <alignment horizontal="left"/>
    </xf>
    <xf numFmtId="0" fontId="55" fillId="17" borderId="1" xfId="0" applyFont="1" applyFill="1" applyBorder="1" applyAlignment="1">
      <alignment horizontal="left"/>
    </xf>
    <xf numFmtId="0" fontId="55" fillId="17" borderId="16" xfId="0" applyFont="1" applyFill="1" applyBorder="1" applyAlignment="1">
      <alignment horizontal="left"/>
    </xf>
    <xf numFmtId="0" fontId="50" fillId="6" borderId="0" xfId="0" applyFont="1" applyFill="1" applyAlignment="1">
      <alignment horizontal="right"/>
    </xf>
    <xf numFmtId="0" fontId="19" fillId="0" borderId="11" xfId="0" applyFont="1" applyBorder="1" applyAlignment="1">
      <alignment horizontal="right"/>
    </xf>
    <xf numFmtId="0" fontId="19" fillId="0" borderId="14" xfId="0" applyFont="1" applyBorder="1" applyAlignment="1">
      <alignment horizontal="right"/>
    </xf>
    <xf numFmtId="0" fontId="19" fillId="6" borderId="14" xfId="0" applyFont="1" applyFill="1" applyBorder="1" applyAlignment="1">
      <alignment horizontal="center"/>
    </xf>
    <xf numFmtId="0" fontId="19" fillId="6" borderId="14" xfId="0" applyFont="1" applyFill="1" applyBorder="1" applyAlignment="1">
      <alignment horizontal="right"/>
    </xf>
    <xf numFmtId="0" fontId="19" fillId="6" borderId="0" xfId="0" applyFont="1" applyFill="1" applyAlignment="1">
      <alignment horizontal="right"/>
    </xf>
    <xf numFmtId="0" fontId="50" fillId="0" borderId="0" xfId="0" applyFont="1" applyAlignment="1">
      <alignment horizontal="right"/>
    </xf>
    <xf numFmtId="0" fontId="19" fillId="0" borderId="14" xfId="0" applyFont="1" applyBorder="1" applyAlignment="1">
      <alignment horizontal="center"/>
    </xf>
    <xf numFmtId="0" fontId="19" fillId="0" borderId="0" xfId="0" applyFont="1" applyAlignment="1">
      <alignment horizontal="right"/>
    </xf>
    <xf numFmtId="0" fontId="94" fillId="6" borderId="10" xfId="0" applyFont="1" applyFill="1" applyBorder="1" applyAlignment="1">
      <alignment horizontal="left" vertical="center" wrapText="1"/>
    </xf>
    <xf numFmtId="0" fontId="94" fillId="6" borderId="13" xfId="0" applyFont="1" applyFill="1" applyBorder="1" applyAlignment="1">
      <alignment horizontal="left" vertical="center" wrapText="1"/>
    </xf>
    <xf numFmtId="0" fontId="94" fillId="6" borderId="12" xfId="0" applyFont="1" applyFill="1" applyBorder="1" applyAlignment="1">
      <alignment horizontal="left" vertical="center" wrapText="1"/>
    </xf>
    <xf numFmtId="0" fontId="0" fillId="0" borderId="0" xfId="0" applyAlignment="1">
      <alignment horizontal="left" vertical="top" wrapText="1"/>
    </xf>
    <xf numFmtId="49" fontId="15" fillId="0" borderId="10" xfId="0" applyNumberFormat="1" applyFont="1" applyBorder="1" applyAlignment="1">
      <alignment horizontal="left" vertical="center" wrapText="1"/>
    </xf>
    <xf numFmtId="49" fontId="15" fillId="0" borderId="13" xfId="0" applyNumberFormat="1" applyFont="1" applyBorder="1" applyAlignment="1">
      <alignment horizontal="left" vertical="center" wrapText="1"/>
    </xf>
    <xf numFmtId="49" fontId="15" fillId="0" borderId="12" xfId="0" applyNumberFormat="1" applyFont="1" applyBorder="1" applyAlignment="1">
      <alignment horizontal="left" vertical="center" wrapText="1"/>
    </xf>
    <xf numFmtId="49" fontId="55" fillId="0" borderId="10" xfId="0" applyNumberFormat="1" applyFont="1" applyBorder="1" applyAlignment="1">
      <alignment horizontal="left" vertical="center" wrapText="1"/>
    </xf>
    <xf numFmtId="49" fontId="55" fillId="0" borderId="13" xfId="0" applyNumberFormat="1" applyFont="1" applyBorder="1" applyAlignment="1">
      <alignment horizontal="left" vertical="center" wrapText="1"/>
    </xf>
    <xf numFmtId="49" fontId="15" fillId="0" borderId="4" xfId="0" applyNumberFormat="1" applyFont="1" applyBorder="1" applyAlignment="1">
      <alignment horizontal="center" vertical="center"/>
    </xf>
    <xf numFmtId="49" fontId="15" fillId="0" borderId="6" xfId="0" applyNumberFormat="1" applyFont="1" applyBorder="1" applyAlignment="1">
      <alignment horizontal="center" vertical="center"/>
    </xf>
    <xf numFmtId="0" fontId="55" fillId="17" borderId="10" xfId="0" applyFont="1" applyFill="1" applyBorder="1" applyAlignment="1">
      <alignment horizontal="center"/>
    </xf>
    <xf numFmtId="0" fontId="55" fillId="17" borderId="13" xfId="0" applyFont="1" applyFill="1" applyBorder="1" applyAlignment="1">
      <alignment horizontal="center"/>
    </xf>
    <xf numFmtId="0" fontId="55" fillId="17" borderId="12" xfId="0" applyFont="1" applyFill="1" applyBorder="1" applyAlignment="1">
      <alignment horizontal="center"/>
    </xf>
    <xf numFmtId="0" fontId="16" fillId="14" borderId="3" xfId="0" applyFont="1" applyFill="1" applyBorder="1" applyAlignment="1">
      <alignment horizontal="left" vertical="top" wrapText="1"/>
    </xf>
    <xf numFmtId="0" fontId="17" fillId="14" borderId="7" xfId="0" applyFont="1" applyFill="1" applyBorder="1" applyAlignment="1">
      <alignment horizontal="left" vertical="top" wrapText="1"/>
    </xf>
    <xf numFmtId="0" fontId="17" fillId="14" borderId="18" xfId="0" applyFont="1" applyFill="1" applyBorder="1" applyAlignment="1">
      <alignment horizontal="left" vertical="top" wrapText="1"/>
    </xf>
    <xf numFmtId="0" fontId="15" fillId="0" borderId="2" xfId="0" applyFont="1" applyBorder="1" applyAlignment="1">
      <alignment horizontal="left"/>
    </xf>
    <xf numFmtId="0" fontId="15" fillId="0" borderId="10" xfId="0" applyFont="1" applyBorder="1" applyAlignment="1">
      <alignment horizontal="left" vertical="center"/>
    </xf>
    <xf numFmtId="0" fontId="15" fillId="0" borderId="13" xfId="0" applyFont="1" applyBorder="1" applyAlignment="1">
      <alignment horizontal="left" vertical="center"/>
    </xf>
    <xf numFmtId="0" fontId="15" fillId="0" borderId="12" xfId="0" applyFont="1" applyBorder="1" applyAlignment="1">
      <alignment horizontal="left" vertical="center"/>
    </xf>
    <xf numFmtId="0" fontId="15" fillId="5" borderId="10" xfId="0" applyFont="1" applyFill="1" applyBorder="1" applyAlignment="1">
      <alignment horizontal="left"/>
    </xf>
    <xf numFmtId="0" fontId="15" fillId="5" borderId="13" xfId="0" applyFont="1" applyFill="1" applyBorder="1" applyAlignment="1">
      <alignment horizontal="left"/>
    </xf>
    <xf numFmtId="0" fontId="15" fillId="5" borderId="12" xfId="0" applyFont="1" applyFill="1" applyBorder="1" applyAlignment="1">
      <alignment horizontal="left"/>
    </xf>
    <xf numFmtId="49" fontId="15" fillId="0" borderId="10" xfId="0" applyNumberFormat="1" applyFont="1" applyBorder="1" applyAlignment="1">
      <alignment horizontal="left" vertical="center"/>
    </xf>
    <xf numFmtId="49" fontId="15" fillId="0" borderId="13" xfId="0" applyNumberFormat="1" applyFont="1" applyBorder="1" applyAlignment="1">
      <alignment horizontal="left" vertical="center"/>
    </xf>
    <xf numFmtId="49" fontId="15" fillId="0" borderId="12" xfId="0" applyNumberFormat="1" applyFont="1" applyBorder="1" applyAlignment="1">
      <alignment horizontal="left" vertical="center"/>
    </xf>
    <xf numFmtId="0" fontId="66" fillId="9" borderId="10" xfId="0" applyFont="1" applyFill="1" applyBorder="1" applyAlignment="1">
      <alignment horizontal="center"/>
    </xf>
    <xf numFmtId="0" fontId="66" fillId="9" borderId="12" xfId="0" applyFont="1" applyFill="1" applyBorder="1" applyAlignment="1">
      <alignment horizontal="center"/>
    </xf>
    <xf numFmtId="0" fontId="15" fillId="0" borderId="2" xfId="0" applyFont="1" applyBorder="1" applyAlignment="1">
      <alignment horizontal="left" vertical="center"/>
    </xf>
    <xf numFmtId="0" fontId="15" fillId="9" borderId="2" xfId="0" applyFont="1" applyFill="1" applyBorder="1" applyAlignment="1">
      <alignment horizontal="center"/>
    </xf>
    <xf numFmtId="0" fontId="55" fillId="6" borderId="13" xfId="0" applyFont="1" applyFill="1" applyBorder="1" applyAlignment="1">
      <alignment horizontal="left"/>
    </xf>
    <xf numFmtId="0" fontId="94" fillId="6" borderId="10" xfId="0" applyFont="1" applyFill="1" applyBorder="1" applyAlignment="1">
      <alignment horizontal="left" wrapText="1"/>
    </xf>
    <xf numFmtId="0" fontId="94" fillId="6" borderId="13" xfId="0" applyFont="1" applyFill="1" applyBorder="1" applyAlignment="1">
      <alignment horizontal="left" wrapText="1"/>
    </xf>
    <xf numFmtId="0" fontId="94" fillId="6" borderId="12" xfId="0" applyFont="1" applyFill="1" applyBorder="1" applyAlignment="1">
      <alignment horizontal="left" wrapText="1"/>
    </xf>
    <xf numFmtId="0" fontId="55" fillId="6" borderId="10" xfId="0" applyFont="1" applyFill="1" applyBorder="1" applyAlignment="1">
      <alignment horizontal="left" vertical="center"/>
    </xf>
    <xf numFmtId="0" fontId="55" fillId="6" borderId="12" xfId="0" applyFont="1" applyFill="1" applyBorder="1" applyAlignment="1">
      <alignment horizontal="left" vertical="center"/>
    </xf>
    <xf numFmtId="0" fontId="13" fillId="9" borderId="4" xfId="0" applyFont="1" applyFill="1" applyBorder="1" applyAlignment="1">
      <alignment horizontal="left" vertical="center"/>
    </xf>
    <xf numFmtId="0" fontId="13" fillId="9" borderId="6" xfId="0" applyFont="1" applyFill="1" applyBorder="1" applyAlignment="1">
      <alignment horizontal="left" vertical="center"/>
    </xf>
    <xf numFmtId="0" fontId="15" fillId="0" borderId="10" xfId="0" applyFont="1" applyBorder="1" applyAlignment="1">
      <alignment horizontal="center" vertical="center"/>
    </xf>
    <xf numFmtId="0" fontId="15" fillId="0" borderId="13" xfId="0" applyFont="1" applyBorder="1" applyAlignment="1">
      <alignment horizontal="center" vertical="center"/>
    </xf>
    <xf numFmtId="0" fontId="15" fillId="0" borderId="12" xfId="0" applyFont="1" applyBorder="1" applyAlignment="1">
      <alignment horizontal="center" vertical="center"/>
    </xf>
    <xf numFmtId="0" fontId="55" fillId="0" borderId="2" xfId="0" applyFont="1" applyBorder="1" applyAlignment="1">
      <alignment horizontal="left" vertical="center"/>
    </xf>
    <xf numFmtId="0" fontId="13" fillId="9" borderId="2" xfId="0" applyFont="1" applyFill="1" applyBorder="1" applyAlignment="1">
      <alignment horizontal="left"/>
    </xf>
    <xf numFmtId="0" fontId="55" fillId="9" borderId="2" xfId="0" applyFont="1" applyFill="1" applyBorder="1" applyAlignment="1">
      <alignment horizontal="left"/>
    </xf>
    <xf numFmtId="0" fontId="55" fillId="0" borderId="17" xfId="0" applyFont="1" applyBorder="1" applyAlignment="1">
      <alignment horizontal="left" vertical="center" wrapText="1"/>
    </xf>
    <xf numFmtId="0" fontId="55" fillId="0" borderId="16" xfId="0" applyFont="1" applyBorder="1" applyAlignment="1">
      <alignment horizontal="left" vertical="center" wrapText="1"/>
    </xf>
    <xf numFmtId="0" fontId="13" fillId="17" borderId="2" xfId="0" applyFont="1" applyFill="1" applyBorder="1" applyAlignment="1">
      <alignment horizontal="left" vertical="center" wrapText="1"/>
    </xf>
    <xf numFmtId="0" fontId="55" fillId="17" borderId="2" xfId="0" applyFont="1" applyFill="1" applyBorder="1" applyAlignment="1">
      <alignment horizontal="left" vertical="center" wrapText="1"/>
    </xf>
    <xf numFmtId="0" fontId="13" fillId="9" borderId="11" xfId="0" applyFont="1" applyFill="1" applyBorder="1" applyAlignment="1">
      <alignment horizontal="left" vertical="center"/>
    </xf>
    <xf numFmtId="0" fontId="13" fillId="9" borderId="15" xfId="0" applyFont="1" applyFill="1" applyBorder="1" applyAlignment="1">
      <alignment horizontal="left" vertical="center"/>
    </xf>
    <xf numFmtId="0" fontId="13" fillId="9" borderId="8" xfId="0" applyFont="1" applyFill="1" applyBorder="1" applyAlignment="1">
      <alignment horizontal="left" vertical="center"/>
    </xf>
    <xf numFmtId="0" fontId="13" fillId="9" borderId="9" xfId="0" applyFont="1" applyFill="1" applyBorder="1" applyAlignment="1">
      <alignment horizontal="left" vertical="center"/>
    </xf>
    <xf numFmtId="0" fontId="13" fillId="9" borderId="17" xfId="0" applyFont="1" applyFill="1" applyBorder="1" applyAlignment="1">
      <alignment horizontal="left" vertical="center"/>
    </xf>
    <xf numFmtId="0" fontId="13" fillId="9" borderId="16" xfId="0" applyFont="1" applyFill="1" applyBorder="1" applyAlignment="1">
      <alignment horizontal="left" vertical="center"/>
    </xf>
    <xf numFmtId="0" fontId="133" fillId="9" borderId="4" xfId="0" applyFont="1" applyFill="1" applyBorder="1" applyAlignment="1">
      <alignment horizontal="left" vertical="center"/>
    </xf>
    <xf numFmtId="0" fontId="133" fillId="9" borderId="6" xfId="0" applyFont="1" applyFill="1" applyBorder="1" applyAlignment="1">
      <alignment horizontal="left" vertical="center"/>
    </xf>
    <xf numFmtId="0" fontId="13" fillId="9" borderId="10" xfId="0" applyFont="1" applyFill="1" applyBorder="1" applyAlignment="1">
      <alignment horizontal="left" vertical="center"/>
    </xf>
    <xf numFmtId="0" fontId="13" fillId="9" borderId="12" xfId="0" applyFont="1" applyFill="1" applyBorder="1" applyAlignment="1">
      <alignment horizontal="left" vertical="center"/>
    </xf>
    <xf numFmtId="0" fontId="13" fillId="9" borderId="17" xfId="0" applyFont="1" applyFill="1" applyBorder="1" applyAlignment="1">
      <alignment horizontal="left"/>
    </xf>
    <xf numFmtId="0" fontId="13" fillId="9" borderId="16" xfId="0" applyFont="1" applyFill="1" applyBorder="1" applyAlignment="1">
      <alignment horizontal="left"/>
    </xf>
    <xf numFmtId="0" fontId="16" fillId="14" borderId="10" xfId="0" applyFont="1" applyFill="1" applyBorder="1" applyAlignment="1">
      <alignment horizontal="left" vertical="top" wrapText="1"/>
    </xf>
    <xf numFmtId="0" fontId="16" fillId="14" borderId="13" xfId="0" applyFont="1" applyFill="1" applyBorder="1" applyAlignment="1">
      <alignment horizontal="left" vertical="top" wrapText="1"/>
    </xf>
    <xf numFmtId="0" fontId="16" fillId="14" borderId="12" xfId="0" applyFont="1" applyFill="1" applyBorder="1" applyAlignment="1">
      <alignment horizontal="left" vertical="top" wrapText="1"/>
    </xf>
    <xf numFmtId="0" fontId="49" fillId="3" borderId="11" xfId="0" applyFont="1" applyFill="1" applyBorder="1" applyAlignment="1">
      <alignment horizontal="center" vertical="center"/>
    </xf>
    <xf numFmtId="0" fontId="49" fillId="3" borderId="14" xfId="0" applyFont="1" applyFill="1" applyBorder="1" applyAlignment="1">
      <alignment horizontal="center" vertical="center"/>
    </xf>
    <xf numFmtId="0" fontId="49" fillId="3" borderId="15" xfId="0" applyFont="1" applyFill="1" applyBorder="1" applyAlignment="1">
      <alignment horizontal="center" vertical="center"/>
    </xf>
    <xf numFmtId="0" fontId="49" fillId="3" borderId="17" xfId="0" applyFont="1" applyFill="1" applyBorder="1" applyAlignment="1">
      <alignment horizontal="center" vertical="center"/>
    </xf>
    <xf numFmtId="0" fontId="49" fillId="3" borderId="1" xfId="0" applyFont="1" applyFill="1" applyBorder="1" applyAlignment="1">
      <alignment horizontal="center" vertical="center"/>
    </xf>
    <xf numFmtId="0" fontId="49" fillId="3" borderId="16" xfId="0" applyFont="1" applyFill="1" applyBorder="1" applyAlignment="1">
      <alignment horizontal="center" vertical="center"/>
    </xf>
    <xf numFmtId="49" fontId="0" fillId="3" borderId="2" xfId="0" applyNumberFormat="1" applyFill="1" applyBorder="1" applyAlignment="1">
      <alignment horizontal="center" vertical="center"/>
    </xf>
    <xf numFmtId="0" fontId="15" fillId="0" borderId="0" xfId="0" applyFont="1" applyAlignment="1">
      <alignment horizontal="center"/>
    </xf>
    <xf numFmtId="0" fontId="68" fillId="0" borderId="0" xfId="0" applyFont="1" applyAlignment="1">
      <alignment horizontal="left"/>
    </xf>
    <xf numFmtId="0" fontId="0" fillId="0" borderId="0" xfId="0" applyAlignment="1">
      <alignment horizontal="left" vertical="top"/>
    </xf>
    <xf numFmtId="0" fontId="68" fillId="0" borderId="0" xfId="0" applyFont="1" applyAlignment="1">
      <alignment horizontal="left" vertical="top"/>
    </xf>
    <xf numFmtId="0" fontId="94" fillId="6" borderId="17" xfId="0" applyFont="1" applyFill="1" applyBorder="1" applyAlignment="1">
      <alignment horizontal="left" wrapText="1"/>
    </xf>
    <xf numFmtId="0" fontId="94" fillId="6" borderId="1" xfId="0" applyFont="1" applyFill="1" applyBorder="1" applyAlignment="1">
      <alignment horizontal="left" wrapText="1"/>
    </xf>
    <xf numFmtId="0" fontId="94" fillId="6" borderId="16" xfId="0" applyFont="1" applyFill="1" applyBorder="1" applyAlignment="1">
      <alignment horizontal="left" wrapText="1"/>
    </xf>
    <xf numFmtId="0" fontId="13" fillId="8" borderId="11" xfId="0" applyFont="1" applyFill="1" applyBorder="1" applyAlignment="1">
      <alignment horizontal="left" vertical="center"/>
    </xf>
    <xf numFmtId="0" fontId="13" fillId="8" borderId="15" xfId="0" applyFont="1" applyFill="1" applyBorder="1" applyAlignment="1">
      <alignment horizontal="left" vertical="center"/>
    </xf>
    <xf numFmtId="0" fontId="13" fillId="8" borderId="17" xfId="0" applyFont="1" applyFill="1" applyBorder="1" applyAlignment="1">
      <alignment horizontal="left" vertical="center"/>
    </xf>
    <xf numFmtId="0" fontId="13" fillId="8" borderId="16" xfId="0" applyFont="1" applyFill="1" applyBorder="1" applyAlignment="1">
      <alignment horizontal="left" vertical="center"/>
    </xf>
    <xf numFmtId="0" fontId="14" fillId="0" borderId="0" xfId="0" applyFont="1" applyAlignment="1">
      <alignment horizontal="center"/>
    </xf>
    <xf numFmtId="0" fontId="16" fillId="2" borderId="10" xfId="0" applyFont="1" applyFill="1" applyBorder="1" applyAlignment="1">
      <alignment horizontal="left" vertical="top" wrapText="1"/>
    </xf>
    <xf numFmtId="0" fontId="16" fillId="2" borderId="13" xfId="0" applyFont="1" applyFill="1" applyBorder="1" applyAlignment="1">
      <alignment horizontal="left" vertical="top" wrapText="1"/>
    </xf>
    <xf numFmtId="0" fontId="16" fillId="2" borderId="12" xfId="0" applyFont="1" applyFill="1" applyBorder="1" applyAlignment="1">
      <alignment horizontal="left" vertical="top" wrapText="1"/>
    </xf>
    <xf numFmtId="0" fontId="13" fillId="8" borderId="2" xfId="0" applyFont="1" applyFill="1" applyBorder="1" applyAlignment="1">
      <alignment horizontal="left" vertical="center" wrapText="1"/>
    </xf>
    <xf numFmtId="0" fontId="55" fillId="8" borderId="2" xfId="0" applyFont="1" applyFill="1" applyBorder="1" applyAlignment="1">
      <alignment horizontal="left" vertical="center" wrapText="1"/>
    </xf>
    <xf numFmtId="0" fontId="51" fillId="0" borderId="0" xfId="0" applyFont="1" applyAlignment="1">
      <alignment horizontal="left" wrapText="1"/>
    </xf>
    <xf numFmtId="0" fontId="15" fillId="0" borderId="0" xfId="0" applyFont="1" applyAlignment="1">
      <alignment horizontal="left" wrapText="1"/>
    </xf>
    <xf numFmtId="0" fontId="13" fillId="8" borderId="2" xfId="0" applyFont="1" applyFill="1" applyBorder="1" applyAlignment="1">
      <alignment horizontal="left"/>
    </xf>
    <xf numFmtId="0" fontId="55" fillId="8" borderId="2" xfId="0" applyFont="1" applyFill="1" applyBorder="1" applyAlignment="1">
      <alignment horizontal="left"/>
    </xf>
    <xf numFmtId="0" fontId="13" fillId="8" borderId="8" xfId="0" applyFont="1" applyFill="1" applyBorder="1" applyAlignment="1">
      <alignment horizontal="left" vertical="center"/>
    </xf>
    <xf numFmtId="0" fontId="13" fillId="8" borderId="9" xfId="0" applyFont="1" applyFill="1" applyBorder="1" applyAlignment="1">
      <alignment horizontal="left" vertical="center"/>
    </xf>
    <xf numFmtId="0" fontId="13" fillId="8" borderId="4" xfId="0" applyFont="1" applyFill="1" applyBorder="1" applyAlignment="1">
      <alignment horizontal="left" vertical="center"/>
    </xf>
    <xf numFmtId="0" fontId="13" fillId="8" borderId="6" xfId="0" applyFont="1" applyFill="1" applyBorder="1" applyAlignment="1">
      <alignment horizontal="left" vertical="center"/>
    </xf>
    <xf numFmtId="0" fontId="133" fillId="8" borderId="4" xfId="0" applyFont="1" applyFill="1" applyBorder="1" applyAlignment="1">
      <alignment horizontal="left" vertical="center"/>
    </xf>
    <xf numFmtId="0" fontId="133" fillId="8" borderId="6" xfId="0" applyFont="1" applyFill="1" applyBorder="1" applyAlignment="1">
      <alignment horizontal="left" vertical="center"/>
    </xf>
    <xf numFmtId="0" fontId="23" fillId="4" borderId="2" xfId="8" applyFont="1" applyFill="1" applyBorder="1" applyAlignment="1">
      <alignment horizontal="center" vertical="center" wrapText="1"/>
    </xf>
    <xf numFmtId="0" fontId="119" fillId="0" borderId="0" xfId="8" applyFont="1" applyAlignment="1">
      <alignment horizontal="right" vertical="center" wrapText="1"/>
    </xf>
    <xf numFmtId="0" fontId="119" fillId="0" borderId="9" xfId="8" applyFont="1" applyBorder="1" applyAlignment="1">
      <alignment horizontal="right" vertical="center" wrapText="1"/>
    </xf>
    <xf numFmtId="0" fontId="69" fillId="2" borderId="10" xfId="8" applyFont="1" applyFill="1" applyBorder="1" applyAlignment="1">
      <alignment horizontal="left" vertical="center" wrapText="1"/>
    </xf>
    <xf numFmtId="0" fontId="69" fillId="2" borderId="13" xfId="8" applyFont="1" applyFill="1" applyBorder="1" applyAlignment="1">
      <alignment horizontal="left" vertical="center" wrapText="1"/>
    </xf>
    <xf numFmtId="0" fontId="69" fillId="2" borderId="12" xfId="8" applyFont="1" applyFill="1" applyBorder="1" applyAlignment="1">
      <alignment horizontal="left" vertical="center" wrapText="1"/>
    </xf>
    <xf numFmtId="0" fontId="39" fillId="0" borderId="2" xfId="8" applyFont="1" applyBorder="1" applyAlignment="1">
      <alignment horizontal="left" vertical="top" wrapText="1"/>
    </xf>
    <xf numFmtId="0" fontId="39" fillId="0" borderId="4" xfId="8" applyFont="1" applyBorder="1" applyAlignment="1">
      <alignment horizontal="left" vertical="top" wrapText="1"/>
    </xf>
    <xf numFmtId="0" fontId="17" fillId="3" borderId="10" xfId="8" applyFont="1" applyFill="1" applyBorder="1" applyAlignment="1">
      <alignment horizontal="center" vertical="center"/>
    </xf>
    <xf numFmtId="0" fontId="17" fillId="3" borderId="13" xfId="8" applyFont="1" applyFill="1" applyBorder="1" applyAlignment="1">
      <alignment horizontal="center" vertical="center"/>
    </xf>
    <xf numFmtId="0" fontId="17" fillId="3" borderId="11" xfId="8" applyFont="1" applyFill="1" applyBorder="1" applyAlignment="1">
      <alignment horizontal="center" vertical="center" wrapText="1"/>
    </xf>
    <xf numFmtId="0" fontId="17" fillId="3" borderId="17" xfId="8" applyFont="1" applyFill="1" applyBorder="1" applyAlignment="1">
      <alignment horizontal="center" vertical="center" wrapText="1"/>
    </xf>
    <xf numFmtId="0" fontId="17" fillId="3" borderId="4" xfId="8" applyFont="1" applyFill="1" applyBorder="1" applyAlignment="1">
      <alignment horizontal="center" vertical="center" wrapText="1"/>
    </xf>
    <xf numFmtId="0" fontId="17" fillId="3" borderId="6" xfId="8" applyFont="1" applyFill="1" applyBorder="1" applyAlignment="1">
      <alignment horizontal="center" vertical="center" wrapText="1"/>
    </xf>
    <xf numFmtId="0" fontId="69" fillId="3" borderId="2" xfId="8" applyFont="1" applyFill="1" applyBorder="1" applyAlignment="1">
      <alignment horizontal="center" vertical="center" wrapText="1"/>
    </xf>
    <xf numFmtId="0" fontId="55" fillId="6" borderId="0" xfId="0" applyFont="1" applyFill="1" applyAlignment="1">
      <alignment horizontal="left" vertical="center" wrapText="1"/>
    </xf>
    <xf numFmtId="0" fontId="17" fillId="14" borderId="10" xfId="0" applyFont="1" applyFill="1" applyBorder="1" applyAlignment="1">
      <alignment horizontal="left" vertical="top" wrapText="1"/>
    </xf>
    <xf numFmtId="0" fontId="17" fillId="14" borderId="13" xfId="0" applyFont="1" applyFill="1" applyBorder="1" applyAlignment="1">
      <alignment horizontal="left" vertical="top" wrapText="1"/>
    </xf>
    <xf numFmtId="0" fontId="17" fillId="14" borderId="12" xfId="0" applyFont="1" applyFill="1" applyBorder="1" applyAlignment="1">
      <alignment horizontal="left" vertical="top" wrapText="1"/>
    </xf>
    <xf numFmtId="0" fontId="15" fillId="5" borderId="11" xfId="0" applyFont="1" applyFill="1" applyBorder="1" applyAlignment="1">
      <alignment horizontal="left" vertical="top" wrapText="1"/>
    </xf>
    <xf numFmtId="0" fontId="15" fillId="5" borderId="14" xfId="0" applyFont="1" applyFill="1" applyBorder="1" applyAlignment="1">
      <alignment horizontal="left" vertical="top" wrapText="1"/>
    </xf>
    <xf numFmtId="0" fontId="15" fillId="5" borderId="15" xfId="0" applyFont="1" applyFill="1" applyBorder="1" applyAlignment="1">
      <alignment horizontal="left" vertical="top" wrapText="1"/>
    </xf>
    <xf numFmtId="0" fontId="15" fillId="5" borderId="17" xfId="0" applyFont="1" applyFill="1" applyBorder="1" applyAlignment="1">
      <alignment horizontal="left" vertical="top" wrapText="1"/>
    </xf>
    <xf numFmtId="0" fontId="15" fillId="5" borderId="1" xfId="0" applyFont="1" applyFill="1" applyBorder="1" applyAlignment="1">
      <alignment horizontal="left" vertical="top" wrapText="1"/>
    </xf>
    <xf numFmtId="0" fontId="15" fillId="5" borderId="16" xfId="0" applyFont="1" applyFill="1" applyBorder="1" applyAlignment="1">
      <alignment horizontal="left" vertical="top" wrapText="1"/>
    </xf>
    <xf numFmtId="0" fontId="39" fillId="0" borderId="10" xfId="0" applyFont="1" applyBorder="1" applyAlignment="1">
      <alignment horizontal="left" vertical="top" wrapText="1"/>
    </xf>
    <xf numFmtId="0" fontId="39" fillId="0" borderId="13" xfId="0" applyFont="1" applyBorder="1" applyAlignment="1">
      <alignment horizontal="left" vertical="top" wrapText="1"/>
    </xf>
    <xf numFmtId="0" fontId="39" fillId="0" borderId="12" xfId="0" applyFont="1" applyBorder="1" applyAlignment="1">
      <alignment horizontal="left" vertical="top" wrapText="1"/>
    </xf>
    <xf numFmtId="0" fontId="55" fillId="6" borderId="0" xfId="0" applyFont="1" applyFill="1" applyAlignment="1">
      <alignment horizontal="left"/>
    </xf>
    <xf numFmtId="0" fontId="15" fillId="9" borderId="11" xfId="0" applyFont="1" applyFill="1" applyBorder="1" applyAlignment="1">
      <alignment horizontal="left" vertical="top" wrapText="1"/>
    </xf>
    <xf numFmtId="0" fontId="15" fillId="9" borderId="14" xfId="0" applyFont="1" applyFill="1" applyBorder="1" applyAlignment="1">
      <alignment horizontal="left" vertical="top" wrapText="1"/>
    </xf>
    <xf numFmtId="0" fontId="15" fillId="9" borderId="15" xfId="0" applyFont="1" applyFill="1" applyBorder="1" applyAlignment="1">
      <alignment horizontal="left" vertical="top" wrapText="1"/>
    </xf>
    <xf numFmtId="0" fontId="15" fillId="9" borderId="17" xfId="0" applyFont="1" applyFill="1" applyBorder="1" applyAlignment="1">
      <alignment horizontal="left" vertical="top" wrapText="1"/>
    </xf>
    <xf numFmtId="0" fontId="15" fillId="9" borderId="1" xfId="0" applyFont="1" applyFill="1" applyBorder="1" applyAlignment="1">
      <alignment horizontal="left" vertical="top" wrapText="1"/>
    </xf>
    <xf numFmtId="0" fontId="15" fillId="9" borderId="16" xfId="0" applyFont="1" applyFill="1" applyBorder="1" applyAlignment="1">
      <alignment horizontal="left" vertical="top" wrapText="1"/>
    </xf>
    <xf numFmtId="0" fontId="23" fillId="14" borderId="10" xfId="0" applyFont="1" applyFill="1" applyBorder="1" applyAlignment="1">
      <alignment horizontal="left"/>
    </xf>
    <xf numFmtId="0" fontId="23" fillId="14" borderId="13" xfId="0" applyFont="1" applyFill="1" applyBorder="1" applyAlignment="1">
      <alignment horizontal="left"/>
    </xf>
    <xf numFmtId="0" fontId="23" fillId="14" borderId="12" xfId="0" applyFont="1" applyFill="1" applyBorder="1" applyAlignment="1">
      <alignment horizontal="left"/>
    </xf>
    <xf numFmtId="0" fontId="21" fillId="14" borderId="2" xfId="1" applyFont="1" applyFill="1" applyBorder="1" applyAlignment="1">
      <alignment horizontal="center" vertical="center" wrapText="1"/>
    </xf>
    <xf numFmtId="0" fontId="45" fillId="14" borderId="2" xfId="0" applyFont="1" applyFill="1" applyBorder="1" applyAlignment="1">
      <alignment horizontal="center" vertical="center" wrapText="1"/>
    </xf>
    <xf numFmtId="0" fontId="45" fillId="14" borderId="4" xfId="0" applyFont="1" applyFill="1" applyBorder="1" applyAlignment="1">
      <alignment horizontal="center" vertical="center" wrapText="1"/>
    </xf>
    <xf numFmtId="0" fontId="45" fillId="14" borderId="5" xfId="0" applyFont="1" applyFill="1" applyBorder="1" applyAlignment="1">
      <alignment horizontal="center" vertical="center" wrapText="1"/>
    </xf>
    <xf numFmtId="0" fontId="63" fillId="0" borderId="0" xfId="0" applyFont="1" applyAlignment="1">
      <alignment horizontal="center" vertical="center" wrapText="1"/>
    </xf>
    <xf numFmtId="0" fontId="61" fillId="17" borderId="10" xfId="0" applyFont="1" applyFill="1" applyBorder="1" applyAlignment="1">
      <alignment horizontal="center" wrapText="1"/>
    </xf>
    <xf numFmtId="0" fontId="61" fillId="17" borderId="13" xfId="0" applyFont="1" applyFill="1" applyBorder="1" applyAlignment="1">
      <alignment horizontal="center" wrapText="1"/>
    </xf>
    <xf numFmtId="0" fontId="61" fillId="17" borderId="12" xfId="0" applyFont="1" applyFill="1" applyBorder="1" applyAlignment="1">
      <alignment horizontal="center" wrapText="1"/>
    </xf>
    <xf numFmtId="0" fontId="61" fillId="6" borderId="10" xfId="0" applyFont="1" applyFill="1" applyBorder="1" applyAlignment="1">
      <alignment horizontal="center" wrapText="1"/>
    </xf>
    <xf numFmtId="0" fontId="61" fillId="6" borderId="13" xfId="0" applyFont="1" applyFill="1" applyBorder="1" applyAlignment="1">
      <alignment horizontal="center" wrapText="1"/>
    </xf>
    <xf numFmtId="0" fontId="61" fillId="6" borderId="12" xfId="0" applyFont="1" applyFill="1" applyBorder="1" applyAlignment="1">
      <alignment horizontal="center" wrapText="1"/>
    </xf>
    <xf numFmtId="0" fontId="61" fillId="6" borderId="2" xfId="0" applyFont="1" applyFill="1" applyBorder="1" applyAlignment="1">
      <alignment horizontal="center" wrapText="1"/>
    </xf>
    <xf numFmtId="0" fontId="61" fillId="6" borderId="2" xfId="0" applyFont="1" applyFill="1" applyBorder="1" applyAlignment="1">
      <alignment horizontal="center" vertical="center" wrapText="1"/>
    </xf>
    <xf numFmtId="0" fontId="94" fillId="5" borderId="2" xfId="0" applyFont="1" applyFill="1" applyBorder="1" applyAlignment="1">
      <alignment horizontal="center" vertical="center"/>
    </xf>
    <xf numFmtId="49" fontId="18" fillId="3" borderId="2" xfId="1" applyNumberFormat="1" applyFont="1" applyFill="1" applyBorder="1" applyAlignment="1">
      <alignment horizontal="center" vertical="top" wrapText="1"/>
    </xf>
    <xf numFmtId="0" fontId="45" fillId="3" borderId="2" xfId="0" applyFont="1" applyFill="1" applyBorder="1" applyAlignment="1">
      <alignment horizontal="center" vertical="center" wrapText="1"/>
    </xf>
    <xf numFmtId="0" fontId="45" fillId="3" borderId="2" xfId="0" applyFont="1" applyFill="1" applyBorder="1" applyAlignment="1">
      <alignment horizontal="center" vertical="center"/>
    </xf>
    <xf numFmtId="49" fontId="32" fillId="3" borderId="2" xfId="1" applyNumberFormat="1" applyFont="1" applyFill="1" applyBorder="1" applyAlignment="1">
      <alignment horizontal="center" vertical="center" wrapText="1"/>
    </xf>
    <xf numFmtId="49" fontId="18" fillId="0" borderId="2" xfId="1" applyNumberFormat="1" applyFont="1" applyBorder="1" applyAlignment="1">
      <alignment horizontal="center" vertical="center" wrapText="1"/>
    </xf>
    <xf numFmtId="0" fontId="57" fillId="5" borderId="12" xfId="0" applyFont="1" applyFill="1" applyBorder="1" applyAlignment="1">
      <alignment horizontal="center" vertical="center"/>
    </xf>
    <xf numFmtId="0" fontId="57" fillId="5" borderId="2" xfId="0" applyFont="1" applyFill="1" applyBorder="1" applyAlignment="1">
      <alignment horizontal="center" vertical="center"/>
    </xf>
    <xf numFmtId="0" fontId="61" fillId="6" borderId="12" xfId="0" applyFont="1" applyFill="1" applyBorder="1" applyAlignment="1">
      <alignment horizontal="center" vertical="center"/>
    </xf>
    <xf numFmtId="0" fontId="61" fillId="6" borderId="2" xfId="0" applyFont="1" applyFill="1" applyBorder="1" applyAlignment="1">
      <alignment horizontal="center" vertical="center"/>
    </xf>
    <xf numFmtId="0" fontId="61" fillId="6" borderId="12" xfId="0" applyFont="1" applyFill="1" applyBorder="1" applyAlignment="1">
      <alignment horizontal="center" vertical="center" wrapText="1"/>
    </xf>
    <xf numFmtId="0" fontId="57" fillId="5" borderId="2" xfId="0" applyFont="1" applyFill="1" applyBorder="1" applyAlignment="1">
      <alignment horizontal="center"/>
    </xf>
    <xf numFmtId="0" fontId="49" fillId="14" borderId="13" xfId="0" applyFont="1" applyFill="1" applyBorder="1" applyAlignment="1">
      <alignment horizontal="left"/>
    </xf>
    <xf numFmtId="0" fontId="86" fillId="0" borderId="2" xfId="0" applyFont="1" applyBorder="1" applyAlignment="1">
      <alignment horizontal="left"/>
    </xf>
    <xf numFmtId="0" fontId="61" fillId="17" borderId="10" xfId="0" applyFont="1" applyFill="1" applyBorder="1" applyAlignment="1">
      <alignment horizontal="center"/>
    </xf>
    <xf numFmtId="0" fontId="61" fillId="17" borderId="13" xfId="0" applyFont="1" applyFill="1" applyBorder="1" applyAlignment="1">
      <alignment horizontal="center"/>
    </xf>
    <xf numFmtId="0" fontId="61" fillId="17" borderId="12" xfId="0" applyFont="1" applyFill="1" applyBorder="1" applyAlignment="1">
      <alignment horizontal="center"/>
    </xf>
    <xf numFmtId="49" fontId="18" fillId="0" borderId="10" xfId="1" applyNumberFormat="1" applyFont="1" applyBorder="1" applyAlignment="1">
      <alignment horizontal="center" vertical="center" wrapText="1"/>
    </xf>
    <xf numFmtId="49" fontId="18" fillId="0" borderId="13" xfId="1" applyNumberFormat="1" applyFont="1" applyBorder="1" applyAlignment="1">
      <alignment horizontal="center" vertical="center" wrapText="1"/>
    </xf>
    <xf numFmtId="49" fontId="18" fillId="0" borderId="12" xfId="1" applyNumberFormat="1" applyFont="1" applyBorder="1" applyAlignment="1">
      <alignment horizontal="center" vertical="center" wrapText="1"/>
    </xf>
    <xf numFmtId="0" fontId="99" fillId="5" borderId="2" xfId="0" applyFont="1" applyFill="1" applyBorder="1" applyAlignment="1">
      <alignment horizontal="center" vertical="center"/>
    </xf>
    <xf numFmtId="0" fontId="99" fillId="17" borderId="2" xfId="0" applyFont="1" applyFill="1" applyBorder="1" applyAlignment="1">
      <alignment horizontal="center" vertical="center"/>
    </xf>
    <xf numFmtId="0" fontId="115" fillId="9" borderId="2" xfId="0" applyFont="1" applyFill="1" applyBorder="1" applyAlignment="1">
      <alignment horizontal="center" vertical="center"/>
    </xf>
    <xf numFmtId="0" fontId="86" fillId="9" borderId="2" xfId="0" applyFont="1" applyFill="1" applyBorder="1" applyAlignment="1">
      <alignment horizontal="center" vertical="center"/>
    </xf>
    <xf numFmtId="0" fontId="94" fillId="0" borderId="0" xfId="0" applyFont="1" applyAlignment="1">
      <alignment horizontal="left" vertical="center" wrapText="1"/>
    </xf>
    <xf numFmtId="49" fontId="32" fillId="14" borderId="2" xfId="1" applyNumberFormat="1" applyFont="1" applyFill="1" applyBorder="1" applyAlignment="1">
      <alignment horizontal="center" vertical="center" wrapText="1"/>
    </xf>
    <xf numFmtId="0" fontId="45" fillId="14" borderId="2" xfId="0" applyFont="1" applyFill="1" applyBorder="1" applyAlignment="1">
      <alignment horizontal="center" vertical="center"/>
    </xf>
    <xf numFmtId="0" fontId="61" fillId="6" borderId="2" xfId="0" applyFont="1" applyFill="1" applyBorder="1" applyAlignment="1">
      <alignment horizontal="center"/>
    </xf>
    <xf numFmtId="0" fontId="61" fillId="17" borderId="2" xfId="0" applyFont="1" applyFill="1" applyBorder="1" applyAlignment="1">
      <alignment horizontal="center" wrapText="1"/>
    </xf>
    <xf numFmtId="0" fontId="57" fillId="0" borderId="2" xfId="0" applyFont="1" applyBorder="1" applyAlignment="1">
      <alignment horizontal="center" wrapText="1"/>
    </xf>
    <xf numFmtId="0" fontId="94" fillId="6" borderId="0" xfId="0" applyFont="1" applyFill="1" applyAlignment="1">
      <alignment horizontal="left" vertical="center" wrapText="1"/>
    </xf>
    <xf numFmtId="0" fontId="94" fillId="6" borderId="0" xfId="0" applyFont="1" applyFill="1" applyAlignment="1">
      <alignment horizontal="left" vertical="center"/>
    </xf>
    <xf numFmtId="49" fontId="32" fillId="3" borderId="10" xfId="1" applyNumberFormat="1" applyFont="1" applyFill="1" applyBorder="1" applyAlignment="1">
      <alignment horizontal="center" vertical="center" wrapText="1"/>
    </xf>
    <xf numFmtId="49" fontId="32" fillId="3" borderId="13" xfId="1" applyNumberFormat="1" applyFont="1" applyFill="1" applyBorder="1" applyAlignment="1">
      <alignment horizontal="center" vertical="center" wrapText="1"/>
    </xf>
    <xf numFmtId="49" fontId="32" fillId="3" borderId="12" xfId="1" applyNumberFormat="1" applyFont="1" applyFill="1" applyBorder="1" applyAlignment="1">
      <alignment horizontal="center" vertical="center" wrapText="1"/>
    </xf>
    <xf numFmtId="0" fontId="86" fillId="14" borderId="2" xfId="0" applyFont="1" applyFill="1" applyBorder="1" applyAlignment="1">
      <alignment horizontal="center" vertical="center"/>
    </xf>
    <xf numFmtId="49" fontId="18" fillId="14" borderId="2" xfId="1" applyNumberFormat="1" applyFont="1" applyFill="1" applyBorder="1" applyAlignment="1">
      <alignment horizontal="center" vertical="center" wrapText="1"/>
    </xf>
    <xf numFmtId="0" fontId="63" fillId="3" borderId="10" xfId="0" applyFont="1" applyFill="1" applyBorder="1" applyAlignment="1">
      <alignment horizontal="center" vertical="center"/>
    </xf>
    <xf numFmtId="0" fontId="63" fillId="3" borderId="13" xfId="0" applyFont="1" applyFill="1" applyBorder="1" applyAlignment="1">
      <alignment horizontal="center" vertical="center"/>
    </xf>
    <xf numFmtId="0" fontId="94" fillId="5" borderId="10" xfId="0" applyFont="1" applyFill="1" applyBorder="1" applyAlignment="1">
      <alignment horizontal="center" vertical="center"/>
    </xf>
    <xf numFmtId="0" fontId="94" fillId="5" borderId="13" xfId="0" applyFont="1" applyFill="1" applyBorder="1" applyAlignment="1">
      <alignment horizontal="center" vertical="center"/>
    </xf>
    <xf numFmtId="0" fontId="94" fillId="5" borderId="12" xfId="0" applyFont="1" applyFill="1" applyBorder="1" applyAlignment="1">
      <alignment horizontal="center" vertical="center"/>
    </xf>
    <xf numFmtId="0" fontId="45" fillId="14" borderId="10" xfId="0" applyFont="1" applyFill="1" applyBorder="1" applyAlignment="1">
      <alignment horizontal="center" vertical="center" wrapText="1"/>
    </xf>
    <xf numFmtId="0" fontId="45" fillId="14" borderId="12" xfId="0" applyFont="1" applyFill="1" applyBorder="1" applyAlignment="1">
      <alignment horizontal="center" vertical="center" wrapText="1"/>
    </xf>
    <xf numFmtId="49" fontId="18" fillId="14" borderId="10" xfId="1" applyNumberFormat="1" applyFont="1" applyFill="1" applyBorder="1" applyAlignment="1">
      <alignment horizontal="center" vertical="top" wrapText="1"/>
    </xf>
    <xf numFmtId="49" fontId="18" fillId="14" borderId="12" xfId="1" applyNumberFormat="1" applyFont="1" applyFill="1" applyBorder="1" applyAlignment="1">
      <alignment horizontal="center" vertical="top" wrapText="1"/>
    </xf>
    <xf numFmtId="0" fontId="57" fillId="0" borderId="10" xfId="0" applyFont="1" applyBorder="1" applyAlignment="1">
      <alignment horizontal="center" wrapText="1"/>
    </xf>
    <xf numFmtId="0" fontId="99" fillId="17" borderId="4" xfId="0" applyFont="1" applyFill="1" applyBorder="1" applyAlignment="1">
      <alignment horizontal="center" vertical="center"/>
    </xf>
    <xf numFmtId="0" fontId="99" fillId="17" borderId="6" xfId="0" applyFont="1" applyFill="1" applyBorder="1" applyAlignment="1">
      <alignment horizontal="center" vertical="center"/>
    </xf>
    <xf numFmtId="0" fontId="99" fillId="10" borderId="2" xfId="0" applyFont="1" applyFill="1" applyBorder="1" applyAlignment="1">
      <alignment horizontal="center" vertical="center"/>
    </xf>
    <xf numFmtId="0" fontId="33" fillId="0" borderId="14" xfId="0" applyFont="1" applyBorder="1" applyAlignment="1">
      <alignment horizontal="left" vertical="center" wrapText="1"/>
    </xf>
    <xf numFmtId="49" fontId="18" fillId="14" borderId="2" xfId="1" applyNumberFormat="1" applyFont="1" applyFill="1" applyBorder="1" applyAlignment="1">
      <alignment horizontal="center" vertical="top" wrapText="1"/>
    </xf>
    <xf numFmtId="0" fontId="62" fillId="0" borderId="0" xfId="0" applyFont="1" applyAlignment="1">
      <alignment horizontal="center" vertical="center" wrapText="1"/>
    </xf>
    <xf numFmtId="0" fontId="86" fillId="6" borderId="0" xfId="0" applyFont="1" applyFill="1" applyAlignment="1">
      <alignment horizontal="left" vertical="center"/>
    </xf>
    <xf numFmtId="0" fontId="94" fillId="6" borderId="10" xfId="0" applyFont="1" applyFill="1" applyBorder="1" applyAlignment="1">
      <alignment vertical="center" wrapText="1"/>
    </xf>
    <xf numFmtId="0" fontId="94" fillId="6" borderId="13" xfId="0" applyFont="1" applyFill="1" applyBorder="1" applyAlignment="1">
      <alignment vertical="center" wrapText="1"/>
    </xf>
    <xf numFmtId="0" fontId="94" fillId="6" borderId="12" xfId="0" applyFont="1" applyFill="1" applyBorder="1" applyAlignment="1">
      <alignment vertical="center" wrapText="1"/>
    </xf>
    <xf numFmtId="0" fontId="49" fillId="3" borderId="11" xfId="0" applyFont="1" applyFill="1" applyBorder="1" applyAlignment="1">
      <alignment horizontal="left"/>
    </xf>
    <xf numFmtId="0" fontId="49" fillId="3" borderId="14" xfId="0" applyFont="1" applyFill="1" applyBorder="1" applyAlignment="1">
      <alignment horizontal="left"/>
    </xf>
    <xf numFmtId="0" fontId="49" fillId="3" borderId="15" xfId="0" applyFont="1" applyFill="1" applyBorder="1" applyAlignment="1">
      <alignment horizontal="left"/>
    </xf>
    <xf numFmtId="0" fontId="99" fillId="5" borderId="4" xfId="0" applyFont="1" applyFill="1" applyBorder="1" applyAlignment="1">
      <alignment horizontal="center" vertical="center"/>
    </xf>
    <xf numFmtId="0" fontId="99" fillId="5" borderId="6" xfId="0" applyFont="1" applyFill="1" applyBorder="1" applyAlignment="1">
      <alignment horizontal="center" vertical="center"/>
    </xf>
    <xf numFmtId="0" fontId="33" fillId="0" borderId="0" xfId="0" applyFont="1" applyAlignment="1">
      <alignment horizontal="left" vertical="center" wrapText="1"/>
    </xf>
    <xf numFmtId="0" fontId="33" fillId="0" borderId="9" xfId="0" applyFont="1" applyBorder="1" applyAlignment="1">
      <alignment horizontal="left" vertical="center" wrapText="1"/>
    </xf>
    <xf numFmtId="0" fontId="0" fillId="9" borderId="2" xfId="0" applyFill="1" applyBorder="1" applyAlignment="1">
      <alignment horizontal="left" vertical="center"/>
    </xf>
    <xf numFmtId="0" fontId="0" fillId="3" borderId="10" xfId="0"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49" fontId="32" fillId="14" borderId="10" xfId="1" applyNumberFormat="1" applyFont="1" applyFill="1" applyBorder="1" applyAlignment="1">
      <alignment horizontal="center" vertical="center" wrapText="1"/>
    </xf>
    <xf numFmtId="49" fontId="32" fillId="14" borderId="13" xfId="1" applyNumberFormat="1" applyFont="1" applyFill="1" applyBorder="1" applyAlignment="1">
      <alignment horizontal="center" vertical="center" wrapText="1"/>
    </xf>
    <xf numFmtId="49" fontId="32" fillId="14" borderId="12" xfId="1" applyNumberFormat="1" applyFont="1" applyFill="1" applyBorder="1" applyAlignment="1">
      <alignment horizontal="center" vertical="center" wrapText="1"/>
    </xf>
    <xf numFmtId="0" fontId="45" fillId="14" borderId="10" xfId="0" applyFont="1" applyFill="1" applyBorder="1" applyAlignment="1">
      <alignment horizontal="center" vertical="center"/>
    </xf>
    <xf numFmtId="0" fontId="45" fillId="14" borderId="13" xfId="0" applyFont="1" applyFill="1" applyBorder="1" applyAlignment="1">
      <alignment horizontal="center" vertical="center"/>
    </xf>
    <xf numFmtId="0" fontId="86" fillId="0" borderId="10" xfId="0" applyFont="1" applyBorder="1" applyAlignment="1">
      <alignment horizontal="left" vertical="center"/>
    </xf>
    <xf numFmtId="0" fontId="86" fillId="0" borderId="13" xfId="0" applyFont="1" applyBorder="1" applyAlignment="1">
      <alignment horizontal="left" vertical="center"/>
    </xf>
    <xf numFmtId="0" fontId="86" fillId="0" borderId="12" xfId="0" applyFont="1" applyBorder="1" applyAlignment="1">
      <alignment horizontal="left" vertical="center"/>
    </xf>
    <xf numFmtId="0" fontId="86" fillId="0" borderId="10" xfId="0" applyFont="1" applyBorder="1" applyAlignment="1">
      <alignment horizontal="left"/>
    </xf>
    <xf numFmtId="0" fontId="86" fillId="0" borderId="13" xfId="0" applyFont="1" applyBorder="1" applyAlignment="1">
      <alignment horizontal="left"/>
    </xf>
    <xf numFmtId="0" fontId="86" fillId="0" borderId="12" xfId="0" applyFont="1" applyBorder="1" applyAlignment="1">
      <alignment horizontal="left"/>
    </xf>
    <xf numFmtId="0" fontId="63" fillId="14" borderId="2" xfId="0" applyFont="1" applyFill="1" applyBorder="1" applyAlignment="1">
      <alignment horizontal="center" vertical="center" wrapText="1"/>
    </xf>
    <xf numFmtId="0" fontId="63" fillId="14" borderId="4" xfId="0" applyFont="1" applyFill="1" applyBorder="1" applyAlignment="1">
      <alignment horizontal="center" vertical="center" wrapText="1"/>
    </xf>
    <xf numFmtId="0" fontId="63" fillId="14" borderId="5" xfId="0" applyFont="1" applyFill="1" applyBorder="1" applyAlignment="1">
      <alignment horizontal="center" vertical="center" wrapText="1"/>
    </xf>
    <xf numFmtId="0" fontId="61" fillId="0" borderId="2" xfId="0" applyFont="1" applyBorder="1" applyAlignment="1">
      <alignment horizontal="center" vertical="center"/>
    </xf>
    <xf numFmtId="0" fontId="57" fillId="0" borderId="0" xfId="0" applyFont="1" applyAlignment="1">
      <alignment horizontal="center" vertical="center" wrapText="1"/>
    </xf>
    <xf numFmtId="0" fontId="52" fillId="0" borderId="0" xfId="0" applyFont="1" applyAlignment="1">
      <alignment horizontal="left" vertical="center"/>
    </xf>
    <xf numFmtId="49" fontId="17" fillId="3" borderId="10" xfId="1" applyNumberFormat="1" applyFont="1" applyFill="1" applyBorder="1" applyAlignment="1">
      <alignment horizontal="left" vertical="center" wrapText="1"/>
    </xf>
    <xf numFmtId="49" fontId="17" fillId="3" borderId="13" xfId="1" applyNumberFormat="1" applyFont="1" applyFill="1" applyBorder="1" applyAlignment="1">
      <alignment horizontal="left" vertical="center" wrapText="1"/>
    </xf>
    <xf numFmtId="49" fontId="17" fillId="3" borderId="12" xfId="1" applyNumberFormat="1" applyFont="1" applyFill="1" applyBorder="1" applyAlignment="1">
      <alignment horizontal="left" vertical="center" wrapText="1"/>
    </xf>
    <xf numFmtId="0" fontId="61" fillId="0" borderId="10" xfId="0" applyFont="1" applyBorder="1" applyAlignment="1">
      <alignment horizontal="center" vertical="center"/>
    </xf>
    <xf numFmtId="0" fontId="61" fillId="0" borderId="13" xfId="0" applyFont="1" applyBorder="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wrapText="1"/>
    </xf>
    <xf numFmtId="0" fontId="61" fillId="0" borderId="13" xfId="0" applyFont="1" applyBorder="1" applyAlignment="1">
      <alignment horizontal="center" vertical="center" wrapText="1"/>
    </xf>
    <xf numFmtId="0" fontId="61" fillId="0" borderId="12" xfId="0" applyFont="1" applyBorder="1" applyAlignment="1">
      <alignment horizontal="center" vertical="center" wrapText="1"/>
    </xf>
    <xf numFmtId="0" fontId="57" fillId="0" borderId="10" xfId="0" applyFont="1" applyBorder="1" applyAlignment="1">
      <alignment horizontal="center" vertical="center" wrapText="1"/>
    </xf>
    <xf numFmtId="0" fontId="57" fillId="0" borderId="13" xfId="0" applyFont="1" applyBorder="1" applyAlignment="1">
      <alignment horizontal="center" vertical="center" wrapText="1"/>
    </xf>
    <xf numFmtId="0" fontId="57" fillId="0" borderId="12" xfId="0" applyFont="1" applyBorder="1" applyAlignment="1">
      <alignment horizontal="center" vertical="center" wrapText="1"/>
    </xf>
    <xf numFmtId="0" fontId="0" fillId="16" borderId="8" xfId="0" applyFill="1" applyBorder="1" applyAlignment="1">
      <alignment horizontal="center"/>
    </xf>
    <xf numFmtId="0" fontId="0" fillId="16" borderId="0" xfId="0" applyFill="1" applyAlignment="1">
      <alignment horizontal="center"/>
    </xf>
    <xf numFmtId="49" fontId="107" fillId="15" borderId="2" xfId="1" applyNumberFormat="1" applyFont="1" applyFill="1" applyBorder="1" applyAlignment="1">
      <alignment horizontal="center" vertical="top" wrapText="1"/>
    </xf>
    <xf numFmtId="0" fontId="33" fillId="0" borderId="15" xfId="0" applyFont="1" applyBorder="1" applyAlignment="1">
      <alignment horizontal="left" vertical="center" wrapText="1"/>
    </xf>
    <xf numFmtId="0" fontId="63" fillId="14" borderId="10" xfId="0" applyFont="1" applyFill="1" applyBorder="1" applyAlignment="1">
      <alignment horizontal="center" vertical="center"/>
    </xf>
    <xf numFmtId="0" fontId="63" fillId="14" borderId="13" xfId="0" applyFont="1" applyFill="1" applyBorder="1" applyAlignment="1">
      <alignment horizontal="center" vertical="center"/>
    </xf>
    <xf numFmtId="0" fontId="63" fillId="14" borderId="12" xfId="0" applyFont="1" applyFill="1" applyBorder="1" applyAlignment="1">
      <alignment horizontal="center" vertical="center"/>
    </xf>
    <xf numFmtId="0" fontId="94" fillId="5" borderId="11" xfId="0" applyFont="1" applyFill="1" applyBorder="1" applyAlignment="1">
      <alignment horizontal="center" vertical="center"/>
    </xf>
    <xf numFmtId="0" fontId="94" fillId="5" borderId="14" xfId="0" applyFont="1" applyFill="1" applyBorder="1" applyAlignment="1">
      <alignment horizontal="center" vertical="center"/>
    </xf>
    <xf numFmtId="0" fontId="94" fillId="5" borderId="15" xfId="0" applyFont="1" applyFill="1" applyBorder="1" applyAlignment="1">
      <alignment horizontal="center" vertical="center"/>
    </xf>
    <xf numFmtId="0" fontId="90" fillId="9" borderId="2" xfId="0" applyFont="1" applyFill="1" applyBorder="1" applyAlignment="1">
      <alignment horizontal="center" vertical="center"/>
    </xf>
    <xf numFmtId="0" fontId="0" fillId="9" borderId="2" xfId="0" applyFill="1" applyBorder="1" applyAlignment="1">
      <alignment horizontal="center" vertical="center"/>
    </xf>
    <xf numFmtId="49" fontId="32" fillId="0" borderId="2" xfId="1" applyNumberFormat="1" applyFont="1" applyBorder="1" applyAlignment="1">
      <alignment horizontal="center" vertical="center" wrapText="1"/>
    </xf>
    <xf numFmtId="0" fontId="57" fillId="0" borderId="2" xfId="0" applyFont="1" applyBorder="1" applyAlignment="1">
      <alignment horizontal="center" vertical="center" wrapText="1"/>
    </xf>
    <xf numFmtId="0" fontId="57" fillId="5" borderId="10" xfId="0" applyFont="1" applyFill="1" applyBorder="1" applyAlignment="1">
      <alignment horizontal="center"/>
    </xf>
    <xf numFmtId="0" fontId="57" fillId="5" borderId="13" xfId="0" applyFont="1" applyFill="1" applyBorder="1" applyAlignment="1">
      <alignment horizontal="center"/>
    </xf>
    <xf numFmtId="0" fontId="57" fillId="5" borderId="12" xfId="0" applyFont="1" applyFill="1" applyBorder="1" applyAlignment="1">
      <alignment horizontal="center"/>
    </xf>
    <xf numFmtId="0" fontId="33" fillId="0" borderId="0" xfId="0" applyFont="1" applyAlignment="1">
      <alignment horizontal="left" vertical="center"/>
    </xf>
    <xf numFmtId="0" fontId="0" fillId="9" borderId="10" xfId="0" applyFill="1" applyBorder="1" applyAlignment="1">
      <alignment horizontal="left" vertical="center"/>
    </xf>
    <xf numFmtId="0" fontId="0" fillId="9" borderId="12" xfId="0" applyFill="1" applyBorder="1" applyAlignment="1">
      <alignment horizontal="left" vertical="center"/>
    </xf>
    <xf numFmtId="0" fontId="23" fillId="14" borderId="2" xfId="0" applyFont="1" applyFill="1" applyBorder="1" applyAlignment="1">
      <alignment horizontal="left"/>
    </xf>
    <xf numFmtId="0" fontId="99" fillId="9" borderId="2" xfId="0" applyFont="1" applyFill="1" applyBorder="1" applyAlignment="1">
      <alignment horizontal="center" vertical="center"/>
    </xf>
    <xf numFmtId="0" fontId="57" fillId="0" borderId="10" xfId="0" applyFont="1" applyBorder="1" applyAlignment="1">
      <alignment horizontal="center" vertical="center"/>
    </xf>
    <xf numFmtId="0" fontId="57" fillId="0" borderId="13" xfId="0" applyFont="1" applyBorder="1" applyAlignment="1">
      <alignment horizontal="center" vertical="center"/>
    </xf>
    <xf numFmtId="0" fontId="57" fillId="0" borderId="12" xfId="0" applyFont="1" applyBorder="1" applyAlignment="1">
      <alignment horizontal="center" vertical="center"/>
    </xf>
    <xf numFmtId="0" fontId="61" fillId="17" borderId="10" xfId="0" applyFont="1" applyFill="1" applyBorder="1" applyAlignment="1">
      <alignment horizontal="center" vertical="center"/>
    </xf>
    <xf numFmtId="0" fontId="61" fillId="17" borderId="13" xfId="0" applyFont="1" applyFill="1" applyBorder="1" applyAlignment="1">
      <alignment horizontal="center" vertical="center"/>
    </xf>
    <xf numFmtId="0" fontId="61" fillId="17" borderId="12" xfId="0" applyFont="1" applyFill="1" applyBorder="1" applyAlignment="1">
      <alignment horizontal="center" vertical="center"/>
    </xf>
    <xf numFmtId="0" fontId="61" fillId="17" borderId="10" xfId="0" applyFont="1" applyFill="1" applyBorder="1" applyAlignment="1">
      <alignment horizontal="center" vertical="center" wrapText="1"/>
    </xf>
    <xf numFmtId="0" fontId="61" fillId="17" borderId="13" xfId="0" applyFont="1" applyFill="1" applyBorder="1" applyAlignment="1">
      <alignment horizontal="center" vertical="center" wrapText="1"/>
    </xf>
    <xf numFmtId="0" fontId="61" fillId="17" borderId="12" xfId="0" applyFont="1" applyFill="1" applyBorder="1" applyAlignment="1">
      <alignment horizontal="center" vertical="center" wrapText="1"/>
    </xf>
    <xf numFmtId="0" fontId="113" fillId="0" borderId="10" xfId="0" applyFont="1" applyBorder="1" applyAlignment="1">
      <alignment horizontal="left"/>
    </xf>
    <xf numFmtId="0" fontId="113" fillId="0" borderId="13" xfId="0" applyFont="1" applyBorder="1" applyAlignment="1">
      <alignment horizontal="left"/>
    </xf>
    <xf numFmtId="0" fontId="113" fillId="0" borderId="12" xfId="0" applyFont="1" applyBorder="1" applyAlignment="1">
      <alignment horizontal="left"/>
    </xf>
    <xf numFmtId="0" fontId="0" fillId="0" borderId="2" xfId="0" applyBorder="1" applyAlignment="1">
      <alignment horizontal="center" vertical="center"/>
    </xf>
    <xf numFmtId="49" fontId="17" fillId="14" borderId="2" xfId="1" applyNumberFormat="1" applyFont="1" applyFill="1" applyBorder="1" applyAlignment="1">
      <alignment horizontal="left" vertical="center" wrapText="1"/>
    </xf>
    <xf numFmtId="0" fontId="99" fillId="4" borderId="2" xfId="0" applyFont="1" applyFill="1" applyBorder="1" applyAlignment="1">
      <alignment horizontal="center" vertical="center"/>
    </xf>
    <xf numFmtId="0" fontId="45" fillId="3" borderId="10" xfId="0" applyFont="1" applyFill="1" applyBorder="1" applyAlignment="1">
      <alignment horizontal="center" vertical="center" wrapText="1"/>
    </xf>
    <xf numFmtId="0" fontId="45" fillId="3" borderId="12" xfId="0" applyFont="1" applyFill="1" applyBorder="1" applyAlignment="1">
      <alignment horizontal="center" vertical="center" wrapText="1"/>
    </xf>
    <xf numFmtId="49" fontId="18" fillId="3" borderId="10" xfId="1" applyNumberFormat="1" applyFont="1" applyFill="1" applyBorder="1" applyAlignment="1">
      <alignment horizontal="center" vertical="center" wrapText="1"/>
    </xf>
    <xf numFmtId="49" fontId="18" fillId="3" borderId="12" xfId="1" applyNumberFormat="1" applyFont="1" applyFill="1" applyBorder="1" applyAlignment="1">
      <alignment horizontal="center" vertical="center" wrapText="1"/>
    </xf>
    <xf numFmtId="0" fontId="45" fillId="14" borderId="12" xfId="0" applyFont="1" applyFill="1" applyBorder="1" applyAlignment="1">
      <alignment horizontal="center" vertical="center"/>
    </xf>
    <xf numFmtId="0" fontId="99" fillId="5" borderId="10" xfId="0" applyFont="1" applyFill="1" applyBorder="1" applyAlignment="1">
      <alignment horizontal="center" vertical="center"/>
    </xf>
    <xf numFmtId="0" fontId="99" fillId="5" borderId="13" xfId="0" applyFont="1" applyFill="1" applyBorder="1" applyAlignment="1">
      <alignment horizontal="center" vertical="center"/>
    </xf>
    <xf numFmtId="0" fontId="99" fillId="5" borderId="12" xfId="0" applyFont="1" applyFill="1" applyBorder="1" applyAlignment="1">
      <alignment horizontal="center" vertical="center"/>
    </xf>
    <xf numFmtId="0" fontId="126" fillId="17" borderId="10" xfId="0" applyFont="1" applyFill="1" applyBorder="1" applyAlignment="1">
      <alignment horizontal="left" vertical="center" wrapText="1"/>
    </xf>
    <xf numFmtId="0" fontId="126" fillId="17" borderId="12" xfId="0" applyFont="1" applyFill="1" applyBorder="1" applyAlignment="1">
      <alignment horizontal="left" vertical="center" wrapText="1"/>
    </xf>
    <xf numFmtId="0" fontId="99" fillId="9" borderId="10" xfId="0" applyFont="1" applyFill="1" applyBorder="1" applyAlignment="1">
      <alignment horizontal="left" vertical="center"/>
    </xf>
    <xf numFmtId="0" fontId="99" fillId="9" borderId="13" xfId="0" applyFont="1" applyFill="1" applyBorder="1" applyAlignment="1">
      <alignment horizontal="left" vertical="center"/>
    </xf>
    <xf numFmtId="0" fontId="99" fillId="9" borderId="12" xfId="0" applyFont="1" applyFill="1" applyBorder="1" applyAlignment="1">
      <alignment horizontal="left" vertical="center"/>
    </xf>
    <xf numFmtId="0" fontId="57" fillId="5" borderId="10" xfId="0" applyFont="1" applyFill="1" applyBorder="1" applyAlignment="1">
      <alignment horizontal="center" vertical="center"/>
    </xf>
    <xf numFmtId="0" fontId="57" fillId="5" borderId="13" xfId="0" applyFont="1" applyFill="1" applyBorder="1" applyAlignment="1">
      <alignment horizontal="center" vertical="center"/>
    </xf>
    <xf numFmtId="0" fontId="49" fillId="3" borderId="2" xfId="0" applyFont="1" applyFill="1" applyBorder="1" applyAlignment="1">
      <alignment horizontal="left"/>
    </xf>
    <xf numFmtId="0" fontId="61" fillId="6" borderId="10" xfId="0" applyFont="1" applyFill="1" applyBorder="1" applyAlignment="1">
      <alignment horizontal="center"/>
    </xf>
    <xf numFmtId="0" fontId="61" fillId="6" borderId="13" xfId="0" applyFont="1" applyFill="1" applyBorder="1" applyAlignment="1">
      <alignment horizontal="center"/>
    </xf>
    <xf numFmtId="0" fontId="61" fillId="6" borderId="12" xfId="0" applyFont="1" applyFill="1" applyBorder="1" applyAlignment="1">
      <alignment horizontal="center"/>
    </xf>
    <xf numFmtId="0" fontId="99" fillId="9" borderId="2" xfId="0" applyFont="1" applyFill="1" applyBorder="1" applyAlignment="1">
      <alignment horizontal="left" vertical="center"/>
    </xf>
    <xf numFmtId="0" fontId="20" fillId="6" borderId="2" xfId="1" applyFont="1" applyFill="1" applyBorder="1" applyAlignment="1">
      <alignment horizontal="left" vertical="center" wrapText="1"/>
    </xf>
    <xf numFmtId="0" fontId="16" fillId="2" borderId="2" xfId="0" applyFont="1" applyFill="1" applyBorder="1" applyAlignment="1">
      <alignment horizontal="left" vertical="top" wrapText="1"/>
    </xf>
    <xf numFmtId="0" fontId="24" fillId="9" borderId="2" xfId="1" applyFill="1" applyBorder="1" applyAlignment="1">
      <alignment horizontal="center" vertical="top"/>
    </xf>
    <xf numFmtId="0" fontId="60" fillId="3" borderId="2" xfId="1" applyFont="1" applyFill="1" applyBorder="1" applyAlignment="1">
      <alignment horizontal="center" vertical="center" wrapText="1"/>
    </xf>
    <xf numFmtId="164" fontId="140" fillId="5" borderId="2" xfId="1" applyNumberFormat="1" applyFont="1" applyFill="1" applyBorder="1" applyAlignment="1">
      <alignment horizontal="center" vertical="center" wrapText="1"/>
    </xf>
    <xf numFmtId="0" fontId="60" fillId="17" borderId="2" xfId="1" applyFont="1" applyFill="1" applyBorder="1" applyAlignment="1">
      <alignment horizontal="center" vertical="center" wrapText="1"/>
    </xf>
    <xf numFmtId="49" fontId="32" fillId="0" borderId="0" xfId="1" applyNumberFormat="1" applyFont="1" applyAlignment="1">
      <alignment horizontal="left" vertical="top" wrapText="1"/>
    </xf>
    <xf numFmtId="0" fontId="94" fillId="0" borderId="14" xfId="1" applyFont="1" applyBorder="1" applyAlignment="1">
      <alignment horizontal="left" vertical="center" wrapText="1"/>
    </xf>
    <xf numFmtId="0" fontId="120" fillId="5" borderId="2" xfId="1" applyFont="1" applyFill="1" applyBorder="1" applyAlignment="1">
      <alignment horizontal="center" vertical="center" wrapText="1"/>
    </xf>
    <xf numFmtId="0" fontId="119" fillId="9" borderId="2" xfId="1" applyFont="1" applyFill="1" applyBorder="1" applyAlignment="1">
      <alignment horizontal="center" vertical="top"/>
    </xf>
    <xf numFmtId="0" fontId="21" fillId="3" borderId="2" xfId="1" applyFont="1" applyFill="1" applyBorder="1" applyAlignment="1">
      <alignment horizontal="center" vertical="center" wrapText="1"/>
    </xf>
    <xf numFmtId="0" fontId="45" fillId="3" borderId="4" xfId="0" applyFont="1" applyFill="1" applyBorder="1" applyAlignment="1">
      <alignment horizontal="center" vertical="center" wrapText="1"/>
    </xf>
    <xf numFmtId="0" fontId="45" fillId="3" borderId="5" xfId="0" applyFont="1" applyFill="1" applyBorder="1" applyAlignment="1">
      <alignment horizontal="center" vertical="center" wrapText="1"/>
    </xf>
    <xf numFmtId="0" fontId="49" fillId="3" borderId="10" xfId="0" applyFont="1" applyFill="1" applyBorder="1" applyAlignment="1">
      <alignment horizontal="left"/>
    </xf>
    <xf numFmtId="0" fontId="49" fillId="3" borderId="13" xfId="0" applyFont="1" applyFill="1" applyBorder="1" applyAlignment="1">
      <alignment horizontal="left"/>
    </xf>
    <xf numFmtId="0" fontId="49" fillId="3" borderId="12" xfId="0" applyFont="1" applyFill="1" applyBorder="1" applyAlignment="1">
      <alignment horizontal="left"/>
    </xf>
    <xf numFmtId="49" fontId="32" fillId="0" borderId="0" xfId="1" applyNumberFormat="1" applyFont="1" applyAlignment="1">
      <alignment horizontal="center" vertical="top" wrapText="1"/>
    </xf>
    <xf numFmtId="0" fontId="23" fillId="3" borderId="10" xfId="0" applyFont="1" applyFill="1" applyBorder="1" applyAlignment="1">
      <alignment horizontal="left"/>
    </xf>
    <xf numFmtId="0" fontId="23" fillId="3" borderId="13" xfId="0" applyFont="1" applyFill="1" applyBorder="1" applyAlignment="1">
      <alignment horizontal="left"/>
    </xf>
    <xf numFmtId="0" fontId="23" fillId="3" borderId="12" xfId="0" applyFont="1" applyFill="1" applyBorder="1" applyAlignment="1">
      <alignment horizontal="left"/>
    </xf>
    <xf numFmtId="0" fontId="45" fillId="3" borderId="0" xfId="0" applyFont="1" applyFill="1" applyAlignment="1">
      <alignment horizontal="left" vertical="top" wrapText="1"/>
    </xf>
    <xf numFmtId="0" fontId="23" fillId="3" borderId="10" xfId="0" applyFont="1" applyFill="1" applyBorder="1" applyAlignment="1">
      <alignment horizontal="left" vertical="center"/>
    </xf>
    <xf numFmtId="0" fontId="23" fillId="3" borderId="13" xfId="0" applyFont="1" applyFill="1" applyBorder="1" applyAlignment="1">
      <alignment horizontal="left" vertical="center"/>
    </xf>
    <xf numFmtId="0" fontId="23" fillId="3" borderId="12" xfId="0" applyFont="1" applyFill="1" applyBorder="1" applyAlignment="1">
      <alignment horizontal="left" vertical="center"/>
    </xf>
    <xf numFmtId="0" fontId="90" fillId="9" borderId="4" xfId="0" applyFont="1" applyFill="1" applyBorder="1" applyAlignment="1">
      <alignment horizontal="center" vertical="center"/>
    </xf>
    <xf numFmtId="0" fontId="0" fillId="9" borderId="6" xfId="0" applyFill="1" applyBorder="1" applyAlignment="1">
      <alignment horizontal="center" vertical="center"/>
    </xf>
    <xf numFmtId="0" fontId="0" fillId="9" borderId="2" xfId="0" applyFill="1" applyBorder="1" applyAlignment="1">
      <alignment horizontal="center"/>
    </xf>
    <xf numFmtId="0" fontId="21" fillId="3" borderId="4" xfId="1" applyFont="1" applyFill="1" applyBorder="1" applyAlignment="1">
      <alignment horizontal="center" vertical="center" wrapText="1"/>
    </xf>
    <xf numFmtId="0" fontId="21" fillId="3" borderId="6" xfId="1" applyFont="1" applyFill="1" applyBorder="1" applyAlignment="1">
      <alignment horizontal="center" vertical="center" wrapText="1"/>
    </xf>
    <xf numFmtId="0" fontId="63" fillId="3" borderId="2" xfId="0" applyFont="1" applyFill="1" applyBorder="1" applyAlignment="1">
      <alignment horizontal="center" vertical="center" wrapText="1"/>
    </xf>
    <xf numFmtId="49" fontId="21" fillId="3" borderId="2" xfId="1" applyNumberFormat="1" applyFont="1" applyFill="1" applyBorder="1" applyAlignment="1">
      <alignment horizontal="center" vertical="top" wrapText="1"/>
    </xf>
    <xf numFmtId="49" fontId="32" fillId="3" borderId="2" xfId="1" applyNumberFormat="1" applyFont="1" applyFill="1" applyBorder="1" applyAlignment="1">
      <alignment horizontal="center" vertical="top" wrapText="1"/>
    </xf>
    <xf numFmtId="0" fontId="86" fillId="0" borderId="2" xfId="0" applyFont="1" applyBorder="1" applyAlignment="1">
      <alignment horizontal="left" vertical="center"/>
    </xf>
    <xf numFmtId="0" fontId="63" fillId="5" borderId="10" xfId="0" applyFont="1" applyFill="1" applyBorder="1" applyAlignment="1">
      <alignment horizontal="center" vertical="center" wrapText="1"/>
    </xf>
    <xf numFmtId="0" fontId="63" fillId="5" borderId="12" xfId="0" applyFont="1" applyFill="1" applyBorder="1" applyAlignment="1">
      <alignment horizontal="center" vertical="center" wrapText="1"/>
    </xf>
    <xf numFmtId="0" fontId="99" fillId="9" borderId="10" xfId="0" applyFont="1" applyFill="1" applyBorder="1" applyAlignment="1">
      <alignment horizontal="center" vertical="center"/>
    </xf>
    <xf numFmtId="0" fontId="99" fillId="9" borderId="12" xfId="0" applyFont="1" applyFill="1" applyBorder="1" applyAlignment="1">
      <alignment horizontal="center" vertical="center"/>
    </xf>
    <xf numFmtId="49" fontId="32" fillId="3" borderId="10" xfId="1" applyNumberFormat="1" applyFont="1" applyFill="1" applyBorder="1" applyAlignment="1">
      <alignment horizontal="center" vertical="top" wrapText="1"/>
    </xf>
    <xf numFmtId="49" fontId="32" fillId="3" borderId="12" xfId="1" applyNumberFormat="1" applyFont="1" applyFill="1" applyBorder="1" applyAlignment="1">
      <alignment horizontal="center" vertical="top" wrapText="1"/>
    </xf>
    <xf numFmtId="0" fontId="45" fillId="3" borderId="11" xfId="0" applyFont="1" applyFill="1" applyBorder="1" applyAlignment="1">
      <alignment horizontal="center" vertical="center" wrapText="1"/>
    </xf>
    <xf numFmtId="0" fontId="45" fillId="3" borderId="17" xfId="0" applyFont="1" applyFill="1" applyBorder="1" applyAlignment="1">
      <alignment horizontal="center" vertical="center" wrapText="1"/>
    </xf>
    <xf numFmtId="49" fontId="21" fillId="3" borderId="10" xfId="1" applyNumberFormat="1" applyFont="1" applyFill="1" applyBorder="1" applyAlignment="1">
      <alignment horizontal="center" vertical="top" wrapText="1"/>
    </xf>
    <xf numFmtId="49" fontId="21" fillId="3" borderId="12" xfId="1" applyNumberFormat="1" applyFont="1" applyFill="1" applyBorder="1" applyAlignment="1">
      <alignment horizontal="center" vertical="top" wrapText="1"/>
    </xf>
    <xf numFmtId="0" fontId="94" fillId="0" borderId="14" xfId="0" applyFont="1" applyBorder="1" applyAlignment="1">
      <alignment horizontal="left" vertical="center" wrapText="1"/>
    </xf>
    <xf numFmtId="0" fontId="94" fillId="0" borderId="15" xfId="0" applyFont="1" applyBorder="1" applyAlignment="1">
      <alignment horizontal="left" vertical="center" wrapText="1"/>
    </xf>
    <xf numFmtId="0" fontId="45" fillId="3" borderId="13" xfId="0" applyFont="1" applyFill="1" applyBorder="1" applyAlignment="1">
      <alignment horizontal="center" vertical="center" wrapText="1"/>
    </xf>
    <xf numFmtId="0" fontId="45" fillId="3" borderId="6" xfId="0" applyFont="1" applyFill="1" applyBorder="1" applyAlignment="1">
      <alignment horizontal="center" vertical="center" wrapText="1"/>
    </xf>
    <xf numFmtId="0" fontId="63" fillId="5" borderId="6" xfId="0" applyFont="1" applyFill="1" applyBorder="1" applyAlignment="1">
      <alignment horizontal="center" vertical="center" wrapText="1"/>
    </xf>
    <xf numFmtId="49" fontId="17" fillId="3" borderId="10" xfId="1" applyNumberFormat="1" applyFont="1" applyFill="1" applyBorder="1" applyAlignment="1">
      <alignment horizontal="center" vertical="top" wrapText="1"/>
    </xf>
    <xf numFmtId="49" fontId="17" fillId="3" borderId="12" xfId="1" applyNumberFormat="1" applyFont="1" applyFill="1" applyBorder="1" applyAlignment="1">
      <alignment horizontal="center" vertical="top" wrapText="1"/>
    </xf>
    <xf numFmtId="49" fontId="32" fillId="3" borderId="13" xfId="1" applyNumberFormat="1" applyFont="1" applyFill="1" applyBorder="1" applyAlignment="1">
      <alignment horizontal="center" vertical="top" wrapText="1"/>
    </xf>
    <xf numFmtId="49" fontId="17" fillId="3" borderId="2" xfId="1" applyNumberFormat="1" applyFont="1" applyFill="1" applyBorder="1" applyAlignment="1">
      <alignment horizontal="center" vertical="center" wrapText="1"/>
    </xf>
    <xf numFmtId="0" fontId="94" fillId="3" borderId="10" xfId="0" applyFont="1" applyFill="1" applyBorder="1" applyAlignment="1">
      <alignment vertical="center" wrapText="1"/>
    </xf>
    <xf numFmtId="0" fontId="94" fillId="3" borderId="13" xfId="0" applyFont="1" applyFill="1" applyBorder="1" applyAlignment="1">
      <alignment vertical="center" wrapText="1"/>
    </xf>
    <xf numFmtId="0" fontId="94" fillId="3" borderId="12" xfId="0" applyFont="1" applyFill="1" applyBorder="1" applyAlignment="1">
      <alignment vertical="center" wrapText="1"/>
    </xf>
    <xf numFmtId="0" fontId="53" fillId="9" borderId="2" xfId="0" applyFont="1" applyFill="1" applyBorder="1" applyAlignment="1">
      <alignment horizontal="left" vertical="center"/>
    </xf>
    <xf numFmtId="0" fontId="0" fillId="3" borderId="2" xfId="0" applyFill="1" applyBorder="1" applyAlignment="1">
      <alignment horizontal="left" vertical="center"/>
    </xf>
    <xf numFmtId="49" fontId="33" fillId="0" borderId="0" xfId="0" applyNumberFormat="1" applyFont="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0" fillId="0" borderId="12" xfId="0" applyBorder="1" applyAlignment="1">
      <alignment horizontal="left" vertical="center"/>
    </xf>
    <xf numFmtId="0" fontId="45" fillId="3" borderId="15" xfId="0" applyFont="1" applyFill="1" applyBorder="1" applyAlignment="1">
      <alignment horizontal="center" vertical="center" wrapText="1"/>
    </xf>
    <xf numFmtId="0" fontId="45" fillId="3" borderId="16" xfId="0" applyFont="1" applyFill="1" applyBorder="1" applyAlignment="1">
      <alignment horizontal="center" vertical="center" wrapText="1"/>
    </xf>
    <xf numFmtId="49" fontId="21" fillId="3" borderId="10" xfId="1" applyNumberFormat="1" applyFont="1" applyFill="1" applyBorder="1" applyAlignment="1">
      <alignment horizontal="center" vertical="center" wrapText="1"/>
    </xf>
    <xf numFmtId="49" fontId="21" fillId="3" borderId="13" xfId="1" applyNumberFormat="1" applyFont="1" applyFill="1" applyBorder="1" applyAlignment="1">
      <alignment horizontal="center" vertical="center" wrapText="1"/>
    </xf>
    <xf numFmtId="49" fontId="21" fillId="3" borderId="2" xfId="1" applyNumberFormat="1" applyFont="1" applyFill="1" applyBorder="1" applyAlignment="1">
      <alignment horizontal="center" vertical="center" wrapText="1"/>
    </xf>
    <xf numFmtId="0" fontId="115" fillId="9" borderId="4" xfId="0" applyFont="1" applyFill="1" applyBorder="1" applyAlignment="1">
      <alignment horizontal="center" vertical="center"/>
    </xf>
    <xf numFmtId="0" fontId="86" fillId="9" borderId="6" xfId="0" applyFont="1" applyFill="1" applyBorder="1" applyAlignment="1">
      <alignment horizontal="center" vertical="center"/>
    </xf>
    <xf numFmtId="49" fontId="21" fillId="3" borderId="12" xfId="1" applyNumberFormat="1" applyFont="1" applyFill="1" applyBorder="1" applyAlignment="1">
      <alignment horizontal="center" vertical="center" wrapText="1"/>
    </xf>
    <xf numFmtId="0" fontId="99" fillId="9" borderId="13" xfId="0" applyFont="1" applyFill="1" applyBorder="1" applyAlignment="1">
      <alignment horizontal="center" vertical="center"/>
    </xf>
    <xf numFmtId="0" fontId="21" fillId="8" borderId="2" xfId="1" applyFont="1" applyFill="1" applyBorder="1" applyAlignment="1">
      <alignment horizontal="center" vertical="center" wrapText="1"/>
    </xf>
    <xf numFmtId="0" fontId="57" fillId="0" borderId="2" xfId="0" applyFont="1" applyBorder="1" applyAlignment="1">
      <alignment horizontal="left" wrapText="1"/>
    </xf>
    <xf numFmtId="0" fontId="90" fillId="8" borderId="2" xfId="0" applyFont="1" applyFill="1" applyBorder="1" applyAlignment="1">
      <alignment horizontal="center"/>
    </xf>
    <xf numFmtId="0" fontId="115" fillId="8" borderId="2" xfId="0" applyFont="1" applyFill="1" applyBorder="1" applyAlignment="1">
      <alignment horizontal="center"/>
    </xf>
    <xf numFmtId="0" fontId="63" fillId="3" borderId="10" xfId="0" applyFont="1" applyFill="1" applyBorder="1" applyAlignment="1">
      <alignment horizontal="center" vertical="center" wrapText="1"/>
    </xf>
    <xf numFmtId="0" fontId="63" fillId="3" borderId="12" xfId="0" applyFont="1" applyFill="1" applyBorder="1" applyAlignment="1">
      <alignment horizontal="center" vertical="center" wrapText="1"/>
    </xf>
    <xf numFmtId="0" fontId="86" fillId="17" borderId="2" xfId="0" applyFont="1" applyFill="1" applyBorder="1" applyAlignment="1">
      <alignment horizontal="center" vertical="center"/>
    </xf>
    <xf numFmtId="0" fontId="86" fillId="3" borderId="10" xfId="0" applyFont="1" applyFill="1" applyBorder="1" applyAlignment="1">
      <alignment horizontal="left" vertical="center"/>
    </xf>
    <xf numFmtId="0" fontId="86" fillId="3" borderId="13" xfId="0" applyFont="1" applyFill="1" applyBorder="1" applyAlignment="1">
      <alignment horizontal="left" vertical="center"/>
    </xf>
    <xf numFmtId="0" fontId="86" fillId="3" borderId="12" xfId="0" applyFont="1" applyFill="1" applyBorder="1" applyAlignment="1">
      <alignment horizontal="left" vertical="center"/>
    </xf>
    <xf numFmtId="0" fontId="0" fillId="3" borderId="2" xfId="0" applyFill="1" applyBorder="1" applyAlignment="1">
      <alignment horizontal="left"/>
    </xf>
    <xf numFmtId="49" fontId="33" fillId="0" borderId="14" xfId="0" applyNumberFormat="1" applyFont="1" applyBorder="1" applyAlignment="1">
      <alignment horizontal="left" vertical="center"/>
    </xf>
    <xf numFmtId="0" fontId="57" fillId="0" borderId="0" xfId="0" applyFont="1" applyAlignment="1">
      <alignment horizontal="left" wrapText="1"/>
    </xf>
    <xf numFmtId="0" fontId="94" fillId="6" borderId="14" xfId="0" applyFont="1" applyFill="1" applyBorder="1" applyAlignment="1">
      <alignment horizontal="left" vertical="center" wrapText="1"/>
    </xf>
    <xf numFmtId="0" fontId="94" fillId="6" borderId="15" xfId="0" applyFont="1" applyFill="1" applyBorder="1" applyAlignment="1">
      <alignment horizontal="left" vertical="center" wrapText="1"/>
    </xf>
    <xf numFmtId="0" fontId="57" fillId="0" borderId="0" xfId="0" applyFont="1" applyAlignment="1">
      <alignment horizontal="center"/>
    </xf>
    <xf numFmtId="0" fontId="115" fillId="9" borderId="11" xfId="0" applyFont="1" applyFill="1" applyBorder="1" applyAlignment="1">
      <alignment horizontal="center" vertical="center"/>
    </xf>
    <xf numFmtId="0" fontId="0" fillId="0" borderId="2" xfId="0" applyBorder="1" applyAlignment="1">
      <alignment horizontal="left" vertical="center"/>
    </xf>
    <xf numFmtId="0" fontId="63" fillId="3" borderId="4" xfId="0" applyFont="1" applyFill="1" applyBorder="1" applyAlignment="1">
      <alignment horizontal="center" vertical="center" wrapText="1"/>
    </xf>
    <xf numFmtId="0" fontId="63" fillId="3" borderId="5" xfId="0" applyFont="1" applyFill="1" applyBorder="1" applyAlignment="1">
      <alignment horizontal="center" vertical="center" wrapText="1"/>
    </xf>
    <xf numFmtId="0" fontId="57" fillId="0" borderId="2" xfId="0" applyFont="1" applyBorder="1" applyAlignment="1">
      <alignment horizontal="center" vertical="center"/>
    </xf>
    <xf numFmtId="0" fontId="63" fillId="5" borderId="2" xfId="0" applyFont="1" applyFill="1" applyBorder="1" applyAlignment="1">
      <alignment horizontal="center" vertical="center"/>
    </xf>
    <xf numFmtId="0" fontId="94" fillId="3" borderId="2" xfId="0" applyFont="1" applyFill="1" applyBorder="1" applyAlignment="1">
      <alignment horizontal="left" vertical="center" wrapText="1"/>
    </xf>
    <xf numFmtId="49" fontId="46" fillId="17" borderId="2" xfId="0" applyNumberFormat="1" applyFont="1" applyFill="1" applyBorder="1" applyAlignment="1">
      <alignment horizontal="left" vertical="center"/>
    </xf>
    <xf numFmtId="0" fontId="63" fillId="3" borderId="13" xfId="0" applyFont="1" applyFill="1" applyBorder="1" applyAlignment="1">
      <alignment horizontal="center" vertical="center" wrapText="1"/>
    </xf>
    <xf numFmtId="0" fontId="57" fillId="0" borderId="13" xfId="0" applyFont="1" applyBorder="1" applyAlignment="1">
      <alignment horizontal="center" wrapText="1"/>
    </xf>
    <xf numFmtId="0" fontId="57" fillId="0" borderId="12" xfId="0" applyFont="1" applyBorder="1" applyAlignment="1">
      <alignment horizontal="center" wrapText="1"/>
    </xf>
    <xf numFmtId="0" fontId="99" fillId="0" borderId="2" xfId="0" applyFont="1" applyBorder="1" applyAlignment="1">
      <alignment horizontal="center" vertical="center"/>
    </xf>
    <xf numFmtId="0" fontId="57" fillId="0" borderId="2" xfId="0" applyFont="1" applyBorder="1" applyAlignment="1">
      <alignment horizontal="center"/>
    </xf>
    <xf numFmtId="0" fontId="0" fillId="0" borderId="2" xfId="0" applyBorder="1" applyAlignment="1">
      <alignment horizontal="center"/>
    </xf>
    <xf numFmtId="0" fontId="49" fillId="14" borderId="2" xfId="0" applyFont="1" applyFill="1" applyBorder="1" applyAlignment="1">
      <alignment horizontal="left"/>
    </xf>
    <xf numFmtId="0" fontId="118" fillId="5" borderId="2" xfId="0" applyFont="1" applyFill="1" applyBorder="1" applyAlignment="1">
      <alignment horizontal="center" vertical="center"/>
    </xf>
    <xf numFmtId="0" fontId="52" fillId="17" borderId="2" xfId="0" applyFont="1" applyFill="1" applyBorder="1" applyAlignment="1">
      <alignment horizontal="left"/>
    </xf>
    <xf numFmtId="0" fontId="61" fillId="6" borderId="10" xfId="0" applyFont="1" applyFill="1" applyBorder="1" applyAlignment="1">
      <alignment horizontal="center" vertical="center"/>
    </xf>
    <xf numFmtId="0" fontId="0" fillId="0" borderId="2" xfId="0" applyBorder="1" applyAlignment="1">
      <alignment horizontal="center" wrapText="1"/>
    </xf>
    <xf numFmtId="0" fontId="52" fillId="17" borderId="10" xfId="0" applyFont="1" applyFill="1" applyBorder="1" applyAlignment="1">
      <alignment horizontal="left"/>
    </xf>
    <xf numFmtId="0" fontId="52" fillId="17" borderId="13" xfId="0" applyFont="1" applyFill="1" applyBorder="1" applyAlignment="1">
      <alignment horizontal="left"/>
    </xf>
    <xf numFmtId="0" fontId="52" fillId="17" borderId="12" xfId="0" applyFont="1" applyFill="1" applyBorder="1" applyAlignment="1">
      <alignment horizontal="left"/>
    </xf>
    <xf numFmtId="0" fontId="0" fillId="0" borderId="8" xfId="0" applyBorder="1" applyAlignment="1">
      <alignment horizontal="center"/>
    </xf>
    <xf numFmtId="0" fontId="0" fillId="0" borderId="0" xfId="0" applyAlignment="1">
      <alignment horizontal="center"/>
    </xf>
    <xf numFmtId="0" fontId="118" fillId="5" borderId="11" xfId="0" applyFont="1" applyFill="1" applyBorder="1" applyAlignment="1">
      <alignment horizontal="center" vertical="center"/>
    </xf>
    <xf numFmtId="0" fontId="118" fillId="5" borderId="15" xfId="0" applyFont="1" applyFill="1" applyBorder="1" applyAlignment="1">
      <alignment horizontal="center" vertical="center"/>
    </xf>
    <xf numFmtId="0" fontId="118" fillId="5" borderId="17" xfId="0" applyFont="1" applyFill="1" applyBorder="1" applyAlignment="1">
      <alignment horizontal="center" vertical="center"/>
    </xf>
    <xf numFmtId="0" fontId="118" fillId="5" borderId="16" xfId="0" applyFont="1" applyFill="1" applyBorder="1" applyAlignment="1">
      <alignment horizontal="center" vertical="center"/>
    </xf>
    <xf numFmtId="0" fontId="21" fillId="3" borderId="10" xfId="1" applyFont="1" applyFill="1" applyBorder="1" applyAlignment="1">
      <alignment horizontal="center" vertical="center" wrapText="1"/>
    </xf>
    <xf numFmtId="0" fontId="21" fillId="3" borderId="12" xfId="1" applyFont="1" applyFill="1" applyBorder="1" applyAlignment="1">
      <alignment horizontal="center" vertical="center" wrapText="1"/>
    </xf>
    <xf numFmtId="0" fontId="19" fillId="5" borderId="2" xfId="1" applyFont="1" applyFill="1" applyBorder="1" applyAlignment="1">
      <alignment horizontal="center" vertical="center" wrapText="1"/>
    </xf>
    <xf numFmtId="0" fontId="0" fillId="0" borderId="9" xfId="0" applyBorder="1" applyAlignment="1">
      <alignment horizontal="center"/>
    </xf>
    <xf numFmtId="0" fontId="23" fillId="6" borderId="0" xfId="0" applyFont="1" applyFill="1" applyAlignment="1">
      <alignment horizontal="left"/>
    </xf>
    <xf numFmtId="0" fontId="23" fillId="3" borderId="2" xfId="0" applyFont="1" applyFill="1" applyBorder="1" applyAlignment="1">
      <alignment horizontal="center" vertical="center"/>
    </xf>
    <xf numFmtId="0" fontId="129" fillId="5" borderId="4" xfId="1" applyFont="1" applyFill="1" applyBorder="1" applyAlignment="1">
      <alignment horizontal="center" vertical="center" wrapText="1"/>
    </xf>
    <xf numFmtId="0" fontId="129" fillId="5" borderId="5" xfId="1" applyFont="1" applyFill="1" applyBorder="1" applyAlignment="1">
      <alignment horizontal="center" vertical="center" wrapText="1"/>
    </xf>
    <xf numFmtId="0" fontId="129" fillId="5" borderId="6" xfId="1" applyFont="1" applyFill="1" applyBorder="1" applyAlignment="1">
      <alignment horizontal="center" vertical="center" wrapText="1"/>
    </xf>
    <xf numFmtId="0" fontId="116" fillId="5" borderId="4" xfId="1" applyFont="1" applyFill="1" applyBorder="1" applyAlignment="1">
      <alignment horizontal="center" vertical="center" wrapText="1"/>
    </xf>
    <xf numFmtId="0" fontId="116" fillId="5" borderId="5" xfId="1" applyFont="1" applyFill="1" applyBorder="1" applyAlignment="1">
      <alignment horizontal="center" vertical="center" wrapText="1"/>
    </xf>
    <xf numFmtId="0" fontId="116" fillId="5" borderId="6" xfId="1" applyFont="1" applyFill="1" applyBorder="1" applyAlignment="1">
      <alignment horizontal="center" vertical="center" wrapText="1"/>
    </xf>
    <xf numFmtId="0" fontId="129" fillId="5" borderId="2" xfId="1" applyFont="1" applyFill="1" applyBorder="1" applyAlignment="1">
      <alignment horizontal="center" vertical="center" wrapText="1"/>
    </xf>
    <xf numFmtId="0" fontId="116" fillId="5" borderId="2" xfId="1" applyFont="1" applyFill="1" applyBorder="1" applyAlignment="1">
      <alignment horizontal="center" vertical="center" wrapText="1"/>
    </xf>
    <xf numFmtId="0" fontId="99" fillId="0" borderId="0" xfId="0" applyFont="1" applyAlignment="1">
      <alignment horizontal="left" vertical="top" wrapText="1"/>
    </xf>
    <xf numFmtId="49" fontId="18" fillId="3" borderId="2" xfId="1" applyNumberFormat="1" applyFont="1" applyFill="1" applyBorder="1" applyAlignment="1">
      <alignment horizontal="center" vertical="center" wrapText="1"/>
    </xf>
    <xf numFmtId="0" fontId="99" fillId="0" borderId="14" xfId="0" applyFont="1" applyBorder="1" applyAlignment="1">
      <alignment horizontal="left" vertical="top" wrapText="1"/>
    </xf>
    <xf numFmtId="0" fontId="99" fillId="0" borderId="15" xfId="0" applyFont="1" applyBorder="1" applyAlignment="1">
      <alignment horizontal="left" vertical="top" wrapText="1"/>
    </xf>
    <xf numFmtId="0" fontId="94" fillId="3" borderId="4" xfId="0" applyFont="1" applyFill="1" applyBorder="1" applyAlignment="1">
      <alignment horizontal="left" vertical="center" wrapText="1"/>
    </xf>
    <xf numFmtId="0" fontId="139" fillId="9" borderId="2" xfId="0" applyFont="1" applyFill="1" applyBorder="1" applyAlignment="1">
      <alignment horizontal="left" vertical="center"/>
    </xf>
    <xf numFmtId="0" fontId="15" fillId="0" borderId="0" xfId="0" applyFont="1" applyAlignment="1">
      <alignment horizontal="left" vertical="top" wrapText="1"/>
    </xf>
    <xf numFmtId="49" fontId="64" fillId="3" borderId="2" xfId="1" applyNumberFormat="1" applyFont="1" applyFill="1" applyBorder="1" applyAlignment="1">
      <alignment horizontal="center" vertical="center" wrapText="1"/>
    </xf>
    <xf numFmtId="0" fontId="99" fillId="0" borderId="0" xfId="0" applyFont="1" applyAlignment="1">
      <alignment horizontal="left" vertical="center" wrapText="1"/>
    </xf>
    <xf numFmtId="0" fontId="0" fillId="0" borderId="0" xfId="0" applyAlignment="1">
      <alignment horizontal="center" vertical="center"/>
    </xf>
    <xf numFmtId="0" fontId="58" fillId="14" borderId="2" xfId="1" applyFont="1" applyFill="1" applyBorder="1" applyAlignment="1">
      <alignment horizontal="left" vertical="center"/>
    </xf>
    <xf numFmtId="0" fontId="23" fillId="3" borderId="2" xfId="0" applyFont="1" applyFill="1" applyBorder="1" applyAlignment="1">
      <alignment horizontal="left"/>
    </xf>
    <xf numFmtId="0" fontId="15" fillId="0" borderId="14" xfId="0" applyFont="1" applyBorder="1" applyAlignment="1">
      <alignment horizontal="center" vertical="center"/>
    </xf>
    <xf numFmtId="0" fontId="99" fillId="0" borderId="11" xfId="0" applyFont="1" applyBorder="1" applyAlignment="1">
      <alignment horizontal="left" vertical="center" wrapText="1"/>
    </xf>
    <xf numFmtId="0" fontId="99" fillId="0" borderId="14" xfId="0" applyFont="1" applyBorder="1" applyAlignment="1">
      <alignment horizontal="left" vertical="center" wrapText="1"/>
    </xf>
    <xf numFmtId="0" fontId="23" fillId="5" borderId="10" xfId="0" applyFont="1" applyFill="1" applyBorder="1" applyAlignment="1">
      <alignment horizontal="center"/>
    </xf>
    <xf numFmtId="0" fontId="23" fillId="5" borderId="12" xfId="0" applyFont="1" applyFill="1" applyBorder="1" applyAlignment="1">
      <alignment horizontal="center"/>
    </xf>
    <xf numFmtId="0" fontId="99" fillId="6" borderId="0" xfId="0" applyFont="1" applyFill="1" applyAlignment="1">
      <alignment horizontal="left" vertical="top" wrapText="1"/>
    </xf>
    <xf numFmtId="0" fontId="47" fillId="0" borderId="14" xfId="0" applyFont="1" applyBorder="1" applyAlignment="1">
      <alignment horizontal="left" vertical="top" wrapText="1"/>
    </xf>
    <xf numFmtId="0" fontId="47" fillId="0" borderId="15" xfId="0" applyFont="1" applyBorder="1" applyAlignment="1">
      <alignment horizontal="left" vertical="top" wrapText="1"/>
    </xf>
    <xf numFmtId="49" fontId="64" fillId="17" borderId="2" xfId="1" applyNumberFormat="1" applyFont="1" applyFill="1" applyBorder="1" applyAlignment="1">
      <alignment horizontal="center" vertical="center" wrapText="1"/>
    </xf>
    <xf numFmtId="49" fontId="17" fillId="3" borderId="10" xfId="1" applyNumberFormat="1" applyFont="1" applyFill="1" applyBorder="1" applyAlignment="1">
      <alignment horizontal="center" vertical="center" wrapText="1"/>
    </xf>
    <xf numFmtId="49" fontId="17" fillId="3" borderId="12" xfId="1" applyNumberFormat="1" applyFont="1" applyFill="1" applyBorder="1" applyAlignment="1">
      <alignment horizontal="center" vertical="center" wrapText="1"/>
    </xf>
    <xf numFmtId="0" fontId="99" fillId="9" borderId="2" xfId="0" applyFont="1" applyFill="1" applyBorder="1" applyAlignment="1">
      <alignment horizontal="center" vertical="center" wrapText="1"/>
    </xf>
    <xf numFmtId="0" fontId="55" fillId="13" borderId="2" xfId="0" applyFont="1" applyFill="1" applyBorder="1" applyAlignment="1">
      <alignment horizontal="center" vertical="center"/>
    </xf>
    <xf numFmtId="0" fontId="55" fillId="12" borderId="2" xfId="0" applyFont="1" applyFill="1" applyBorder="1" applyAlignment="1">
      <alignment horizontal="center" vertical="center"/>
    </xf>
    <xf numFmtId="49" fontId="64" fillId="3" borderId="2" xfId="1" applyNumberFormat="1" applyFont="1" applyFill="1" applyBorder="1" applyAlignment="1">
      <alignment horizontal="right" vertical="center" wrapText="1"/>
    </xf>
    <xf numFmtId="0" fontId="17" fillId="3" borderId="2" xfId="1" applyFont="1" applyFill="1" applyBorder="1" applyAlignment="1">
      <alignment horizontal="left" vertical="center"/>
    </xf>
    <xf numFmtId="49" fontId="21" fillId="3" borderId="2" xfId="1" applyNumberFormat="1" applyFont="1" applyFill="1" applyBorder="1" applyAlignment="1">
      <alignment horizontal="right" vertical="center" wrapText="1"/>
    </xf>
    <xf numFmtId="0" fontId="99" fillId="3" borderId="0" xfId="0" applyFont="1" applyFill="1" applyAlignment="1">
      <alignment horizontal="left" vertical="center" wrapText="1"/>
    </xf>
    <xf numFmtId="0" fontId="104" fillId="0" borderId="0" xfId="0" applyFont="1" applyAlignment="1">
      <alignment horizontal="center" vertical="top" wrapText="1"/>
    </xf>
    <xf numFmtId="0" fontId="23" fillId="3" borderId="10" xfId="0" applyFont="1" applyFill="1" applyBorder="1" applyAlignment="1">
      <alignment horizontal="center" vertical="center"/>
    </xf>
    <xf numFmtId="0" fontId="23" fillId="3" borderId="13" xfId="0" applyFont="1" applyFill="1" applyBorder="1" applyAlignment="1">
      <alignment horizontal="center" vertical="center"/>
    </xf>
    <xf numFmtId="0" fontId="23" fillId="3" borderId="12" xfId="0" applyFont="1" applyFill="1" applyBorder="1" applyAlignment="1">
      <alignment horizontal="center" vertical="center"/>
    </xf>
    <xf numFmtId="0" fontId="99" fillId="0" borderId="8" xfId="0" applyFont="1" applyBorder="1" applyAlignment="1">
      <alignment horizontal="left" vertical="center" wrapText="1"/>
    </xf>
    <xf numFmtId="49" fontId="18" fillId="6" borderId="10" xfId="1" applyNumberFormat="1" applyFont="1" applyFill="1" applyBorder="1" applyAlignment="1">
      <alignment horizontal="center" vertical="center" wrapText="1"/>
    </xf>
    <xf numFmtId="49" fontId="18" fillId="6" borderId="13" xfId="1" applyNumberFormat="1" applyFont="1" applyFill="1" applyBorder="1" applyAlignment="1">
      <alignment horizontal="center" vertical="center" wrapText="1"/>
    </xf>
    <xf numFmtId="49" fontId="18" fillId="6" borderId="12" xfId="1" applyNumberFormat="1" applyFont="1" applyFill="1" applyBorder="1" applyAlignment="1">
      <alignment horizontal="center" vertical="center" wrapText="1"/>
    </xf>
    <xf numFmtId="0" fontId="99" fillId="5" borderId="5" xfId="0" applyFont="1" applyFill="1" applyBorder="1" applyAlignment="1">
      <alignment horizontal="center" vertical="center"/>
    </xf>
    <xf numFmtId="0" fontId="99" fillId="3" borderId="8" xfId="0" applyFont="1" applyFill="1" applyBorder="1" applyAlignment="1">
      <alignment horizontal="left" vertical="center" wrapText="1"/>
    </xf>
    <xf numFmtId="0" fontId="58" fillId="3" borderId="10" xfId="1" applyFont="1" applyFill="1" applyBorder="1" applyAlignment="1">
      <alignment horizontal="left" vertical="center"/>
    </xf>
    <xf numFmtId="0" fontId="58" fillId="3" borderId="13" xfId="1" applyFont="1" applyFill="1" applyBorder="1" applyAlignment="1">
      <alignment horizontal="left" vertical="center"/>
    </xf>
    <xf numFmtId="0" fontId="58" fillId="3" borderId="12" xfId="1" applyFont="1" applyFill="1" applyBorder="1" applyAlignment="1">
      <alignment horizontal="left" vertical="center"/>
    </xf>
    <xf numFmtId="0" fontId="99" fillId="6" borderId="8" xfId="0" applyFont="1" applyFill="1" applyBorder="1" applyAlignment="1">
      <alignment horizontal="left" vertical="center" wrapText="1"/>
    </xf>
    <xf numFmtId="0" fontId="99" fillId="6" borderId="0" xfId="0" applyFont="1" applyFill="1" applyAlignment="1">
      <alignment horizontal="left" vertical="center" wrapText="1"/>
    </xf>
    <xf numFmtId="0" fontId="17" fillId="14" borderId="2" xfId="1" applyFont="1" applyFill="1" applyBorder="1" applyAlignment="1">
      <alignment horizontal="left" vertical="center"/>
    </xf>
    <xf numFmtId="0" fontId="55" fillId="12" borderId="11" xfId="0" applyFont="1" applyFill="1" applyBorder="1" applyAlignment="1">
      <alignment horizontal="center" vertical="center"/>
    </xf>
    <xf numFmtId="0" fontId="55" fillId="12" borderId="14" xfId="0" applyFont="1" applyFill="1" applyBorder="1" applyAlignment="1">
      <alignment horizontal="center" vertical="center"/>
    </xf>
    <xf numFmtId="0" fontId="20" fillId="6" borderId="2" xfId="1" applyFont="1" applyFill="1" applyBorder="1" applyAlignment="1">
      <alignment horizontal="left" vertical="top" wrapText="1"/>
    </xf>
    <xf numFmtId="0" fontId="24" fillId="0" borderId="2" xfId="1" applyBorder="1" applyAlignment="1">
      <alignment horizontal="center" vertical="top"/>
    </xf>
    <xf numFmtId="0" fontId="69" fillId="9" borderId="2" xfId="1" applyFont="1" applyFill="1" applyBorder="1" applyAlignment="1">
      <alignment horizontal="center" vertical="top" wrapText="1"/>
    </xf>
    <xf numFmtId="0" fontId="94" fillId="3" borderId="0" xfId="1" applyFont="1" applyFill="1" applyAlignment="1">
      <alignment horizontal="left" vertical="top" wrapText="1"/>
    </xf>
    <xf numFmtId="0" fontId="94" fillId="0" borderId="0" xfId="1" applyFont="1" applyAlignment="1">
      <alignment horizontal="left" vertical="top" wrapText="1"/>
    </xf>
    <xf numFmtId="0" fontId="23" fillId="3" borderId="2" xfId="1" applyFont="1" applyFill="1" applyBorder="1" applyAlignment="1">
      <alignment horizontal="center" vertical="center" wrapText="1"/>
    </xf>
    <xf numFmtId="0" fontId="16" fillId="17" borderId="10" xfId="0" applyFont="1" applyFill="1" applyBorder="1" applyAlignment="1">
      <alignment horizontal="left" vertical="top" wrapText="1"/>
    </xf>
    <xf numFmtId="0" fontId="16" fillId="17" borderId="13" xfId="0" applyFont="1" applyFill="1" applyBorder="1" applyAlignment="1">
      <alignment horizontal="left" vertical="top" wrapText="1"/>
    </xf>
    <xf numFmtId="0" fontId="16" fillId="17" borderId="12" xfId="0" applyFont="1" applyFill="1" applyBorder="1" applyAlignment="1">
      <alignment horizontal="left" vertical="top" wrapText="1"/>
    </xf>
    <xf numFmtId="0" fontId="20" fillId="3" borderId="10" xfId="0" applyFont="1" applyFill="1" applyBorder="1" applyAlignment="1">
      <alignment horizontal="left" vertical="top" wrapText="1"/>
    </xf>
    <xf numFmtId="0" fontId="20" fillId="3" borderId="13" xfId="0" applyFont="1" applyFill="1" applyBorder="1" applyAlignment="1">
      <alignment horizontal="left" vertical="top" wrapText="1"/>
    </xf>
    <xf numFmtId="0" fontId="20" fillId="3" borderId="12" xfId="0" applyFont="1" applyFill="1" applyBorder="1" applyAlignment="1">
      <alignment horizontal="left" vertical="top" wrapText="1"/>
    </xf>
    <xf numFmtId="0" fontId="15" fillId="3" borderId="2" xfId="0" applyFont="1" applyFill="1" applyBorder="1" applyAlignment="1">
      <alignment horizontal="center" vertical="center"/>
    </xf>
    <xf numFmtId="0" fontId="33" fillId="3" borderId="10" xfId="0" applyFont="1" applyFill="1" applyBorder="1" applyAlignment="1">
      <alignment horizontal="left" vertical="center" wrapText="1"/>
    </xf>
    <xf numFmtId="0" fontId="33" fillId="3" borderId="13" xfId="0" applyFont="1" applyFill="1" applyBorder="1" applyAlignment="1">
      <alignment horizontal="left" vertical="center" wrapText="1"/>
    </xf>
    <xf numFmtId="0" fontId="33" fillId="3" borderId="12" xfId="0" applyFont="1" applyFill="1" applyBorder="1" applyAlignment="1">
      <alignment horizontal="left" vertical="center" wrapText="1"/>
    </xf>
    <xf numFmtId="0" fontId="17" fillId="17" borderId="10" xfId="0" applyFont="1" applyFill="1" applyBorder="1" applyAlignment="1">
      <alignment horizontal="left" vertical="top" wrapText="1"/>
    </xf>
    <xf numFmtId="0" fontId="17" fillId="17" borderId="13" xfId="0" applyFont="1" applyFill="1" applyBorder="1" applyAlignment="1">
      <alignment horizontal="left" vertical="top" wrapText="1"/>
    </xf>
    <xf numFmtId="0" fontId="17" fillId="17" borderId="12" xfId="0" applyFont="1" applyFill="1" applyBorder="1" applyAlignment="1">
      <alignment horizontal="left" vertical="top" wrapText="1"/>
    </xf>
    <xf numFmtId="0" fontId="15" fillId="3" borderId="10" xfId="0" applyFont="1" applyFill="1" applyBorder="1" applyAlignment="1">
      <alignment horizontal="center" vertical="center"/>
    </xf>
    <xf numFmtId="0" fontId="15" fillId="3" borderId="12" xfId="0" applyFont="1" applyFill="1" applyBorder="1" applyAlignment="1">
      <alignment horizontal="center" vertical="center"/>
    </xf>
    <xf numFmtId="0" fontId="39" fillId="3" borderId="17" xfId="0" applyFont="1" applyFill="1" applyBorder="1" applyAlignment="1">
      <alignment horizontal="left" vertical="top" wrapText="1"/>
    </xf>
    <xf numFmtId="0" fontId="39" fillId="3" borderId="1" xfId="0" applyFont="1" applyFill="1" applyBorder="1" applyAlignment="1">
      <alignment horizontal="left" vertical="top" wrapText="1"/>
    </xf>
    <xf numFmtId="0" fontId="39" fillId="6" borderId="10" xfId="0" applyFont="1" applyFill="1" applyBorder="1" applyAlignment="1">
      <alignment horizontal="left" vertical="top" wrapText="1"/>
    </xf>
    <xf numFmtId="0" fontId="39" fillId="6" borderId="13" xfId="0" applyFont="1" applyFill="1" applyBorder="1" applyAlignment="1">
      <alignment horizontal="left" vertical="top" wrapText="1"/>
    </xf>
    <xf numFmtId="0" fontId="39" fillId="6" borderId="12" xfId="0" applyFont="1" applyFill="1" applyBorder="1" applyAlignment="1">
      <alignment horizontal="left" vertical="top" wrapText="1"/>
    </xf>
    <xf numFmtId="0" fontId="23" fillId="17" borderId="10" xfId="15" applyFont="1" applyFill="1" applyBorder="1" applyAlignment="1">
      <alignment horizontal="left" vertical="center"/>
    </xf>
    <xf numFmtId="0" fontId="23" fillId="17" borderId="13" xfId="15" applyFont="1" applyFill="1" applyBorder="1" applyAlignment="1">
      <alignment horizontal="left" vertical="center"/>
    </xf>
    <xf numFmtId="0" fontId="23" fillId="17" borderId="12" xfId="15" applyFont="1" applyFill="1" applyBorder="1" applyAlignment="1">
      <alignment horizontal="left" vertical="center"/>
    </xf>
    <xf numFmtId="0" fontId="49" fillId="17" borderId="10" xfId="15" applyFont="1" applyFill="1" applyBorder="1" applyAlignment="1">
      <alignment horizontal="left" vertical="center"/>
    </xf>
    <xf numFmtId="0" fontId="49" fillId="17" borderId="13" xfId="15" applyFont="1" applyFill="1" applyBorder="1" applyAlignment="1">
      <alignment horizontal="left" vertical="center"/>
    </xf>
    <xf numFmtId="0" fontId="49" fillId="17" borderId="12" xfId="15" applyFont="1" applyFill="1" applyBorder="1" applyAlignment="1">
      <alignment horizontal="left" vertical="center"/>
    </xf>
    <xf numFmtId="0" fontId="39" fillId="17" borderId="10" xfId="0" applyFont="1" applyFill="1" applyBorder="1" applyAlignment="1">
      <alignment horizontal="left" vertical="top" wrapText="1"/>
    </xf>
    <xf numFmtId="0" fontId="39" fillId="17" borderId="13" xfId="0" applyFont="1" applyFill="1" applyBorder="1" applyAlignment="1">
      <alignment horizontal="left" vertical="top" wrapText="1"/>
    </xf>
    <xf numFmtId="0" fontId="39" fillId="17" borderId="12" xfId="0" applyFont="1" applyFill="1" applyBorder="1" applyAlignment="1">
      <alignment horizontal="left" vertical="top" wrapText="1"/>
    </xf>
    <xf numFmtId="0" fontId="49" fillId="18" borderId="10" xfId="16" applyFont="1" applyFill="1" applyBorder="1" applyAlignment="1">
      <alignment horizontal="left" vertical="center"/>
    </xf>
    <xf numFmtId="0" fontId="49" fillId="18" borderId="13" xfId="16" applyFont="1" applyFill="1" applyBorder="1" applyAlignment="1">
      <alignment horizontal="left" vertical="center"/>
    </xf>
    <xf numFmtId="0" fontId="49" fillId="18" borderId="12" xfId="16" applyFont="1" applyFill="1" applyBorder="1" applyAlignment="1">
      <alignment horizontal="left" vertical="center"/>
    </xf>
    <xf numFmtId="0" fontId="50" fillId="0" borderId="8" xfId="0" applyFont="1" applyBorder="1" applyAlignment="1">
      <alignment horizontal="left" vertical="center" wrapText="1"/>
    </xf>
    <xf numFmtId="0" fontId="50" fillId="0" borderId="0" xfId="0" applyFont="1" applyAlignment="1">
      <alignment horizontal="left" vertical="center" wrapText="1"/>
    </xf>
    <xf numFmtId="0" fontId="50" fillId="0" borderId="9" xfId="0" applyFont="1" applyBorder="1" applyAlignment="1">
      <alignment horizontal="left" vertical="center" wrapText="1"/>
    </xf>
    <xf numFmtId="0" fontId="15" fillId="17" borderId="10" xfId="0" applyFont="1" applyFill="1" applyBorder="1" applyAlignment="1">
      <alignment horizontal="center"/>
    </xf>
    <xf numFmtId="0" fontId="15" fillId="17" borderId="13" xfId="0" applyFont="1" applyFill="1" applyBorder="1" applyAlignment="1">
      <alignment horizontal="center"/>
    </xf>
    <xf numFmtId="0" fontId="15" fillId="17" borderId="12" xfId="0" applyFont="1" applyFill="1" applyBorder="1" applyAlignment="1">
      <alignment horizontal="center"/>
    </xf>
    <xf numFmtId="0" fontId="1" fillId="0" borderId="9" xfId="0" applyFont="1" applyBorder="1"/>
    <xf numFmtId="0" fontId="163" fillId="17" borderId="2" xfId="0" applyFont="1" applyFill="1" applyBorder="1" applyAlignment="1">
      <alignment horizontal="left" vertical="center" wrapText="1"/>
    </xf>
    <xf numFmtId="0" fontId="15" fillId="0" borderId="10" xfId="0" applyFont="1" applyBorder="1" applyAlignment="1"/>
    <xf numFmtId="0" fontId="15" fillId="0" borderId="12" xfId="0" applyFont="1" applyBorder="1" applyAlignment="1"/>
    <xf numFmtId="0" fontId="15" fillId="9" borderId="10" xfId="0" applyFont="1" applyFill="1" applyBorder="1" applyAlignment="1"/>
    <xf numFmtId="0" fontId="15" fillId="9" borderId="13" xfId="0" applyFont="1" applyFill="1" applyBorder="1" applyAlignment="1"/>
    <xf numFmtId="0" fontId="49" fillId="14" borderId="2" xfId="0" applyFont="1" applyFill="1" applyBorder="1" applyAlignment="1"/>
    <xf numFmtId="0" fontId="49" fillId="14" borderId="10" xfId="0" applyFont="1" applyFill="1" applyBorder="1" applyAlignment="1"/>
    <xf numFmtId="0" fontId="49" fillId="14" borderId="13" xfId="0" applyFont="1" applyFill="1" applyBorder="1" applyAlignment="1"/>
    <xf numFmtId="0" fontId="49" fillId="14" borderId="12" xfId="0" applyFont="1" applyFill="1" applyBorder="1" applyAlignment="1"/>
    <xf numFmtId="0" fontId="49" fillId="3" borderId="10" xfId="0" applyFont="1" applyFill="1" applyBorder="1" applyAlignment="1"/>
    <xf numFmtId="0" fontId="49" fillId="3" borderId="13" xfId="0" applyFont="1" applyFill="1" applyBorder="1" applyAlignment="1"/>
    <xf numFmtId="0" fontId="49" fillId="3" borderId="12" xfId="0" applyFont="1" applyFill="1" applyBorder="1" applyAlignment="1"/>
    <xf numFmtId="0" fontId="49" fillId="3" borderId="11" xfId="0" applyFont="1" applyFill="1" applyBorder="1" applyAlignment="1"/>
    <xf numFmtId="0" fontId="23" fillId="17" borderId="11" xfId="0" applyFont="1" applyFill="1" applyBorder="1" applyAlignment="1"/>
    <xf numFmtId="0" fontId="23" fillId="17" borderId="13" xfId="0" applyFont="1" applyFill="1" applyBorder="1" applyAlignment="1"/>
    <xf numFmtId="0" fontId="23" fillId="17" borderId="12" xfId="0" applyFont="1" applyFill="1" applyBorder="1" applyAlignment="1"/>
  </cellXfs>
  <cellStyles count="17">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3" xfId="15" xr:uid="{D3EAFC3D-14BC-4717-A20D-60C792A0FFAA}"/>
    <cellStyle name="Normal 6 2 2 5" xfId="16" xr:uid="{A0A88EBA-BADB-40F0-B05B-4258CE21C781}"/>
    <cellStyle name="Normal 6 3" xfId="11" xr:uid="{00000000-0005-0000-0000-00000F000000}"/>
  </cellStyles>
  <dxfs count="0"/>
  <tableStyles count="0" defaultTableStyle="TableStyleMedium2" defaultPivotStyle="PivotStyleLight16"/>
  <colors>
    <mruColors>
      <color rgb="FFCC99FF"/>
      <color rgb="FFFA9AA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6.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7.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11</xdr:col>
      <xdr:colOff>10364</xdr:colOff>
      <xdr:row>4</xdr:row>
      <xdr:rowOff>170701</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2</xdr:row>
      <xdr:rowOff>38100</xdr:rowOff>
    </xdr:from>
    <xdr:to>
      <xdr:col>16</xdr:col>
      <xdr:colOff>542925</xdr:colOff>
      <xdr:row>8</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14</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12</xdr:row>
      <xdr:rowOff>142875</xdr:rowOff>
    </xdr:from>
    <xdr:to>
      <xdr:col>16</xdr:col>
      <xdr:colOff>600075</xdr:colOff>
      <xdr:row>20</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1746</xdr:colOff>
      <xdr:row>3</xdr:row>
      <xdr:rowOff>170702</xdr:rowOff>
    </xdr:to>
    <xdr:pic>
      <xdr:nvPicPr>
        <xdr:cNvPr id="2" name="image1.jpeg">
          <a:extLst>
            <a:ext uri="{FF2B5EF4-FFF2-40B4-BE49-F238E27FC236}">
              <a16:creationId xmlns:a16="http://schemas.microsoft.com/office/drawing/2014/main" id="{7309ADBE-2E0C-443C-969D-547E1F729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0945C711-42FF-40A2-98E6-A434C37166A0}"/>
            </a:ext>
          </a:extLst>
        </xdr:cNvPr>
        <xdr:cNvSpPr/>
      </xdr:nvSpPr>
      <xdr:spPr>
        <a:xfrm>
          <a:off x="9344025" y="222250"/>
          <a:ext cx="2838450" cy="1733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2B40F483-177D-4B80-A033-5FE312920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3016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59F2E93B-2E71-44DB-9301-4D39D18192B7}"/>
            </a:ext>
          </a:extLst>
        </xdr:cNvPr>
        <xdr:cNvSpPr/>
      </xdr:nvSpPr>
      <xdr:spPr>
        <a:xfrm>
          <a:off x="9401175" y="2720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10</xdr:row>
      <xdr:rowOff>76424</xdr:rowOff>
    </xdr:to>
    <xdr:sp macro="" textlink="">
      <xdr:nvSpPr>
        <xdr:cNvPr id="2" name="Left Arrow 5">
          <a:extLst>
            <a:ext uri="{FF2B5EF4-FFF2-40B4-BE49-F238E27FC236}">
              <a16:creationId xmlns:a16="http://schemas.microsoft.com/office/drawing/2014/main" id="{C03BFDB6-51B6-433A-937F-7782E7A7E4A2}"/>
            </a:ext>
          </a:extLst>
        </xdr:cNvPr>
        <xdr:cNvSpPr/>
      </xdr:nvSpPr>
      <xdr:spPr>
        <a:xfrm>
          <a:off x="7172325" y="762000"/>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438150</xdr:colOff>
      <xdr:row>3</xdr:row>
      <xdr:rowOff>91440</xdr:rowOff>
    </xdr:from>
    <xdr:to>
      <xdr:col>18</xdr:col>
      <xdr:colOff>554019</xdr:colOff>
      <xdr:row>9</xdr:row>
      <xdr:rowOff>129764</xdr:rowOff>
    </xdr:to>
    <xdr:sp macro="" textlink="">
      <xdr:nvSpPr>
        <xdr:cNvPr id="2" name="Left Arrow 5">
          <a:extLst>
            <a:ext uri="{FF2B5EF4-FFF2-40B4-BE49-F238E27FC236}">
              <a16:creationId xmlns:a16="http://schemas.microsoft.com/office/drawing/2014/main" id="{881B2478-B3DB-4D26-B10E-65605B5C4F24}"/>
            </a:ext>
          </a:extLst>
        </xdr:cNvPr>
        <xdr:cNvSpPr/>
      </xdr:nvSpPr>
      <xdr:spPr>
        <a:xfrm>
          <a:off x="8620125" y="634365"/>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69849</xdr:colOff>
      <xdr:row>29</xdr:row>
      <xdr:rowOff>92054</xdr:rowOff>
    </xdr:from>
    <xdr:to>
      <xdr:col>13</xdr:col>
      <xdr:colOff>2145550</xdr:colOff>
      <xdr:row>30</xdr:row>
      <xdr:rowOff>162181</xdr:rowOff>
    </xdr:to>
    <xdr:pic>
      <xdr:nvPicPr>
        <xdr:cNvPr id="2" name="Picture 1">
          <a:extLst>
            <a:ext uri="{FF2B5EF4-FFF2-40B4-BE49-F238E27FC236}">
              <a16:creationId xmlns:a16="http://schemas.microsoft.com/office/drawing/2014/main" id="{CA2CCC2E-6CB6-4434-A611-94F51D77109E}"/>
            </a:ext>
          </a:extLst>
        </xdr:cNvPr>
        <xdr:cNvPicPr>
          <a:picLocks noChangeAspect="1"/>
        </xdr:cNvPicPr>
      </xdr:nvPicPr>
      <xdr:blipFill>
        <a:blip xmlns:r="http://schemas.openxmlformats.org/officeDocument/2006/relationships" r:embed="rId1"/>
        <a:stretch>
          <a:fillRect/>
        </a:stretch>
      </xdr:blipFill>
      <xdr:spPr>
        <a:xfrm>
          <a:off x="15614649" y="7064354"/>
          <a:ext cx="4166121" cy="252372"/>
        </a:xfrm>
        <a:prstGeom prst="rect">
          <a:avLst/>
        </a:prstGeom>
      </xdr:spPr>
    </xdr:pic>
    <xdr:clientData/>
  </xdr:twoCellAnchor>
  <xdr:twoCellAnchor editAs="oneCell">
    <xdr:from>
      <xdr:col>10</xdr:col>
      <xdr:colOff>68261</xdr:colOff>
      <xdr:row>30</xdr:row>
      <xdr:rowOff>154718</xdr:rowOff>
    </xdr:from>
    <xdr:to>
      <xdr:col>13</xdr:col>
      <xdr:colOff>3182136</xdr:colOff>
      <xdr:row>37</xdr:row>
      <xdr:rowOff>56192</xdr:rowOff>
    </xdr:to>
    <xdr:pic>
      <xdr:nvPicPr>
        <xdr:cNvPr id="3" name="Picture 2">
          <a:extLst>
            <a:ext uri="{FF2B5EF4-FFF2-40B4-BE49-F238E27FC236}">
              <a16:creationId xmlns:a16="http://schemas.microsoft.com/office/drawing/2014/main" id="{56CA6B45-9171-442D-9B6C-1F54ABC82CE3}"/>
            </a:ext>
          </a:extLst>
        </xdr:cNvPr>
        <xdr:cNvPicPr>
          <a:picLocks noChangeAspect="1"/>
        </xdr:cNvPicPr>
      </xdr:nvPicPr>
      <xdr:blipFill>
        <a:blip xmlns:r="http://schemas.openxmlformats.org/officeDocument/2006/relationships" r:embed="rId2"/>
        <a:stretch>
          <a:fillRect/>
        </a:stretch>
      </xdr:blipFill>
      <xdr:spPr>
        <a:xfrm>
          <a:off x="15613061" y="7307993"/>
          <a:ext cx="5205565" cy="1172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547687</xdr:colOff>
      <xdr:row>20</xdr:row>
      <xdr:rowOff>179506</xdr:rowOff>
    </xdr:from>
    <xdr:to>
      <xdr:col>20</xdr:col>
      <xdr:colOff>69764</xdr:colOff>
      <xdr:row>31</xdr:row>
      <xdr:rowOff>123036</xdr:rowOff>
    </xdr:to>
    <xdr:pic>
      <xdr:nvPicPr>
        <xdr:cNvPr id="3" name="Picture 2">
          <a:extLst>
            <a:ext uri="{FF2B5EF4-FFF2-40B4-BE49-F238E27FC236}">
              <a16:creationId xmlns:a16="http://schemas.microsoft.com/office/drawing/2014/main" id="{A04A7619-AF44-4E65-96E3-799E297DF5FE}"/>
            </a:ext>
          </a:extLst>
        </xdr:cNvPr>
        <xdr:cNvPicPr>
          <a:picLocks noChangeAspect="1"/>
        </xdr:cNvPicPr>
      </xdr:nvPicPr>
      <xdr:blipFill>
        <a:blip xmlns:r="http://schemas.openxmlformats.org/officeDocument/2006/relationships" r:embed="rId1"/>
        <a:stretch>
          <a:fillRect/>
        </a:stretch>
      </xdr:blipFill>
      <xdr:spPr>
        <a:xfrm>
          <a:off x="19256375" y="4426069"/>
          <a:ext cx="4943389" cy="2332717"/>
        </a:xfrm>
        <a:prstGeom prst="rect">
          <a:avLst/>
        </a:prstGeom>
      </xdr:spPr>
    </xdr:pic>
    <xdr:clientData/>
  </xdr:twoCellAnchor>
  <xdr:twoCellAnchor editAs="oneCell">
    <xdr:from>
      <xdr:col>14</xdr:col>
      <xdr:colOff>169331</xdr:colOff>
      <xdr:row>59</xdr:row>
      <xdr:rowOff>105833</xdr:rowOff>
    </xdr:from>
    <xdr:to>
      <xdr:col>25</xdr:col>
      <xdr:colOff>587577</xdr:colOff>
      <xdr:row>70</xdr:row>
      <xdr:rowOff>21101</xdr:rowOff>
    </xdr:to>
    <xdr:pic>
      <xdr:nvPicPr>
        <xdr:cNvPr id="2" name="Picture 1">
          <a:extLst>
            <a:ext uri="{FF2B5EF4-FFF2-40B4-BE49-F238E27FC236}">
              <a16:creationId xmlns:a16="http://schemas.microsoft.com/office/drawing/2014/main" id="{4407A136-471E-4CB7-9F8E-1C1412273291}"/>
            </a:ext>
          </a:extLst>
        </xdr:cNvPr>
        <xdr:cNvPicPr>
          <a:picLocks noChangeAspect="1"/>
        </xdr:cNvPicPr>
      </xdr:nvPicPr>
      <xdr:blipFill>
        <a:blip xmlns:r="http://schemas.openxmlformats.org/officeDocument/2006/relationships" r:embed="rId2"/>
        <a:stretch>
          <a:fillRect/>
        </a:stretch>
      </xdr:blipFill>
      <xdr:spPr>
        <a:xfrm>
          <a:off x="19967220" y="11655777"/>
          <a:ext cx="7706635" cy="1982547"/>
        </a:xfrm>
        <a:prstGeom prst="rect">
          <a:avLst/>
        </a:prstGeom>
      </xdr:spPr>
    </xdr:pic>
    <xdr:clientData/>
  </xdr:twoCellAnchor>
  <xdr:twoCellAnchor editAs="oneCell">
    <xdr:from>
      <xdr:col>18</xdr:col>
      <xdr:colOff>0</xdr:colOff>
      <xdr:row>38</xdr:row>
      <xdr:rowOff>0</xdr:rowOff>
    </xdr:from>
    <xdr:to>
      <xdr:col>26</xdr:col>
      <xdr:colOff>624568</xdr:colOff>
      <xdr:row>56</xdr:row>
      <xdr:rowOff>63500</xdr:rowOff>
    </xdr:to>
    <xdr:pic>
      <xdr:nvPicPr>
        <xdr:cNvPr id="5" name="Picture 4">
          <a:extLst>
            <a:ext uri="{FF2B5EF4-FFF2-40B4-BE49-F238E27FC236}">
              <a16:creationId xmlns:a16="http://schemas.microsoft.com/office/drawing/2014/main" id="{736D2F13-6F99-B5CE-5E51-030B7BAFE77D}"/>
            </a:ext>
          </a:extLst>
        </xdr:cNvPr>
        <xdr:cNvPicPr>
          <a:picLocks noChangeAspect="1"/>
        </xdr:cNvPicPr>
      </xdr:nvPicPr>
      <xdr:blipFill>
        <a:blip xmlns:r="http://schemas.openxmlformats.org/officeDocument/2006/relationships" r:embed="rId3"/>
        <a:stretch>
          <a:fillRect/>
        </a:stretch>
      </xdr:blipFill>
      <xdr:spPr>
        <a:xfrm>
          <a:off x="22805571" y="7502071"/>
          <a:ext cx="5597072" cy="32929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497115</xdr:colOff>
      <xdr:row>78</xdr:row>
      <xdr:rowOff>278492</xdr:rowOff>
    </xdr:from>
    <xdr:to>
      <xdr:col>18</xdr:col>
      <xdr:colOff>516656</xdr:colOff>
      <xdr:row>81</xdr:row>
      <xdr:rowOff>134843</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7959615" y="16756742"/>
          <a:ext cx="2672571" cy="1104762"/>
        </a:xfrm>
        <a:prstGeom prst="rect">
          <a:avLst/>
        </a:prstGeom>
      </xdr:spPr>
    </xdr:pic>
    <xdr:clientData/>
  </xdr:twoCellAnchor>
  <xdr:twoCellAnchor editAs="oneCell">
    <xdr:from>
      <xdr:col>11</xdr:col>
      <xdr:colOff>0</xdr:colOff>
      <xdr:row>253</xdr:row>
      <xdr:rowOff>0</xdr:rowOff>
    </xdr:from>
    <xdr:to>
      <xdr:col>14</xdr:col>
      <xdr:colOff>626601</xdr:colOff>
      <xdr:row>255</xdr:row>
      <xdr:rowOff>130672</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15405100" y="53409850"/>
          <a:ext cx="2672571" cy="1104762"/>
        </a:xfrm>
        <a:prstGeom prst="rect">
          <a:avLst/>
        </a:prstGeom>
      </xdr:spPr>
    </xdr:pic>
    <xdr:clientData/>
  </xdr:twoCellAnchor>
  <xdr:twoCellAnchor editAs="oneCell">
    <xdr:from>
      <xdr:col>13</xdr:col>
      <xdr:colOff>0</xdr:colOff>
      <xdr:row>120</xdr:row>
      <xdr:rowOff>0</xdr:rowOff>
    </xdr:from>
    <xdr:to>
      <xdr:col>17</xdr:col>
      <xdr:colOff>17636</xdr:colOff>
      <xdr:row>126</xdr:row>
      <xdr:rowOff>10975</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16802100" y="25393650"/>
          <a:ext cx="2672571" cy="1104762"/>
        </a:xfrm>
        <a:prstGeom prst="rect">
          <a:avLst/>
        </a:prstGeom>
      </xdr:spPr>
    </xdr:pic>
    <xdr:clientData/>
  </xdr:twoCellAnchor>
  <xdr:twoCellAnchor editAs="oneCell">
    <xdr:from>
      <xdr:col>15</xdr:col>
      <xdr:colOff>266700</xdr:colOff>
      <xdr:row>19</xdr:row>
      <xdr:rowOff>76200</xdr:rowOff>
    </xdr:from>
    <xdr:to>
      <xdr:col>37</xdr:col>
      <xdr:colOff>174089</xdr:colOff>
      <xdr:row>41</xdr:row>
      <xdr:rowOff>21033</xdr:rowOff>
    </xdr:to>
    <xdr:pic>
      <xdr:nvPicPr>
        <xdr:cNvPr id="5" name="Picture 4">
          <a:extLst>
            <a:ext uri="{FF2B5EF4-FFF2-40B4-BE49-F238E27FC236}">
              <a16:creationId xmlns:a16="http://schemas.microsoft.com/office/drawing/2014/main" id="{CE66811A-513E-4C6E-9D97-47003A157A8E}"/>
            </a:ext>
          </a:extLst>
        </xdr:cNvPr>
        <xdr:cNvPicPr>
          <a:picLocks noChangeAspect="1"/>
        </xdr:cNvPicPr>
      </xdr:nvPicPr>
      <xdr:blipFill>
        <a:blip xmlns:r="http://schemas.openxmlformats.org/officeDocument/2006/relationships" r:embed="rId2"/>
        <a:stretch>
          <a:fillRect/>
        </a:stretch>
      </xdr:blipFill>
      <xdr:spPr>
        <a:xfrm>
          <a:off x="18440400" y="4508500"/>
          <a:ext cx="14447619" cy="44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246064</xdr:colOff>
      <xdr:row>54</xdr:row>
      <xdr:rowOff>66146</xdr:rowOff>
    </xdr:from>
    <xdr:to>
      <xdr:col>25</xdr:col>
      <xdr:colOff>574254</xdr:colOff>
      <xdr:row>59</xdr:row>
      <xdr:rowOff>96335</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1"/>
        <a:stretch>
          <a:fillRect/>
        </a:stretch>
      </xdr:blipFill>
      <xdr:spPr>
        <a:xfrm>
          <a:off x="19641345" y="9281584"/>
          <a:ext cx="7543378" cy="1899470"/>
        </a:xfrm>
        <a:prstGeom prst="rect">
          <a:avLst/>
        </a:prstGeom>
      </xdr:spPr>
    </xdr:pic>
    <xdr:clientData/>
  </xdr:twoCellAnchor>
  <xdr:twoCellAnchor editAs="oneCell">
    <xdr:from>
      <xdr:col>15</xdr:col>
      <xdr:colOff>219603</xdr:colOff>
      <xdr:row>61</xdr:row>
      <xdr:rowOff>142875</xdr:rowOff>
    </xdr:from>
    <xdr:to>
      <xdr:col>33</xdr:col>
      <xdr:colOff>560935</xdr:colOff>
      <xdr:row>73</xdr:row>
      <xdr:rowOff>142485</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2"/>
        <a:stretch>
          <a:fillRect/>
        </a:stretch>
      </xdr:blipFill>
      <xdr:spPr>
        <a:xfrm>
          <a:off x="19614884" y="11465719"/>
          <a:ext cx="12423795" cy="3123810"/>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3"/>
        <a:stretch>
          <a:fillRect/>
        </a:stretch>
      </xdr:blipFill>
      <xdr:spPr>
        <a:xfrm>
          <a:off x="20293753" y="2072640"/>
          <a:ext cx="10221637" cy="1633279"/>
        </a:xfrm>
        <a:prstGeom prst="rect">
          <a:avLst/>
        </a:prstGeom>
      </xdr:spPr>
    </xdr:pic>
    <xdr:clientData/>
  </xdr:twoCellAnchor>
  <xdr:twoCellAnchor>
    <xdr:from>
      <xdr:col>15</xdr:col>
      <xdr:colOff>695854</xdr:colOff>
      <xdr:row>65</xdr:row>
      <xdr:rowOff>85991</xdr:rowOff>
    </xdr:from>
    <xdr:to>
      <xdr:col>23</xdr:col>
      <xdr:colOff>25136</xdr:colOff>
      <xdr:row>72</xdr:row>
      <xdr:rowOff>11907</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20091135" y="13004272"/>
          <a:ext cx="5330032" cy="12594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63</xdr:row>
      <xdr:rowOff>367772</xdr:rowOff>
    </xdr:from>
    <xdr:to>
      <xdr:col>26</xdr:col>
      <xdr:colOff>322792</xdr:colOff>
      <xdr:row>70</xdr:row>
      <xdr:rowOff>127001</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25612989" y="12428803"/>
          <a:ext cx="1927491" cy="1449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62</xdr:row>
      <xdr:rowOff>353219</xdr:rowOff>
    </xdr:from>
    <xdr:to>
      <xdr:col>19</xdr:col>
      <xdr:colOff>485511</xdr:colOff>
      <xdr:row>64</xdr:row>
      <xdr:rowOff>271199</xdr:rowOff>
    </xdr:to>
    <xdr:sp macro="" textlink="">
      <xdr:nvSpPr>
        <xdr:cNvPr id="10" name="TextBox 9">
          <a:extLst>
            <a:ext uri="{FF2B5EF4-FFF2-40B4-BE49-F238E27FC236}">
              <a16:creationId xmlns:a16="http://schemas.microsoft.com/office/drawing/2014/main" id="{00000000-0008-0000-0D00-00000A000000}"/>
            </a:ext>
          </a:extLst>
        </xdr:cNvPr>
        <xdr:cNvSpPr txBox="1"/>
      </xdr:nvSpPr>
      <xdr:spPr>
        <a:xfrm>
          <a:off x="20674541" y="12045157"/>
          <a:ext cx="2778126" cy="656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11</xdr:col>
      <xdr:colOff>310885</xdr:colOff>
      <xdr:row>84</xdr:row>
      <xdr:rowOff>108478</xdr:rowOff>
    </xdr:from>
    <xdr:to>
      <xdr:col>19</xdr:col>
      <xdr:colOff>492363</xdr:colOff>
      <xdr:row>106</xdr:row>
      <xdr:rowOff>3690</xdr:rowOff>
    </xdr:to>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4"/>
        <a:stretch>
          <a:fillRect/>
        </a:stretch>
      </xdr:blipFill>
      <xdr:spPr>
        <a:xfrm>
          <a:off x="18789385" y="20745978"/>
          <a:ext cx="6954811" cy="4375246"/>
        </a:xfrm>
        <a:prstGeom prst="rect">
          <a:avLst/>
        </a:prstGeom>
      </xdr:spPr>
    </xdr:pic>
    <xdr:clientData/>
  </xdr:twoCellAnchor>
  <xdr:twoCellAnchor editAs="oneCell">
    <xdr:from>
      <xdr:col>20</xdr:col>
      <xdr:colOff>560917</xdr:colOff>
      <xdr:row>84</xdr:row>
      <xdr:rowOff>15874</xdr:rowOff>
    </xdr:from>
    <xdr:to>
      <xdr:col>30</xdr:col>
      <xdr:colOff>11381</xdr:colOff>
      <xdr:row>101</xdr:row>
      <xdr:rowOff>141622</xdr:rowOff>
    </xdr:to>
    <xdr:pic>
      <xdr:nvPicPr>
        <xdr:cNvPr id="14" name="Picture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5"/>
        <a:stretch>
          <a:fillRect/>
        </a:stretch>
      </xdr:blipFill>
      <xdr:spPr>
        <a:xfrm>
          <a:off x="26468917" y="20653374"/>
          <a:ext cx="6012131" cy="3639415"/>
        </a:xfrm>
        <a:prstGeom prst="rect">
          <a:avLst/>
        </a:prstGeom>
      </xdr:spPr>
    </xdr:pic>
    <xdr:clientData/>
  </xdr:twoCellAnchor>
  <xdr:twoCellAnchor editAs="oneCell">
    <xdr:from>
      <xdr:col>11</xdr:col>
      <xdr:colOff>95250</xdr:colOff>
      <xdr:row>110</xdr:row>
      <xdr:rowOff>254000</xdr:rowOff>
    </xdr:from>
    <xdr:to>
      <xdr:col>22</xdr:col>
      <xdr:colOff>158750</xdr:colOff>
      <xdr:row>129</xdr:row>
      <xdr:rowOff>521</xdr:rowOff>
    </xdr:to>
    <xdr:pic>
      <xdr:nvPicPr>
        <xdr:cNvPr id="11" name="Picture 10">
          <a:extLst>
            <a:ext uri="{FF2B5EF4-FFF2-40B4-BE49-F238E27FC236}">
              <a16:creationId xmlns:a16="http://schemas.microsoft.com/office/drawing/2014/main" id="{E7AFEF64-A72D-03A1-27A2-6C53C0FCCA52}"/>
            </a:ext>
          </a:extLst>
        </xdr:cNvPr>
        <xdr:cNvPicPr>
          <a:picLocks noChangeAspect="1"/>
        </xdr:cNvPicPr>
      </xdr:nvPicPr>
      <xdr:blipFill>
        <a:blip xmlns:r="http://schemas.openxmlformats.org/officeDocument/2006/relationships" r:embed="rId6"/>
        <a:stretch>
          <a:fillRect/>
        </a:stretch>
      </xdr:blipFill>
      <xdr:spPr>
        <a:xfrm>
          <a:off x="18573750" y="26416000"/>
          <a:ext cx="8805333" cy="4318521"/>
        </a:xfrm>
        <a:prstGeom prst="rect">
          <a:avLst/>
        </a:prstGeom>
      </xdr:spPr>
    </xdr:pic>
    <xdr:clientData/>
  </xdr:twoCellAnchor>
  <xdr:twoCellAnchor editAs="oneCell">
    <xdr:from>
      <xdr:col>23</xdr:col>
      <xdr:colOff>419100</xdr:colOff>
      <xdr:row>110</xdr:row>
      <xdr:rowOff>392641</xdr:rowOff>
    </xdr:from>
    <xdr:to>
      <xdr:col>36</xdr:col>
      <xdr:colOff>87761</xdr:colOff>
      <xdr:row>112</xdr:row>
      <xdr:rowOff>157692</xdr:rowOff>
    </xdr:to>
    <xdr:pic>
      <xdr:nvPicPr>
        <xdr:cNvPr id="12" name="Picture 11">
          <a:extLst>
            <a:ext uri="{FF2B5EF4-FFF2-40B4-BE49-F238E27FC236}">
              <a16:creationId xmlns:a16="http://schemas.microsoft.com/office/drawing/2014/main" id="{6B2E8641-09F7-1018-7425-86540AF25E14}"/>
            </a:ext>
          </a:extLst>
        </xdr:cNvPr>
        <xdr:cNvPicPr>
          <a:picLocks noChangeAspect="1"/>
        </xdr:cNvPicPr>
      </xdr:nvPicPr>
      <xdr:blipFill>
        <a:blip xmlns:r="http://schemas.openxmlformats.org/officeDocument/2006/relationships" r:embed="rId7"/>
        <a:stretch>
          <a:fillRect/>
        </a:stretch>
      </xdr:blipFill>
      <xdr:spPr>
        <a:xfrm>
          <a:off x="28295600" y="26554641"/>
          <a:ext cx="8198828" cy="632884"/>
        </a:xfrm>
        <a:prstGeom prst="rect">
          <a:avLst/>
        </a:prstGeom>
      </xdr:spPr>
    </xdr:pic>
    <xdr:clientData/>
  </xdr:twoCellAnchor>
  <xdr:twoCellAnchor editAs="oneCell">
    <xdr:from>
      <xdr:col>15</xdr:col>
      <xdr:colOff>0</xdr:colOff>
      <xdr:row>34</xdr:row>
      <xdr:rowOff>181427</xdr:rowOff>
    </xdr:from>
    <xdr:to>
      <xdr:col>24</xdr:col>
      <xdr:colOff>226786</xdr:colOff>
      <xdr:row>53</xdr:row>
      <xdr:rowOff>103485</xdr:rowOff>
    </xdr:to>
    <xdr:pic>
      <xdr:nvPicPr>
        <xdr:cNvPr id="15" name="Picture 14">
          <a:extLst>
            <a:ext uri="{FF2B5EF4-FFF2-40B4-BE49-F238E27FC236}">
              <a16:creationId xmlns:a16="http://schemas.microsoft.com/office/drawing/2014/main" id="{56F88E8C-AD33-C4BC-DEAB-4E3FB6CD817A}"/>
            </a:ext>
          </a:extLst>
        </xdr:cNvPr>
        <xdr:cNvPicPr>
          <a:picLocks noChangeAspect="1"/>
        </xdr:cNvPicPr>
      </xdr:nvPicPr>
      <xdr:blipFill>
        <a:blip xmlns:r="http://schemas.openxmlformats.org/officeDocument/2006/relationships" r:embed="rId8"/>
        <a:stretch>
          <a:fillRect/>
        </a:stretch>
      </xdr:blipFill>
      <xdr:spPr>
        <a:xfrm>
          <a:off x="21438810" y="7710713"/>
          <a:ext cx="7393214" cy="4639201"/>
        </a:xfrm>
        <a:prstGeom prst="rect">
          <a:avLst/>
        </a:prstGeom>
      </xdr:spPr>
    </xdr:pic>
    <xdr:clientData/>
  </xdr:twoCellAnchor>
  <xdr:twoCellAnchor editAs="oneCell">
    <xdr:from>
      <xdr:col>25</xdr:col>
      <xdr:colOff>368300</xdr:colOff>
      <xdr:row>32</xdr:row>
      <xdr:rowOff>76200</xdr:rowOff>
    </xdr:from>
    <xdr:to>
      <xdr:col>33</xdr:col>
      <xdr:colOff>393700</xdr:colOff>
      <xdr:row>43</xdr:row>
      <xdr:rowOff>82785</xdr:rowOff>
    </xdr:to>
    <xdr:pic>
      <xdr:nvPicPr>
        <xdr:cNvPr id="16" name="Picture 15">
          <a:extLst>
            <a:ext uri="{FF2B5EF4-FFF2-40B4-BE49-F238E27FC236}">
              <a16:creationId xmlns:a16="http://schemas.microsoft.com/office/drawing/2014/main" id="{0159ED61-AFB6-F292-034B-14DB2B638662}"/>
            </a:ext>
          </a:extLst>
        </xdr:cNvPr>
        <xdr:cNvPicPr>
          <a:picLocks noChangeAspect="1"/>
        </xdr:cNvPicPr>
      </xdr:nvPicPr>
      <xdr:blipFill>
        <a:blip xmlns:r="http://schemas.openxmlformats.org/officeDocument/2006/relationships" r:embed="rId9"/>
        <a:stretch>
          <a:fillRect/>
        </a:stretch>
      </xdr:blipFill>
      <xdr:spPr>
        <a:xfrm>
          <a:off x="29641800" y="7416800"/>
          <a:ext cx="5308600" cy="24576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246064</xdr:colOff>
      <xdr:row>54</xdr:row>
      <xdr:rowOff>66146</xdr:rowOff>
    </xdr:from>
    <xdr:to>
      <xdr:col>25</xdr:col>
      <xdr:colOff>574254</xdr:colOff>
      <xdr:row>59</xdr:row>
      <xdr:rowOff>96335</xdr:rowOff>
    </xdr:to>
    <xdr:pic>
      <xdr:nvPicPr>
        <xdr:cNvPr id="2" name="Picture 1">
          <a:extLst>
            <a:ext uri="{FF2B5EF4-FFF2-40B4-BE49-F238E27FC236}">
              <a16:creationId xmlns:a16="http://schemas.microsoft.com/office/drawing/2014/main" id="{0236461C-EA0F-4495-BE60-9658D4279438}"/>
            </a:ext>
          </a:extLst>
        </xdr:cNvPr>
        <xdr:cNvPicPr>
          <a:picLocks noChangeAspect="1"/>
        </xdr:cNvPicPr>
      </xdr:nvPicPr>
      <xdr:blipFill>
        <a:blip xmlns:r="http://schemas.openxmlformats.org/officeDocument/2006/relationships" r:embed="rId1"/>
        <a:stretch>
          <a:fillRect/>
        </a:stretch>
      </xdr:blipFill>
      <xdr:spPr>
        <a:xfrm>
          <a:off x="21664614" y="13032846"/>
          <a:ext cx="8119640" cy="1909788"/>
        </a:xfrm>
        <a:prstGeom prst="rect">
          <a:avLst/>
        </a:prstGeom>
      </xdr:spPr>
    </xdr:pic>
    <xdr:clientData/>
  </xdr:twoCellAnchor>
  <xdr:twoCellAnchor editAs="oneCell">
    <xdr:from>
      <xdr:col>15</xdr:col>
      <xdr:colOff>219603</xdr:colOff>
      <xdr:row>61</xdr:row>
      <xdr:rowOff>142875</xdr:rowOff>
    </xdr:from>
    <xdr:to>
      <xdr:col>33</xdr:col>
      <xdr:colOff>570460</xdr:colOff>
      <xdr:row>73</xdr:row>
      <xdr:rowOff>142485</xdr:rowOff>
    </xdr:to>
    <xdr:pic>
      <xdr:nvPicPr>
        <xdr:cNvPr id="3" name="Picture 2">
          <a:extLst>
            <a:ext uri="{FF2B5EF4-FFF2-40B4-BE49-F238E27FC236}">
              <a16:creationId xmlns:a16="http://schemas.microsoft.com/office/drawing/2014/main" id="{9F1D374F-2B28-418D-B3F7-003DF971E39F}"/>
            </a:ext>
          </a:extLst>
        </xdr:cNvPr>
        <xdr:cNvPicPr>
          <a:picLocks noChangeAspect="1"/>
        </xdr:cNvPicPr>
      </xdr:nvPicPr>
      <xdr:blipFill>
        <a:blip xmlns:r="http://schemas.openxmlformats.org/officeDocument/2006/relationships" r:embed="rId2"/>
        <a:stretch>
          <a:fillRect/>
        </a:stretch>
      </xdr:blipFill>
      <xdr:spPr>
        <a:xfrm>
          <a:off x="21638153" y="16005175"/>
          <a:ext cx="13425507" cy="3069835"/>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4" name="Picture 3">
          <a:extLst>
            <a:ext uri="{FF2B5EF4-FFF2-40B4-BE49-F238E27FC236}">
              <a16:creationId xmlns:a16="http://schemas.microsoft.com/office/drawing/2014/main" id="{C18683A0-1039-4FDC-A29A-27E49AF6D7DF}"/>
            </a:ext>
          </a:extLst>
        </xdr:cNvPr>
        <xdr:cNvPicPr>
          <a:picLocks noChangeAspect="1"/>
        </xdr:cNvPicPr>
      </xdr:nvPicPr>
      <xdr:blipFill>
        <a:blip xmlns:r="http://schemas.openxmlformats.org/officeDocument/2006/relationships" r:embed="rId3"/>
        <a:stretch>
          <a:fillRect/>
        </a:stretch>
      </xdr:blipFill>
      <xdr:spPr>
        <a:xfrm>
          <a:off x="21443103" y="2076450"/>
          <a:ext cx="10527707" cy="1640899"/>
        </a:xfrm>
        <a:prstGeom prst="rect">
          <a:avLst/>
        </a:prstGeom>
      </xdr:spPr>
    </xdr:pic>
    <xdr:clientData/>
  </xdr:twoCellAnchor>
  <xdr:twoCellAnchor>
    <xdr:from>
      <xdr:col>15</xdr:col>
      <xdr:colOff>695854</xdr:colOff>
      <xdr:row>65</xdr:row>
      <xdr:rowOff>85991</xdr:rowOff>
    </xdr:from>
    <xdr:to>
      <xdr:col>23</xdr:col>
      <xdr:colOff>25136</xdr:colOff>
      <xdr:row>72</xdr:row>
      <xdr:rowOff>11907</xdr:rowOff>
    </xdr:to>
    <xdr:sp macro="" textlink="">
      <xdr:nvSpPr>
        <xdr:cNvPr id="5" name="Rectangle 4">
          <a:extLst>
            <a:ext uri="{FF2B5EF4-FFF2-40B4-BE49-F238E27FC236}">
              <a16:creationId xmlns:a16="http://schemas.microsoft.com/office/drawing/2014/main" id="{C7D3F5A5-6C15-4CC0-9EB7-74FD29DDEFA0}"/>
            </a:ext>
          </a:extLst>
        </xdr:cNvPr>
        <xdr:cNvSpPr/>
      </xdr:nvSpPr>
      <xdr:spPr>
        <a:xfrm>
          <a:off x="22114404" y="17421491"/>
          <a:ext cx="5799932" cy="12213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63</xdr:row>
      <xdr:rowOff>367772</xdr:rowOff>
    </xdr:from>
    <xdr:to>
      <xdr:col>26</xdr:col>
      <xdr:colOff>322792</xdr:colOff>
      <xdr:row>70</xdr:row>
      <xdr:rowOff>127001</xdr:rowOff>
    </xdr:to>
    <xdr:sp macro="" textlink="">
      <xdr:nvSpPr>
        <xdr:cNvPr id="6" name="TextBox 5">
          <a:extLst>
            <a:ext uri="{FF2B5EF4-FFF2-40B4-BE49-F238E27FC236}">
              <a16:creationId xmlns:a16="http://schemas.microsoft.com/office/drawing/2014/main" id="{E9AED14D-F33D-434B-836F-628C8FBB9B13}"/>
            </a:ext>
          </a:extLst>
        </xdr:cNvPr>
        <xdr:cNvSpPr txBox="1"/>
      </xdr:nvSpPr>
      <xdr:spPr>
        <a:xfrm>
          <a:off x="28106158" y="16966672"/>
          <a:ext cx="2087034" cy="1422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62</xdr:row>
      <xdr:rowOff>353219</xdr:rowOff>
    </xdr:from>
    <xdr:to>
      <xdr:col>19</xdr:col>
      <xdr:colOff>485511</xdr:colOff>
      <xdr:row>64</xdr:row>
      <xdr:rowOff>271199</xdr:rowOff>
    </xdr:to>
    <xdr:sp macro="" textlink="">
      <xdr:nvSpPr>
        <xdr:cNvPr id="7" name="TextBox 6">
          <a:extLst>
            <a:ext uri="{FF2B5EF4-FFF2-40B4-BE49-F238E27FC236}">
              <a16:creationId xmlns:a16="http://schemas.microsoft.com/office/drawing/2014/main" id="{D776D363-75EA-4992-BA24-414AF494A8AB}"/>
            </a:ext>
          </a:extLst>
        </xdr:cNvPr>
        <xdr:cNvSpPr txBox="1"/>
      </xdr:nvSpPr>
      <xdr:spPr>
        <a:xfrm>
          <a:off x="22697810" y="16583819"/>
          <a:ext cx="3035301" cy="654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15</xdr:col>
      <xdr:colOff>121443</xdr:colOff>
      <xdr:row>82</xdr:row>
      <xdr:rowOff>30162</xdr:rowOff>
    </xdr:from>
    <xdr:to>
      <xdr:col>24</xdr:col>
      <xdr:colOff>2354</xdr:colOff>
      <xdr:row>105</xdr:row>
      <xdr:rowOff>39935</xdr:rowOff>
    </xdr:to>
    <xdr:pic>
      <xdr:nvPicPr>
        <xdr:cNvPr id="8" name="Picture 7">
          <a:extLst>
            <a:ext uri="{FF2B5EF4-FFF2-40B4-BE49-F238E27FC236}">
              <a16:creationId xmlns:a16="http://schemas.microsoft.com/office/drawing/2014/main" id="{9CA9AC28-33ED-491D-9109-EF8F1EC15D30}"/>
            </a:ext>
          </a:extLst>
        </xdr:cNvPr>
        <xdr:cNvPicPr>
          <a:picLocks noChangeAspect="1"/>
        </xdr:cNvPicPr>
      </xdr:nvPicPr>
      <xdr:blipFill>
        <a:blip xmlns:r="http://schemas.openxmlformats.org/officeDocument/2006/relationships" r:embed="rId4"/>
        <a:stretch>
          <a:fillRect/>
        </a:stretch>
      </xdr:blipFill>
      <xdr:spPr>
        <a:xfrm>
          <a:off x="21597143" y="20451762"/>
          <a:ext cx="6986561" cy="4378573"/>
        </a:xfrm>
        <a:prstGeom prst="rect">
          <a:avLst/>
        </a:prstGeom>
      </xdr:spPr>
    </xdr:pic>
    <xdr:clientData/>
  </xdr:twoCellAnchor>
  <xdr:twoCellAnchor editAs="oneCell">
    <xdr:from>
      <xdr:col>24</xdr:col>
      <xdr:colOff>658283</xdr:colOff>
      <xdr:row>84</xdr:row>
      <xdr:rowOff>135466</xdr:rowOff>
    </xdr:from>
    <xdr:to>
      <xdr:col>34</xdr:col>
      <xdr:colOff>142160</xdr:colOff>
      <xdr:row>104</xdr:row>
      <xdr:rowOff>16739</xdr:rowOff>
    </xdr:to>
    <xdr:pic>
      <xdr:nvPicPr>
        <xdr:cNvPr id="9" name="Picture 8">
          <a:extLst>
            <a:ext uri="{FF2B5EF4-FFF2-40B4-BE49-F238E27FC236}">
              <a16:creationId xmlns:a16="http://schemas.microsoft.com/office/drawing/2014/main" id="{C22D3037-4852-44D3-8CB9-D6C7373CA1AC}"/>
            </a:ext>
          </a:extLst>
        </xdr:cNvPr>
        <xdr:cNvPicPr>
          <a:picLocks noChangeAspect="1"/>
        </xdr:cNvPicPr>
      </xdr:nvPicPr>
      <xdr:blipFill>
        <a:blip xmlns:r="http://schemas.openxmlformats.org/officeDocument/2006/relationships" r:embed="rId5"/>
        <a:stretch>
          <a:fillRect/>
        </a:stretch>
      </xdr:blipFill>
      <xdr:spPr>
        <a:xfrm>
          <a:off x="29271383" y="20938066"/>
          <a:ext cx="6087877" cy="3678573"/>
        </a:xfrm>
        <a:prstGeom prst="rect">
          <a:avLst/>
        </a:prstGeom>
      </xdr:spPr>
    </xdr:pic>
    <xdr:clientData/>
  </xdr:twoCellAnchor>
  <xdr:twoCellAnchor editAs="oneCell">
    <xdr:from>
      <xdr:col>29</xdr:col>
      <xdr:colOff>645918</xdr:colOff>
      <xdr:row>36</xdr:row>
      <xdr:rowOff>12700</xdr:rowOff>
    </xdr:from>
    <xdr:to>
      <xdr:col>40</xdr:col>
      <xdr:colOff>53892</xdr:colOff>
      <xdr:row>48</xdr:row>
      <xdr:rowOff>127000</xdr:rowOff>
    </xdr:to>
    <xdr:pic>
      <xdr:nvPicPr>
        <xdr:cNvPr id="16" name="Picture 15">
          <a:extLst>
            <a:ext uri="{FF2B5EF4-FFF2-40B4-BE49-F238E27FC236}">
              <a16:creationId xmlns:a16="http://schemas.microsoft.com/office/drawing/2014/main" id="{B87BC821-97DD-4A81-8E49-DFE49DF4B47D}"/>
            </a:ext>
          </a:extLst>
        </xdr:cNvPr>
        <xdr:cNvPicPr>
          <a:picLocks noChangeAspect="1"/>
        </xdr:cNvPicPr>
      </xdr:nvPicPr>
      <xdr:blipFill>
        <a:blip xmlns:r="http://schemas.openxmlformats.org/officeDocument/2006/relationships" r:embed="rId6"/>
        <a:stretch>
          <a:fillRect/>
        </a:stretch>
      </xdr:blipFill>
      <xdr:spPr>
        <a:xfrm>
          <a:off x="32561018" y="8153400"/>
          <a:ext cx="6672374" cy="3060700"/>
        </a:xfrm>
        <a:prstGeom prst="rect">
          <a:avLst/>
        </a:prstGeom>
      </xdr:spPr>
    </xdr:pic>
    <xdr:clientData/>
  </xdr:twoCellAnchor>
  <xdr:twoCellAnchor editAs="oneCell">
    <xdr:from>
      <xdr:col>15</xdr:col>
      <xdr:colOff>887412</xdr:colOff>
      <xdr:row>34</xdr:row>
      <xdr:rowOff>162002</xdr:rowOff>
    </xdr:from>
    <xdr:to>
      <xdr:col>25</xdr:col>
      <xdr:colOff>417815</xdr:colOff>
      <xdr:row>53</xdr:row>
      <xdr:rowOff>24794</xdr:rowOff>
    </xdr:to>
    <xdr:pic>
      <xdr:nvPicPr>
        <xdr:cNvPr id="17" name="Picture 16">
          <a:extLst>
            <a:ext uri="{FF2B5EF4-FFF2-40B4-BE49-F238E27FC236}">
              <a16:creationId xmlns:a16="http://schemas.microsoft.com/office/drawing/2014/main" id="{5568A542-ACAA-4A53-8D3B-B34D13D9202B}"/>
            </a:ext>
          </a:extLst>
        </xdr:cNvPr>
        <xdr:cNvPicPr>
          <a:picLocks noChangeAspect="1"/>
        </xdr:cNvPicPr>
      </xdr:nvPicPr>
      <xdr:blipFill>
        <a:blip xmlns:r="http://schemas.openxmlformats.org/officeDocument/2006/relationships" r:embed="rId7"/>
        <a:stretch>
          <a:fillRect/>
        </a:stretch>
      </xdr:blipFill>
      <xdr:spPr>
        <a:xfrm>
          <a:off x="22363112" y="7896302"/>
          <a:ext cx="7328203" cy="4599892"/>
        </a:xfrm>
        <a:prstGeom prst="rect">
          <a:avLst/>
        </a:prstGeom>
      </xdr:spPr>
    </xdr:pic>
    <xdr:clientData/>
  </xdr:twoCellAnchor>
  <xdr:twoCellAnchor editAs="oneCell">
    <xdr:from>
      <xdr:col>16</xdr:col>
      <xdr:colOff>0</xdr:colOff>
      <xdr:row>113</xdr:row>
      <xdr:rowOff>0</xdr:rowOff>
    </xdr:from>
    <xdr:to>
      <xdr:col>30</xdr:col>
      <xdr:colOff>604024</xdr:colOff>
      <xdr:row>133</xdr:row>
      <xdr:rowOff>187265</xdr:rowOff>
    </xdr:to>
    <xdr:pic>
      <xdr:nvPicPr>
        <xdr:cNvPr id="18" name="Picture 17">
          <a:extLst>
            <a:ext uri="{FF2B5EF4-FFF2-40B4-BE49-F238E27FC236}">
              <a16:creationId xmlns:a16="http://schemas.microsoft.com/office/drawing/2014/main" id="{2A0127EA-7D00-4E2F-868B-491D6BAFBFB2}"/>
            </a:ext>
          </a:extLst>
        </xdr:cNvPr>
        <xdr:cNvPicPr>
          <a:picLocks noChangeAspect="1"/>
        </xdr:cNvPicPr>
      </xdr:nvPicPr>
      <xdr:blipFill>
        <a:blip xmlns:r="http://schemas.openxmlformats.org/officeDocument/2006/relationships" r:embed="rId8"/>
        <a:stretch>
          <a:fillRect/>
        </a:stretch>
      </xdr:blipFill>
      <xdr:spPr>
        <a:xfrm>
          <a:off x="23293659" y="26623537"/>
          <a:ext cx="9927682" cy="4787143"/>
        </a:xfrm>
        <a:prstGeom prst="rect">
          <a:avLst/>
        </a:prstGeom>
      </xdr:spPr>
    </xdr:pic>
    <xdr:clientData/>
  </xdr:twoCellAnchor>
  <xdr:twoCellAnchor editAs="oneCell">
    <xdr:from>
      <xdr:col>33</xdr:col>
      <xdr:colOff>0</xdr:colOff>
      <xdr:row>110</xdr:row>
      <xdr:rowOff>0</xdr:rowOff>
    </xdr:from>
    <xdr:to>
      <xdr:col>45</xdr:col>
      <xdr:colOff>344704</xdr:colOff>
      <xdr:row>112</xdr:row>
      <xdr:rowOff>80228</xdr:rowOff>
    </xdr:to>
    <xdr:pic>
      <xdr:nvPicPr>
        <xdr:cNvPr id="19" name="Picture 18">
          <a:extLst>
            <a:ext uri="{FF2B5EF4-FFF2-40B4-BE49-F238E27FC236}">
              <a16:creationId xmlns:a16="http://schemas.microsoft.com/office/drawing/2014/main" id="{F8F7D8F6-54DD-41A2-A47B-38A50F9C37CC}"/>
            </a:ext>
          </a:extLst>
        </xdr:cNvPr>
        <xdr:cNvPicPr>
          <a:picLocks noChangeAspect="1"/>
        </xdr:cNvPicPr>
      </xdr:nvPicPr>
      <xdr:blipFill>
        <a:blip xmlns:r="http://schemas.openxmlformats.org/officeDocument/2006/relationships" r:embed="rId9"/>
        <a:stretch>
          <a:fillRect/>
        </a:stretch>
      </xdr:blipFill>
      <xdr:spPr>
        <a:xfrm>
          <a:off x="34615244" y="25895610"/>
          <a:ext cx="8336411" cy="6223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914400</xdr:colOff>
      <xdr:row>11</xdr:row>
      <xdr:rowOff>35859</xdr:rowOff>
    </xdr:from>
    <xdr:to>
      <xdr:col>3</xdr:col>
      <xdr:colOff>2434815</xdr:colOff>
      <xdr:row>12</xdr:row>
      <xdr:rowOff>8965</xdr:rowOff>
    </xdr:to>
    <xdr:sp macro="" textlink="">
      <xdr:nvSpPr>
        <xdr:cNvPr id="2" name="Rectangle 1">
          <a:extLst>
            <a:ext uri="{FF2B5EF4-FFF2-40B4-BE49-F238E27FC236}">
              <a16:creationId xmlns:a16="http://schemas.microsoft.com/office/drawing/2014/main" id="{4620DCFF-BBDA-474C-A8BC-4F8525C435C9}"/>
            </a:ext>
          </a:extLst>
        </xdr:cNvPr>
        <xdr:cNvSpPr/>
      </xdr:nvSpPr>
      <xdr:spPr>
        <a:xfrm>
          <a:off x="7042150" y="4226859"/>
          <a:ext cx="1152115" cy="15725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2</xdr:col>
      <xdr:colOff>1076325</xdr:colOff>
      <xdr:row>11</xdr:row>
      <xdr:rowOff>52667</xdr:rowOff>
    </xdr:from>
    <xdr:to>
      <xdr:col>3</xdr:col>
      <xdr:colOff>904652</xdr:colOff>
      <xdr:row>12</xdr:row>
      <xdr:rowOff>9525</xdr:rowOff>
    </xdr:to>
    <xdr:sp macro="" textlink="">
      <xdr:nvSpPr>
        <xdr:cNvPr id="3" name="Rectangle 2">
          <a:extLst>
            <a:ext uri="{FF2B5EF4-FFF2-40B4-BE49-F238E27FC236}">
              <a16:creationId xmlns:a16="http://schemas.microsoft.com/office/drawing/2014/main" id="{1DC56EB1-B636-480A-836A-954B6C252917}"/>
            </a:ext>
          </a:extLst>
        </xdr:cNvPr>
        <xdr:cNvSpPr/>
      </xdr:nvSpPr>
      <xdr:spPr>
        <a:xfrm>
          <a:off x="5476875" y="4243667"/>
          <a:ext cx="1555527" cy="14100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arcgl.com/amer/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snwf12/Noresco/2017%20Jobs/17001-17100/17002-GR%202017%20PG&amp;E%20work/NRCC-LTO/Archives/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C B.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5.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17.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8.xml"/><Relationship Id="rId1" Type="http://schemas.openxmlformats.org/officeDocument/2006/relationships/printerSettings" Target="../printerSettings/printerSettings20.bin"/><Relationship Id="rId4"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9.xml"/><Relationship Id="rId1" Type="http://schemas.openxmlformats.org/officeDocument/2006/relationships/printerSettings" Target="../printerSettings/printerSettings21.bin"/><Relationship Id="rId4"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2EF7-B165-401E-B167-3CB226020D18}">
  <sheetPr codeName="Sheet1"/>
  <dimension ref="A1:F26"/>
  <sheetViews>
    <sheetView topLeftCell="A15" zoomScale="50" zoomScaleNormal="50" workbookViewId="0">
      <selection activeCell="C23" sqref="C23"/>
    </sheetView>
  </sheetViews>
  <sheetFormatPr defaultColWidth="8.85546875" defaultRowHeight="14.45"/>
  <cols>
    <col min="1" max="1" width="11" style="411" customWidth="1"/>
    <col min="2" max="2" width="26.42578125" style="411" customWidth="1"/>
    <col min="3" max="3" width="88" style="411" customWidth="1"/>
    <col min="4" max="4" width="15.85546875" hidden="1" customWidth="1"/>
    <col min="5" max="5" width="21.5703125" style="411" customWidth="1"/>
    <col min="6" max="6" width="31.7109375" style="411" customWidth="1"/>
    <col min="7" max="7" width="8.85546875" customWidth="1"/>
  </cols>
  <sheetData>
    <row r="1" spans="1:6">
      <c r="A1" s="579" t="s">
        <v>0</v>
      </c>
      <c r="B1" s="580" t="s">
        <v>1</v>
      </c>
      <c r="C1" s="580" t="s">
        <v>2</v>
      </c>
      <c r="D1" s="640" t="s">
        <v>3</v>
      </c>
      <c r="E1" s="641"/>
      <c r="F1" s="508" t="s">
        <v>4</v>
      </c>
    </row>
    <row r="2" spans="1:6">
      <c r="A2" s="491">
        <v>45464</v>
      </c>
      <c r="B2" s="411" t="s">
        <v>5</v>
      </c>
      <c r="C2" s="411" t="s">
        <v>6</v>
      </c>
      <c r="D2" s="638" t="s">
        <v>7</v>
      </c>
      <c r="E2" s="639"/>
      <c r="F2" s="511" t="s">
        <v>8</v>
      </c>
    </row>
    <row r="3" spans="1:6">
      <c r="A3" s="492">
        <v>45464</v>
      </c>
      <c r="B3" s="392" t="s">
        <v>9</v>
      </c>
      <c r="C3" s="392" t="s">
        <v>10</v>
      </c>
      <c r="D3" s="638" t="s">
        <v>7</v>
      </c>
      <c r="E3" s="639"/>
      <c r="F3" s="511" t="s">
        <v>8</v>
      </c>
    </row>
    <row r="4" spans="1:6">
      <c r="A4" s="492">
        <v>45464</v>
      </c>
      <c r="B4" s="392" t="s">
        <v>9</v>
      </c>
      <c r="C4" s="392" t="s">
        <v>11</v>
      </c>
      <c r="D4" s="638" t="s">
        <v>7</v>
      </c>
      <c r="E4" s="639"/>
      <c r="F4" s="511" t="s">
        <v>8</v>
      </c>
    </row>
    <row r="5" spans="1:6" ht="29.25" customHeight="1">
      <c r="A5" s="492">
        <v>45471</v>
      </c>
      <c r="B5" s="509" t="s">
        <v>12</v>
      </c>
      <c r="C5" s="505" t="s">
        <v>13</v>
      </c>
      <c r="D5" s="638" t="s">
        <v>7</v>
      </c>
      <c r="E5" s="639"/>
    </row>
    <row r="6" spans="1:6" ht="29.1">
      <c r="A6" s="492">
        <v>45471</v>
      </c>
      <c r="B6" s="411" t="s">
        <v>14</v>
      </c>
      <c r="C6" s="506" t="s">
        <v>15</v>
      </c>
      <c r="D6" s="638" t="s">
        <v>7</v>
      </c>
      <c r="E6" s="639"/>
    </row>
    <row r="7" spans="1:6">
      <c r="A7" s="492">
        <v>45563</v>
      </c>
      <c r="B7" s="411" t="s">
        <v>14</v>
      </c>
      <c r="C7" s="506" t="s">
        <v>16</v>
      </c>
      <c r="D7" s="638" t="s">
        <v>7</v>
      </c>
      <c r="E7" s="639"/>
    </row>
    <row r="8" spans="1:6">
      <c r="A8" s="510">
        <v>45582</v>
      </c>
      <c r="B8" s="411" t="s">
        <v>17</v>
      </c>
      <c r="C8" s="411" t="s">
        <v>18</v>
      </c>
      <c r="D8" s="638" t="s">
        <v>7</v>
      </c>
      <c r="E8" s="639"/>
    </row>
    <row r="9" spans="1:6">
      <c r="A9" s="492">
        <v>45471</v>
      </c>
      <c r="B9" s="411" t="s">
        <v>19</v>
      </c>
      <c r="C9" s="411" t="s">
        <v>20</v>
      </c>
      <c r="D9" s="638" t="s">
        <v>7</v>
      </c>
      <c r="E9" s="639"/>
    </row>
    <row r="10" spans="1:6" ht="15">
      <c r="A10" s="492">
        <v>45471</v>
      </c>
      <c r="B10" s="411" t="s">
        <v>21</v>
      </c>
      <c r="C10" s="1193" t="s">
        <v>22</v>
      </c>
      <c r="D10" s="638" t="s">
        <v>7</v>
      </c>
      <c r="E10" s="639"/>
    </row>
    <row r="11" spans="1:6">
      <c r="A11" s="492">
        <v>45471</v>
      </c>
      <c r="B11" s="411" t="s">
        <v>23</v>
      </c>
      <c r="C11" s="411" t="s">
        <v>24</v>
      </c>
      <c r="D11" s="638" t="s">
        <v>7</v>
      </c>
      <c r="E11" s="639"/>
    </row>
    <row r="12" spans="1:6" ht="29.1">
      <c r="A12" s="492">
        <v>45471</v>
      </c>
      <c r="B12" s="411" t="s">
        <v>23</v>
      </c>
      <c r="C12" s="506" t="s">
        <v>15</v>
      </c>
      <c r="D12" s="638" t="s">
        <v>7</v>
      </c>
      <c r="E12" s="639"/>
    </row>
    <row r="13" spans="1:6" ht="29.1">
      <c r="A13" s="492">
        <v>45471</v>
      </c>
      <c r="B13" s="506" t="s">
        <v>25</v>
      </c>
      <c r="C13" s="411" t="s">
        <v>26</v>
      </c>
      <c r="D13" s="638" t="s">
        <v>7</v>
      </c>
      <c r="E13" s="639"/>
    </row>
    <row r="14" spans="1:6" ht="29.1">
      <c r="A14" s="492">
        <v>45471</v>
      </c>
      <c r="B14" s="506" t="s">
        <v>27</v>
      </c>
      <c r="C14" s="411" t="s">
        <v>28</v>
      </c>
      <c r="D14" s="638" t="s">
        <v>7</v>
      </c>
      <c r="E14" s="639"/>
    </row>
    <row r="15" spans="1:6" ht="29.1">
      <c r="A15" s="492">
        <v>45471</v>
      </c>
      <c r="B15" s="506" t="s">
        <v>29</v>
      </c>
      <c r="C15" s="411" t="s">
        <v>28</v>
      </c>
      <c r="D15" s="638" t="s">
        <v>7</v>
      </c>
      <c r="E15" s="639"/>
    </row>
    <row r="16" spans="1:6" ht="29.1">
      <c r="A16" s="492">
        <v>45497</v>
      </c>
      <c r="B16" s="506" t="s">
        <v>30</v>
      </c>
      <c r="C16" s="411" t="s">
        <v>31</v>
      </c>
      <c r="D16" s="638" t="s">
        <v>7</v>
      </c>
      <c r="E16" s="639"/>
    </row>
    <row r="17" spans="1:5" ht="29.1">
      <c r="A17" s="492">
        <v>45471</v>
      </c>
      <c r="B17" s="506" t="s">
        <v>32</v>
      </c>
      <c r="C17" s="506" t="s">
        <v>33</v>
      </c>
      <c r="D17" s="638" t="s">
        <v>7</v>
      </c>
      <c r="E17" s="639"/>
    </row>
    <row r="18" spans="1:5" ht="15">
      <c r="A18" s="492">
        <v>45471</v>
      </c>
      <c r="B18" s="411" t="s">
        <v>34</v>
      </c>
      <c r="C18" s="1193" t="s">
        <v>35</v>
      </c>
      <c r="D18" s="638" t="s">
        <v>7</v>
      </c>
      <c r="E18" s="639"/>
    </row>
    <row r="19" spans="1:5">
      <c r="A19" s="510">
        <v>45555</v>
      </c>
      <c r="B19" s="506" t="s">
        <v>36</v>
      </c>
      <c r="C19" s="411" t="s">
        <v>37</v>
      </c>
      <c r="D19" s="638" t="s">
        <v>7</v>
      </c>
      <c r="E19" s="639"/>
    </row>
    <row r="20" spans="1:5" ht="29.1">
      <c r="A20" s="510">
        <v>45615</v>
      </c>
      <c r="B20" s="506" t="s">
        <v>38</v>
      </c>
      <c r="C20" s="411" t="s">
        <v>39</v>
      </c>
      <c r="E20" s="535" t="s">
        <v>7</v>
      </c>
    </row>
    <row r="21" spans="1:5" ht="31.5" customHeight="1">
      <c r="A21" s="510">
        <v>45615</v>
      </c>
      <c r="B21" s="411" t="s">
        <v>40</v>
      </c>
      <c r="C21" s="506" t="s">
        <v>41</v>
      </c>
      <c r="E21" s="535" t="s">
        <v>7</v>
      </c>
    </row>
    <row r="22" spans="1:5">
      <c r="A22" s="510">
        <v>45615</v>
      </c>
      <c r="B22" s="411" t="s">
        <v>42</v>
      </c>
      <c r="C22" s="411" t="s">
        <v>43</v>
      </c>
      <c r="E22" s="535" t="s">
        <v>7</v>
      </c>
    </row>
    <row r="23" spans="1:5" ht="15">
      <c r="A23" s="510">
        <v>45615</v>
      </c>
      <c r="B23" s="411" t="s">
        <v>42</v>
      </c>
      <c r="C23" s="1193" t="s">
        <v>44</v>
      </c>
      <c r="E23" s="535" t="s">
        <v>7</v>
      </c>
    </row>
    <row r="24" spans="1:5">
      <c r="A24" s="510">
        <v>45617</v>
      </c>
      <c r="B24" s="411" t="s">
        <v>14</v>
      </c>
      <c r="C24" s="411" t="s">
        <v>45</v>
      </c>
      <c r="E24" s="535" t="s">
        <v>7</v>
      </c>
    </row>
    <row r="25" spans="1:5">
      <c r="A25" s="510">
        <v>45617</v>
      </c>
      <c r="B25" s="411" t="s">
        <v>23</v>
      </c>
      <c r="C25" s="411" t="s">
        <v>45</v>
      </c>
      <c r="E25" s="535" t="s">
        <v>7</v>
      </c>
    </row>
    <row r="26" spans="1:5">
      <c r="A26" s="510">
        <v>45617</v>
      </c>
      <c r="B26" s="411" t="s">
        <v>46</v>
      </c>
      <c r="C26" s="411" t="s">
        <v>45</v>
      </c>
      <c r="E26" s="535" t="s">
        <v>7</v>
      </c>
    </row>
  </sheetData>
  <mergeCells count="19">
    <mergeCell ref="D7:E7"/>
    <mergeCell ref="D15:E15"/>
    <mergeCell ref="D18:E18"/>
    <mergeCell ref="D1:E1"/>
    <mergeCell ref="D2:E2"/>
    <mergeCell ref="D3:E3"/>
    <mergeCell ref="D4:E4"/>
    <mergeCell ref="D5:E5"/>
    <mergeCell ref="D6:E6"/>
    <mergeCell ref="D9:E9"/>
    <mergeCell ref="D10:E10"/>
    <mergeCell ref="D17:E17"/>
    <mergeCell ref="D16:E16"/>
    <mergeCell ref="D19:E19"/>
    <mergeCell ref="D8:E8"/>
    <mergeCell ref="D11:E11"/>
    <mergeCell ref="D12:E12"/>
    <mergeCell ref="D13:E13"/>
    <mergeCell ref="D14:E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3"/>
  <sheetViews>
    <sheetView zoomScaleNormal="100" workbookViewId="0">
      <selection activeCell="B20" sqref="B20"/>
    </sheetView>
  </sheetViews>
  <sheetFormatPr defaultColWidth="9.42578125" defaultRowHeight="14.1"/>
  <cols>
    <col min="1" max="1" width="17" style="6" customWidth="1"/>
    <col min="2" max="2" width="65.42578125" style="6" customWidth="1"/>
    <col min="3" max="3" width="17.42578125" style="6" customWidth="1"/>
    <col min="4" max="16384" width="9.42578125" style="6"/>
  </cols>
  <sheetData>
    <row r="1" spans="1:4">
      <c r="A1" s="376" t="s">
        <v>47</v>
      </c>
      <c r="B1" s="376" t="s">
        <v>48</v>
      </c>
      <c r="C1" s="376" t="s">
        <v>49</v>
      </c>
      <c r="D1" s="203"/>
    </row>
    <row r="2" spans="1:4">
      <c r="A2" s="6" t="s">
        <v>50</v>
      </c>
      <c r="B2" s="6" t="s">
        <v>51</v>
      </c>
      <c r="C2" s="6" t="s">
        <v>52</v>
      </c>
      <c r="D2" s="203"/>
    </row>
    <row r="3" spans="1:4">
      <c r="A3" s="6" t="s">
        <v>53</v>
      </c>
      <c r="B3" s="6" t="s">
        <v>54</v>
      </c>
      <c r="C3" s="6" t="s">
        <v>52</v>
      </c>
      <c r="D3" s="203"/>
    </row>
    <row r="4" spans="1:4">
      <c r="A4" s="6" t="s">
        <v>55</v>
      </c>
      <c r="B4" s="6" t="s">
        <v>56</v>
      </c>
      <c r="C4" s="6" t="s">
        <v>52</v>
      </c>
      <c r="D4" s="203"/>
    </row>
    <row r="5" spans="1:4">
      <c r="A5" s="6" t="s">
        <v>57</v>
      </c>
      <c r="B5" s="6" t="s">
        <v>58</v>
      </c>
      <c r="C5" s="6" t="s">
        <v>52</v>
      </c>
      <c r="D5" s="203"/>
    </row>
    <row r="6" spans="1:4">
      <c r="A6" s="6" t="s">
        <v>59</v>
      </c>
      <c r="B6" s="6" t="s">
        <v>60</v>
      </c>
      <c r="C6" s="6" t="s">
        <v>52</v>
      </c>
      <c r="D6" s="203"/>
    </row>
    <row r="7" spans="1:4">
      <c r="A7" s="6" t="s">
        <v>61</v>
      </c>
      <c r="B7" s="203" t="s">
        <v>62</v>
      </c>
      <c r="C7" s="203" t="s">
        <v>53</v>
      </c>
      <c r="D7" s="203"/>
    </row>
    <row r="8" spans="1:4">
      <c r="A8" s="203" t="s">
        <v>63</v>
      </c>
      <c r="B8" s="203" t="s">
        <v>64</v>
      </c>
      <c r="C8" s="203" t="s">
        <v>53</v>
      </c>
      <c r="D8" s="203"/>
    </row>
    <row r="9" spans="1:4">
      <c r="A9" s="532" t="s">
        <v>65</v>
      </c>
      <c r="B9" s="203" t="s">
        <v>66</v>
      </c>
      <c r="C9" s="203" t="s">
        <v>53</v>
      </c>
    </row>
    <row r="10" spans="1:4">
      <c r="A10" s="203" t="s">
        <v>67</v>
      </c>
      <c r="B10" s="533" t="s">
        <v>68</v>
      </c>
      <c r="C10" s="203" t="s">
        <v>53</v>
      </c>
      <c r="D10" s="203"/>
    </row>
    <row r="11" spans="1:4">
      <c r="A11" s="203" t="s">
        <v>69</v>
      </c>
      <c r="B11" s="203" t="s">
        <v>70</v>
      </c>
      <c r="C11" s="203" t="s">
        <v>53</v>
      </c>
      <c r="D11" s="203"/>
    </row>
    <row r="12" spans="1:4">
      <c r="A12" s="203" t="s">
        <v>71</v>
      </c>
      <c r="B12" s="533" t="s">
        <v>72</v>
      </c>
      <c r="C12" s="203" t="s">
        <v>53</v>
      </c>
      <c r="D12" s="203"/>
    </row>
    <row r="13" spans="1:4">
      <c r="A13" s="533" t="s">
        <v>73</v>
      </c>
      <c r="B13" s="203" t="s">
        <v>74</v>
      </c>
      <c r="C13" s="203" t="s">
        <v>50</v>
      </c>
    </row>
    <row r="14" spans="1:4">
      <c r="A14" s="203" t="s">
        <v>75</v>
      </c>
      <c r="B14" s="6" t="s">
        <v>76</v>
      </c>
      <c r="C14" s="6" t="s">
        <v>52</v>
      </c>
      <c r="D14" s="203"/>
    </row>
    <row r="15" spans="1:4">
      <c r="A15" s="203" t="s">
        <v>77</v>
      </c>
      <c r="B15" s="6" t="s">
        <v>78</v>
      </c>
      <c r="C15" s="6" t="s">
        <v>52</v>
      </c>
      <c r="D15" s="203"/>
    </row>
    <row r="16" spans="1:4">
      <c r="A16" s="375" t="s">
        <v>79</v>
      </c>
      <c r="B16" s="375" t="s">
        <v>80</v>
      </c>
      <c r="C16" s="375" t="s">
        <v>52</v>
      </c>
      <c r="D16" s="203"/>
    </row>
    <row r="17" spans="1:3">
      <c r="A17" s="203" t="s">
        <v>81</v>
      </c>
      <c r="B17" s="203" t="s">
        <v>82</v>
      </c>
      <c r="C17" s="6" t="s">
        <v>52</v>
      </c>
    </row>
    <row r="18" spans="1:3">
      <c r="A18" s="534"/>
    </row>
    <row r="19" spans="1:3">
      <c r="A19" s="203"/>
    </row>
    <row r="20" spans="1:3">
      <c r="A20" s="203"/>
    </row>
    <row r="21" spans="1:3">
      <c r="A21" s="203"/>
    </row>
    <row r="22" spans="1:3">
      <c r="A22" s="203"/>
    </row>
    <row r="23" spans="1:3">
      <c r="A23" s="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L46"/>
  <sheetViews>
    <sheetView zoomScaleNormal="70" workbookViewId="0">
      <selection activeCell="A4" sqref="A4"/>
    </sheetView>
  </sheetViews>
  <sheetFormatPr defaultColWidth="9.42578125" defaultRowHeight="14.1"/>
  <cols>
    <col min="1" max="1" width="32.42578125" style="6" customWidth="1"/>
    <col min="2" max="2" width="26.42578125" style="6" customWidth="1"/>
    <col min="3" max="16384" width="9.42578125" style="6"/>
  </cols>
  <sheetData>
    <row r="1" spans="1:8">
      <c r="A1" s="377" t="s">
        <v>47</v>
      </c>
      <c r="B1" s="377" t="s">
        <v>83</v>
      </c>
      <c r="C1" s="203"/>
    </row>
    <row r="2" spans="1:8">
      <c r="A2" s="512" t="s">
        <v>84</v>
      </c>
      <c r="B2" s="203" t="s">
        <v>85</v>
      </c>
      <c r="C2" s="203"/>
    </row>
    <row r="3" spans="1:8" s="9" customFormat="1">
      <c r="A3" s="512" t="s">
        <v>86</v>
      </c>
      <c r="B3" s="203" t="s">
        <v>87</v>
      </c>
      <c r="C3" s="203"/>
      <c r="D3" s="203"/>
      <c r="E3" s="203"/>
      <c r="F3" s="203"/>
      <c r="G3" s="203"/>
      <c r="H3" s="203"/>
    </row>
    <row r="4" spans="1:8" s="9" customFormat="1">
      <c r="A4" s="203" t="s">
        <v>88</v>
      </c>
      <c r="B4" s="203" t="s">
        <v>89</v>
      </c>
      <c r="C4" s="203"/>
      <c r="D4" s="203"/>
      <c r="E4" s="203"/>
      <c r="F4" s="203"/>
      <c r="G4" s="203"/>
      <c r="H4" s="203"/>
    </row>
    <row r="5" spans="1:8" s="9" customFormat="1">
      <c r="A5" s="512" t="s">
        <v>90</v>
      </c>
      <c r="B5" s="203" t="s">
        <v>91</v>
      </c>
      <c r="C5" s="203"/>
      <c r="D5" s="203"/>
      <c r="E5" s="203"/>
      <c r="F5" s="203"/>
      <c r="G5" s="203"/>
      <c r="H5" s="203"/>
    </row>
    <row r="6" spans="1:8" s="9" customFormat="1">
      <c r="A6" s="204" t="s">
        <v>92</v>
      </c>
      <c r="B6" s="203" t="s">
        <v>85</v>
      </c>
      <c r="C6" s="203"/>
      <c r="D6" s="203"/>
      <c r="E6" s="203"/>
      <c r="F6" s="203"/>
      <c r="G6" s="203"/>
      <c r="H6" s="203"/>
    </row>
    <row r="7" spans="1:8" s="9" customFormat="1">
      <c r="A7" s="513" t="s">
        <v>93</v>
      </c>
      <c r="B7" s="203" t="s">
        <v>94</v>
      </c>
      <c r="C7" s="203"/>
      <c r="D7" s="203"/>
      <c r="E7" s="203"/>
      <c r="F7" s="203"/>
      <c r="G7" s="203"/>
      <c r="H7" s="203"/>
    </row>
    <row r="8" spans="1:8" s="9" customFormat="1">
      <c r="A8" s="513" t="s">
        <v>95</v>
      </c>
      <c r="B8" s="203" t="s">
        <v>96</v>
      </c>
      <c r="C8" s="203"/>
      <c r="D8" s="203"/>
      <c r="E8" s="203"/>
      <c r="F8" s="203"/>
      <c r="G8" s="203"/>
      <c r="H8" s="203"/>
    </row>
    <row r="9" spans="1:8">
      <c r="A9" s="203" t="s">
        <v>97</v>
      </c>
      <c r="B9" s="203" t="s">
        <v>98</v>
      </c>
      <c r="C9" s="203"/>
      <c r="D9" s="203"/>
      <c r="E9" s="203"/>
      <c r="F9" s="203"/>
      <c r="G9" s="203"/>
      <c r="H9" s="203"/>
    </row>
    <row r="10" spans="1:8">
      <c r="A10" s="203" t="s">
        <v>99</v>
      </c>
      <c r="B10" s="203" t="s">
        <v>98</v>
      </c>
      <c r="C10" s="203"/>
      <c r="D10" s="203"/>
      <c r="E10" s="203"/>
      <c r="F10" s="203"/>
      <c r="G10" s="203"/>
      <c r="H10" s="203"/>
    </row>
    <row r="11" spans="1:8" s="9" customFormat="1">
      <c r="A11" s="513" t="s">
        <v>100</v>
      </c>
      <c r="B11" s="203" t="s">
        <v>101</v>
      </c>
      <c r="C11" s="203"/>
      <c r="D11" s="203"/>
      <c r="E11" s="203"/>
      <c r="F11" s="203"/>
      <c r="G11" s="203"/>
      <c r="H11" s="203"/>
    </row>
    <row r="12" spans="1:8" s="9" customFormat="1">
      <c r="A12" s="203" t="s">
        <v>102</v>
      </c>
      <c r="B12" s="203" t="s">
        <v>103</v>
      </c>
      <c r="C12" s="203"/>
      <c r="D12" s="203"/>
      <c r="E12" s="203"/>
      <c r="F12" s="203"/>
      <c r="G12" s="203"/>
      <c r="H12" s="203"/>
    </row>
    <row r="13" spans="1:8" s="9" customFormat="1">
      <c r="A13" s="203" t="s">
        <v>104</v>
      </c>
      <c r="B13" s="203" t="s">
        <v>105</v>
      </c>
      <c r="C13" s="203"/>
      <c r="D13" s="203"/>
      <c r="E13" s="203"/>
      <c r="F13" s="203"/>
      <c r="G13" s="203"/>
      <c r="H13" s="203"/>
    </row>
    <row r="14" spans="1:8" s="9" customFormat="1">
      <c r="A14" s="512" t="s">
        <v>106</v>
      </c>
      <c r="B14" s="203" t="s">
        <v>107</v>
      </c>
      <c r="C14" s="203"/>
      <c r="D14" s="203"/>
      <c r="E14" s="203"/>
      <c r="F14" s="203"/>
      <c r="G14" s="203"/>
      <c r="H14" s="203"/>
    </row>
    <row r="15" spans="1:8" s="9" customFormat="1">
      <c r="A15" s="203" t="s">
        <v>108</v>
      </c>
      <c r="B15" s="203" t="s">
        <v>107</v>
      </c>
      <c r="C15" s="232"/>
      <c r="D15" s="203"/>
      <c r="E15" s="203"/>
      <c r="F15" s="203"/>
      <c r="G15" s="203"/>
      <c r="H15" s="203"/>
    </row>
    <row r="16" spans="1:8" s="9" customFormat="1">
      <c r="A16" s="512" t="s">
        <v>109</v>
      </c>
      <c r="B16" s="203" t="s">
        <v>110</v>
      </c>
      <c r="C16" s="203"/>
      <c r="D16" s="203"/>
      <c r="E16" s="203"/>
      <c r="F16" s="203"/>
      <c r="G16" s="203"/>
      <c r="H16" s="203"/>
    </row>
    <row r="17" spans="1:12" s="9" customFormat="1">
      <c r="A17" s="512" t="s">
        <v>111</v>
      </c>
      <c r="B17" s="203" t="s">
        <v>110</v>
      </c>
      <c r="C17" s="203"/>
      <c r="D17" s="203"/>
      <c r="E17" s="203"/>
      <c r="F17" s="203"/>
      <c r="G17" s="203"/>
      <c r="H17" s="203"/>
      <c r="I17" s="203"/>
      <c r="J17" s="203"/>
      <c r="K17" s="203"/>
      <c r="L17" s="203"/>
    </row>
    <row r="18" spans="1:12" s="9" customFormat="1">
      <c r="A18" s="203" t="s">
        <v>112</v>
      </c>
      <c r="B18" s="203" t="s">
        <v>110</v>
      </c>
      <c r="C18" s="203"/>
      <c r="D18" s="203"/>
      <c r="E18" s="203"/>
      <c r="F18" s="203"/>
      <c r="G18" s="203"/>
      <c r="H18" s="203"/>
      <c r="I18" s="203"/>
      <c r="J18" s="203"/>
      <c r="K18" s="203"/>
      <c r="L18" s="203"/>
    </row>
    <row r="19" spans="1:12" s="9" customFormat="1">
      <c r="A19" s="203" t="s">
        <v>113</v>
      </c>
      <c r="B19" s="203" t="s">
        <v>110</v>
      </c>
      <c r="C19" s="203"/>
      <c r="D19" s="203"/>
      <c r="E19" s="203"/>
      <c r="F19" s="203"/>
      <c r="G19" s="203"/>
      <c r="H19" s="203"/>
      <c r="I19" s="203"/>
      <c r="J19" s="203"/>
      <c r="K19" s="203"/>
      <c r="L19" s="203"/>
    </row>
    <row r="20" spans="1:12" s="9" customFormat="1">
      <c r="A20" s="203" t="s">
        <v>114</v>
      </c>
      <c r="B20" s="203" t="s">
        <v>110</v>
      </c>
      <c r="C20" s="203"/>
      <c r="D20" s="203"/>
      <c r="E20" s="203"/>
      <c r="F20" s="203"/>
      <c r="G20" s="203"/>
      <c r="H20" s="203"/>
      <c r="I20" s="203"/>
      <c r="J20" s="203"/>
      <c r="K20" s="203"/>
      <c r="L20" s="203"/>
    </row>
    <row r="21" spans="1:12" s="9" customFormat="1">
      <c r="A21" s="203" t="s">
        <v>115</v>
      </c>
      <c r="B21" s="203" t="s">
        <v>110</v>
      </c>
      <c r="C21" s="203"/>
      <c r="D21" s="203"/>
      <c r="E21" s="203"/>
      <c r="F21" s="203"/>
      <c r="G21" s="203"/>
      <c r="H21" s="203"/>
      <c r="I21" s="203"/>
      <c r="J21" s="203"/>
      <c r="K21" s="203"/>
      <c r="L21" s="203"/>
    </row>
    <row r="22" spans="1:12" s="9" customFormat="1">
      <c r="A22" s="203" t="s">
        <v>116</v>
      </c>
      <c r="B22" s="203" t="s">
        <v>110</v>
      </c>
      <c r="C22" s="203"/>
      <c r="D22" s="203"/>
      <c r="E22" s="203"/>
      <c r="F22" s="203"/>
      <c r="G22" s="203"/>
      <c r="H22" s="203"/>
      <c r="I22" s="203"/>
      <c r="J22" s="203"/>
      <c r="K22" s="203"/>
      <c r="L22" s="203"/>
    </row>
    <row r="23" spans="1:12" s="9" customFormat="1">
      <c r="A23" s="203" t="s">
        <v>117</v>
      </c>
      <c r="B23" s="203" t="s">
        <v>110</v>
      </c>
      <c r="C23" s="203"/>
      <c r="D23" s="203"/>
      <c r="E23" s="203"/>
      <c r="F23" s="203"/>
      <c r="G23" s="203"/>
      <c r="H23" s="203"/>
      <c r="I23" s="203"/>
      <c r="J23" s="203"/>
      <c r="K23" s="203"/>
      <c r="L23" s="203"/>
    </row>
    <row r="24" spans="1:12" s="9" customFormat="1">
      <c r="A24" s="203" t="s">
        <v>118</v>
      </c>
      <c r="B24" s="203" t="s">
        <v>110</v>
      </c>
      <c r="C24" s="203"/>
      <c r="D24" s="203"/>
      <c r="E24" s="203"/>
      <c r="F24" s="203"/>
      <c r="G24" s="203"/>
      <c r="H24" s="203"/>
      <c r="I24" s="203"/>
      <c r="J24" s="203"/>
      <c r="K24" s="203"/>
      <c r="L24" s="203"/>
    </row>
    <row r="25" spans="1:12" s="9" customFormat="1">
      <c r="A25" s="512" t="s">
        <v>119</v>
      </c>
      <c r="B25" s="203" t="s">
        <v>120</v>
      </c>
      <c r="C25" s="203"/>
      <c r="D25" s="203"/>
      <c r="E25" s="203"/>
      <c r="F25" s="203"/>
      <c r="G25" s="203"/>
      <c r="H25" s="203"/>
      <c r="I25" s="203"/>
      <c r="J25" s="203"/>
      <c r="K25" s="203"/>
      <c r="L25" s="203"/>
    </row>
    <row r="26" spans="1:12" s="9" customFormat="1">
      <c r="A26" s="203" t="s">
        <v>121</v>
      </c>
      <c r="B26" s="203" t="s">
        <v>120</v>
      </c>
      <c r="C26" s="203"/>
      <c r="D26" s="203"/>
      <c r="E26" s="203"/>
      <c r="F26" s="203"/>
      <c r="G26" s="203"/>
      <c r="H26" s="203"/>
      <c r="I26" s="203"/>
      <c r="J26" s="203"/>
      <c r="K26" s="203"/>
      <c r="L26" s="203"/>
    </row>
    <row r="27" spans="1:12" s="9" customFormat="1">
      <c r="A27" s="203" t="s">
        <v>122</v>
      </c>
      <c r="B27" s="203" t="s">
        <v>120</v>
      </c>
      <c r="C27" s="203"/>
      <c r="D27" s="203"/>
      <c r="E27" s="203"/>
      <c r="F27" s="203"/>
      <c r="G27" s="203"/>
      <c r="H27" s="203"/>
      <c r="I27" s="203"/>
      <c r="J27" s="203"/>
      <c r="K27" s="203"/>
      <c r="L27" s="203"/>
    </row>
    <row r="28" spans="1:12" s="9" customFormat="1">
      <c r="A28" s="203" t="s">
        <v>123</v>
      </c>
      <c r="B28" s="203" t="s">
        <v>120</v>
      </c>
      <c r="C28" s="203"/>
      <c r="D28" s="203"/>
      <c r="E28" s="203"/>
      <c r="F28" s="203"/>
      <c r="G28" s="203"/>
      <c r="H28" s="203"/>
      <c r="I28" s="203"/>
      <c r="J28" s="203"/>
      <c r="K28" s="203"/>
      <c r="L28" s="203"/>
    </row>
    <row r="29" spans="1:12" s="9" customFormat="1">
      <c r="A29" s="512" t="s">
        <v>124</v>
      </c>
      <c r="B29" s="203" t="s">
        <v>125</v>
      </c>
      <c r="C29" s="203"/>
      <c r="D29" s="203"/>
      <c r="E29" s="203"/>
      <c r="F29" s="203"/>
      <c r="G29" s="203"/>
      <c r="H29" s="203"/>
      <c r="I29" s="203"/>
      <c r="J29" s="203"/>
      <c r="K29" s="203"/>
      <c r="L29" s="203"/>
    </row>
    <row r="30" spans="1:12">
      <c r="A30" s="203" t="s">
        <v>126</v>
      </c>
      <c r="B30" s="203" t="s">
        <v>127</v>
      </c>
      <c r="C30" s="203"/>
      <c r="D30" s="203"/>
      <c r="E30" s="203"/>
      <c r="F30" s="203"/>
      <c r="G30" s="203"/>
      <c r="H30" s="203"/>
    </row>
    <row r="31" spans="1:12">
      <c r="A31" s="203" t="s">
        <v>128</v>
      </c>
      <c r="B31" s="203" t="s">
        <v>127</v>
      </c>
      <c r="C31" s="203"/>
      <c r="D31" s="203"/>
      <c r="E31" s="203"/>
      <c r="F31" s="203"/>
      <c r="G31" s="203"/>
      <c r="H31" s="203"/>
      <c r="I31" s="203"/>
      <c r="J31" s="203"/>
      <c r="K31" s="203"/>
      <c r="L31" s="203"/>
    </row>
    <row r="32" spans="1:12" ht="14.25" customHeight="1">
      <c r="A32" s="203" t="s">
        <v>129</v>
      </c>
      <c r="B32" s="203" t="s">
        <v>127</v>
      </c>
      <c r="C32" s="203"/>
      <c r="D32" s="203"/>
      <c r="E32" s="203"/>
      <c r="F32" s="203"/>
      <c r="G32" s="203"/>
      <c r="H32" s="203"/>
    </row>
    <row r="33" spans="1:8" ht="14.25" customHeight="1">
      <c r="A33" s="203" t="s">
        <v>130</v>
      </c>
      <c r="B33" s="203" t="s">
        <v>127</v>
      </c>
      <c r="C33" s="203"/>
      <c r="D33" s="203"/>
      <c r="E33" s="203"/>
      <c r="F33" s="203"/>
      <c r="G33" s="203"/>
      <c r="H33" s="203"/>
    </row>
    <row r="34" spans="1:8" ht="14.25" customHeight="1">
      <c r="A34" s="203" t="s">
        <v>131</v>
      </c>
      <c r="B34" s="203" t="s">
        <v>127</v>
      </c>
      <c r="C34" s="203"/>
      <c r="D34" s="203"/>
      <c r="E34" s="203"/>
      <c r="F34" s="203"/>
      <c r="G34" s="203"/>
      <c r="H34" s="203"/>
    </row>
    <row r="35" spans="1:8" ht="14.25" customHeight="1">
      <c r="A35" s="203" t="s">
        <v>132</v>
      </c>
      <c r="B35" s="203" t="s">
        <v>127</v>
      </c>
      <c r="C35" s="203"/>
      <c r="D35" s="203"/>
      <c r="E35" s="203"/>
      <c r="F35" s="203"/>
      <c r="G35" s="203"/>
      <c r="H35" s="203"/>
    </row>
    <row r="36" spans="1:8" ht="14.25" customHeight="1">
      <c r="A36" s="203" t="s">
        <v>133</v>
      </c>
      <c r="B36" s="203" t="s">
        <v>127</v>
      </c>
      <c r="C36" s="203"/>
      <c r="D36" s="203"/>
      <c r="E36" s="203"/>
      <c r="F36" s="203"/>
      <c r="G36" s="203"/>
      <c r="H36" s="203"/>
    </row>
    <row r="37" spans="1:8" ht="14.25" customHeight="1">
      <c r="A37" s="512" t="s">
        <v>134</v>
      </c>
      <c r="B37" s="203" t="s">
        <v>135</v>
      </c>
      <c r="C37" s="203"/>
      <c r="D37" s="203"/>
      <c r="E37" s="203"/>
      <c r="F37" s="203"/>
      <c r="G37" s="203"/>
      <c r="H37" s="203"/>
    </row>
    <row r="38" spans="1:8">
      <c r="A38" s="512" t="s">
        <v>136</v>
      </c>
      <c r="B38" s="203" t="s">
        <v>137</v>
      </c>
      <c r="C38" s="203"/>
      <c r="D38" s="203"/>
      <c r="E38" s="203"/>
      <c r="F38" s="203"/>
      <c r="G38" s="203"/>
      <c r="H38" s="203"/>
    </row>
    <row r="39" spans="1:8">
      <c r="A39" s="203" t="s">
        <v>138</v>
      </c>
      <c r="B39" s="203" t="s">
        <v>137</v>
      </c>
      <c r="C39" s="203"/>
      <c r="D39" s="203"/>
      <c r="E39" s="203"/>
      <c r="F39" s="203"/>
      <c r="G39" s="203"/>
      <c r="H39" s="203"/>
    </row>
    <row r="40" spans="1:8">
      <c r="A40" s="203" t="s">
        <v>139</v>
      </c>
      <c r="B40" s="203" t="s">
        <v>110</v>
      </c>
      <c r="C40" s="203"/>
      <c r="D40" s="203"/>
      <c r="E40" s="203"/>
      <c r="F40" s="203"/>
      <c r="G40" s="203"/>
      <c r="H40" s="203"/>
    </row>
    <row r="41" spans="1:8">
      <c r="A41" s="203"/>
      <c r="B41" s="203"/>
    </row>
    <row r="42" spans="1:8">
      <c r="A42" s="203"/>
      <c r="B42" s="203"/>
    </row>
    <row r="43" spans="1:8">
      <c r="A43" s="203"/>
    </row>
    <row r="44" spans="1:8">
      <c r="A44" s="203"/>
    </row>
    <row r="45" spans="1:8">
      <c r="A45" s="203"/>
    </row>
    <row r="46" spans="1:8">
      <c r="A46" s="7"/>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30"/>
  <sheetViews>
    <sheetView topLeftCell="A7" zoomScale="80" zoomScaleNormal="80" workbookViewId="0">
      <selection activeCell="F20" sqref="F20"/>
    </sheetView>
  </sheetViews>
  <sheetFormatPr defaultColWidth="8.85546875" defaultRowHeight="14.4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2">
      <c r="A1" s="10"/>
      <c r="B1" t="s">
        <v>140</v>
      </c>
      <c r="C1" s="11"/>
      <c r="D1" t="s">
        <v>141</v>
      </c>
      <c r="F1" s="642"/>
      <c r="G1" s="642"/>
      <c r="H1" t="s">
        <v>142</v>
      </c>
      <c r="J1" s="12"/>
      <c r="K1" t="s">
        <v>143</v>
      </c>
    </row>
    <row r="2" spans="1:12">
      <c r="F2" s="620"/>
      <c r="G2" s="620"/>
    </row>
    <row r="3" spans="1:12">
      <c r="A3" s="393" t="s">
        <v>144</v>
      </c>
      <c r="B3" s="383"/>
      <c r="C3" s="383"/>
      <c r="D3" s="394"/>
      <c r="E3" s="394"/>
      <c r="F3" s="395"/>
      <c r="G3" s="395"/>
      <c r="H3" s="394"/>
      <c r="I3" s="394"/>
      <c r="J3" s="394"/>
      <c r="K3" s="396"/>
    </row>
    <row r="4" spans="1:12" ht="15.6">
      <c r="A4" s="397" t="s">
        <v>145</v>
      </c>
      <c r="B4" s="398"/>
      <c r="C4" s="398"/>
      <c r="D4" s="399"/>
      <c r="E4" s="400"/>
      <c r="F4" s="400"/>
      <c r="G4" s="400"/>
      <c r="H4" s="399"/>
      <c r="I4" s="399"/>
      <c r="J4" s="399"/>
      <c r="K4" s="401"/>
    </row>
    <row r="5" spans="1:12" ht="15.6">
      <c r="A5" s="650" t="s">
        <v>146</v>
      </c>
      <c r="B5" s="651"/>
      <c r="C5" s="651"/>
      <c r="D5" s="384"/>
      <c r="E5" s="385"/>
      <c r="F5" s="385"/>
      <c r="G5" s="385"/>
      <c r="H5" s="384"/>
      <c r="I5" s="646" t="s">
        <v>147</v>
      </c>
      <c r="J5" s="646"/>
      <c r="K5" s="647"/>
    </row>
    <row r="6" spans="1:12">
      <c r="A6" s="378" t="s">
        <v>148</v>
      </c>
      <c r="B6" s="379"/>
      <c r="C6" s="379"/>
      <c r="D6" s="380"/>
      <c r="E6" s="379"/>
      <c r="F6" s="379"/>
      <c r="G6" s="379"/>
      <c r="H6" s="380"/>
      <c r="I6" s="381"/>
      <c r="J6" s="381"/>
      <c r="K6" s="402" t="s">
        <v>146</v>
      </c>
    </row>
    <row r="7" spans="1:12" ht="56.25" customHeight="1">
      <c r="A7" s="643" t="s">
        <v>149</v>
      </c>
      <c r="B7" s="644"/>
      <c r="C7" s="644"/>
      <c r="D7" s="644"/>
      <c r="E7" s="644"/>
      <c r="F7" s="644"/>
      <c r="G7" s="644"/>
      <c r="H7" s="644"/>
      <c r="I7" s="644"/>
      <c r="J7" s="644"/>
      <c r="K7" s="645"/>
    </row>
    <row r="8" spans="1:12">
      <c r="A8" s="1195" t="s">
        <v>150</v>
      </c>
      <c r="B8" s="1196"/>
      <c r="C8" s="1197"/>
      <c r="D8" s="1198"/>
      <c r="E8" s="1198"/>
      <c r="F8" s="1198"/>
      <c r="G8" s="536"/>
      <c r="H8" s="14"/>
      <c r="I8" s="648" t="s">
        <v>151</v>
      </c>
      <c r="J8" s="649"/>
      <c r="K8" s="13" t="s">
        <v>152</v>
      </c>
    </row>
    <row r="9" spans="1:12">
      <c r="A9" s="1195" t="s">
        <v>153</v>
      </c>
      <c r="B9" s="1196"/>
      <c r="C9" s="652"/>
      <c r="D9" s="653"/>
      <c r="E9" s="653"/>
      <c r="F9" s="653"/>
      <c r="G9" s="653"/>
      <c r="H9" s="654"/>
      <c r="I9" s="648" t="s">
        <v>154</v>
      </c>
      <c r="J9" s="649"/>
      <c r="K9" s="332"/>
    </row>
    <row r="10" spans="1:12">
      <c r="A10" s="1"/>
      <c r="B10" s="1"/>
      <c r="C10" s="1"/>
      <c r="D10" s="1"/>
      <c r="E10" s="1"/>
      <c r="F10" s="1"/>
      <c r="G10" s="1"/>
      <c r="H10" s="1"/>
      <c r="I10" s="8"/>
      <c r="J10" s="8"/>
      <c r="K10" s="1"/>
    </row>
    <row r="11" spans="1:12">
      <c r="A11" s="1"/>
      <c r="B11" s="327"/>
      <c r="C11" s="327"/>
      <c r="D11" s="327"/>
      <c r="E11" s="327"/>
      <c r="F11" s="327"/>
      <c r="G11" s="327"/>
      <c r="H11" s="327"/>
      <c r="I11" s="331"/>
      <c r="J11" s="331"/>
      <c r="K11" s="327"/>
      <c r="L11" s="128"/>
    </row>
    <row r="12" spans="1:12">
      <c r="A12" s="1"/>
      <c r="B12" s="327"/>
      <c r="C12" s="327"/>
      <c r="D12" s="327"/>
      <c r="E12" s="327"/>
      <c r="F12" s="327"/>
      <c r="G12" s="327"/>
      <c r="H12" s="327"/>
      <c r="I12" s="331"/>
      <c r="J12" s="331"/>
      <c r="K12" s="327"/>
      <c r="L12" s="128"/>
    </row>
    <row r="13" spans="1:12">
      <c r="A13" s="1"/>
      <c r="B13" s="1"/>
      <c r="C13" s="1"/>
      <c r="D13" s="1"/>
      <c r="E13" s="1"/>
      <c r="F13" s="1"/>
      <c r="G13" s="1"/>
      <c r="H13" s="1"/>
      <c r="I13" s="8"/>
      <c r="J13" s="8"/>
      <c r="K13" s="1"/>
    </row>
    <row r="14" spans="1:12">
      <c r="A14" s="393" t="s">
        <v>144</v>
      </c>
      <c r="B14" s="383"/>
      <c r="C14" s="383"/>
      <c r="D14" s="394"/>
      <c r="E14" s="394"/>
      <c r="F14" s="395"/>
      <c r="G14" s="395"/>
      <c r="H14" s="394"/>
      <c r="I14" s="394"/>
      <c r="J14" s="394"/>
      <c r="K14" s="396"/>
    </row>
    <row r="15" spans="1:12" ht="15.6">
      <c r="A15" s="397" t="s">
        <v>145</v>
      </c>
      <c r="B15" s="398"/>
      <c r="C15" s="398"/>
      <c r="D15" s="399"/>
      <c r="E15" s="400"/>
      <c r="F15" s="400"/>
      <c r="G15" s="400"/>
      <c r="H15" s="399"/>
      <c r="I15" s="399"/>
      <c r="J15" s="399"/>
      <c r="K15" s="401"/>
    </row>
    <row r="16" spans="1:12" ht="15.6">
      <c r="A16" s="650" t="s">
        <v>146</v>
      </c>
      <c r="B16" s="651"/>
      <c r="C16" s="651"/>
      <c r="D16" s="384"/>
      <c r="E16" s="385"/>
      <c r="F16" s="385"/>
      <c r="G16" s="385"/>
      <c r="H16" s="384"/>
      <c r="I16" s="646" t="s">
        <v>147</v>
      </c>
      <c r="J16" s="646"/>
      <c r="K16" s="647"/>
    </row>
    <row r="17" spans="1:11">
      <c r="A17" s="378" t="s">
        <v>148</v>
      </c>
      <c r="B17" s="379"/>
      <c r="C17" s="379"/>
      <c r="D17" s="380"/>
      <c r="E17" s="379"/>
      <c r="F17" s="379"/>
      <c r="G17" s="379"/>
      <c r="H17" s="380"/>
      <c r="I17" s="381"/>
      <c r="J17" s="381"/>
      <c r="K17" s="402" t="s">
        <v>146</v>
      </c>
    </row>
    <row r="18" spans="1:11">
      <c r="A18" s="1195" t="s">
        <v>150</v>
      </c>
      <c r="B18" s="1196"/>
      <c r="C18" s="1197"/>
      <c r="D18" s="1198"/>
      <c r="E18" s="1198"/>
      <c r="F18" s="1198"/>
      <c r="G18" s="372"/>
      <c r="H18" s="373"/>
      <c r="I18" s="648" t="s">
        <v>151</v>
      </c>
      <c r="J18" s="649"/>
      <c r="K18" s="13" t="s">
        <v>152</v>
      </c>
    </row>
    <row r="19" spans="1:11">
      <c r="A19" s="1195" t="s">
        <v>153</v>
      </c>
      <c r="B19" s="1196"/>
      <c r="C19" s="655"/>
      <c r="D19" s="656"/>
      <c r="E19" s="656"/>
      <c r="F19" s="656"/>
      <c r="G19" s="656"/>
      <c r="H19" s="657"/>
      <c r="I19" s="648" t="s">
        <v>154</v>
      </c>
      <c r="J19" s="649"/>
      <c r="K19" s="332"/>
    </row>
    <row r="20" spans="1:11">
      <c r="A20" s="5"/>
      <c r="B20" s="1"/>
      <c r="C20" s="1"/>
      <c r="D20" s="1"/>
      <c r="E20" s="1"/>
      <c r="F20" s="1"/>
      <c r="G20" s="5"/>
      <c r="H20" s="1"/>
      <c r="I20" s="1"/>
      <c r="J20" s="543"/>
      <c r="K20" s="543"/>
    </row>
    <row r="21" spans="1:11">
      <c r="A21" s="5"/>
      <c r="B21" s="1"/>
      <c r="C21" s="1"/>
      <c r="D21" s="1"/>
      <c r="E21" s="1"/>
      <c r="F21" s="1"/>
      <c r="G21" s="5"/>
      <c r="H21" s="1"/>
      <c r="I21" s="1"/>
      <c r="J21" s="543"/>
      <c r="K21" s="543"/>
    </row>
    <row r="22" spans="1:11">
      <c r="A22" s="5"/>
      <c r="B22" s="1"/>
      <c r="C22" s="1"/>
      <c r="D22" s="1"/>
      <c r="E22" s="1"/>
      <c r="F22" s="1"/>
      <c r="G22" s="5"/>
      <c r="H22" s="1"/>
      <c r="I22" s="1"/>
      <c r="J22" s="543"/>
      <c r="K22" s="543"/>
    </row>
    <row r="23" spans="1:11">
      <c r="A23" s="5"/>
    </row>
    <row r="24" spans="1:11" ht="15" customHeight="1">
      <c r="A24" s="2"/>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sheetData>
  <mergeCells count="18">
    <mergeCell ref="A19:B19"/>
    <mergeCell ref="I19:J19"/>
    <mergeCell ref="A16:C16"/>
    <mergeCell ref="I16:K16"/>
    <mergeCell ref="A18:B18"/>
    <mergeCell ref="C18:F18"/>
    <mergeCell ref="I18:J18"/>
    <mergeCell ref="C19:H19"/>
    <mergeCell ref="F1:G1"/>
    <mergeCell ref="A7:K7"/>
    <mergeCell ref="I5:K5"/>
    <mergeCell ref="I8:J8"/>
    <mergeCell ref="I9:J9"/>
    <mergeCell ref="C8:F8"/>
    <mergeCell ref="A8:B8"/>
    <mergeCell ref="A9:B9"/>
    <mergeCell ref="A5:C5"/>
    <mergeCell ref="C9:H9"/>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F424-3EA2-4A44-B03B-2F806E96C60E}">
  <sheetPr codeName="Sheet5"/>
  <dimension ref="A1:L29"/>
  <sheetViews>
    <sheetView zoomScale="80" zoomScaleNormal="80" workbookViewId="0">
      <selection activeCell="I27" sqref="I27"/>
    </sheetView>
  </sheetViews>
  <sheetFormatPr defaultColWidth="8.42578125" defaultRowHeight="14.4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2">
      <c r="A1" s="10"/>
      <c r="B1" t="s">
        <v>140</v>
      </c>
      <c r="C1" s="11"/>
      <c r="D1" t="s">
        <v>141</v>
      </c>
      <c r="F1" s="642"/>
      <c r="G1" s="642"/>
      <c r="H1" t="s">
        <v>142</v>
      </c>
      <c r="J1" s="12"/>
      <c r="K1" t="s">
        <v>143</v>
      </c>
    </row>
    <row r="2" spans="1:12">
      <c r="A2" s="393" t="s">
        <v>144</v>
      </c>
      <c r="B2" s="383"/>
      <c r="C2" s="383"/>
      <c r="D2" s="394"/>
      <c r="E2" s="394"/>
      <c r="F2" s="395"/>
      <c r="G2" s="395"/>
      <c r="H2" s="394"/>
      <c r="I2" s="394"/>
      <c r="J2" s="394"/>
      <c r="K2" s="396"/>
    </row>
    <row r="3" spans="1:12" ht="15.6">
      <c r="A3" s="397" t="s">
        <v>145</v>
      </c>
      <c r="B3" s="398"/>
      <c r="C3" s="398"/>
      <c r="D3" s="399"/>
      <c r="E3" s="400"/>
      <c r="F3" s="400"/>
      <c r="G3" s="400"/>
      <c r="H3" s="399"/>
      <c r="I3" s="399"/>
      <c r="J3" s="399"/>
      <c r="K3" s="401"/>
    </row>
    <row r="4" spans="1:12" ht="15.6">
      <c r="A4" s="650" t="s">
        <v>155</v>
      </c>
      <c r="B4" s="651"/>
      <c r="C4" s="651"/>
      <c r="D4" s="384"/>
      <c r="E4" s="385"/>
      <c r="F4" s="385"/>
      <c r="G4" s="385"/>
      <c r="H4" s="384"/>
      <c r="I4" s="646" t="s">
        <v>147</v>
      </c>
      <c r="J4" s="646"/>
      <c r="K4" s="647"/>
    </row>
    <row r="5" spans="1:12">
      <c r="A5" s="386" t="s">
        <v>148</v>
      </c>
      <c r="B5" s="387"/>
      <c r="C5" s="387"/>
      <c r="D5" s="388"/>
      <c r="E5" s="387"/>
      <c r="F5" s="387"/>
      <c r="G5" s="387"/>
      <c r="H5" s="388"/>
      <c r="I5" s="389"/>
      <c r="J5" s="389"/>
      <c r="K5" s="390" t="s">
        <v>156</v>
      </c>
    </row>
    <row r="6" spans="1:12" ht="56.25" customHeight="1">
      <c r="A6" s="643" t="s">
        <v>157</v>
      </c>
      <c r="B6" s="644"/>
      <c r="C6" s="644"/>
      <c r="D6" s="644"/>
      <c r="E6" s="644"/>
      <c r="F6" s="644"/>
      <c r="G6" s="644"/>
      <c r="H6" s="644"/>
      <c r="I6" s="644"/>
      <c r="J6" s="644"/>
      <c r="K6" s="645"/>
    </row>
    <row r="7" spans="1:12">
      <c r="A7" s="1195" t="s">
        <v>150</v>
      </c>
      <c r="B7" s="1196"/>
      <c r="C7" s="1197"/>
      <c r="D7" s="1198"/>
      <c r="E7" s="1198"/>
      <c r="F7" s="1198"/>
      <c r="G7" s="536"/>
      <c r="H7" s="14"/>
      <c r="I7" s="648" t="s">
        <v>151</v>
      </c>
      <c r="J7" s="649"/>
      <c r="K7" s="13" t="s">
        <v>152</v>
      </c>
    </row>
    <row r="8" spans="1:12">
      <c r="A8" s="1195" t="s">
        <v>153</v>
      </c>
      <c r="B8" s="1196"/>
      <c r="C8" s="652"/>
      <c r="D8" s="653"/>
      <c r="E8" s="653"/>
      <c r="F8" s="653"/>
      <c r="G8" s="653"/>
      <c r="H8" s="654"/>
      <c r="I8" s="648" t="s">
        <v>154</v>
      </c>
      <c r="J8" s="649"/>
      <c r="K8" s="332"/>
    </row>
    <row r="9" spans="1:12">
      <c r="A9" s="1"/>
      <c r="B9" s="1"/>
      <c r="C9" s="1"/>
      <c r="D9" s="1"/>
      <c r="E9" s="1"/>
      <c r="F9" s="1"/>
      <c r="G9" s="1"/>
      <c r="H9" s="1"/>
      <c r="I9" s="8"/>
      <c r="J9" s="8"/>
      <c r="K9" s="1"/>
    </row>
    <row r="10" spans="1:12">
      <c r="A10" s="1"/>
      <c r="B10" s="327"/>
      <c r="C10" s="327"/>
      <c r="D10" s="327"/>
      <c r="E10" s="327"/>
      <c r="F10" s="327"/>
      <c r="G10" s="327"/>
      <c r="H10" s="327"/>
      <c r="I10" s="331"/>
      <c r="J10" s="331"/>
      <c r="K10" s="327"/>
      <c r="L10" s="128"/>
    </row>
    <row r="11" spans="1:12">
      <c r="A11" s="1"/>
      <c r="B11" s="327"/>
      <c r="C11" s="327"/>
      <c r="D11" s="327"/>
      <c r="E11" s="327"/>
      <c r="F11" s="327"/>
      <c r="G11" s="327"/>
      <c r="H11" s="327"/>
      <c r="I11" s="331"/>
      <c r="J11" s="331"/>
      <c r="K11" s="327"/>
      <c r="L11" s="128"/>
    </row>
    <row r="12" spans="1:12">
      <c r="A12" s="1"/>
      <c r="B12" s="1"/>
      <c r="C12" s="1"/>
      <c r="D12" s="1"/>
      <c r="E12" s="1"/>
      <c r="F12" s="1"/>
      <c r="G12" s="1"/>
      <c r="H12" s="1"/>
      <c r="I12" s="8"/>
      <c r="J12" s="8"/>
      <c r="K12" s="1"/>
    </row>
    <row r="13" spans="1:12">
      <c r="A13" s="393" t="s">
        <v>144</v>
      </c>
      <c r="B13" s="383"/>
      <c r="C13" s="383"/>
      <c r="D13" s="394"/>
      <c r="E13" s="394"/>
      <c r="F13" s="395"/>
      <c r="G13" s="395"/>
      <c r="H13" s="394"/>
      <c r="I13" s="394"/>
      <c r="J13" s="394"/>
      <c r="K13" s="396"/>
    </row>
    <row r="14" spans="1:12" ht="15.6">
      <c r="A14" s="397" t="s">
        <v>145</v>
      </c>
      <c r="B14" s="398"/>
      <c r="C14" s="398"/>
      <c r="D14" s="399"/>
      <c r="E14" s="400"/>
      <c r="F14" s="400"/>
      <c r="G14" s="400"/>
      <c r="H14" s="399"/>
      <c r="I14" s="399"/>
      <c r="J14" s="399"/>
      <c r="K14" s="401"/>
    </row>
    <row r="15" spans="1:12" ht="15.6">
      <c r="A15" s="650" t="s">
        <v>155</v>
      </c>
      <c r="B15" s="651"/>
      <c r="C15" s="651"/>
      <c r="D15" s="384"/>
      <c r="E15" s="385"/>
      <c r="F15" s="385"/>
      <c r="G15" s="385"/>
      <c r="H15" s="384"/>
      <c r="I15" s="646" t="s">
        <v>147</v>
      </c>
      <c r="J15" s="646"/>
      <c r="K15" s="647"/>
    </row>
    <row r="16" spans="1:12">
      <c r="A16" s="378" t="s">
        <v>148</v>
      </c>
      <c r="B16" s="379"/>
      <c r="C16" s="379"/>
      <c r="D16" s="380"/>
      <c r="E16" s="379"/>
      <c r="F16" s="379"/>
      <c r="G16" s="379"/>
      <c r="H16" s="380"/>
      <c r="I16" s="381"/>
      <c r="J16" s="381"/>
      <c r="K16" s="382" t="s">
        <v>156</v>
      </c>
    </row>
    <row r="17" spans="1:11">
      <c r="A17" s="1195" t="s">
        <v>150</v>
      </c>
      <c r="B17" s="1196"/>
      <c r="C17" s="1197"/>
      <c r="D17" s="1198"/>
      <c r="E17" s="1198"/>
      <c r="F17" s="1198"/>
      <c r="G17" s="372"/>
      <c r="H17" s="373"/>
      <c r="I17" s="648" t="s">
        <v>151</v>
      </c>
      <c r="J17" s="649"/>
      <c r="K17" s="13" t="s">
        <v>152</v>
      </c>
    </row>
    <row r="18" spans="1:11">
      <c r="A18" s="1195" t="s">
        <v>153</v>
      </c>
      <c r="B18" s="1196"/>
      <c r="C18" s="655"/>
      <c r="D18" s="656"/>
      <c r="E18" s="656"/>
      <c r="F18" s="656"/>
      <c r="G18" s="656"/>
      <c r="H18" s="657"/>
      <c r="I18" s="648" t="s">
        <v>154</v>
      </c>
      <c r="J18" s="649"/>
      <c r="K18" s="332"/>
    </row>
    <row r="19" spans="1:11">
      <c r="A19" s="5"/>
      <c r="B19" s="1"/>
      <c r="C19" s="1"/>
      <c r="D19" s="1"/>
      <c r="E19" s="1"/>
      <c r="F19" s="1"/>
      <c r="G19" s="5"/>
      <c r="H19" s="1"/>
      <c r="I19" s="1"/>
      <c r="J19" s="543"/>
      <c r="K19" s="543"/>
    </row>
    <row r="20" spans="1:11">
      <c r="A20" s="5"/>
      <c r="B20" s="1"/>
      <c r="C20" s="1"/>
      <c r="D20" s="1"/>
      <c r="E20" s="1"/>
      <c r="F20" s="1"/>
      <c r="G20" s="5"/>
      <c r="H20" s="1"/>
      <c r="I20" s="1"/>
      <c r="J20" s="543"/>
      <c r="K20" s="543"/>
    </row>
    <row r="21" spans="1:11">
      <c r="A21" s="5"/>
      <c r="B21" s="1"/>
      <c r="C21" s="1"/>
      <c r="D21" s="1"/>
      <c r="E21" s="1"/>
      <c r="F21" s="1"/>
      <c r="G21" s="5"/>
      <c r="H21" s="1"/>
      <c r="I21" s="1"/>
      <c r="J21" s="543"/>
      <c r="K21" s="543"/>
    </row>
    <row r="22" spans="1:11">
      <c r="A22" s="5"/>
    </row>
    <row r="23" spans="1:11" ht="15" customHeight="1">
      <c r="A23" s="2"/>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sheetData>
  <mergeCells count="18">
    <mergeCell ref="F1:G1"/>
    <mergeCell ref="A4:C4"/>
    <mergeCell ref="I4:K4"/>
    <mergeCell ref="A6:K6"/>
    <mergeCell ref="A7:B7"/>
    <mergeCell ref="C7:F7"/>
    <mergeCell ref="I7:J7"/>
    <mergeCell ref="A18:B18"/>
    <mergeCell ref="I18:J18"/>
    <mergeCell ref="A8:B8"/>
    <mergeCell ref="I8:J8"/>
    <mergeCell ref="A15:C15"/>
    <mergeCell ref="I15:K15"/>
    <mergeCell ref="A17:B17"/>
    <mergeCell ref="C17:F17"/>
    <mergeCell ref="I17:J17"/>
    <mergeCell ref="C8:H8"/>
    <mergeCell ref="C18:H1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F4E1-EB67-4731-B8B4-81F936393F9D}">
  <sheetPr codeName="Sheet6"/>
  <dimension ref="A1:L9"/>
  <sheetViews>
    <sheetView zoomScaleNormal="100" workbookViewId="0">
      <selection activeCell="B10" sqref="B10"/>
    </sheetView>
  </sheetViews>
  <sheetFormatPr defaultColWidth="8.85546875" defaultRowHeight="14.45"/>
  <cols>
    <col min="2" max="2" width="10.42578125" customWidth="1"/>
    <col min="4" max="4" width="8.85546875" customWidth="1"/>
    <col min="5" max="5" width="7.42578125" customWidth="1"/>
    <col min="6" max="6" width="10.140625" customWidth="1"/>
    <col min="8" max="8" width="9.42578125" customWidth="1"/>
    <col min="11" max="11" width="10.42578125" customWidth="1"/>
  </cols>
  <sheetData>
    <row r="1" spans="1:12">
      <c r="A1" s="10"/>
      <c r="B1" t="s">
        <v>140</v>
      </c>
      <c r="C1" s="11"/>
      <c r="D1" t="s">
        <v>141</v>
      </c>
      <c r="F1" s="537"/>
      <c r="G1" t="s">
        <v>142</v>
      </c>
      <c r="I1" s="12"/>
      <c r="J1" t="s">
        <v>143</v>
      </c>
    </row>
    <row r="4" spans="1:12">
      <c r="A4" s="327" t="s">
        <v>158</v>
      </c>
      <c r="B4" s="1"/>
      <c r="C4" s="1"/>
      <c r="D4" s="1"/>
      <c r="E4" s="1"/>
      <c r="F4" s="5"/>
      <c r="G4" s="1"/>
      <c r="H4" s="1"/>
      <c r="I4" s="543"/>
      <c r="J4" s="543"/>
    </row>
    <row r="5" spans="1:12">
      <c r="A5" s="327"/>
      <c r="B5" s="1"/>
      <c r="C5" s="1"/>
      <c r="D5" s="1"/>
      <c r="E5" s="1"/>
      <c r="F5" s="5"/>
      <c r="G5" s="1"/>
      <c r="H5" s="1"/>
      <c r="I5" s="543"/>
      <c r="J5" s="543"/>
    </row>
    <row r="6" spans="1:12">
      <c r="A6" s="662" t="s">
        <v>159</v>
      </c>
      <c r="B6" s="663"/>
      <c r="C6" s="403"/>
      <c r="D6" s="394"/>
      <c r="E6" s="664" t="s">
        <v>160</v>
      </c>
      <c r="F6" s="664"/>
      <c r="G6" s="403"/>
      <c r="H6" s="394"/>
      <c r="I6" s="665" t="s">
        <v>161</v>
      </c>
      <c r="J6" s="665"/>
      <c r="K6" s="404"/>
    </row>
    <row r="7" spans="1:12">
      <c r="A7" s="405"/>
      <c r="B7" s="406"/>
      <c r="C7" s="407"/>
      <c r="D7" s="407"/>
      <c r="E7" s="666" t="s">
        <v>162</v>
      </c>
      <c r="F7" s="666"/>
      <c r="G7" s="11"/>
      <c r="H7" s="407"/>
      <c r="I7" s="666" t="s">
        <v>163</v>
      </c>
      <c r="J7" s="666"/>
      <c r="K7" s="408"/>
    </row>
    <row r="8" spans="1:12">
      <c r="A8" s="405"/>
      <c r="B8" s="406"/>
      <c r="C8" s="406"/>
      <c r="D8" s="406"/>
      <c r="E8" s="661" t="s">
        <v>164</v>
      </c>
      <c r="F8" s="661"/>
      <c r="G8" s="11"/>
      <c r="H8" s="406"/>
      <c r="I8" s="661" t="s">
        <v>165</v>
      </c>
      <c r="J8" s="661"/>
      <c r="K8" s="408"/>
    </row>
    <row r="9" spans="1:12">
      <c r="A9" s="658" t="s">
        <v>166</v>
      </c>
      <c r="B9" s="659"/>
      <c r="C9" s="659"/>
      <c r="D9" s="659"/>
      <c r="E9" s="659"/>
      <c r="F9" s="659"/>
      <c r="G9" s="659"/>
      <c r="H9" s="659"/>
      <c r="I9" s="659"/>
      <c r="J9" s="659"/>
      <c r="K9" s="660"/>
      <c r="L9" s="1"/>
    </row>
  </sheetData>
  <mergeCells count="8">
    <mergeCell ref="A9:K9"/>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6F4-0959-402F-9258-39B711EC8C52}">
  <sheetPr codeName="Sheet7"/>
  <dimension ref="A1:N9"/>
  <sheetViews>
    <sheetView zoomScaleNormal="100" workbookViewId="0">
      <selection activeCell="A9" sqref="A9"/>
    </sheetView>
  </sheetViews>
  <sheetFormatPr defaultColWidth="8.85546875" defaultRowHeight="14.45"/>
  <cols>
    <col min="2" max="2" width="10.42578125" customWidth="1"/>
    <col min="5" max="5" width="7.42578125" customWidth="1"/>
    <col min="6" max="6" width="10.140625" customWidth="1"/>
    <col min="8" max="8" width="9.42578125" customWidth="1"/>
    <col min="11" max="11" width="10.42578125" customWidth="1"/>
  </cols>
  <sheetData>
    <row r="1" spans="1:14">
      <c r="A1" s="10"/>
      <c r="B1" t="s">
        <v>140</v>
      </c>
      <c r="C1" s="11"/>
      <c r="D1" t="s">
        <v>141</v>
      </c>
      <c r="F1" s="537"/>
      <c r="G1" t="s">
        <v>142</v>
      </c>
      <c r="I1" s="12"/>
      <c r="J1" t="s">
        <v>143</v>
      </c>
    </row>
    <row r="4" spans="1:14">
      <c r="A4" s="327" t="s">
        <v>158</v>
      </c>
      <c r="B4" s="1"/>
      <c r="C4" s="1"/>
      <c r="D4" s="1"/>
      <c r="E4" s="1"/>
      <c r="F4" s="5"/>
      <c r="G4" s="1"/>
      <c r="H4" s="1"/>
      <c r="I4" s="543"/>
      <c r="J4" s="543"/>
    </row>
    <row r="5" spans="1:14">
      <c r="A5" s="327"/>
      <c r="B5" s="1"/>
      <c r="C5" s="1"/>
      <c r="D5" s="1"/>
      <c r="E5" s="1"/>
      <c r="F5" s="5"/>
      <c r="G5" s="1"/>
      <c r="H5" s="1"/>
      <c r="I5" s="543"/>
      <c r="J5" s="543"/>
    </row>
    <row r="6" spans="1:14">
      <c r="A6" s="662" t="s">
        <v>159</v>
      </c>
      <c r="B6" s="663"/>
      <c r="C6" s="403"/>
      <c r="D6" s="391"/>
      <c r="E6" s="668" t="s">
        <v>160</v>
      </c>
      <c r="F6" s="668"/>
      <c r="G6" s="403"/>
      <c r="H6" s="391"/>
      <c r="I6" s="663" t="s">
        <v>161</v>
      </c>
      <c r="J6" s="663"/>
      <c r="K6" s="403"/>
      <c r="L6" s="392"/>
    </row>
    <row r="7" spans="1:14">
      <c r="A7" s="410"/>
      <c r="B7" s="1"/>
      <c r="E7" s="669" t="s">
        <v>162</v>
      </c>
      <c r="F7" s="669"/>
      <c r="G7" s="11"/>
      <c r="I7" s="669" t="s">
        <v>163</v>
      </c>
      <c r="J7" s="669"/>
      <c r="K7" s="11"/>
      <c r="L7" s="411"/>
    </row>
    <row r="8" spans="1:14">
      <c r="A8" s="410"/>
      <c r="B8" s="1"/>
      <c r="C8" s="1"/>
      <c r="D8" s="1"/>
      <c r="E8" s="667" t="s">
        <v>164</v>
      </c>
      <c r="F8" s="667"/>
      <c r="G8" s="11"/>
      <c r="H8" s="1"/>
      <c r="I8" s="667" t="s">
        <v>165</v>
      </c>
      <c r="J8" s="667"/>
      <c r="K8" s="11"/>
      <c r="L8" s="411"/>
    </row>
    <row r="9" spans="1:14">
      <c r="A9" s="493" t="s">
        <v>167</v>
      </c>
      <c r="B9" s="494"/>
      <c r="C9" s="494"/>
      <c r="D9" s="494"/>
      <c r="E9" s="494"/>
      <c r="F9" s="494"/>
      <c r="G9" s="494"/>
      <c r="H9" s="494"/>
      <c r="I9" s="494"/>
      <c r="J9" s="494"/>
      <c r="K9" s="495"/>
      <c r="L9" s="496"/>
      <c r="M9" s="328"/>
      <c r="N9" s="409"/>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1:Z16"/>
  <sheetViews>
    <sheetView zoomScale="84" zoomScaleNormal="60" workbookViewId="0">
      <selection activeCell="L16" sqref="L16"/>
    </sheetView>
  </sheetViews>
  <sheetFormatPr defaultColWidth="9.42578125" defaultRowHeight="14.45"/>
  <cols>
    <col min="1" max="1" width="4.42578125" customWidth="1"/>
    <col min="2" max="2" width="20.42578125" customWidth="1"/>
    <col min="3" max="3" width="4.42578125" customWidth="1"/>
    <col min="4" max="4" width="5.42578125" customWidth="1"/>
    <col min="5" max="5" width="22.42578125" customWidth="1"/>
    <col min="6" max="6" width="5" customWidth="1"/>
    <col min="7" max="7" width="23.42578125" customWidth="1"/>
    <col min="8" max="9" width="4.42578125" customWidth="1"/>
    <col min="10" max="10" width="25.42578125" customWidth="1"/>
    <col min="11" max="11" width="3.42578125" customWidth="1"/>
    <col min="12" max="12" width="25.42578125" customWidth="1"/>
    <col min="13" max="13" width="3.42578125" customWidth="1"/>
    <col min="14" max="14" width="29.42578125" customWidth="1"/>
  </cols>
  <sheetData>
    <row r="1" spans="1:26">
      <c r="A1" s="10"/>
      <c r="B1" t="s">
        <v>140</v>
      </c>
      <c r="E1" s="11"/>
      <c r="F1" t="s">
        <v>141</v>
      </c>
      <c r="J1" s="620"/>
      <c r="K1" s="620"/>
      <c r="L1" s="537"/>
      <c r="M1" t="s">
        <v>142</v>
      </c>
      <c r="O1" s="12"/>
      <c r="P1" t="s">
        <v>143</v>
      </c>
    </row>
    <row r="2" spans="1:26" s="22" customFormat="1" ht="12.95"/>
    <row r="3" spans="1:26">
      <c r="A3" s="1"/>
      <c r="B3" s="1"/>
      <c r="C3" s="1"/>
      <c r="D3" s="1"/>
      <c r="E3" s="1"/>
      <c r="F3" s="1"/>
      <c r="G3" s="1"/>
      <c r="H3" s="1"/>
      <c r="I3" s="1"/>
      <c r="J3" s="1"/>
      <c r="K3" s="1"/>
      <c r="L3" s="1"/>
      <c r="M3" s="1"/>
      <c r="N3" s="1"/>
    </row>
    <row r="5" spans="1:26" ht="15" customHeight="1">
      <c r="A5" s="684" t="s">
        <v>168</v>
      </c>
      <c r="B5" s="685"/>
      <c r="C5" s="685"/>
      <c r="D5" s="685"/>
      <c r="E5" s="685"/>
      <c r="F5" s="685"/>
      <c r="G5" s="685"/>
      <c r="H5" s="685"/>
      <c r="I5" s="685"/>
      <c r="J5" s="685"/>
      <c r="K5" s="685"/>
      <c r="L5" s="685"/>
      <c r="M5" s="685"/>
      <c r="N5" s="686"/>
      <c r="O5" s="56"/>
      <c r="P5" s="57"/>
      <c r="Q5" s="57"/>
      <c r="R5" s="57"/>
    </row>
    <row r="6" spans="1:26" ht="15" customHeight="1">
      <c r="A6" s="21" t="s">
        <v>169</v>
      </c>
      <c r="B6" s="687" t="s">
        <v>170</v>
      </c>
      <c r="C6" s="687"/>
      <c r="D6" s="687"/>
      <c r="E6" s="700"/>
      <c r="F6" s="700"/>
      <c r="G6" s="700"/>
      <c r="H6" s="33" t="s">
        <v>171</v>
      </c>
      <c r="I6" s="694" t="s">
        <v>172</v>
      </c>
      <c r="J6" s="695"/>
      <c r="K6" s="695"/>
      <c r="L6" s="696"/>
      <c r="M6" s="536"/>
      <c r="N6" s="14"/>
      <c r="O6" s="137"/>
      <c r="P6" s="138"/>
      <c r="Q6" s="138"/>
      <c r="R6" s="138"/>
      <c r="S6" s="138"/>
      <c r="T6" s="138"/>
      <c r="U6" s="138"/>
    </row>
    <row r="7" spans="1:26" ht="15" customHeight="1">
      <c r="A7" s="21" t="s">
        <v>173</v>
      </c>
      <c r="B7" s="699" t="s">
        <v>174</v>
      </c>
      <c r="C7" s="699"/>
      <c r="D7" s="699"/>
      <c r="E7" s="700"/>
      <c r="F7" s="700"/>
      <c r="G7" s="700"/>
      <c r="H7" s="33" t="s">
        <v>175</v>
      </c>
      <c r="I7" s="694" t="s">
        <v>176</v>
      </c>
      <c r="J7" s="695"/>
      <c r="K7" s="695"/>
      <c r="L7" s="696"/>
      <c r="M7" s="697"/>
      <c r="N7" s="698"/>
      <c r="O7" s="137"/>
      <c r="P7" s="138"/>
      <c r="Q7" s="138"/>
      <c r="R7" s="138"/>
      <c r="S7" s="138"/>
      <c r="T7" s="138"/>
      <c r="U7" s="138"/>
    </row>
    <row r="8" spans="1:26" ht="15" customHeight="1">
      <c r="A8" s="54" t="s">
        <v>177</v>
      </c>
      <c r="B8" s="688" t="s">
        <v>178</v>
      </c>
      <c r="C8" s="689"/>
      <c r="D8" s="690"/>
      <c r="E8" s="691" t="s">
        <v>179</v>
      </c>
      <c r="F8" s="692"/>
      <c r="G8" s="693"/>
      <c r="H8" s="33" t="s">
        <v>180</v>
      </c>
      <c r="I8" s="694" t="s">
        <v>181</v>
      </c>
      <c r="J8" s="695"/>
      <c r="K8" s="695"/>
      <c r="L8" s="696"/>
      <c r="M8" s="697"/>
      <c r="N8" s="698"/>
      <c r="O8" s="136"/>
      <c r="P8" s="136"/>
      <c r="Q8" s="136"/>
      <c r="R8" s="136"/>
      <c r="S8" s="136"/>
      <c r="T8" s="136"/>
      <c r="U8" s="136"/>
    </row>
    <row r="9" spans="1:26" ht="38.25" customHeight="1">
      <c r="A9" s="679" t="s">
        <v>182</v>
      </c>
      <c r="B9" s="677" t="s">
        <v>183</v>
      </c>
      <c r="C9" s="678"/>
      <c r="D9" s="678"/>
      <c r="E9" s="678"/>
      <c r="F9" s="678"/>
      <c r="G9" s="678"/>
      <c r="H9" s="21" t="s">
        <v>184</v>
      </c>
      <c r="I9" s="183" t="s">
        <v>185</v>
      </c>
      <c r="J9" s="674" t="s">
        <v>186</v>
      </c>
      <c r="K9" s="675"/>
      <c r="L9" s="675"/>
      <c r="M9" s="675"/>
      <c r="N9" s="676"/>
      <c r="O9" s="136"/>
      <c r="P9" s="136"/>
      <c r="Q9" s="136"/>
      <c r="R9" s="136"/>
      <c r="S9" s="136"/>
      <c r="T9" s="136"/>
      <c r="U9" s="136"/>
    </row>
    <row r="10" spans="1:26">
      <c r="A10" s="680"/>
      <c r="B10" s="681"/>
      <c r="C10" s="682"/>
      <c r="D10" s="682"/>
      <c r="E10" s="682"/>
      <c r="F10" s="682"/>
      <c r="G10" s="682"/>
      <c r="H10" s="682"/>
      <c r="I10" s="682"/>
      <c r="J10" s="682"/>
      <c r="K10" s="682"/>
      <c r="L10" s="682"/>
      <c r="M10" s="682"/>
      <c r="N10" s="683"/>
    </row>
    <row r="11" spans="1:26" ht="37.5" customHeight="1">
      <c r="A11" s="670" t="s">
        <v>187</v>
      </c>
      <c r="B11" s="671"/>
      <c r="C11" s="671"/>
      <c r="D11" s="671"/>
      <c r="E11" s="671"/>
      <c r="F11" s="671"/>
      <c r="G11" s="671"/>
      <c r="H11" s="671"/>
      <c r="I11" s="671"/>
      <c r="J11" s="671"/>
      <c r="K11" s="671"/>
      <c r="L11" s="671"/>
      <c r="M11" s="671"/>
      <c r="N11" s="672"/>
      <c r="O11" s="136"/>
      <c r="P11" s="136"/>
      <c r="Q11" s="136"/>
      <c r="R11" s="136"/>
      <c r="S11" s="136"/>
      <c r="T11" s="136"/>
      <c r="U11" s="136"/>
    </row>
    <row r="12" spans="1:26">
      <c r="B12" s="673"/>
      <c r="C12" s="673"/>
      <c r="D12" s="673"/>
      <c r="E12" s="673"/>
      <c r="F12" s="673"/>
      <c r="G12" s="673"/>
      <c r="H12" s="673"/>
      <c r="I12" s="673"/>
      <c r="J12" s="673"/>
      <c r="K12" s="673"/>
      <c r="L12" s="673"/>
      <c r="M12" s="673"/>
      <c r="N12" s="673"/>
      <c r="O12" s="136"/>
      <c r="P12" s="136"/>
      <c r="Q12" s="136"/>
      <c r="R12" s="136"/>
      <c r="S12" s="136"/>
      <c r="T12" s="136"/>
      <c r="U12" s="136"/>
    </row>
    <row r="13" spans="1:26">
      <c r="B13" s="673"/>
      <c r="C13" s="673"/>
      <c r="D13" s="673"/>
      <c r="E13" s="673"/>
      <c r="F13" s="673"/>
      <c r="G13" s="673"/>
      <c r="H13" s="673"/>
      <c r="I13" s="673"/>
      <c r="J13" s="673"/>
      <c r="K13" s="673"/>
      <c r="L13" s="673"/>
      <c r="M13" s="673"/>
      <c r="N13" s="673"/>
      <c r="O13" s="136"/>
      <c r="P13" s="136"/>
      <c r="Q13" s="136"/>
      <c r="R13" s="136"/>
      <c r="S13" s="136"/>
      <c r="T13" s="136"/>
      <c r="U13" s="136"/>
    </row>
    <row r="14" spans="1:26" ht="15" customHeight="1">
      <c r="O14" s="52"/>
      <c r="P14" s="52"/>
      <c r="Q14" s="52"/>
      <c r="R14" s="52"/>
    </row>
    <row r="15" spans="1:26">
      <c r="O15" s="52"/>
      <c r="P15" s="52"/>
      <c r="Q15" s="52"/>
      <c r="R15" s="52"/>
      <c r="U15" s="55"/>
      <c r="V15" s="55"/>
      <c r="W15" s="55"/>
      <c r="X15" s="55"/>
      <c r="Y15" s="55"/>
      <c r="Z15" s="55"/>
    </row>
    <row r="16" spans="1:26">
      <c r="B16" s="52"/>
      <c r="C16" s="52"/>
      <c r="D16" s="52"/>
      <c r="E16" s="52"/>
      <c r="F16" s="52"/>
      <c r="G16" s="52"/>
      <c r="H16" s="52"/>
      <c r="I16" s="52"/>
      <c r="J16" s="52"/>
      <c r="K16" s="52"/>
      <c r="L16" s="52"/>
      <c r="M16" s="52"/>
      <c r="N16" s="52"/>
      <c r="O16" s="52"/>
      <c r="P16" s="52"/>
      <c r="Q16" s="52"/>
      <c r="R16" s="52"/>
    </row>
  </sheetData>
  <mergeCells count="18">
    <mergeCell ref="A5:N5"/>
    <mergeCell ref="B6:D6"/>
    <mergeCell ref="B8:D8"/>
    <mergeCell ref="E8:G8"/>
    <mergeCell ref="I7:L7"/>
    <mergeCell ref="M7:N7"/>
    <mergeCell ref="I6:L6"/>
    <mergeCell ref="B7:D7"/>
    <mergeCell ref="E6:G6"/>
    <mergeCell ref="E7:G7"/>
    <mergeCell ref="I8:L8"/>
    <mergeCell ref="M8:N8"/>
    <mergeCell ref="A11:N11"/>
    <mergeCell ref="B12:N13"/>
    <mergeCell ref="J9:N9"/>
    <mergeCell ref="B9:G9"/>
    <mergeCell ref="A9:A10"/>
    <mergeCell ref="B10:N10"/>
  </mergeCells>
  <pageMargins left="0.5" right="0.5" top="0.75" bottom="0.75" header="0.3" footer="0.3"/>
  <pageSetup paperSize="3" scale="82" fitToHeight="0" orientation="landscape" r:id="rId1"/>
  <colBreaks count="1" manualBreakCount="1">
    <brk id="23" min="3" max="37"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0D27-C2A1-4436-B144-05BEEE1AA1A2}">
  <sheetPr codeName="Sheet9">
    <pageSetUpPr fitToPage="1"/>
  </sheetPr>
  <dimension ref="A1:Z21"/>
  <sheetViews>
    <sheetView zoomScale="70" zoomScaleNormal="70" workbookViewId="0">
      <selection activeCell="G27" sqref="G27"/>
    </sheetView>
  </sheetViews>
  <sheetFormatPr defaultColWidth="9.42578125" defaultRowHeight="14.45"/>
  <cols>
    <col min="1" max="1" width="4.42578125" customWidth="1"/>
    <col min="2" max="2" width="20.42578125" customWidth="1"/>
    <col min="3" max="3" width="4.42578125" customWidth="1"/>
    <col min="4" max="4" width="5.42578125" customWidth="1"/>
    <col min="5" max="5" width="22.42578125" customWidth="1"/>
    <col min="6" max="6" width="5" customWidth="1"/>
    <col min="7" max="7" width="23.42578125" customWidth="1"/>
    <col min="8" max="9" width="4.42578125" customWidth="1"/>
    <col min="10" max="10" width="25.42578125" customWidth="1"/>
    <col min="11" max="11" width="3.42578125" customWidth="1"/>
    <col min="12" max="12" width="25.42578125" customWidth="1"/>
    <col min="13" max="13" width="3.42578125" customWidth="1"/>
    <col min="14" max="14" width="29.42578125" customWidth="1"/>
  </cols>
  <sheetData>
    <row r="1" spans="1:21">
      <c r="A1" s="10"/>
      <c r="B1" t="s">
        <v>140</v>
      </c>
      <c r="E1" s="11"/>
      <c r="F1" t="s">
        <v>141</v>
      </c>
      <c r="J1" s="620"/>
      <c r="K1" s="620"/>
      <c r="L1" s="537"/>
      <c r="M1" t="s">
        <v>142</v>
      </c>
      <c r="O1" s="12"/>
      <c r="P1" t="s">
        <v>143</v>
      </c>
    </row>
    <row r="2" spans="1:21" s="22" customFormat="1" ht="12.95"/>
    <row r="3" spans="1:21">
      <c r="A3" s="1"/>
      <c r="B3" s="1"/>
      <c r="C3" s="1"/>
      <c r="D3" s="1"/>
      <c r="E3" s="1"/>
      <c r="F3" s="1"/>
      <c r="G3" s="1"/>
      <c r="H3" s="1"/>
      <c r="I3" s="1"/>
      <c r="J3" s="1"/>
      <c r="K3" s="1"/>
      <c r="L3" s="1"/>
      <c r="M3" s="1"/>
      <c r="N3" s="1"/>
    </row>
    <row r="5" spans="1:21" ht="15" customHeight="1">
      <c r="A5" s="684" t="s">
        <v>168</v>
      </c>
      <c r="B5" s="685"/>
      <c r="C5" s="685"/>
      <c r="D5" s="685"/>
      <c r="E5" s="685"/>
      <c r="F5" s="685"/>
      <c r="G5" s="685"/>
      <c r="H5" s="685"/>
      <c r="I5" s="685"/>
      <c r="J5" s="685"/>
      <c r="K5" s="685"/>
      <c r="L5" s="685"/>
      <c r="M5" s="685"/>
      <c r="N5" s="686"/>
      <c r="O5" s="56"/>
      <c r="P5" s="57"/>
      <c r="Q5" s="57"/>
      <c r="R5" s="57"/>
    </row>
    <row r="6" spans="1:21" ht="15" customHeight="1">
      <c r="A6" s="21" t="s">
        <v>169</v>
      </c>
      <c r="B6" s="687" t="s">
        <v>170</v>
      </c>
      <c r="C6" s="687"/>
      <c r="D6" s="687"/>
      <c r="E6" s="700"/>
      <c r="F6" s="700"/>
      <c r="G6" s="700"/>
      <c r="H6" s="33" t="s">
        <v>171</v>
      </c>
      <c r="I6" s="694" t="s">
        <v>172</v>
      </c>
      <c r="J6" s="695"/>
      <c r="K6" s="695"/>
      <c r="L6" s="696"/>
      <c r="M6" s="536"/>
      <c r="N6" s="14"/>
      <c r="O6" s="137"/>
      <c r="P6" s="138"/>
      <c r="Q6" s="138"/>
      <c r="R6" s="138"/>
      <c r="S6" s="138"/>
      <c r="T6" s="138"/>
      <c r="U6" s="138"/>
    </row>
    <row r="7" spans="1:21" ht="15" customHeight="1">
      <c r="A7" s="21" t="s">
        <v>173</v>
      </c>
      <c r="B7" s="699" t="s">
        <v>174</v>
      </c>
      <c r="C7" s="699"/>
      <c r="D7" s="699"/>
      <c r="E7" s="700"/>
      <c r="F7" s="700"/>
      <c r="G7" s="700"/>
      <c r="H7" s="33" t="s">
        <v>175</v>
      </c>
      <c r="I7" s="694" t="s">
        <v>176</v>
      </c>
      <c r="J7" s="695"/>
      <c r="K7" s="695"/>
      <c r="L7" s="696"/>
      <c r="M7" s="697"/>
      <c r="N7" s="698"/>
      <c r="O7" s="137"/>
      <c r="P7" s="138"/>
      <c r="Q7" s="138"/>
      <c r="R7" s="138"/>
      <c r="S7" s="138"/>
      <c r="T7" s="138"/>
      <c r="U7" s="138"/>
    </row>
    <row r="8" spans="1:21" ht="15" customHeight="1">
      <c r="A8" s="54" t="s">
        <v>177</v>
      </c>
      <c r="B8" s="688" t="s">
        <v>178</v>
      </c>
      <c r="C8" s="689"/>
      <c r="D8" s="690"/>
      <c r="E8" s="691" t="s">
        <v>179</v>
      </c>
      <c r="F8" s="692"/>
      <c r="G8" s="693"/>
      <c r="H8" s="33" t="s">
        <v>180</v>
      </c>
      <c r="I8" s="694" t="s">
        <v>181</v>
      </c>
      <c r="J8" s="695"/>
      <c r="K8" s="695"/>
      <c r="L8" s="696"/>
      <c r="M8" s="697"/>
      <c r="N8" s="698"/>
      <c r="O8" s="136"/>
      <c r="P8" s="136"/>
      <c r="Q8" s="136"/>
      <c r="R8" s="136"/>
      <c r="S8" s="136"/>
      <c r="T8" s="136"/>
      <c r="U8" s="136"/>
    </row>
    <row r="9" spans="1:21" ht="38.25" customHeight="1">
      <c r="A9" s="21" t="s">
        <v>182</v>
      </c>
      <c r="B9" s="677" t="s">
        <v>183</v>
      </c>
      <c r="C9" s="678"/>
      <c r="D9" s="678"/>
      <c r="E9" s="678"/>
      <c r="F9" s="678"/>
      <c r="G9" s="678"/>
      <c r="H9" s="21" t="s">
        <v>184</v>
      </c>
      <c r="I9" s="183" t="s">
        <v>185</v>
      </c>
      <c r="J9" s="674" t="s">
        <v>186</v>
      </c>
      <c r="K9" s="675"/>
      <c r="L9" s="675"/>
      <c r="M9" s="675"/>
      <c r="N9" s="676"/>
      <c r="O9" s="136"/>
      <c r="P9" s="136"/>
      <c r="Q9" s="136"/>
      <c r="R9" s="136"/>
      <c r="S9" s="136"/>
      <c r="T9" s="136"/>
      <c r="U9" s="136"/>
    </row>
    <row r="10" spans="1:21">
      <c r="A10" s="416" t="s">
        <v>185</v>
      </c>
      <c r="B10" s="701" t="s">
        <v>188</v>
      </c>
      <c r="C10" s="701"/>
      <c r="D10" s="416" t="s">
        <v>185</v>
      </c>
      <c r="E10" s="412" t="s">
        <v>189</v>
      </c>
      <c r="F10" s="416" t="s">
        <v>185</v>
      </c>
      <c r="G10" s="538" t="s">
        <v>190</v>
      </c>
      <c r="H10" s="413"/>
      <c r="I10" s="416" t="s">
        <v>185</v>
      </c>
      <c r="J10" s="412" t="s">
        <v>191</v>
      </c>
      <c r="K10" s="391"/>
      <c r="L10" s="391"/>
      <c r="M10" s="391"/>
      <c r="N10" s="392"/>
    </row>
    <row r="11" spans="1:21">
      <c r="A11" s="416" t="s">
        <v>185</v>
      </c>
      <c r="B11" s="701" t="s">
        <v>192</v>
      </c>
      <c r="C11" s="701"/>
      <c r="D11" s="416" t="s">
        <v>185</v>
      </c>
      <c r="E11" s="412" t="s">
        <v>193</v>
      </c>
      <c r="F11" s="416" t="s">
        <v>185</v>
      </c>
      <c r="G11" s="538" t="s">
        <v>194</v>
      </c>
      <c r="H11" s="413"/>
      <c r="I11" s="416" t="s">
        <v>185</v>
      </c>
      <c r="J11" s="412" t="s">
        <v>195</v>
      </c>
      <c r="N11" s="411"/>
    </row>
    <row r="12" spans="1:21">
      <c r="A12" s="416" t="s">
        <v>185</v>
      </c>
      <c r="B12" s="701" t="s">
        <v>196</v>
      </c>
      <c r="C12" s="701"/>
      <c r="D12" s="416" t="s">
        <v>185</v>
      </c>
      <c r="E12" s="412" t="s">
        <v>197</v>
      </c>
      <c r="F12" s="416" t="s">
        <v>185</v>
      </c>
      <c r="G12" s="538" t="s">
        <v>198</v>
      </c>
      <c r="H12" s="413"/>
      <c r="I12" s="416" t="s">
        <v>185</v>
      </c>
      <c r="J12" s="412" t="s">
        <v>199</v>
      </c>
      <c r="N12" s="411"/>
    </row>
    <row r="13" spans="1:21">
      <c r="A13" s="416" t="s">
        <v>185</v>
      </c>
      <c r="B13" s="701" t="s">
        <v>200</v>
      </c>
      <c r="C13" s="701"/>
      <c r="D13" s="416" t="s">
        <v>185</v>
      </c>
      <c r="E13" s="412" t="s">
        <v>201</v>
      </c>
      <c r="F13" s="416" t="s">
        <v>185</v>
      </c>
      <c r="G13" s="538" t="s">
        <v>202</v>
      </c>
      <c r="H13" s="413"/>
      <c r="I13" s="416" t="s">
        <v>185</v>
      </c>
      <c r="J13" s="412" t="s">
        <v>203</v>
      </c>
      <c r="N13" s="411"/>
    </row>
    <row r="14" spans="1:21">
      <c r="A14" s="416" t="s">
        <v>185</v>
      </c>
      <c r="B14" s="701" t="s">
        <v>204</v>
      </c>
      <c r="C14" s="701"/>
      <c r="D14" s="416" t="s">
        <v>185</v>
      </c>
      <c r="E14" s="412" t="s">
        <v>205</v>
      </c>
      <c r="F14" s="416" t="s">
        <v>185</v>
      </c>
      <c r="G14" s="538" t="s">
        <v>206</v>
      </c>
      <c r="H14" s="413"/>
      <c r="I14" s="416" t="s">
        <v>185</v>
      </c>
      <c r="J14" s="499" t="s">
        <v>207</v>
      </c>
      <c r="N14" s="411"/>
    </row>
    <row r="15" spans="1:21">
      <c r="A15" s="416" t="s">
        <v>185</v>
      </c>
      <c r="B15" s="701" t="s">
        <v>208</v>
      </c>
      <c r="C15" s="701"/>
      <c r="D15" s="416" t="s">
        <v>185</v>
      </c>
      <c r="E15" s="412" t="s">
        <v>209</v>
      </c>
      <c r="F15" s="416" t="s">
        <v>185</v>
      </c>
      <c r="G15" s="538" t="s">
        <v>210</v>
      </c>
      <c r="H15" s="413"/>
      <c r="I15" s="416" t="s">
        <v>185</v>
      </c>
      <c r="J15" s="412" t="s">
        <v>211</v>
      </c>
      <c r="K15" s="414"/>
      <c r="L15" s="414"/>
      <c r="M15" s="414"/>
      <c r="N15" s="415"/>
    </row>
    <row r="16" spans="1:21" ht="37.5" customHeight="1">
      <c r="A16" s="670" t="s">
        <v>187</v>
      </c>
      <c r="B16" s="671"/>
      <c r="C16" s="671"/>
      <c r="D16" s="671"/>
      <c r="E16" s="671"/>
      <c r="F16" s="671"/>
      <c r="G16" s="671"/>
      <c r="H16" s="671"/>
      <c r="I16" s="671"/>
      <c r="J16" s="671"/>
      <c r="K16" s="671"/>
      <c r="L16" s="671"/>
      <c r="M16" s="671"/>
      <c r="N16" s="672"/>
      <c r="O16" s="136"/>
      <c r="P16" s="136"/>
      <c r="Q16" s="136"/>
      <c r="R16" s="136"/>
      <c r="S16" s="136"/>
      <c r="T16" s="136"/>
      <c r="U16" s="136"/>
    </row>
    <row r="17" spans="2:26">
      <c r="B17" s="673"/>
      <c r="C17" s="673"/>
      <c r="D17" s="673"/>
      <c r="E17" s="673"/>
      <c r="F17" s="673"/>
      <c r="G17" s="673"/>
      <c r="H17" s="673"/>
      <c r="I17" s="673"/>
      <c r="J17" s="673"/>
      <c r="K17" s="673"/>
      <c r="L17" s="673"/>
      <c r="M17" s="673"/>
      <c r="N17" s="673"/>
      <c r="O17" s="136"/>
      <c r="P17" s="136"/>
      <c r="Q17" s="136"/>
      <c r="R17" s="136"/>
      <c r="S17" s="136"/>
      <c r="T17" s="136"/>
      <c r="U17" s="136"/>
    </row>
    <row r="18" spans="2:26">
      <c r="B18" s="673"/>
      <c r="C18" s="673"/>
      <c r="D18" s="673"/>
      <c r="E18" s="673"/>
      <c r="F18" s="673"/>
      <c r="G18" s="673"/>
      <c r="H18" s="673"/>
      <c r="I18" s="673"/>
      <c r="J18" s="673"/>
      <c r="K18" s="673"/>
      <c r="L18" s="673"/>
      <c r="M18" s="673"/>
      <c r="N18" s="673"/>
      <c r="O18" s="136"/>
      <c r="P18" s="136"/>
      <c r="Q18" s="136"/>
      <c r="R18" s="136"/>
      <c r="S18" s="136"/>
      <c r="T18" s="136"/>
      <c r="U18" s="136"/>
    </row>
    <row r="19" spans="2:26" ht="15" customHeight="1">
      <c r="O19" s="52"/>
      <c r="P19" s="52"/>
      <c r="Q19" s="52"/>
      <c r="R19" s="52"/>
    </row>
    <row r="20" spans="2:26">
      <c r="O20" s="52"/>
      <c r="P20" s="52"/>
      <c r="Q20" s="52"/>
      <c r="R20" s="52"/>
      <c r="U20" s="55"/>
      <c r="V20" s="55"/>
      <c r="W20" s="55"/>
      <c r="X20" s="55"/>
      <c r="Y20" s="55"/>
      <c r="Z20" s="55"/>
    </row>
    <row r="21" spans="2:26">
      <c r="B21" s="52"/>
      <c r="C21" s="52"/>
      <c r="D21" s="52"/>
      <c r="E21" s="52"/>
      <c r="F21" s="52"/>
      <c r="G21" s="52"/>
      <c r="H21" s="52"/>
      <c r="I21" s="52"/>
      <c r="J21" s="52"/>
      <c r="K21" s="52"/>
      <c r="L21" s="52"/>
      <c r="M21" s="52"/>
      <c r="N21" s="52"/>
      <c r="O21" s="52"/>
      <c r="P21" s="52"/>
      <c r="Q21" s="52"/>
      <c r="R21" s="52"/>
    </row>
  </sheetData>
  <mergeCells count="22">
    <mergeCell ref="A5:N5"/>
    <mergeCell ref="B6:D6"/>
    <mergeCell ref="E6:G6"/>
    <mergeCell ref="I6:L6"/>
    <mergeCell ref="B7:D7"/>
    <mergeCell ref="E7:G7"/>
    <mergeCell ref="I7:L7"/>
    <mergeCell ref="M7:N7"/>
    <mergeCell ref="B8:D8"/>
    <mergeCell ref="E8:G8"/>
    <mergeCell ref="I8:L8"/>
    <mergeCell ref="M8:N8"/>
    <mergeCell ref="B9:G9"/>
    <mergeCell ref="J9:N9"/>
    <mergeCell ref="B14:C14"/>
    <mergeCell ref="B15:C15"/>
    <mergeCell ref="A16:N16"/>
    <mergeCell ref="B17:N18"/>
    <mergeCell ref="B10:C10"/>
    <mergeCell ref="B11:C11"/>
    <mergeCell ref="B12:C12"/>
    <mergeCell ref="B13:C13"/>
  </mergeCells>
  <pageMargins left="0.5" right="0.5" top="0.75" bottom="0.75" header="0.3" footer="0.3"/>
  <pageSetup paperSize="3" scale="82" fitToHeight="0" orientation="landscape" r:id="rId1"/>
  <colBreaks count="1" manualBreakCount="1">
    <brk id="23" min="3" max="37" man="1"/>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7A5B-1892-4837-B5AA-2075A3337777}">
  <sheetPr codeName="Sheet10"/>
  <dimension ref="A1:T35"/>
  <sheetViews>
    <sheetView topLeftCell="A6" zoomScale="50" zoomScaleNormal="50" workbookViewId="0">
      <selection activeCell="G12" sqref="G12"/>
    </sheetView>
  </sheetViews>
  <sheetFormatPr defaultColWidth="9.42578125" defaultRowHeight="14.45"/>
  <cols>
    <col min="1" max="2" width="4.42578125" customWidth="1"/>
    <col min="3" max="3" width="11.42578125" customWidth="1"/>
    <col min="4" max="4" width="63.42578125" customWidth="1"/>
    <col min="5" max="5" width="7.42578125" customWidth="1"/>
    <col min="6" max="6" width="12.42578125" customWidth="1"/>
    <col min="7" max="7" width="18.42578125" customWidth="1"/>
    <col min="8" max="8" width="30.85546875" customWidth="1"/>
    <col min="9" max="9" width="5" customWidth="1"/>
    <col min="10" max="10" width="30.85546875" customWidth="1"/>
    <col min="11" max="11" width="10.42578125" customWidth="1"/>
  </cols>
  <sheetData>
    <row r="1" spans="1:20">
      <c r="A1" s="10"/>
      <c r="B1" s="10"/>
      <c r="C1" t="s">
        <v>140</v>
      </c>
      <c r="E1" s="11"/>
      <c r="F1" s="11"/>
      <c r="H1" t="s">
        <v>141</v>
      </c>
      <c r="K1" s="537"/>
      <c r="M1" s="12"/>
      <c r="N1" t="s">
        <v>143</v>
      </c>
    </row>
    <row r="2" spans="1:20" s="3" customFormat="1" ht="12.95">
      <c r="A2" s="4"/>
      <c r="B2" s="4"/>
      <c r="C2" s="4"/>
      <c r="D2" s="4"/>
      <c r="E2" s="4"/>
      <c r="F2" s="4"/>
      <c r="H2" s="4"/>
      <c r="J2" s="4"/>
      <c r="K2" s="4"/>
      <c r="L2" s="4"/>
      <c r="M2" s="4"/>
      <c r="N2" s="4"/>
    </row>
    <row r="3" spans="1:20">
      <c r="A3" s="1"/>
      <c r="B3" s="1"/>
      <c r="C3" s="1"/>
      <c r="D3" s="1"/>
      <c r="E3" s="1"/>
      <c r="F3" s="1"/>
      <c r="H3" s="1"/>
      <c r="J3" s="1"/>
      <c r="K3" s="1"/>
    </row>
    <row r="4" spans="1:20">
      <c r="C4" s="31"/>
      <c r="E4" s="28"/>
      <c r="F4" s="28"/>
      <c r="G4" s="28"/>
      <c r="H4" s="28"/>
    </row>
    <row r="5" spans="1:20">
      <c r="E5" s="28"/>
      <c r="F5" s="28"/>
      <c r="G5" s="28"/>
      <c r="H5" s="28"/>
    </row>
    <row r="6" spans="1:20" ht="15" customHeight="1">
      <c r="A6" s="731" t="s">
        <v>212</v>
      </c>
      <c r="B6" s="732"/>
      <c r="C6" s="732"/>
      <c r="D6" s="732"/>
      <c r="E6" s="732"/>
      <c r="F6" s="732"/>
      <c r="G6" s="732"/>
      <c r="H6" s="733"/>
      <c r="I6" s="17"/>
      <c r="J6" s="17"/>
      <c r="K6" s="17"/>
    </row>
    <row r="7" spans="1:20" ht="37.35" customHeight="1">
      <c r="A7" s="643" t="s">
        <v>213</v>
      </c>
      <c r="B7" s="644"/>
      <c r="C7" s="644"/>
      <c r="D7" s="644"/>
      <c r="E7" s="644"/>
      <c r="F7" s="644"/>
      <c r="G7" s="644"/>
      <c r="H7" s="645"/>
      <c r="I7" s="16"/>
      <c r="J7" s="16"/>
      <c r="K7" s="16"/>
    </row>
    <row r="8" spans="1:20" ht="15" customHeight="1">
      <c r="A8" s="734" t="s">
        <v>214</v>
      </c>
      <c r="B8" s="735"/>
      <c r="C8" s="735"/>
      <c r="D8" s="736"/>
      <c r="E8" s="734" t="s">
        <v>215</v>
      </c>
      <c r="F8" s="735"/>
      <c r="G8" s="735"/>
      <c r="H8" s="736"/>
      <c r="J8" s="29"/>
      <c r="K8" s="29"/>
    </row>
    <row r="9" spans="1:20" ht="16.5" customHeight="1">
      <c r="A9" s="737"/>
      <c r="B9" s="738"/>
      <c r="C9" s="738"/>
      <c r="D9" s="739"/>
      <c r="E9" s="737"/>
      <c r="F9" s="738"/>
      <c r="G9" s="738"/>
      <c r="H9" s="739"/>
      <c r="J9" s="30"/>
      <c r="K9" s="30"/>
    </row>
    <row r="10" spans="1:20" ht="18" customHeight="1">
      <c r="A10" s="740" t="s">
        <v>169</v>
      </c>
      <c r="B10" s="740"/>
      <c r="C10" s="740"/>
      <c r="D10" s="740"/>
      <c r="E10" s="740" t="s">
        <v>173</v>
      </c>
      <c r="F10" s="740"/>
      <c r="G10" s="740"/>
      <c r="H10" s="740"/>
      <c r="J10" s="2"/>
      <c r="K10" s="2"/>
    </row>
    <row r="11" spans="1:20" ht="15" customHeight="1">
      <c r="A11" s="20" t="s">
        <v>185</v>
      </c>
      <c r="B11" s="712" t="s">
        <v>216</v>
      </c>
      <c r="C11" s="712"/>
      <c r="D11" s="712"/>
      <c r="E11" s="727" t="s">
        <v>217</v>
      </c>
      <c r="F11" s="728"/>
      <c r="G11" s="420" t="s">
        <v>218</v>
      </c>
      <c r="H11" s="417" t="s">
        <v>219</v>
      </c>
      <c r="I11" s="424"/>
      <c r="J11" s="424"/>
      <c r="K11" s="424"/>
      <c r="L11" s="424"/>
      <c r="M11" s="424"/>
      <c r="N11" s="424"/>
      <c r="O11" s="424"/>
      <c r="P11" s="424"/>
      <c r="Q11" s="424"/>
      <c r="R11" s="424"/>
      <c r="S11" s="424"/>
    </row>
    <row r="12" spans="1:20" ht="15">
      <c r="A12" s="85"/>
      <c r="B12" s="20" t="s">
        <v>185</v>
      </c>
      <c r="C12" s="687" t="s">
        <v>220</v>
      </c>
      <c r="D12" s="687"/>
      <c r="E12" s="729" t="s">
        <v>221</v>
      </c>
      <c r="F12" s="730"/>
      <c r="G12" s="520" t="s">
        <v>222</v>
      </c>
      <c r="H12" s="541" t="s">
        <v>223</v>
      </c>
      <c r="I12" s="424"/>
      <c r="J12" s="424"/>
      <c r="K12" s="424"/>
      <c r="L12" s="424"/>
      <c r="M12" s="424"/>
      <c r="N12" s="424"/>
      <c r="O12" s="424"/>
      <c r="P12" s="424"/>
      <c r="Q12" s="424"/>
      <c r="R12" s="424"/>
      <c r="S12" s="424"/>
    </row>
    <row r="13" spans="1:20" s="90" customFormat="1" ht="8.25" customHeight="1">
      <c r="A13" s="709"/>
      <c r="B13" s="710"/>
      <c r="C13" s="710"/>
      <c r="D13" s="710"/>
      <c r="E13" s="710"/>
      <c r="F13" s="710"/>
      <c r="G13" s="710"/>
      <c r="H13" s="711"/>
      <c r="I13" s="89"/>
      <c r="J13" s="89"/>
      <c r="K13" s="89"/>
      <c r="L13" s="89"/>
      <c r="M13" s="89"/>
      <c r="N13" s="89"/>
      <c r="O13" s="89"/>
      <c r="P13" s="89"/>
      <c r="Q13" s="89"/>
      <c r="R13" s="89"/>
      <c r="S13" s="89"/>
      <c r="T13" s="89"/>
    </row>
    <row r="14" spans="1:20">
      <c r="A14" s="20" t="s">
        <v>185</v>
      </c>
      <c r="B14" s="712" t="s">
        <v>224</v>
      </c>
      <c r="C14" s="712"/>
      <c r="D14" s="712"/>
      <c r="E14" s="719" t="s">
        <v>217</v>
      </c>
      <c r="F14" s="720"/>
      <c r="G14" s="707" t="s">
        <v>221</v>
      </c>
      <c r="H14" s="725" t="s">
        <v>219</v>
      </c>
      <c r="I14" s="424"/>
      <c r="J14" s="425"/>
      <c r="K14" s="425"/>
      <c r="L14" s="425"/>
      <c r="M14" s="425"/>
      <c r="N14" s="425"/>
      <c r="O14" s="425"/>
      <c r="P14" s="425"/>
      <c r="Q14" s="425"/>
    </row>
    <row r="15" spans="1:20">
      <c r="A15" s="18"/>
      <c r="B15" s="20" t="s">
        <v>185</v>
      </c>
      <c r="C15" s="705" t="s">
        <v>225</v>
      </c>
      <c r="D15" s="706"/>
      <c r="E15" s="721"/>
      <c r="F15" s="722"/>
      <c r="G15" s="708"/>
      <c r="H15" s="726"/>
      <c r="I15" s="424"/>
      <c r="J15" s="425"/>
      <c r="K15" s="425"/>
      <c r="L15" s="425"/>
      <c r="M15" s="425"/>
      <c r="N15" s="425"/>
      <c r="O15" s="425"/>
      <c r="P15" s="425"/>
      <c r="Q15" s="425"/>
    </row>
    <row r="16" spans="1:20" ht="15" customHeight="1">
      <c r="A16" s="18"/>
      <c r="B16" s="20" t="s">
        <v>185</v>
      </c>
      <c r="C16" s="705" t="s">
        <v>226</v>
      </c>
      <c r="D16" s="706"/>
      <c r="E16" s="721"/>
      <c r="F16" s="722"/>
      <c r="G16" s="707" t="s">
        <v>218</v>
      </c>
      <c r="H16" s="707" t="s">
        <v>223</v>
      </c>
      <c r="I16" s="424"/>
      <c r="J16" s="425"/>
      <c r="K16" s="425"/>
      <c r="L16" s="425"/>
      <c r="M16" s="425"/>
      <c r="N16" s="425"/>
      <c r="O16" s="425"/>
      <c r="P16" s="425"/>
      <c r="Q16" s="425"/>
    </row>
    <row r="17" spans="1:20">
      <c r="A17" s="85"/>
      <c r="B17" s="20" t="s">
        <v>185</v>
      </c>
      <c r="C17" s="687" t="s">
        <v>220</v>
      </c>
      <c r="D17" s="687"/>
      <c r="E17" s="723"/>
      <c r="F17" s="724"/>
      <c r="G17" s="708"/>
      <c r="H17" s="708"/>
      <c r="I17" s="425"/>
      <c r="J17" s="425"/>
      <c r="K17" s="425"/>
      <c r="L17" s="425"/>
      <c r="M17" s="425"/>
      <c r="N17" s="425"/>
      <c r="O17" s="425"/>
      <c r="P17" s="425"/>
      <c r="Q17" s="425"/>
    </row>
    <row r="18" spans="1:20" s="90" customFormat="1" ht="6" customHeight="1">
      <c r="A18" s="709"/>
      <c r="B18" s="710"/>
      <c r="C18" s="710"/>
      <c r="D18" s="710"/>
      <c r="E18" s="710"/>
      <c r="F18" s="710"/>
      <c r="G18" s="710"/>
      <c r="H18" s="711"/>
      <c r="I18" s="89"/>
      <c r="J18" s="89"/>
      <c r="K18" s="89"/>
      <c r="L18" s="89"/>
      <c r="M18" s="89"/>
      <c r="N18" s="89"/>
      <c r="O18" s="89"/>
      <c r="P18" s="89"/>
      <c r="Q18" s="89"/>
      <c r="R18" s="89"/>
      <c r="S18" s="89"/>
      <c r="T18" s="89"/>
    </row>
    <row r="19" spans="1:20">
      <c r="A19" s="185" t="s">
        <v>185</v>
      </c>
      <c r="B19" s="712" t="s">
        <v>227</v>
      </c>
      <c r="C19" s="712"/>
      <c r="D19" s="712"/>
      <c r="E19" s="713" t="s">
        <v>228</v>
      </c>
      <c r="F19" s="714"/>
      <c r="G19" s="419" t="s">
        <v>221</v>
      </c>
      <c r="H19" s="283" t="s">
        <v>229</v>
      </c>
      <c r="J19" s="23"/>
      <c r="K19" s="1"/>
    </row>
    <row r="20" spans="1:20" ht="30.75" customHeight="1">
      <c r="A20" s="186"/>
      <c r="B20" s="187" t="s">
        <v>185</v>
      </c>
      <c r="C20" s="715" t="s">
        <v>230</v>
      </c>
      <c r="D20" s="716"/>
      <c r="E20" s="717" t="s">
        <v>231</v>
      </c>
      <c r="F20" s="718"/>
      <c r="G20" s="540" t="s">
        <v>218</v>
      </c>
      <c r="H20" s="418" t="s">
        <v>232</v>
      </c>
      <c r="J20" s="507"/>
      <c r="K20" s="428"/>
      <c r="N20" s="1"/>
    </row>
    <row r="21" spans="1:20" ht="15">
      <c r="A21" s="421" t="s">
        <v>233</v>
      </c>
      <c r="B21" s="422"/>
      <c r="C21" s="422"/>
      <c r="D21" s="422"/>
      <c r="E21" s="422"/>
      <c r="F21" s="422"/>
      <c r="G21" s="422"/>
      <c r="H21" s="423"/>
    </row>
    <row r="22" spans="1:20" ht="33" customHeight="1">
      <c r="A22" s="702" t="s">
        <v>234</v>
      </c>
      <c r="B22" s="703"/>
      <c r="C22" s="703"/>
      <c r="D22" s="703"/>
      <c r="E22" s="703"/>
      <c r="F22" s="703"/>
      <c r="G22" s="703"/>
      <c r="H22" s="704"/>
      <c r="I22" s="426"/>
      <c r="J22" s="426"/>
      <c r="K22" s="426"/>
      <c r="L22" s="426"/>
      <c r="M22" s="426"/>
      <c r="N22" s="426"/>
      <c r="O22" s="426"/>
      <c r="P22" s="426"/>
      <c r="Q22" s="426"/>
    </row>
    <row r="23" spans="1:20" ht="15" customHeight="1">
      <c r="A23" s="23"/>
      <c r="B23" s="367"/>
      <c r="C23" s="367"/>
      <c r="D23" s="367"/>
      <c r="E23" s="368"/>
      <c r="F23" s="368"/>
      <c r="G23" s="368"/>
      <c r="H23" s="368"/>
      <c r="I23" s="427"/>
      <c r="J23" s="427"/>
      <c r="K23" s="427"/>
      <c r="L23" s="427"/>
      <c r="M23" s="427"/>
      <c r="N23" s="427"/>
      <c r="O23" s="427"/>
      <c r="P23" s="427"/>
      <c r="Q23" s="427"/>
      <c r="R23" s="427"/>
      <c r="S23" s="427"/>
    </row>
    <row r="24" spans="1:20">
      <c r="A24" s="24"/>
      <c r="B24" s="24"/>
      <c r="C24" s="24"/>
      <c r="D24" s="1"/>
      <c r="E24" s="1"/>
      <c r="F24" s="1"/>
      <c r="G24" s="1"/>
      <c r="H24" s="1"/>
      <c r="I24" s="88"/>
      <c r="J24" s="88"/>
      <c r="K24" s="88"/>
      <c r="L24" s="88"/>
      <c r="M24" s="88"/>
      <c r="N24" s="88"/>
      <c r="O24" s="88"/>
      <c r="P24" s="88"/>
      <c r="Q24" s="88"/>
      <c r="R24" s="88"/>
      <c r="S24" s="88"/>
    </row>
    <row r="25" spans="1:20">
      <c r="A25" s="24"/>
      <c r="B25" s="24"/>
      <c r="C25" s="24"/>
      <c r="D25" s="1"/>
      <c r="E25" s="1"/>
      <c r="F25" s="1"/>
      <c r="G25" s="1"/>
      <c r="H25" s="1"/>
      <c r="I25" s="88"/>
      <c r="J25" s="88"/>
      <c r="K25" s="88"/>
      <c r="L25" s="88"/>
      <c r="M25" s="88"/>
      <c r="N25" s="88"/>
      <c r="O25" s="88"/>
      <c r="P25" s="88"/>
      <c r="Q25" s="88"/>
      <c r="R25" s="88"/>
      <c r="S25" s="88"/>
    </row>
    <row r="26" spans="1:20">
      <c r="A26" s="24"/>
      <c r="B26" s="24"/>
      <c r="C26" s="24"/>
      <c r="D26" s="1"/>
      <c r="E26" s="1"/>
      <c r="F26" s="1"/>
      <c r="G26" s="1"/>
      <c r="H26" s="1"/>
      <c r="I26" s="88"/>
      <c r="J26" s="88"/>
      <c r="K26" s="88"/>
      <c r="L26" s="88"/>
      <c r="M26" s="88"/>
      <c r="N26" s="88"/>
      <c r="O26" s="88"/>
      <c r="P26" s="88"/>
      <c r="Q26" s="88"/>
      <c r="R26" s="88"/>
      <c r="S26" s="88"/>
    </row>
    <row r="27" spans="1:20">
      <c r="A27" s="24"/>
      <c r="B27" s="24"/>
      <c r="C27" s="24"/>
      <c r="D27" s="1"/>
      <c r="E27" s="1"/>
      <c r="F27" s="1"/>
      <c r="G27" s="1"/>
      <c r="H27" s="1"/>
      <c r="I27" s="88"/>
      <c r="J27" s="88"/>
      <c r="K27" s="88"/>
      <c r="L27" s="88"/>
      <c r="M27" s="88"/>
      <c r="N27" s="88"/>
      <c r="O27" s="88"/>
      <c r="P27" s="88"/>
      <c r="Q27" s="88"/>
      <c r="R27" s="88"/>
      <c r="S27" s="88"/>
    </row>
    <row r="28" spans="1:20">
      <c r="A28" s="24"/>
      <c r="B28" s="24"/>
      <c r="C28" s="24"/>
      <c r="D28" s="1"/>
      <c r="E28" s="1"/>
      <c r="F28" s="1"/>
      <c r="G28" s="1"/>
      <c r="H28" s="1"/>
      <c r="I28" s="88"/>
      <c r="J28" s="88"/>
      <c r="K28" s="88"/>
      <c r="L28" s="88"/>
      <c r="M28" s="88"/>
      <c r="N28" s="88"/>
      <c r="O28" s="88"/>
      <c r="P28" s="88"/>
      <c r="Q28" s="88"/>
      <c r="R28" s="88"/>
      <c r="S28" s="88"/>
    </row>
    <row r="29" spans="1:20">
      <c r="A29" s="24"/>
      <c r="B29" s="24"/>
      <c r="C29" s="24"/>
      <c r="D29" s="1"/>
      <c r="E29" s="1"/>
      <c r="F29" s="1"/>
      <c r="G29" s="1"/>
      <c r="H29" s="1"/>
      <c r="I29" s="88"/>
      <c r="J29" s="88"/>
      <c r="K29" s="88"/>
      <c r="L29" s="88"/>
      <c r="M29" s="88"/>
      <c r="N29" s="88"/>
      <c r="O29" s="88"/>
      <c r="P29" s="88"/>
      <c r="Q29" s="88"/>
      <c r="R29" s="88"/>
      <c r="S29" s="88"/>
    </row>
    <row r="30" spans="1:20" ht="15" customHeight="1">
      <c r="A30" s="25"/>
      <c r="B30" s="2"/>
      <c r="C30" s="1"/>
      <c r="D30" s="1"/>
      <c r="E30" s="1"/>
      <c r="F30" s="1"/>
      <c r="G30" s="1"/>
      <c r="H30" s="1"/>
      <c r="I30" s="88"/>
      <c r="J30" s="88"/>
      <c r="K30" s="88"/>
      <c r="L30" s="88"/>
      <c r="M30" s="88"/>
      <c r="N30" s="88"/>
      <c r="O30" s="88"/>
      <c r="P30" s="88"/>
      <c r="Q30" s="88"/>
      <c r="R30" s="88"/>
      <c r="S30" s="88"/>
    </row>
    <row r="31" spans="1:20">
      <c r="A31" s="543"/>
      <c r="B31" s="543"/>
      <c r="C31" s="27"/>
      <c r="E31" s="28"/>
      <c r="F31" s="28"/>
      <c r="H31" s="28"/>
    </row>
    <row r="32" spans="1:20" ht="15" customHeight="1">
      <c r="A32" s="26"/>
      <c r="B32" s="26"/>
      <c r="C32" s="630"/>
      <c r="E32" s="28"/>
      <c r="F32" s="28"/>
      <c r="G32" s="28"/>
      <c r="H32" s="28"/>
    </row>
    <row r="33" spans="1:11">
      <c r="A33" s="630"/>
      <c r="B33" s="630"/>
      <c r="E33" s="28"/>
      <c r="F33" s="28"/>
      <c r="G33" s="28"/>
      <c r="H33" s="28"/>
    </row>
    <row r="34" spans="1:11">
      <c r="A34" s="630"/>
      <c r="B34" s="630"/>
      <c r="E34" s="28"/>
      <c r="F34" s="28"/>
      <c r="G34" s="28"/>
      <c r="H34" s="28"/>
      <c r="K34" s="630"/>
    </row>
    <row r="35" spans="1:11">
      <c r="A35" s="1"/>
      <c r="B35" s="1"/>
      <c r="E35" s="28"/>
      <c r="F35" s="28"/>
      <c r="G35" s="28"/>
      <c r="H35" s="28"/>
      <c r="J35" s="1"/>
      <c r="K35" s="1"/>
    </row>
  </sheetData>
  <mergeCells count="26">
    <mergeCell ref="A6:H6"/>
    <mergeCell ref="A7:H7"/>
    <mergeCell ref="A8:D9"/>
    <mergeCell ref="E8:H9"/>
    <mergeCell ref="A10:D10"/>
    <mergeCell ref="E10:H10"/>
    <mergeCell ref="B14:D14"/>
    <mergeCell ref="E14:F17"/>
    <mergeCell ref="G14:G15"/>
    <mergeCell ref="H14:H15"/>
    <mergeCell ref="B11:D11"/>
    <mergeCell ref="C12:D12"/>
    <mergeCell ref="A13:H13"/>
    <mergeCell ref="E11:F11"/>
    <mergeCell ref="E12:F12"/>
    <mergeCell ref="A22:H22"/>
    <mergeCell ref="C15:D15"/>
    <mergeCell ref="C16:D16"/>
    <mergeCell ref="G16:G17"/>
    <mergeCell ref="H16:H17"/>
    <mergeCell ref="C17:D17"/>
    <mergeCell ref="A18:H18"/>
    <mergeCell ref="B19:D19"/>
    <mergeCell ref="E19:F19"/>
    <mergeCell ref="C20:D20"/>
    <mergeCell ref="E20:F20"/>
  </mergeCells>
  <pageMargins left="0.25" right="0.25" top="0.75" bottom="0.75" header="0.3" footer="0.3"/>
  <pageSetup paperSize="3" scale="92" fitToHeight="0" orientation="landscape" cellComments="asDisplayed"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T35"/>
  <sheetViews>
    <sheetView topLeftCell="A14" zoomScale="70" zoomScaleNormal="70" workbookViewId="0">
      <selection activeCell="I24" sqref="I24"/>
    </sheetView>
  </sheetViews>
  <sheetFormatPr defaultColWidth="9.42578125" defaultRowHeight="14.45"/>
  <cols>
    <col min="1" max="2" width="4.42578125" customWidth="1"/>
    <col min="3" max="3" width="11.42578125" customWidth="1"/>
    <col min="4" max="4" width="63.42578125" customWidth="1"/>
    <col min="5" max="5" width="7.42578125" customWidth="1"/>
    <col min="6" max="6" width="12.42578125" customWidth="1"/>
    <col min="7" max="7" width="18.42578125" customWidth="1"/>
    <col min="8" max="8" width="28.42578125" customWidth="1"/>
    <col min="9" max="9" width="5" customWidth="1"/>
    <col min="10" max="10" width="20.42578125" customWidth="1"/>
    <col min="11" max="11" width="10.42578125" customWidth="1"/>
  </cols>
  <sheetData>
    <row r="1" spans="1:20">
      <c r="A1" s="10"/>
      <c r="B1" s="10"/>
      <c r="C1" t="s">
        <v>140</v>
      </c>
      <c r="E1" s="11"/>
      <c r="F1" s="11"/>
      <c r="H1" t="s">
        <v>141</v>
      </c>
      <c r="K1" s="537"/>
      <c r="M1" s="12"/>
      <c r="N1" t="s">
        <v>143</v>
      </c>
    </row>
    <row r="2" spans="1:20" s="3" customFormat="1" ht="12.95">
      <c r="A2" s="4"/>
      <c r="B2" s="4"/>
      <c r="C2" s="4"/>
      <c r="D2" s="4"/>
      <c r="E2" s="4"/>
      <c r="F2" s="4"/>
      <c r="H2" s="4"/>
      <c r="J2" s="4"/>
      <c r="K2" s="4"/>
      <c r="L2" s="4"/>
      <c r="M2" s="4"/>
      <c r="N2" s="4"/>
    </row>
    <row r="3" spans="1:20">
      <c r="A3" s="1"/>
      <c r="B3" s="1"/>
      <c r="C3" s="1"/>
      <c r="D3" s="1"/>
      <c r="E3" s="1"/>
      <c r="F3" s="1"/>
      <c r="H3" s="1"/>
      <c r="J3" s="1"/>
      <c r="K3" s="1"/>
    </row>
    <row r="4" spans="1:20">
      <c r="C4" s="31"/>
      <c r="E4" s="28"/>
      <c r="F4" s="28"/>
      <c r="G4" s="28"/>
      <c r="H4" s="28"/>
    </row>
    <row r="5" spans="1:20">
      <c r="E5" s="28"/>
      <c r="F5" s="28"/>
      <c r="G5" s="28"/>
      <c r="H5" s="28"/>
    </row>
    <row r="6" spans="1:20" ht="15" customHeight="1">
      <c r="A6" s="753" t="s">
        <v>212</v>
      </c>
      <c r="B6" s="754"/>
      <c r="C6" s="754"/>
      <c r="D6" s="754"/>
      <c r="E6" s="754"/>
      <c r="F6" s="754"/>
      <c r="G6" s="754"/>
      <c r="H6" s="755"/>
      <c r="I6" s="17"/>
      <c r="J6" s="17"/>
      <c r="K6" s="17"/>
    </row>
    <row r="7" spans="1:20" ht="37.35" customHeight="1">
      <c r="A7" s="643" t="s">
        <v>213</v>
      </c>
      <c r="B7" s="644"/>
      <c r="C7" s="644"/>
      <c r="D7" s="644"/>
      <c r="E7" s="644"/>
      <c r="F7" s="644"/>
      <c r="G7" s="644"/>
      <c r="H7" s="645"/>
      <c r="I7" s="16"/>
      <c r="J7" s="16"/>
      <c r="K7" s="16"/>
    </row>
    <row r="8" spans="1:20" ht="15" customHeight="1">
      <c r="A8" s="734" t="s">
        <v>214</v>
      </c>
      <c r="B8" s="735"/>
      <c r="C8" s="735"/>
      <c r="D8" s="736"/>
      <c r="E8" s="734" t="s">
        <v>215</v>
      </c>
      <c r="F8" s="735"/>
      <c r="G8" s="735"/>
      <c r="H8" s="736"/>
      <c r="J8" s="29"/>
      <c r="K8" s="29"/>
    </row>
    <row r="9" spans="1:20" ht="16.5" customHeight="1">
      <c r="A9" s="737"/>
      <c r="B9" s="738"/>
      <c r="C9" s="738"/>
      <c r="D9" s="739"/>
      <c r="E9" s="737"/>
      <c r="F9" s="738"/>
      <c r="G9" s="738"/>
      <c r="H9" s="739"/>
      <c r="J9" s="30"/>
      <c r="K9" s="30"/>
    </row>
    <row r="10" spans="1:20" ht="18" customHeight="1">
      <c r="A10" s="740" t="s">
        <v>169</v>
      </c>
      <c r="B10" s="740"/>
      <c r="C10" s="740"/>
      <c r="D10" s="740"/>
      <c r="E10" s="740" t="s">
        <v>173</v>
      </c>
      <c r="F10" s="740"/>
      <c r="G10" s="740"/>
      <c r="H10" s="740"/>
      <c r="J10" s="2"/>
      <c r="K10" s="2"/>
    </row>
    <row r="11" spans="1:20" ht="15" customHeight="1">
      <c r="A11" s="431" t="s">
        <v>185</v>
      </c>
      <c r="B11" s="712" t="s">
        <v>216</v>
      </c>
      <c r="C11" s="712"/>
      <c r="D11" s="712"/>
      <c r="E11" s="748" t="s">
        <v>217</v>
      </c>
      <c r="F11" s="749"/>
      <c r="G11" s="86" t="s">
        <v>221</v>
      </c>
      <c r="H11" s="429" t="s">
        <v>219</v>
      </c>
      <c r="I11" s="758"/>
      <c r="J11" s="758"/>
      <c r="K11" s="758"/>
      <c r="L11" s="758"/>
      <c r="M11" s="758"/>
      <c r="N11" s="758"/>
      <c r="O11" s="758"/>
      <c r="P11" s="758"/>
      <c r="Q11" s="758"/>
      <c r="R11" s="758"/>
      <c r="S11" s="758"/>
    </row>
    <row r="12" spans="1:20" ht="15">
      <c r="A12" s="85"/>
      <c r="B12" s="20" t="s">
        <v>185</v>
      </c>
      <c r="C12" s="687" t="s">
        <v>220</v>
      </c>
      <c r="D12" s="687"/>
      <c r="E12" s="750"/>
      <c r="F12" s="751"/>
      <c r="G12" s="87" t="s">
        <v>218</v>
      </c>
      <c r="H12" s="542" t="s">
        <v>223</v>
      </c>
      <c r="I12" s="758"/>
      <c r="J12" s="758"/>
      <c r="K12" s="758"/>
      <c r="L12" s="758"/>
      <c r="M12" s="758"/>
      <c r="N12" s="758"/>
      <c r="O12" s="758"/>
      <c r="P12" s="758"/>
      <c r="Q12" s="758"/>
      <c r="R12" s="758"/>
      <c r="S12" s="758"/>
    </row>
    <row r="13" spans="1:20" s="90" customFormat="1" ht="8.25" customHeight="1">
      <c r="A13" s="709"/>
      <c r="B13" s="710"/>
      <c r="C13" s="710"/>
      <c r="D13" s="710"/>
      <c r="E13" s="710"/>
      <c r="F13" s="710"/>
      <c r="G13" s="710"/>
      <c r="H13" s="711"/>
      <c r="I13" s="89"/>
      <c r="J13" s="89"/>
      <c r="K13" s="89"/>
      <c r="L13" s="89"/>
      <c r="M13" s="89"/>
      <c r="N13" s="89"/>
      <c r="O13" s="89"/>
      <c r="P13" s="89"/>
      <c r="Q13" s="89"/>
      <c r="R13" s="89"/>
      <c r="S13" s="89"/>
      <c r="T13" s="89"/>
    </row>
    <row r="14" spans="1:20">
      <c r="A14" s="20" t="s">
        <v>185</v>
      </c>
      <c r="B14" s="712" t="s">
        <v>224</v>
      </c>
      <c r="C14" s="712"/>
      <c r="D14" s="712"/>
      <c r="E14" s="748" t="s">
        <v>217</v>
      </c>
      <c r="F14" s="749"/>
      <c r="G14" s="764" t="s">
        <v>221</v>
      </c>
      <c r="H14" s="766" t="s">
        <v>219</v>
      </c>
      <c r="I14" s="758"/>
      <c r="J14" s="759"/>
      <c r="K14" s="759"/>
      <c r="L14" s="759"/>
      <c r="M14" s="759"/>
      <c r="N14" s="759"/>
      <c r="O14" s="759"/>
      <c r="P14" s="759"/>
      <c r="Q14" s="759"/>
    </row>
    <row r="15" spans="1:20">
      <c r="A15" s="18"/>
      <c r="B15" s="431" t="s">
        <v>185</v>
      </c>
      <c r="C15" s="705" t="s">
        <v>225</v>
      </c>
      <c r="D15" s="706"/>
      <c r="E15" s="762"/>
      <c r="F15" s="763"/>
      <c r="G15" s="765"/>
      <c r="H15" s="767"/>
      <c r="I15" s="758"/>
      <c r="J15" s="759"/>
      <c r="K15" s="759"/>
      <c r="L15" s="759"/>
      <c r="M15" s="759"/>
      <c r="N15" s="759"/>
      <c r="O15" s="759"/>
      <c r="P15" s="759"/>
      <c r="Q15" s="759"/>
    </row>
    <row r="16" spans="1:20" ht="15" customHeight="1">
      <c r="A16" s="18"/>
      <c r="B16" s="431" t="s">
        <v>185</v>
      </c>
      <c r="C16" s="705" t="s">
        <v>226</v>
      </c>
      <c r="D16" s="706"/>
      <c r="E16" s="762"/>
      <c r="F16" s="763"/>
      <c r="G16" s="764" t="s">
        <v>218</v>
      </c>
      <c r="H16" s="764" t="s">
        <v>223</v>
      </c>
      <c r="I16" s="758"/>
      <c r="J16" s="759"/>
      <c r="K16" s="759"/>
      <c r="L16" s="759"/>
      <c r="M16" s="759"/>
      <c r="N16" s="759"/>
      <c r="O16" s="759"/>
      <c r="P16" s="759"/>
      <c r="Q16" s="759"/>
    </row>
    <row r="17" spans="1:20">
      <c r="A17" s="85"/>
      <c r="B17" s="20" t="s">
        <v>185</v>
      </c>
      <c r="C17" s="687" t="s">
        <v>220</v>
      </c>
      <c r="D17" s="687"/>
      <c r="E17" s="750"/>
      <c r="F17" s="751"/>
      <c r="G17" s="765"/>
      <c r="H17" s="765"/>
      <c r="I17" s="759"/>
      <c r="J17" s="759"/>
      <c r="K17" s="759"/>
      <c r="L17" s="759"/>
      <c r="M17" s="759"/>
      <c r="N17" s="759"/>
      <c r="O17" s="759"/>
      <c r="P17" s="759"/>
      <c r="Q17" s="759"/>
    </row>
    <row r="18" spans="1:20" s="90" customFormat="1" ht="6" customHeight="1">
      <c r="A18" s="709"/>
      <c r="B18" s="710"/>
      <c r="C18" s="710"/>
      <c r="D18" s="710"/>
      <c r="E18" s="710"/>
      <c r="F18" s="710"/>
      <c r="G18" s="710"/>
      <c r="H18" s="711"/>
      <c r="I18" s="89"/>
      <c r="J18" s="89"/>
      <c r="K18" s="89"/>
      <c r="L18" s="89"/>
      <c r="M18" s="89"/>
      <c r="N18" s="89"/>
      <c r="O18" s="89"/>
      <c r="P18" s="89"/>
      <c r="Q18" s="89"/>
      <c r="R18" s="89"/>
      <c r="S18" s="89"/>
      <c r="T18" s="89"/>
    </row>
    <row r="19" spans="1:20">
      <c r="A19" s="185" t="s">
        <v>185</v>
      </c>
      <c r="B19" s="712" t="s">
        <v>227</v>
      </c>
      <c r="C19" s="712"/>
      <c r="D19" s="712"/>
      <c r="E19" s="760" t="s">
        <v>228</v>
      </c>
      <c r="F19" s="761"/>
      <c r="G19" s="86" t="s">
        <v>221</v>
      </c>
      <c r="H19" s="430" t="s">
        <v>229</v>
      </c>
      <c r="J19" s="23"/>
      <c r="K19" s="1"/>
    </row>
    <row r="20" spans="1:20" ht="30.75" customHeight="1">
      <c r="A20" s="186"/>
      <c r="B20" s="187" t="s">
        <v>185</v>
      </c>
      <c r="C20" s="715" t="s">
        <v>230</v>
      </c>
      <c r="D20" s="716"/>
      <c r="E20" s="756" t="s">
        <v>235</v>
      </c>
      <c r="F20" s="757"/>
      <c r="G20" s="188" t="s">
        <v>218</v>
      </c>
      <c r="H20" s="184" t="s">
        <v>232</v>
      </c>
      <c r="J20" s="752"/>
      <c r="K20" s="752"/>
      <c r="N20" s="1"/>
    </row>
    <row r="21" spans="1:20" ht="15">
      <c r="A21" s="432" t="s">
        <v>233</v>
      </c>
      <c r="B21" s="391"/>
      <c r="C21" s="391"/>
      <c r="D21" s="391"/>
      <c r="E21" s="391"/>
      <c r="F21" s="391"/>
      <c r="G21" s="391"/>
      <c r="H21" s="392"/>
    </row>
    <row r="22" spans="1:20" ht="33" customHeight="1">
      <c r="A22" s="745" t="s">
        <v>234</v>
      </c>
      <c r="B22" s="746"/>
      <c r="C22" s="746"/>
      <c r="D22" s="746"/>
      <c r="E22" s="746"/>
      <c r="F22" s="746"/>
      <c r="G22" s="746"/>
      <c r="H22" s="747"/>
      <c r="I22" s="743"/>
      <c r="J22" s="743"/>
      <c r="K22" s="743"/>
      <c r="L22" s="743"/>
      <c r="M22" s="743"/>
      <c r="N22" s="743"/>
      <c r="O22" s="743"/>
      <c r="P22" s="743"/>
      <c r="Q22" s="743"/>
    </row>
    <row r="23" spans="1:20" ht="15" customHeight="1">
      <c r="A23" s="23"/>
      <c r="B23" s="367"/>
      <c r="C23" s="367"/>
      <c r="D23" s="367"/>
      <c r="E23" s="368"/>
      <c r="F23" s="368"/>
      <c r="G23" s="368"/>
      <c r="H23" s="368"/>
      <c r="I23" s="744"/>
      <c r="J23" s="744"/>
      <c r="K23" s="744"/>
      <c r="L23" s="744"/>
      <c r="M23" s="744"/>
      <c r="N23" s="744"/>
      <c r="O23" s="744"/>
      <c r="P23" s="744"/>
      <c r="Q23" s="744"/>
      <c r="R23" s="744"/>
      <c r="S23" s="744"/>
    </row>
    <row r="24" spans="1:20">
      <c r="A24" s="24"/>
      <c r="B24" s="24"/>
      <c r="C24" s="24"/>
      <c r="D24" s="1"/>
      <c r="E24" s="741"/>
      <c r="F24" s="741"/>
      <c r="G24" s="741"/>
      <c r="H24" s="741"/>
      <c r="I24" s="742"/>
      <c r="J24" s="742"/>
      <c r="K24" s="742"/>
      <c r="L24" s="742"/>
      <c r="M24" s="742"/>
      <c r="N24" s="742"/>
      <c r="O24" s="742"/>
      <c r="P24" s="742"/>
      <c r="Q24" s="742"/>
      <c r="R24" s="742"/>
      <c r="S24" s="742"/>
    </row>
    <row r="25" spans="1:20">
      <c r="A25" s="24"/>
      <c r="B25" s="24"/>
      <c r="C25" s="24"/>
      <c r="D25" s="1"/>
      <c r="E25" s="741"/>
      <c r="F25" s="741"/>
      <c r="G25" s="741"/>
      <c r="H25" s="741"/>
      <c r="I25" s="88"/>
      <c r="J25" s="88"/>
      <c r="K25" s="88"/>
      <c r="L25" s="88"/>
      <c r="M25" s="88"/>
      <c r="N25" s="88"/>
      <c r="O25" s="88"/>
      <c r="P25" s="88"/>
      <c r="Q25" s="88"/>
      <c r="R25" s="88"/>
      <c r="S25" s="88"/>
    </row>
    <row r="26" spans="1:20">
      <c r="A26" s="24"/>
      <c r="B26" s="24"/>
      <c r="C26" s="24"/>
      <c r="D26" s="1"/>
      <c r="E26" s="741"/>
      <c r="F26" s="741"/>
      <c r="G26" s="741"/>
      <c r="H26" s="741"/>
      <c r="I26" s="742"/>
      <c r="J26" s="742"/>
      <c r="K26" s="742"/>
      <c r="L26" s="742"/>
      <c r="M26" s="742"/>
      <c r="N26" s="742"/>
      <c r="O26" s="742"/>
      <c r="P26" s="742"/>
      <c r="Q26" s="742"/>
      <c r="R26" s="742"/>
      <c r="S26" s="742"/>
    </row>
    <row r="27" spans="1:20">
      <c r="A27" s="24"/>
      <c r="B27" s="24"/>
      <c r="C27" s="24"/>
      <c r="D27" s="1"/>
      <c r="E27" s="741"/>
      <c r="F27" s="741"/>
      <c r="G27" s="741"/>
      <c r="H27" s="741"/>
      <c r="I27" s="88"/>
      <c r="J27" s="88"/>
      <c r="K27" s="88"/>
      <c r="L27" s="88"/>
      <c r="M27" s="88"/>
      <c r="N27" s="88"/>
      <c r="O27" s="88"/>
      <c r="P27" s="88"/>
      <c r="Q27" s="88"/>
      <c r="R27" s="88"/>
      <c r="S27" s="88"/>
    </row>
    <row r="28" spans="1:20">
      <c r="A28" s="24"/>
      <c r="B28" s="24"/>
      <c r="C28" s="24"/>
      <c r="D28" s="1"/>
      <c r="E28" s="741"/>
      <c r="F28" s="741"/>
      <c r="G28" s="741"/>
      <c r="H28" s="741"/>
      <c r="I28" s="742"/>
      <c r="J28" s="742"/>
      <c r="K28" s="742"/>
      <c r="L28" s="742"/>
      <c r="M28" s="742"/>
      <c r="N28" s="742"/>
      <c r="O28" s="742"/>
      <c r="P28" s="742"/>
      <c r="Q28" s="742"/>
      <c r="R28" s="742"/>
      <c r="S28" s="742"/>
    </row>
    <row r="29" spans="1:20">
      <c r="A29" s="24"/>
      <c r="B29" s="24"/>
      <c r="C29" s="24"/>
      <c r="D29" s="1"/>
      <c r="E29" s="741"/>
      <c r="F29" s="741"/>
      <c r="G29" s="741"/>
      <c r="H29" s="741"/>
      <c r="I29" s="742"/>
      <c r="J29" s="742"/>
      <c r="K29" s="742"/>
      <c r="L29" s="742"/>
      <c r="M29" s="742"/>
      <c r="N29" s="742"/>
      <c r="O29" s="742"/>
      <c r="P29" s="742"/>
      <c r="Q29" s="742"/>
      <c r="R29" s="742"/>
      <c r="S29" s="742"/>
    </row>
    <row r="30" spans="1:20" ht="15" customHeight="1">
      <c r="A30" s="25"/>
      <c r="B30" s="2"/>
      <c r="C30" s="1"/>
      <c r="D30" s="1"/>
      <c r="E30" s="741"/>
      <c r="F30" s="741"/>
      <c r="G30" s="741"/>
      <c r="H30" s="741"/>
      <c r="I30" s="742"/>
      <c r="J30" s="742"/>
      <c r="K30" s="742"/>
      <c r="L30" s="742"/>
      <c r="M30" s="742"/>
      <c r="N30" s="742"/>
      <c r="O30" s="742"/>
      <c r="P30" s="742"/>
      <c r="Q30" s="742"/>
      <c r="R30" s="742"/>
      <c r="S30" s="742"/>
    </row>
    <row r="31" spans="1:20">
      <c r="A31" s="543"/>
      <c r="B31" s="543"/>
      <c r="C31" s="27"/>
      <c r="E31" s="28"/>
      <c r="F31" s="28"/>
      <c r="H31" s="28"/>
    </row>
    <row r="32" spans="1:20" ht="15" customHeight="1">
      <c r="A32" s="26"/>
      <c r="B32" s="26"/>
      <c r="C32" s="630"/>
      <c r="E32" s="28"/>
      <c r="F32" s="28"/>
      <c r="G32" s="28"/>
      <c r="H32" s="28"/>
    </row>
    <row r="33" spans="1:11">
      <c r="A33" s="630"/>
      <c r="B33" s="630"/>
      <c r="E33" s="28"/>
      <c r="F33" s="28"/>
      <c r="G33" s="28"/>
      <c r="H33" s="28"/>
    </row>
    <row r="34" spans="1:11">
      <c r="A34" s="630"/>
      <c r="B34" s="630"/>
      <c r="E34" s="28"/>
      <c r="F34" s="28"/>
      <c r="G34" s="28"/>
      <c r="H34" s="28"/>
      <c r="K34" s="630"/>
    </row>
    <row r="35" spans="1:11">
      <c r="A35" s="1"/>
      <c r="B35" s="1"/>
      <c r="E35" s="28"/>
      <c r="F35" s="28"/>
      <c r="G35" s="28"/>
      <c r="H35" s="28"/>
      <c r="J35" s="1"/>
      <c r="K35" s="1"/>
    </row>
  </sheetData>
  <mergeCells count="42">
    <mergeCell ref="E19:F19"/>
    <mergeCell ref="A13:H13"/>
    <mergeCell ref="A18:H18"/>
    <mergeCell ref="E14:F17"/>
    <mergeCell ref="B19:D19"/>
    <mergeCell ref="C15:D15"/>
    <mergeCell ref="C16:D16"/>
    <mergeCell ref="G14:G15"/>
    <mergeCell ref="H14:H15"/>
    <mergeCell ref="H16:H17"/>
    <mergeCell ref="G16:G17"/>
    <mergeCell ref="E11:F12"/>
    <mergeCell ref="J20:K20"/>
    <mergeCell ref="A6:H6"/>
    <mergeCell ref="A7:H7"/>
    <mergeCell ref="A8:D9"/>
    <mergeCell ref="E8:H9"/>
    <mergeCell ref="A10:D10"/>
    <mergeCell ref="E10:H10"/>
    <mergeCell ref="E20:F20"/>
    <mergeCell ref="B14:D14"/>
    <mergeCell ref="I14:Q17"/>
    <mergeCell ref="C17:D17"/>
    <mergeCell ref="B11:D11"/>
    <mergeCell ref="I11:S12"/>
    <mergeCell ref="C12:D12"/>
    <mergeCell ref="C20:D20"/>
    <mergeCell ref="E27:H27"/>
    <mergeCell ref="I22:Q22"/>
    <mergeCell ref="I23:S23"/>
    <mergeCell ref="E24:H24"/>
    <mergeCell ref="I24:S24"/>
    <mergeCell ref="E25:H25"/>
    <mergeCell ref="E26:H26"/>
    <mergeCell ref="I26:S26"/>
    <mergeCell ref="A22:H22"/>
    <mergeCell ref="E28:H28"/>
    <mergeCell ref="I28:S28"/>
    <mergeCell ref="E29:H29"/>
    <mergeCell ref="I29:S29"/>
    <mergeCell ref="E30:H30"/>
    <mergeCell ref="I30:S30"/>
  </mergeCells>
  <pageMargins left="0.25" right="0.25" top="0.75" bottom="0.75" header="0.3" footer="0.3"/>
  <pageSetup paperSize="3" scale="92" fitToHeight="0" orientation="landscape" cellComments="asDisplayed"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K111"/>
  <sheetViews>
    <sheetView zoomScale="50" zoomScaleNormal="50" workbookViewId="0">
      <selection activeCell="C5" sqref="C5:J5"/>
    </sheetView>
  </sheetViews>
  <sheetFormatPr defaultColWidth="9.42578125" defaultRowHeight="12.95"/>
  <cols>
    <col min="1" max="2" width="9.42578125" style="22" customWidth="1"/>
    <col min="3" max="3" width="16.42578125" style="22" customWidth="1"/>
    <col min="4" max="4" width="17.42578125" style="22" customWidth="1"/>
    <col min="5" max="8" width="12.42578125" style="22" customWidth="1"/>
    <col min="9" max="9" width="15.42578125" style="22" customWidth="1"/>
    <col min="10" max="10" width="19.42578125" style="22" customWidth="1"/>
    <col min="11" max="16384" width="9.42578125" style="22"/>
  </cols>
  <sheetData>
    <row r="1" spans="1:11" customFormat="1" ht="14.45">
      <c r="A1" s="10"/>
      <c r="B1" t="s">
        <v>140</v>
      </c>
      <c r="C1" s="11"/>
      <c r="D1" t="s">
        <v>141</v>
      </c>
      <c r="E1" s="537"/>
      <c r="F1" t="s">
        <v>142</v>
      </c>
      <c r="J1" s="12"/>
      <c r="K1" t="s">
        <v>143</v>
      </c>
    </row>
    <row r="2" spans="1:11" customFormat="1" ht="14.45"/>
    <row r="3" spans="1:11">
      <c r="C3" s="205"/>
      <c r="D3" s="205"/>
      <c r="E3" s="205"/>
      <c r="F3" s="205"/>
      <c r="G3" s="205"/>
      <c r="H3" s="205"/>
      <c r="I3" s="205"/>
      <c r="J3" s="206"/>
    </row>
    <row r="4" spans="1:11" s="207" customFormat="1" ht="15" customHeight="1">
      <c r="C4" s="771" t="s">
        <v>236</v>
      </c>
      <c r="D4" s="772"/>
      <c r="E4" s="772"/>
      <c r="F4" s="772"/>
      <c r="G4" s="772"/>
      <c r="H4" s="772"/>
      <c r="I4" s="772"/>
      <c r="J4" s="773"/>
    </row>
    <row r="5" spans="1:11" ht="44.1" customHeight="1">
      <c r="C5" s="774" t="s">
        <v>237</v>
      </c>
      <c r="D5" s="774"/>
      <c r="E5" s="774"/>
      <c r="F5" s="774"/>
      <c r="G5" s="774"/>
      <c r="H5" s="775"/>
      <c r="I5" s="775"/>
      <c r="J5" s="774"/>
    </row>
    <row r="6" spans="1:11" ht="16.5" customHeight="1">
      <c r="A6" s="329"/>
      <c r="B6" s="329"/>
      <c r="C6" s="776" t="s">
        <v>238</v>
      </c>
      <c r="D6" s="777"/>
      <c r="E6" s="777"/>
      <c r="F6" s="777"/>
      <c r="G6" s="777"/>
      <c r="H6" s="778" t="s">
        <v>239</v>
      </c>
      <c r="I6" s="780" t="s">
        <v>240</v>
      </c>
      <c r="J6" s="782" t="s">
        <v>56</v>
      </c>
    </row>
    <row r="7" spans="1:11" ht="16.5" customHeight="1">
      <c r="A7" s="329"/>
      <c r="B7" s="329"/>
      <c r="C7" s="208" t="s">
        <v>241</v>
      </c>
      <c r="D7" s="208" t="s">
        <v>242</v>
      </c>
      <c r="E7" s="208" t="s">
        <v>243</v>
      </c>
      <c r="F7" s="208" t="s">
        <v>244</v>
      </c>
      <c r="G7" s="208" t="s">
        <v>245</v>
      </c>
      <c r="H7" s="779"/>
      <c r="I7" s="781"/>
      <c r="J7" s="782"/>
    </row>
    <row r="8" spans="1:11" ht="14.45">
      <c r="A8" s="329"/>
      <c r="B8" s="329"/>
      <c r="C8" s="209" t="s">
        <v>169</v>
      </c>
      <c r="D8" s="209" t="s">
        <v>173</v>
      </c>
      <c r="E8" s="209" t="s">
        <v>177</v>
      </c>
      <c r="F8" s="209" t="s">
        <v>182</v>
      </c>
      <c r="G8" s="209" t="s">
        <v>171</v>
      </c>
      <c r="H8" s="209" t="s">
        <v>175</v>
      </c>
      <c r="I8" s="210" t="s">
        <v>180</v>
      </c>
      <c r="J8" s="209" t="s">
        <v>184</v>
      </c>
    </row>
    <row r="9" spans="1:11" ht="16.5" customHeight="1">
      <c r="A9" s="329"/>
      <c r="B9" s="329"/>
      <c r="C9" s="211" t="s">
        <v>246</v>
      </c>
      <c r="D9" s="211" t="s">
        <v>247</v>
      </c>
      <c r="E9" s="211" t="s">
        <v>248</v>
      </c>
      <c r="F9" s="211" t="s">
        <v>249</v>
      </c>
      <c r="G9" s="211" t="s">
        <v>250</v>
      </c>
      <c r="H9" s="211" t="s">
        <v>251</v>
      </c>
      <c r="I9" s="212" t="s">
        <v>252</v>
      </c>
      <c r="J9" s="768" t="s">
        <v>253</v>
      </c>
    </row>
    <row r="10" spans="1:11" ht="57.75" customHeight="1">
      <c r="A10" s="769" t="s">
        <v>254</v>
      </c>
      <c r="B10" s="770"/>
      <c r="C10" s="330" t="s">
        <v>255</v>
      </c>
      <c r="D10" s="330" t="s">
        <v>255</v>
      </c>
      <c r="E10" s="330" t="s">
        <v>255</v>
      </c>
      <c r="F10" s="330" t="s">
        <v>255</v>
      </c>
      <c r="G10" s="330" t="s">
        <v>255</v>
      </c>
      <c r="H10" s="330" t="s">
        <v>255</v>
      </c>
      <c r="I10" s="330" t="s">
        <v>255</v>
      </c>
      <c r="J10" s="768"/>
    </row>
    <row r="11" spans="1:11" ht="16.5" customHeight="1">
      <c r="C11" s="213"/>
      <c r="D11" s="213"/>
      <c r="E11" s="213"/>
      <c r="F11" s="213"/>
      <c r="G11" s="213"/>
      <c r="H11" s="213"/>
      <c r="I11" s="213"/>
      <c r="J11" s="213"/>
    </row>
    <row r="12" spans="1:11" ht="16.5" customHeight="1">
      <c r="C12" s="214"/>
    </row>
    <row r="13" spans="1:11">
      <c r="D13" s="215"/>
      <c r="E13" s="215"/>
      <c r="F13" s="215"/>
      <c r="G13" s="215"/>
      <c r="J13" s="216"/>
    </row>
    <row r="16" spans="1:11">
      <c r="C16" s="217"/>
      <c r="D16" s="217"/>
      <c r="E16" s="217"/>
      <c r="F16" s="213"/>
      <c r="G16" s="213"/>
      <c r="H16" s="213"/>
      <c r="I16" s="213"/>
      <c r="J16" s="213"/>
    </row>
    <row r="17" spans="3:10">
      <c r="C17" s="433" t="s">
        <v>256</v>
      </c>
      <c r="D17" s="213"/>
      <c r="E17" s="213"/>
      <c r="F17" s="213"/>
      <c r="G17" s="213"/>
      <c r="H17" s="213"/>
      <c r="I17" s="213"/>
      <c r="J17" s="213"/>
    </row>
    <row r="110" spans="1:10">
      <c r="A110" s="362"/>
      <c r="B110" s="362"/>
      <c r="C110" s="362"/>
      <c r="D110" s="362"/>
      <c r="E110" s="362"/>
      <c r="F110" s="362"/>
      <c r="G110" s="362"/>
      <c r="H110" s="362"/>
      <c r="I110" s="362"/>
      <c r="J110" s="362"/>
    </row>
    <row r="111" spans="1:10">
      <c r="A111" s="362"/>
      <c r="B111" s="362"/>
      <c r="C111" s="362"/>
      <c r="D111" s="362"/>
      <c r="E111" s="362"/>
      <c r="F111" s="362"/>
      <c r="G111" s="362"/>
      <c r="H111" s="362"/>
      <c r="I111" s="362"/>
      <c r="J111" s="362"/>
    </row>
  </sheetData>
  <mergeCells count="8">
    <mergeCell ref="J9:J10"/>
    <mergeCell ref="A10:B10"/>
    <mergeCell ref="C4:J4"/>
    <mergeCell ref="C5:J5"/>
    <mergeCell ref="C6:G6"/>
    <mergeCell ref="H6:H7"/>
    <mergeCell ref="I6:I7"/>
    <mergeCell ref="J6:J7"/>
  </mergeCells>
  <pageMargins left="0.25" right="0.25" top="0.75" bottom="0.75" header="0.3" footer="0.3"/>
  <pageSetup paperSize="3" fitToHeight="0" orientation="landscape" cellComments="asDisplayed"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U18"/>
  <sheetViews>
    <sheetView zoomScale="70" zoomScaleNormal="70" workbookViewId="0">
      <selection activeCell="E29" sqref="E29"/>
    </sheetView>
  </sheetViews>
  <sheetFormatPr defaultColWidth="8.85546875" defaultRowHeight="14.4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8">
      <c r="A1" s="10"/>
      <c r="B1" t="s">
        <v>140</v>
      </c>
      <c r="D1" s="11"/>
      <c r="E1" t="s">
        <v>141</v>
      </c>
      <c r="G1" s="642"/>
      <c r="H1" s="642"/>
      <c r="I1" t="s">
        <v>142</v>
      </c>
      <c r="L1" s="12"/>
      <c r="M1" t="s">
        <v>143</v>
      </c>
    </row>
    <row r="2" spans="1:18">
      <c r="A2" s="1"/>
      <c r="B2" s="1"/>
      <c r="C2" s="1"/>
      <c r="D2" s="1"/>
      <c r="E2" s="1"/>
      <c r="F2" s="1"/>
      <c r="G2" s="1"/>
      <c r="H2" s="1"/>
      <c r="I2" s="1"/>
      <c r="J2" s="1"/>
      <c r="K2" s="1"/>
    </row>
    <row r="3" spans="1:18" ht="15" customHeight="1">
      <c r="A3" s="784" t="s">
        <v>257</v>
      </c>
      <c r="B3" s="785"/>
      <c r="C3" s="785"/>
      <c r="D3" s="785"/>
      <c r="E3" s="785"/>
      <c r="F3" s="785"/>
      <c r="G3" s="785"/>
      <c r="H3" s="785"/>
      <c r="I3" s="785"/>
      <c r="J3" s="785"/>
      <c r="K3" s="786"/>
    </row>
    <row r="4" spans="1:18" ht="15" customHeight="1">
      <c r="A4" s="793" t="s">
        <v>258</v>
      </c>
      <c r="B4" s="794"/>
      <c r="C4" s="794"/>
      <c r="D4" s="794"/>
      <c r="E4" s="794"/>
      <c r="F4" s="794"/>
      <c r="G4" s="794"/>
      <c r="H4" s="794"/>
      <c r="I4" s="794"/>
      <c r="J4" s="794"/>
      <c r="K4" s="795"/>
    </row>
    <row r="5" spans="1:18" ht="15" customHeight="1">
      <c r="A5" s="787"/>
      <c r="B5" s="788"/>
      <c r="C5" s="788"/>
      <c r="D5" s="788"/>
      <c r="E5" s="788"/>
      <c r="F5" s="788"/>
      <c r="G5" s="788"/>
      <c r="H5" s="788"/>
      <c r="I5" s="788"/>
      <c r="J5" s="788"/>
      <c r="K5" s="789"/>
    </row>
    <row r="6" spans="1:18">
      <c r="A6" s="790"/>
      <c r="B6" s="791"/>
      <c r="C6" s="791"/>
      <c r="D6" s="791"/>
      <c r="E6" s="791"/>
      <c r="F6" s="791"/>
      <c r="G6" s="791"/>
      <c r="H6" s="791"/>
      <c r="I6" s="791"/>
      <c r="J6" s="791"/>
      <c r="K6" s="792"/>
    </row>
    <row r="7" spans="1:18">
      <c r="A7" s="1"/>
      <c r="B7" s="1"/>
      <c r="C7" s="1"/>
      <c r="D7" s="1"/>
      <c r="E7" s="1"/>
      <c r="F7" s="1"/>
      <c r="G7" s="1"/>
      <c r="H7" s="1"/>
      <c r="I7" s="1"/>
      <c r="J7" s="1"/>
      <c r="K7" s="1"/>
    </row>
    <row r="8" spans="1:18">
      <c r="A8" s="1"/>
      <c r="B8" s="1"/>
      <c r="C8" s="1"/>
      <c r="D8" s="1"/>
      <c r="E8" s="1"/>
      <c r="F8" s="1"/>
      <c r="G8" s="1"/>
      <c r="H8" s="1"/>
      <c r="I8" s="1"/>
      <c r="J8" s="1"/>
      <c r="K8" s="1"/>
    </row>
    <row r="9" spans="1:18">
      <c r="A9" s="1"/>
      <c r="B9" s="1" t="s">
        <v>259</v>
      </c>
      <c r="C9" s="1"/>
      <c r="D9" s="1"/>
      <c r="E9" s="1"/>
      <c r="F9" s="1"/>
      <c r="G9" s="1"/>
      <c r="H9" s="1"/>
      <c r="I9" s="1"/>
      <c r="J9" s="1"/>
      <c r="K9" s="1"/>
    </row>
    <row r="10" spans="1:18">
      <c r="A10" s="1"/>
      <c r="B10" s="326"/>
      <c r="C10" s="327"/>
      <c r="D10" s="327"/>
      <c r="E10" s="327"/>
      <c r="F10" s="327"/>
      <c r="G10" s="327"/>
      <c r="H10" s="327"/>
      <c r="I10" s="327"/>
      <c r="J10" s="327"/>
      <c r="K10" s="327"/>
      <c r="L10" s="128"/>
      <c r="M10" s="128"/>
      <c r="N10" s="128"/>
      <c r="O10" s="128"/>
      <c r="P10" s="128"/>
      <c r="Q10" s="128"/>
      <c r="R10" s="128"/>
    </row>
    <row r="11" spans="1:18">
      <c r="A11" s="1"/>
      <c r="B11" s="796" t="s">
        <v>260</v>
      </c>
      <c r="C11" s="796"/>
      <c r="D11" s="796"/>
      <c r="E11" s="796"/>
      <c r="F11" s="796"/>
      <c r="G11" s="796"/>
      <c r="H11" s="796"/>
      <c r="I11" s="796"/>
      <c r="J11" s="796"/>
      <c r="K11" s="796"/>
      <c r="L11" s="796"/>
      <c r="M11" s="796"/>
      <c r="N11" s="796"/>
      <c r="O11" s="796"/>
      <c r="P11" s="128"/>
      <c r="Q11" s="128"/>
      <c r="R11" s="128"/>
    </row>
    <row r="12" spans="1:18">
      <c r="A12" s="1"/>
      <c r="B12" s="796" t="s">
        <v>261</v>
      </c>
      <c r="C12" s="796"/>
      <c r="D12" s="796"/>
      <c r="E12" s="796"/>
      <c r="F12" s="796"/>
      <c r="G12" s="796"/>
      <c r="H12" s="796"/>
      <c r="I12" s="796"/>
      <c r="J12" s="796"/>
      <c r="K12" s="796"/>
      <c r="L12" s="796"/>
      <c r="M12" s="128"/>
      <c r="N12" s="128"/>
      <c r="O12" s="128"/>
      <c r="P12" s="128"/>
      <c r="Q12" s="128"/>
      <c r="R12" s="128"/>
    </row>
    <row r="13" spans="1:18">
      <c r="A13" s="1"/>
      <c r="B13" s="327" t="s">
        <v>262</v>
      </c>
      <c r="C13" s="327"/>
      <c r="D13" s="327"/>
      <c r="E13" s="327"/>
      <c r="F13" s="327"/>
      <c r="G13" s="327"/>
      <c r="H13" s="327"/>
      <c r="I13" s="327"/>
      <c r="J13" s="327"/>
      <c r="K13" s="327"/>
      <c r="L13" s="128"/>
      <c r="M13" s="128"/>
      <c r="N13" s="128"/>
      <c r="O13" s="128"/>
      <c r="P13" s="128"/>
      <c r="Q13" s="128"/>
      <c r="R13" s="128"/>
    </row>
    <row r="14" spans="1:18">
      <c r="A14" s="1"/>
      <c r="B14" s="327" t="s">
        <v>263</v>
      </c>
      <c r="C14" s="327"/>
      <c r="D14" s="327"/>
      <c r="E14" s="327"/>
      <c r="F14" s="327"/>
      <c r="G14" s="327"/>
      <c r="H14" s="327"/>
      <c r="I14" s="327"/>
      <c r="J14" s="327"/>
      <c r="K14" s="327"/>
      <c r="L14" s="128"/>
      <c r="M14" s="128"/>
      <c r="N14" s="128"/>
      <c r="O14" s="128"/>
      <c r="P14" s="128"/>
      <c r="Q14" s="128"/>
      <c r="R14" s="128"/>
    </row>
    <row r="15" spans="1:18">
      <c r="A15" s="1"/>
      <c r="B15" s="327" t="s">
        <v>264</v>
      </c>
      <c r="C15" s="327"/>
      <c r="D15" s="327"/>
      <c r="E15" s="327"/>
      <c r="F15" s="327"/>
      <c r="G15" s="327"/>
      <c r="H15" s="327"/>
      <c r="I15" s="327"/>
      <c r="J15" s="327"/>
      <c r="K15" s="327"/>
      <c r="L15" s="128"/>
      <c r="M15" s="128"/>
      <c r="N15" s="128"/>
      <c r="O15" s="128"/>
      <c r="P15" s="128"/>
      <c r="Q15" s="128"/>
      <c r="R15" s="128"/>
    </row>
    <row r="16" spans="1:18">
      <c r="A16" s="1"/>
      <c r="B16" s="327" t="s">
        <v>265</v>
      </c>
      <c r="C16" s="327"/>
      <c r="D16" s="327"/>
      <c r="E16" s="327"/>
      <c r="F16" s="327"/>
      <c r="G16" s="327"/>
      <c r="H16" s="327"/>
      <c r="I16" s="327"/>
      <c r="J16" s="327"/>
      <c r="K16" s="327"/>
      <c r="L16" s="128"/>
      <c r="M16" s="128"/>
      <c r="N16" s="128"/>
      <c r="O16" s="128"/>
      <c r="P16" s="128"/>
      <c r="Q16" s="128"/>
      <c r="R16" s="128"/>
    </row>
    <row r="17" spans="1:21">
      <c r="A17" s="1"/>
      <c r="B17" s="327" t="s">
        <v>266</v>
      </c>
      <c r="C17" s="327"/>
      <c r="D17" s="327"/>
      <c r="E17" s="327"/>
      <c r="F17" s="327"/>
      <c r="G17" s="327"/>
      <c r="H17" s="327"/>
      <c r="I17" s="327"/>
      <c r="J17" s="327"/>
      <c r="K17" s="327"/>
      <c r="L17" s="128"/>
      <c r="M17" s="128"/>
      <c r="N17" s="128"/>
      <c r="O17" s="128"/>
      <c r="P17" s="128"/>
      <c r="Q17" s="128"/>
      <c r="R17" s="128"/>
    </row>
    <row r="18" spans="1:21" ht="31.35" customHeight="1">
      <c r="B18" s="783" t="s">
        <v>267</v>
      </c>
      <c r="C18" s="783"/>
      <c r="D18" s="783"/>
      <c r="E18" s="783"/>
      <c r="F18" s="783"/>
      <c r="G18" s="783"/>
      <c r="H18" s="783"/>
      <c r="I18" s="783"/>
      <c r="J18" s="783"/>
      <c r="K18" s="783"/>
      <c r="L18" s="783"/>
      <c r="M18" s="783"/>
      <c r="N18" s="783"/>
      <c r="O18" s="783"/>
      <c r="P18" s="783"/>
      <c r="Q18" s="783"/>
      <c r="R18" s="783"/>
      <c r="S18" s="783"/>
      <c r="T18" s="783"/>
      <c r="U18" s="783"/>
    </row>
  </sheetData>
  <mergeCells count="7">
    <mergeCell ref="B18:U18"/>
    <mergeCell ref="A3:K3"/>
    <mergeCell ref="A5:K6"/>
    <mergeCell ref="A4:K4"/>
    <mergeCell ref="G1:H1"/>
    <mergeCell ref="B12:L12"/>
    <mergeCell ref="B11:O11"/>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dimension ref="A1:M12"/>
  <sheetViews>
    <sheetView zoomScale="67" zoomScaleNormal="100" workbookViewId="0">
      <selection activeCell="A4" sqref="A4"/>
    </sheetView>
  </sheetViews>
  <sheetFormatPr defaultColWidth="8.85546875" defaultRowHeight="14.4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0"/>
      <c r="B1" t="s">
        <v>140</v>
      </c>
      <c r="D1" s="11"/>
      <c r="E1" t="s">
        <v>141</v>
      </c>
      <c r="G1" s="642"/>
      <c r="H1" s="642"/>
      <c r="I1" t="s">
        <v>142</v>
      </c>
      <c r="L1" s="12"/>
      <c r="M1" t="s">
        <v>143</v>
      </c>
    </row>
    <row r="2" spans="1:13">
      <c r="A2" s="1"/>
      <c r="B2" s="1"/>
      <c r="C2" s="1"/>
      <c r="D2" s="1"/>
      <c r="E2" s="1"/>
      <c r="F2" s="1"/>
      <c r="G2" s="1"/>
      <c r="H2" s="1"/>
      <c r="I2" s="1"/>
      <c r="J2" s="1"/>
      <c r="K2" s="1"/>
    </row>
    <row r="3" spans="1:13">
      <c r="A3" s="1"/>
      <c r="B3" s="1"/>
      <c r="C3" s="1"/>
      <c r="D3" s="1"/>
      <c r="E3" s="1"/>
      <c r="F3" s="1"/>
      <c r="G3" s="1"/>
      <c r="H3" s="1"/>
      <c r="I3" s="1"/>
      <c r="J3" s="1"/>
      <c r="K3" s="1"/>
    </row>
    <row r="4" spans="1:13" ht="15" customHeight="1">
      <c r="A4" s="731" t="s">
        <v>268</v>
      </c>
      <c r="B4" s="732"/>
      <c r="C4" s="732"/>
      <c r="D4" s="732"/>
      <c r="E4" s="732"/>
      <c r="F4" s="732"/>
      <c r="G4" s="732"/>
      <c r="H4" s="732"/>
      <c r="I4" s="732"/>
      <c r="J4" s="732"/>
      <c r="K4" s="733"/>
    </row>
    <row r="5" spans="1:13" ht="15" customHeight="1">
      <c r="A5" s="793" t="s">
        <v>269</v>
      </c>
      <c r="B5" s="794"/>
      <c r="C5" s="794"/>
      <c r="D5" s="794"/>
      <c r="E5" s="794"/>
      <c r="F5" s="794"/>
      <c r="G5" s="794"/>
      <c r="H5" s="794"/>
      <c r="I5" s="794"/>
      <c r="J5" s="794"/>
      <c r="K5" s="795"/>
    </row>
    <row r="6" spans="1:13" ht="15" customHeight="1">
      <c r="A6" s="797"/>
      <c r="B6" s="798"/>
      <c r="C6" s="798"/>
      <c r="D6" s="798"/>
      <c r="E6" s="798"/>
      <c r="F6" s="798"/>
      <c r="G6" s="798"/>
      <c r="H6" s="798"/>
      <c r="I6" s="798"/>
      <c r="J6" s="798"/>
      <c r="K6" s="799"/>
    </row>
    <row r="7" spans="1:13">
      <c r="A7" s="800"/>
      <c r="B7" s="801"/>
      <c r="C7" s="801"/>
      <c r="D7" s="801"/>
      <c r="E7" s="801"/>
      <c r="F7" s="801"/>
      <c r="G7" s="801"/>
      <c r="H7" s="801"/>
      <c r="I7" s="801"/>
      <c r="J7" s="801"/>
      <c r="K7" s="802"/>
    </row>
    <row r="8" spans="1:13">
      <c r="A8" s="1"/>
      <c r="B8" s="1"/>
      <c r="C8" s="1"/>
      <c r="D8" s="1"/>
      <c r="E8" s="1"/>
      <c r="F8" s="1"/>
      <c r="G8" s="1"/>
      <c r="H8" s="1"/>
      <c r="I8" s="1"/>
      <c r="J8" s="1"/>
      <c r="K8" s="1"/>
    </row>
    <row r="9" spans="1:13">
      <c r="A9" s="1"/>
      <c r="B9" s="1"/>
      <c r="C9" s="1"/>
      <c r="D9" s="1"/>
      <c r="E9" s="1"/>
      <c r="F9" s="1"/>
      <c r="G9" s="1"/>
      <c r="H9" s="1"/>
      <c r="I9" s="1"/>
      <c r="J9" s="1"/>
      <c r="K9" s="1"/>
    </row>
    <row r="10" spans="1:13">
      <c r="A10" s="1"/>
      <c r="B10" s="1"/>
      <c r="C10" s="1"/>
      <c r="D10" s="1"/>
      <c r="E10" s="1"/>
      <c r="F10" s="1"/>
      <c r="G10" s="1"/>
      <c r="H10" s="1"/>
      <c r="I10" s="1"/>
      <c r="J10" s="1"/>
      <c r="K10" s="1"/>
    </row>
    <row r="11" spans="1:13">
      <c r="A11" s="1"/>
      <c r="B11" s="1"/>
      <c r="C11" s="1"/>
      <c r="D11" s="1"/>
      <c r="E11" s="1"/>
      <c r="F11" s="1"/>
      <c r="G11" s="1"/>
      <c r="H11" s="1"/>
      <c r="I11" s="1"/>
      <c r="J11" s="1"/>
      <c r="K11" s="1"/>
    </row>
    <row r="12" spans="1:13">
      <c r="A12" s="1"/>
      <c r="B12" s="1"/>
      <c r="C12" s="1"/>
      <c r="D12" s="1"/>
      <c r="E12" s="1"/>
      <c r="F12" s="1"/>
      <c r="G12" s="1"/>
      <c r="H12" s="1"/>
      <c r="I12" s="1"/>
      <c r="J12" s="1"/>
      <c r="K12" s="1"/>
    </row>
  </sheetData>
  <mergeCells count="4">
    <mergeCell ref="A4:K4"/>
    <mergeCell ref="A6:K7"/>
    <mergeCell ref="A5:K5"/>
    <mergeCell ref="G1:H1"/>
  </mergeCells>
  <pageMargins left="0.5" right="0.5"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dimension ref="A1:U331"/>
  <sheetViews>
    <sheetView zoomScale="50" zoomScaleNormal="50" workbookViewId="0">
      <selection activeCell="H178" sqref="H178"/>
    </sheetView>
  </sheetViews>
  <sheetFormatPr defaultColWidth="9.42578125" defaultRowHeight="14.45"/>
  <cols>
    <col min="1" max="1" width="27.42578125" customWidth="1"/>
    <col min="2" max="2" width="20.42578125" customWidth="1"/>
    <col min="3" max="3" width="19" customWidth="1"/>
    <col min="4" max="4" width="22.42578125" customWidth="1"/>
    <col min="5" max="5" width="29.42578125" customWidth="1"/>
    <col min="6" max="6" width="25.42578125" customWidth="1"/>
    <col min="7" max="7" width="18" customWidth="1"/>
    <col min="8" max="8" width="22.42578125" customWidth="1"/>
    <col min="9" max="9" width="22" customWidth="1"/>
    <col min="10" max="10" width="21.42578125" customWidth="1"/>
    <col min="11" max="12" width="10.42578125" customWidth="1"/>
    <col min="14" max="14" width="83.42578125" customWidth="1"/>
  </cols>
  <sheetData>
    <row r="1" spans="1:21">
      <c r="A1" s="10"/>
      <c r="B1" t="s">
        <v>140</v>
      </c>
      <c r="C1" s="11"/>
      <c r="D1" t="s">
        <v>141</v>
      </c>
      <c r="F1" s="32"/>
      <c r="G1" t="s">
        <v>142</v>
      </c>
      <c r="K1" s="12"/>
      <c r="L1" t="s">
        <v>143</v>
      </c>
    </row>
    <row r="2" spans="1:21">
      <c r="F2" s="32"/>
      <c r="K2" s="12"/>
      <c r="N2" s="190"/>
    </row>
    <row r="3" spans="1:21" ht="15" customHeight="1">
      <c r="A3" s="1199" t="s">
        <v>270</v>
      </c>
      <c r="B3" s="1199"/>
      <c r="C3" s="1199"/>
      <c r="D3" s="1199"/>
      <c r="E3" s="1199"/>
      <c r="F3" s="1199"/>
      <c r="G3" s="1199"/>
      <c r="H3" s="1199"/>
      <c r="I3" s="1199"/>
      <c r="J3" s="1199"/>
      <c r="K3" s="1199"/>
      <c r="L3" s="1199"/>
      <c r="N3" s="73"/>
      <c r="O3" s="73"/>
      <c r="P3" s="73"/>
      <c r="Q3" s="73"/>
      <c r="R3" s="73"/>
      <c r="S3" s="73"/>
    </row>
    <row r="4" spans="1:21" s="51" customFormat="1" ht="26.85" customHeight="1">
      <c r="A4" s="873" t="s">
        <v>271</v>
      </c>
      <c r="B4" s="874"/>
      <c r="C4" s="874"/>
      <c r="D4" s="874"/>
      <c r="E4" s="874"/>
      <c r="F4" s="874"/>
      <c r="G4" s="874"/>
      <c r="H4" s="874"/>
      <c r="I4" s="874"/>
      <c r="J4" s="874"/>
      <c r="K4" s="874"/>
      <c r="L4" s="875"/>
      <c r="N4" s="73"/>
      <c r="O4" s="73"/>
      <c r="P4" s="73"/>
      <c r="Q4" s="73"/>
      <c r="R4" s="73"/>
      <c r="S4" s="73"/>
    </row>
    <row r="5" spans="1:21">
      <c r="A5" s="539" t="s">
        <v>169</v>
      </c>
      <c r="B5" s="884" t="s">
        <v>272</v>
      </c>
      <c r="C5" s="885"/>
      <c r="D5" s="886"/>
      <c r="E5" s="598" t="s">
        <v>273</v>
      </c>
      <c r="F5" s="634" t="s">
        <v>274</v>
      </c>
      <c r="G5" s="598" t="s">
        <v>275</v>
      </c>
      <c r="H5" s="934" t="s">
        <v>276</v>
      </c>
      <c r="I5" s="935"/>
      <c r="J5" s="335" t="s">
        <v>277</v>
      </c>
      <c r="K5" s="883" t="s">
        <v>278</v>
      </c>
      <c r="L5" s="883"/>
      <c r="N5" s="73"/>
      <c r="O5" s="73"/>
      <c r="P5" s="73"/>
      <c r="Q5" s="73"/>
      <c r="R5" s="73"/>
      <c r="S5" s="73"/>
    </row>
    <row r="6" spans="1:21">
      <c r="A6" s="109"/>
      <c r="B6" s="110"/>
      <c r="C6" s="110"/>
      <c r="D6" s="110"/>
      <c r="E6" s="111"/>
      <c r="F6" s="111"/>
      <c r="G6" s="42"/>
      <c r="H6" s="42"/>
      <c r="I6" s="42"/>
      <c r="J6" s="42"/>
      <c r="K6" s="42"/>
      <c r="L6" s="75"/>
      <c r="N6" s="73"/>
      <c r="O6" s="73"/>
      <c r="P6" s="73"/>
      <c r="Q6" s="73"/>
      <c r="R6" s="73"/>
      <c r="S6" s="73"/>
    </row>
    <row r="7" spans="1:21">
      <c r="A7" s="876" t="s">
        <v>279</v>
      </c>
      <c r="B7" s="877"/>
      <c r="C7" s="877"/>
      <c r="D7" s="877"/>
      <c r="E7" s="877"/>
      <c r="F7" s="877"/>
      <c r="G7" s="877"/>
      <c r="H7" s="877"/>
      <c r="I7" s="877"/>
      <c r="J7" s="877"/>
      <c r="K7" s="877"/>
      <c r="L7" s="878"/>
      <c r="N7" s="73"/>
      <c r="O7" s="73"/>
      <c r="P7" s="73"/>
      <c r="Q7" s="73"/>
      <c r="R7" s="73"/>
      <c r="S7" s="73"/>
    </row>
    <row r="8" spans="1:21" ht="16.5">
      <c r="A8" s="600" t="s">
        <v>169</v>
      </c>
      <c r="B8" s="98" t="s">
        <v>185</v>
      </c>
      <c r="C8" s="892" t="s">
        <v>280</v>
      </c>
      <c r="D8" s="893"/>
      <c r="E8" s="893"/>
      <c r="F8" s="893"/>
      <c r="G8" s="893"/>
      <c r="H8" s="893"/>
      <c r="I8" s="893"/>
      <c r="J8" s="893"/>
      <c r="K8" s="893"/>
      <c r="L8" s="894"/>
      <c r="N8" s="73"/>
      <c r="O8" s="73"/>
      <c r="P8" s="73"/>
      <c r="Q8" s="73"/>
      <c r="R8" s="73"/>
      <c r="S8" s="73"/>
    </row>
    <row r="9" spans="1:21" ht="18.75" customHeight="1">
      <c r="A9" s="548" t="s">
        <v>173</v>
      </c>
      <c r="B9" s="548" t="s">
        <v>177</v>
      </c>
      <c r="C9" s="548" t="s">
        <v>182</v>
      </c>
      <c r="D9" s="851" t="s">
        <v>171</v>
      </c>
      <c r="E9" s="852"/>
      <c r="F9" s="852"/>
      <c r="G9" s="852"/>
      <c r="H9" s="852"/>
      <c r="I9" s="853"/>
      <c r="J9" s="851" t="s">
        <v>175</v>
      </c>
      <c r="K9" s="852"/>
      <c r="L9" s="853"/>
      <c r="N9" s="73"/>
      <c r="O9" s="73"/>
      <c r="P9" s="73"/>
      <c r="Q9" s="73"/>
      <c r="R9" s="73"/>
      <c r="S9" s="73"/>
    </row>
    <row r="10" spans="1:21" ht="32.25" customHeight="1">
      <c r="A10" s="608" t="s">
        <v>281</v>
      </c>
      <c r="B10" s="95" t="s">
        <v>282</v>
      </c>
      <c r="C10" s="95" t="s">
        <v>283</v>
      </c>
      <c r="D10" s="856" t="s">
        <v>284</v>
      </c>
      <c r="E10" s="857"/>
      <c r="F10" s="857"/>
      <c r="G10" s="857"/>
      <c r="H10" s="857"/>
      <c r="I10" s="857"/>
      <c r="J10" s="822" t="s">
        <v>285</v>
      </c>
      <c r="K10" s="822"/>
      <c r="L10" s="822"/>
      <c r="N10" s="73"/>
      <c r="O10" s="73"/>
      <c r="P10" s="73"/>
      <c r="Q10" s="73"/>
      <c r="R10" s="73"/>
      <c r="S10" s="73"/>
    </row>
    <row r="11" spans="1:21" ht="32.25" customHeight="1">
      <c r="A11" s="323"/>
      <c r="B11" s="324"/>
      <c r="C11" s="565" t="s">
        <v>286</v>
      </c>
      <c r="D11" s="819" t="s">
        <v>286</v>
      </c>
      <c r="E11" s="819"/>
      <c r="F11" s="819"/>
      <c r="G11" s="819"/>
      <c r="H11" s="819"/>
      <c r="I11" s="819"/>
      <c r="J11" s="858" t="s">
        <v>286</v>
      </c>
      <c r="K11" s="859"/>
      <c r="L11" s="860"/>
      <c r="N11" s="73"/>
      <c r="O11" s="73"/>
      <c r="P11" s="73"/>
      <c r="Q11" s="73"/>
      <c r="R11" s="73"/>
      <c r="S11" s="73"/>
    </row>
    <row r="12" spans="1:21" ht="15" customHeight="1">
      <c r="A12" s="836"/>
      <c r="B12" s="837"/>
      <c r="C12" s="837"/>
      <c r="D12" s="837"/>
      <c r="E12" s="837"/>
      <c r="F12" s="837"/>
      <c r="G12" s="837"/>
      <c r="H12" s="837"/>
      <c r="I12" s="838"/>
      <c r="J12" s="253" t="s">
        <v>287</v>
      </c>
      <c r="K12" s="625" t="s">
        <v>288</v>
      </c>
      <c r="L12" s="626" t="s">
        <v>289</v>
      </c>
      <c r="N12" s="73"/>
      <c r="O12" s="73"/>
      <c r="P12" s="73"/>
      <c r="Q12" s="73"/>
      <c r="R12" s="73"/>
      <c r="S12" s="73"/>
    </row>
    <row r="13" spans="1:21" ht="15" customHeight="1">
      <c r="A13" s="438" t="s">
        <v>180</v>
      </c>
      <c r="B13" s="438" t="s">
        <v>184</v>
      </c>
      <c r="C13" s="439" t="s">
        <v>290</v>
      </c>
      <c r="D13" s="438" t="s">
        <v>291</v>
      </c>
      <c r="E13" s="439" t="s">
        <v>292</v>
      </c>
      <c r="F13" s="440" t="s">
        <v>293</v>
      </c>
      <c r="G13" s="566" t="s">
        <v>294</v>
      </c>
      <c r="H13" s="566" t="s">
        <v>295</v>
      </c>
      <c r="I13" s="863" t="s">
        <v>296</v>
      </c>
      <c r="J13" s="864"/>
      <c r="K13" s="855" t="s">
        <v>297</v>
      </c>
      <c r="L13" s="855"/>
      <c r="N13" s="73"/>
      <c r="O13" s="73"/>
      <c r="P13" s="73"/>
      <c r="Q13" s="73"/>
      <c r="R13" s="73"/>
      <c r="S13" s="73"/>
      <c r="T13" s="73"/>
      <c r="U13" s="73"/>
    </row>
    <row r="14" spans="1:21" s="48" customFormat="1" ht="25.5">
      <c r="A14" s="572" t="s">
        <v>281</v>
      </c>
      <c r="B14" s="563" t="s">
        <v>298</v>
      </c>
      <c r="C14" s="563" t="s">
        <v>299</v>
      </c>
      <c r="D14" s="563" t="s">
        <v>300</v>
      </c>
      <c r="E14" s="563" t="s">
        <v>301</v>
      </c>
      <c r="F14" s="563" t="s">
        <v>302</v>
      </c>
      <c r="G14" s="441" t="s">
        <v>303</v>
      </c>
      <c r="H14" s="563" t="s">
        <v>304</v>
      </c>
      <c r="I14" s="861" t="s">
        <v>305</v>
      </c>
      <c r="J14" s="862"/>
      <c r="K14" s="807" t="s">
        <v>306</v>
      </c>
      <c r="L14" s="807"/>
      <c r="N14" s="73"/>
      <c r="O14" s="73"/>
      <c r="P14" s="73"/>
      <c r="Q14" s="73"/>
      <c r="R14" s="73"/>
      <c r="S14" s="73"/>
      <c r="T14" s="73"/>
      <c r="U14" s="73"/>
    </row>
    <row r="15" spans="1:21">
      <c r="A15" s="868" t="s">
        <v>307</v>
      </c>
      <c r="B15" s="879" t="s">
        <v>286</v>
      </c>
      <c r="C15" s="568" t="s">
        <v>286</v>
      </c>
      <c r="D15" s="561" t="s">
        <v>286</v>
      </c>
      <c r="E15" s="561" t="s">
        <v>286</v>
      </c>
      <c r="F15" s="561" t="s">
        <v>286</v>
      </c>
      <c r="G15" s="839" t="s">
        <v>286</v>
      </c>
      <c r="H15" s="866" t="s">
        <v>308</v>
      </c>
      <c r="I15" s="97" t="s">
        <v>309</v>
      </c>
      <c r="J15" s="561" t="s">
        <v>308</v>
      </c>
      <c r="K15" s="841"/>
      <c r="L15" s="841"/>
      <c r="N15" s="73"/>
      <c r="O15" s="73"/>
      <c r="P15" s="73"/>
      <c r="Q15" s="73"/>
      <c r="R15" s="73"/>
      <c r="S15" s="73"/>
      <c r="T15" s="73"/>
      <c r="U15" s="73"/>
    </row>
    <row r="16" spans="1:21">
      <c r="A16" s="868"/>
      <c r="B16" s="880"/>
      <c r="C16" s="544"/>
      <c r="D16" s="544"/>
      <c r="E16" s="591"/>
      <c r="F16" s="544"/>
      <c r="G16" s="839"/>
      <c r="H16" s="867"/>
      <c r="I16" s="97" t="s">
        <v>310</v>
      </c>
      <c r="J16" s="284"/>
      <c r="K16" s="841"/>
      <c r="L16" s="841"/>
      <c r="N16" s="73"/>
      <c r="O16" s="73"/>
      <c r="P16" s="73"/>
      <c r="Q16" s="73"/>
      <c r="R16" s="73"/>
      <c r="S16" s="73"/>
      <c r="T16" s="73"/>
      <c r="U16" s="73"/>
    </row>
    <row r="17" spans="1:21" ht="30.6" customHeight="1">
      <c r="A17" s="529">
        <v>17</v>
      </c>
      <c r="B17" s="961" t="s">
        <v>311</v>
      </c>
      <c r="C17" s="962"/>
      <c r="D17" s="937"/>
      <c r="E17" s="937"/>
      <c r="F17" s="937"/>
      <c r="G17" s="937"/>
      <c r="H17" s="937"/>
      <c r="I17" s="937"/>
      <c r="J17" s="937"/>
      <c r="K17" s="937"/>
      <c r="L17" s="937"/>
      <c r="N17" s="73"/>
      <c r="O17" s="73"/>
      <c r="P17" s="73"/>
      <c r="Q17" s="73"/>
      <c r="R17" s="73"/>
      <c r="S17" s="73"/>
      <c r="T17" s="73"/>
      <c r="U17" s="73"/>
    </row>
    <row r="18" spans="1:21" ht="30.75" customHeight="1">
      <c r="A18" s="869" t="s">
        <v>312</v>
      </c>
      <c r="B18" s="869"/>
      <c r="C18" s="869"/>
      <c r="D18" s="881"/>
      <c r="E18" s="881"/>
      <c r="F18" s="881"/>
      <c r="G18" s="881"/>
      <c r="H18" s="881"/>
      <c r="I18" s="882"/>
      <c r="N18" s="73"/>
      <c r="O18" s="73"/>
      <c r="P18" s="73"/>
      <c r="Q18" s="73"/>
      <c r="R18" s="73"/>
      <c r="S18" s="73"/>
      <c r="T18" s="73"/>
      <c r="U18" s="73"/>
    </row>
    <row r="19" spans="1:21" ht="21" customHeight="1">
      <c r="A19" s="849" t="s">
        <v>313</v>
      </c>
      <c r="B19" s="849"/>
      <c r="C19" s="849"/>
      <c r="D19" s="849"/>
      <c r="E19" s="849"/>
      <c r="F19" s="849"/>
      <c r="G19" s="849"/>
      <c r="H19" s="849"/>
      <c r="I19" s="849"/>
      <c r="N19" s="73"/>
      <c r="O19" s="73"/>
      <c r="P19" s="73"/>
      <c r="Q19" s="73"/>
      <c r="R19" s="73"/>
      <c r="S19" s="73"/>
      <c r="T19" s="73"/>
      <c r="U19" s="73"/>
    </row>
    <row r="20" spans="1:21" ht="31.5" customHeight="1">
      <c r="A20" s="849" t="s">
        <v>314</v>
      </c>
      <c r="B20" s="849"/>
      <c r="C20" s="849"/>
      <c r="D20" s="849"/>
      <c r="E20" s="849"/>
      <c r="F20" s="849"/>
      <c r="G20" s="849"/>
      <c r="H20" s="849"/>
      <c r="I20" s="849"/>
      <c r="K20" s="635"/>
      <c r="N20" s="73"/>
      <c r="O20" s="73"/>
      <c r="P20" s="73"/>
      <c r="Q20" s="73"/>
      <c r="R20" s="73"/>
      <c r="S20" s="73"/>
      <c r="T20" s="73"/>
      <c r="U20" s="73"/>
    </row>
    <row r="21" spans="1:21" ht="16.5" customHeight="1">
      <c r="A21" s="850" t="s">
        <v>315</v>
      </c>
      <c r="B21" s="850"/>
      <c r="C21" s="850"/>
      <c r="D21" s="850"/>
      <c r="E21" s="850"/>
      <c r="F21" s="850"/>
      <c r="G21" s="850"/>
      <c r="H21" s="850"/>
      <c r="I21" s="850"/>
      <c r="N21" s="73"/>
      <c r="O21" s="73"/>
      <c r="P21" s="73"/>
      <c r="Q21" s="73"/>
      <c r="R21" s="73"/>
      <c r="S21" s="73"/>
      <c r="T21" s="73"/>
      <c r="U21" s="73"/>
    </row>
    <row r="22" spans="1:21" ht="16.5" customHeight="1">
      <c r="A22" s="559"/>
      <c r="B22" s="635"/>
      <c r="C22" s="121" t="s">
        <v>316</v>
      </c>
      <c r="D22" s="830" t="s">
        <v>317</v>
      </c>
      <c r="E22" s="830"/>
      <c r="F22" s="830"/>
      <c r="G22" s="830"/>
      <c r="H22" s="830"/>
      <c r="I22" s="830"/>
      <c r="J22" s="826" t="s">
        <v>318</v>
      </c>
      <c r="K22" s="826"/>
      <c r="L22" s="826"/>
      <c r="N22" s="73"/>
      <c r="O22" s="73"/>
      <c r="P22" s="73"/>
      <c r="Q22" s="73"/>
      <c r="R22" s="73"/>
      <c r="S22" s="73"/>
      <c r="T22" s="73"/>
      <c r="U22" s="73"/>
    </row>
    <row r="23" spans="1:21" ht="16.5" customHeight="1">
      <c r="A23" s="559"/>
      <c r="B23" s="635"/>
      <c r="C23" s="554" t="s">
        <v>319</v>
      </c>
      <c r="D23" s="846" t="s">
        <v>320</v>
      </c>
      <c r="E23" s="846"/>
      <c r="F23" s="846"/>
      <c r="G23" s="846"/>
      <c r="H23" s="846"/>
      <c r="I23" s="846"/>
      <c r="J23" s="828" t="s">
        <v>321</v>
      </c>
      <c r="K23" s="828"/>
      <c r="L23" s="828"/>
      <c r="N23" s="73"/>
      <c r="O23" s="73"/>
      <c r="P23" s="73"/>
      <c r="Q23" s="73"/>
      <c r="R23" s="73"/>
      <c r="S23" s="73"/>
      <c r="T23" s="73"/>
      <c r="U23" s="73"/>
    </row>
    <row r="24" spans="1:21" ht="27" customHeight="1">
      <c r="A24" s="559"/>
      <c r="B24" s="635"/>
      <c r="C24" s="554" t="s">
        <v>322</v>
      </c>
      <c r="D24" s="847" t="s">
        <v>323</v>
      </c>
      <c r="E24" s="847"/>
      <c r="F24" s="847"/>
      <c r="G24" s="847"/>
      <c r="H24" s="847"/>
      <c r="I24" s="847"/>
      <c r="J24" s="818" t="s">
        <v>192</v>
      </c>
      <c r="K24" s="818"/>
      <c r="L24" s="818"/>
      <c r="N24" s="73"/>
      <c r="O24" s="73"/>
      <c r="P24" s="73"/>
      <c r="Q24" s="73"/>
      <c r="R24" s="73"/>
      <c r="S24" s="73"/>
      <c r="T24" s="73"/>
      <c r="U24" s="73"/>
    </row>
    <row r="25" spans="1:21" ht="26.25" customHeight="1">
      <c r="A25" s="559"/>
      <c r="B25" s="635"/>
      <c r="D25" s="817" t="s">
        <v>324</v>
      </c>
      <c r="E25" s="817"/>
      <c r="F25" s="817"/>
      <c r="G25" s="817"/>
      <c r="H25" s="817"/>
      <c r="I25" s="817"/>
      <c r="J25" s="818" t="s">
        <v>325</v>
      </c>
      <c r="K25" s="818"/>
      <c r="L25" s="818"/>
      <c r="N25" s="73"/>
      <c r="O25" s="73"/>
      <c r="P25" s="73"/>
      <c r="Q25" s="73"/>
      <c r="R25" s="73"/>
      <c r="S25" s="73"/>
      <c r="T25" s="73"/>
      <c r="U25" s="73"/>
    </row>
    <row r="26" spans="1:21" ht="17.25" customHeight="1">
      <c r="A26" s="559"/>
      <c r="B26" s="635"/>
      <c r="D26" s="848" t="s">
        <v>326</v>
      </c>
      <c r="E26" s="848"/>
      <c r="F26" s="848"/>
      <c r="G26" s="848"/>
      <c r="H26" s="848"/>
      <c r="I26" s="865"/>
      <c r="J26" s="334"/>
      <c r="K26" s="334"/>
      <c r="L26" s="334"/>
      <c r="N26" s="73"/>
      <c r="O26" s="73"/>
      <c r="P26" s="73"/>
      <c r="Q26" s="73"/>
      <c r="R26" s="73"/>
      <c r="S26" s="73"/>
      <c r="T26" s="73"/>
      <c r="U26" s="73"/>
    </row>
    <row r="27" spans="1:21" ht="16.5" customHeight="1">
      <c r="A27" s="559"/>
      <c r="B27" s="635"/>
      <c r="N27" s="73"/>
      <c r="O27" s="73"/>
      <c r="P27" s="73"/>
      <c r="Q27" s="73"/>
      <c r="R27" s="73"/>
      <c r="S27" s="73"/>
      <c r="T27" s="73"/>
      <c r="U27" s="73"/>
    </row>
    <row r="28" spans="1:21" ht="21.75" customHeight="1">
      <c r="B28" s="546" t="s">
        <v>327</v>
      </c>
      <c r="C28" s="546" t="s">
        <v>328</v>
      </c>
      <c r="D28" s="191" t="s">
        <v>329</v>
      </c>
      <c r="E28" s="546" t="s">
        <v>330</v>
      </c>
      <c r="F28" s="191" t="s">
        <v>331</v>
      </c>
      <c r="G28" s="546" t="s">
        <v>332</v>
      </c>
      <c r="J28" s="871"/>
      <c r="K28" s="100"/>
      <c r="N28" s="73"/>
      <c r="O28" s="73"/>
      <c r="P28" s="73"/>
      <c r="Q28" s="73"/>
      <c r="R28" s="73"/>
      <c r="S28" s="73"/>
      <c r="T28" s="73"/>
      <c r="U28" s="73"/>
    </row>
    <row r="29" spans="1:21">
      <c r="B29" s="613" t="s">
        <v>333</v>
      </c>
      <c r="C29" s="613" t="s">
        <v>334</v>
      </c>
      <c r="D29" s="546" t="s">
        <v>335</v>
      </c>
      <c r="E29" s="546" t="s">
        <v>336</v>
      </c>
      <c r="F29" s="546" t="s">
        <v>337</v>
      </c>
      <c r="G29" s="613" t="s">
        <v>338</v>
      </c>
      <c r="J29" s="871"/>
      <c r="K29" s="872" t="s">
        <v>339</v>
      </c>
      <c r="L29" s="872"/>
      <c r="M29" s="872"/>
      <c r="N29" s="73"/>
      <c r="O29" s="73"/>
      <c r="P29" s="73"/>
      <c r="Q29" s="73"/>
      <c r="R29" s="73"/>
      <c r="S29" s="73"/>
      <c r="T29" s="73"/>
      <c r="U29" s="73"/>
    </row>
    <row r="30" spans="1:21">
      <c r="B30" s="613" t="s">
        <v>340</v>
      </c>
      <c r="C30" s="613" t="s">
        <v>341</v>
      </c>
      <c r="D30" s="613" t="s">
        <v>342</v>
      </c>
      <c r="E30" s="613" t="s">
        <v>343</v>
      </c>
      <c r="F30" s="613" t="s">
        <v>343</v>
      </c>
      <c r="G30" s="613" t="s">
        <v>344</v>
      </c>
      <c r="J30" s="871"/>
      <c r="K30" s="100"/>
      <c r="N30" s="73"/>
      <c r="O30" s="73"/>
      <c r="P30" s="73"/>
      <c r="Q30" s="73"/>
      <c r="R30" s="73"/>
      <c r="S30" s="73"/>
      <c r="T30" s="73"/>
      <c r="U30" s="73"/>
    </row>
    <row r="31" spans="1:21">
      <c r="B31" s="613" t="s">
        <v>345</v>
      </c>
      <c r="C31" s="613" t="s">
        <v>346</v>
      </c>
      <c r="D31" s="613" t="s">
        <v>347</v>
      </c>
      <c r="E31" s="613" t="s">
        <v>348</v>
      </c>
      <c r="F31" s="613" t="s">
        <v>349</v>
      </c>
      <c r="J31" s="871"/>
      <c r="K31" s="100"/>
      <c r="N31" s="73"/>
      <c r="O31" s="73"/>
      <c r="P31" s="73"/>
      <c r="Q31" s="73"/>
      <c r="R31" s="73"/>
      <c r="S31" s="73"/>
      <c r="T31" s="73"/>
      <c r="U31" s="73"/>
    </row>
    <row r="32" spans="1:21">
      <c r="C32" s="613" t="s">
        <v>350</v>
      </c>
      <c r="D32" s="546" t="s">
        <v>351</v>
      </c>
      <c r="E32" s="610" t="s">
        <v>352</v>
      </c>
      <c r="F32" s="613" t="s">
        <v>353</v>
      </c>
      <c r="J32" s="871"/>
      <c r="K32" s="100"/>
    </row>
    <row r="33" spans="4:11">
      <c r="D33" s="613" t="s">
        <v>342</v>
      </c>
      <c r="E33" s="610" t="s">
        <v>354</v>
      </c>
      <c r="F33" s="613" t="s">
        <v>355</v>
      </c>
      <c r="J33" s="871"/>
      <c r="K33" s="100"/>
    </row>
    <row r="34" spans="4:11">
      <c r="D34" s="613" t="s">
        <v>356</v>
      </c>
      <c r="E34" s="610" t="s">
        <v>357</v>
      </c>
      <c r="F34" s="613" t="s">
        <v>358</v>
      </c>
      <c r="J34" s="871"/>
      <c r="K34" s="100"/>
    </row>
    <row r="35" spans="4:11">
      <c r="D35" s="613" t="s">
        <v>359</v>
      </c>
      <c r="E35" s="610" t="s">
        <v>360</v>
      </c>
      <c r="F35" s="613" t="s">
        <v>361</v>
      </c>
      <c r="J35" s="871"/>
    </row>
    <row r="36" spans="4:11">
      <c r="D36" s="613" t="s">
        <v>362</v>
      </c>
      <c r="E36" s="610" t="s">
        <v>363</v>
      </c>
      <c r="F36" s="613" t="s">
        <v>364</v>
      </c>
      <c r="H36" s="43"/>
      <c r="J36" s="871"/>
    </row>
    <row r="37" spans="4:11">
      <c r="D37" s="613" t="s">
        <v>365</v>
      </c>
      <c r="E37" s="610" t="s">
        <v>366</v>
      </c>
      <c r="F37" s="613" t="s">
        <v>367</v>
      </c>
      <c r="G37" s="43"/>
      <c r="H37" s="43"/>
      <c r="J37" s="871"/>
    </row>
    <row r="38" spans="4:11">
      <c r="D38" s="613" t="s">
        <v>368</v>
      </c>
      <c r="E38" s="610" t="s">
        <v>369</v>
      </c>
      <c r="F38" s="233"/>
      <c r="H38" s="43"/>
      <c r="J38" s="871"/>
    </row>
    <row r="39" spans="4:11">
      <c r="D39" s="613" t="s">
        <v>347</v>
      </c>
      <c r="E39" s="610" t="s">
        <v>370</v>
      </c>
      <c r="F39" s="435" t="s">
        <v>331</v>
      </c>
      <c r="J39" s="871"/>
    </row>
    <row r="40" spans="4:11">
      <c r="D40" s="613" t="s">
        <v>371</v>
      </c>
      <c r="E40" s="610" t="s">
        <v>372</v>
      </c>
      <c r="F40" s="434" t="s">
        <v>337</v>
      </c>
      <c r="J40" s="871"/>
    </row>
    <row r="41" spans="4:11">
      <c r="D41" s="613" t="s">
        <v>373</v>
      </c>
      <c r="E41" s="610" t="s">
        <v>374</v>
      </c>
      <c r="F41" s="547" t="s">
        <v>343</v>
      </c>
    </row>
    <row r="42" spans="4:11">
      <c r="D42" s="613" t="s">
        <v>375</v>
      </c>
      <c r="E42" s="546" t="s">
        <v>376</v>
      </c>
      <c r="F42" s="547" t="s">
        <v>349</v>
      </c>
    </row>
    <row r="43" spans="4:11">
      <c r="D43" s="613" t="s">
        <v>377</v>
      </c>
      <c r="E43" s="613" t="s">
        <v>343</v>
      </c>
      <c r="F43" s="547" t="s">
        <v>353</v>
      </c>
    </row>
    <row r="44" spans="4:11">
      <c r="D44" s="613" t="s">
        <v>378</v>
      </c>
      <c r="E44" s="613" t="s">
        <v>348</v>
      </c>
      <c r="F44" s="547" t="s">
        <v>355</v>
      </c>
    </row>
    <row r="45" spans="4:11">
      <c r="E45" s="613" t="s">
        <v>352</v>
      </c>
      <c r="F45" s="547" t="s">
        <v>358</v>
      </c>
    </row>
    <row r="46" spans="4:11">
      <c r="E46" s="613" t="s">
        <v>379</v>
      </c>
      <c r="F46" s="547" t="s">
        <v>361</v>
      </c>
    </row>
    <row r="47" spans="4:11">
      <c r="E47" s="613" t="s">
        <v>380</v>
      </c>
      <c r="F47" s="547" t="s">
        <v>364</v>
      </c>
    </row>
    <row r="48" spans="4:11">
      <c r="E48" s="613" t="s">
        <v>381</v>
      </c>
      <c r="F48" s="547" t="s">
        <v>367</v>
      </c>
    </row>
    <row r="49" spans="5:6">
      <c r="E49" s="546" t="s">
        <v>382</v>
      </c>
      <c r="F49" s="547" t="s">
        <v>383</v>
      </c>
    </row>
    <row r="50" spans="5:6">
      <c r="E50" s="613" t="s">
        <v>343</v>
      </c>
      <c r="F50" s="547" t="s">
        <v>384</v>
      </c>
    </row>
    <row r="51" spans="5:6">
      <c r="E51" s="613" t="s">
        <v>348</v>
      </c>
      <c r="F51" s="547" t="s">
        <v>385</v>
      </c>
    </row>
    <row r="52" spans="5:6">
      <c r="E52" s="613" t="s">
        <v>352</v>
      </c>
    </row>
    <row r="53" spans="5:6">
      <c r="E53" s="613" t="s">
        <v>379</v>
      </c>
    </row>
    <row r="54" spans="5:6">
      <c r="E54" s="613" t="s">
        <v>354</v>
      </c>
    </row>
    <row r="55" spans="5:6">
      <c r="E55" s="613" t="s">
        <v>357</v>
      </c>
    </row>
    <row r="56" spans="5:6">
      <c r="E56" s="546" t="s">
        <v>386</v>
      </c>
    </row>
    <row r="57" spans="5:6">
      <c r="E57" s="613" t="s">
        <v>343</v>
      </c>
    </row>
    <row r="58" spans="5:6">
      <c r="E58" s="613" t="s">
        <v>354</v>
      </c>
    </row>
    <row r="59" spans="5:6">
      <c r="E59" s="613" t="s">
        <v>357</v>
      </c>
    </row>
    <row r="60" spans="5:6">
      <c r="E60" s="546" t="s">
        <v>387</v>
      </c>
    </row>
    <row r="61" spans="5:6">
      <c r="E61" s="613" t="s">
        <v>343</v>
      </c>
    </row>
    <row r="62" spans="5:6">
      <c r="E62" s="613" t="s">
        <v>360</v>
      </c>
    </row>
    <row r="63" spans="5:6">
      <c r="E63" s="613" t="s">
        <v>363</v>
      </c>
    </row>
    <row r="64" spans="5:6">
      <c r="E64" s="613" t="s">
        <v>366</v>
      </c>
    </row>
    <row r="65" spans="1:19">
      <c r="E65" s="546" t="s">
        <v>388</v>
      </c>
    </row>
    <row r="66" spans="1:19">
      <c r="E66" s="613" t="s">
        <v>343</v>
      </c>
    </row>
    <row r="67" spans="1:19">
      <c r="E67" s="613" t="s">
        <v>366</v>
      </c>
    </row>
    <row r="68" spans="1:19">
      <c r="E68" s="613" t="s">
        <v>369</v>
      </c>
    </row>
    <row r="69" spans="1:19">
      <c r="E69" s="546" t="s">
        <v>389</v>
      </c>
    </row>
    <row r="70" spans="1:19">
      <c r="E70" s="613" t="s">
        <v>343</v>
      </c>
    </row>
    <row r="71" spans="1:19">
      <c r="E71" s="613" t="s">
        <v>369</v>
      </c>
      <c r="F71" s="114"/>
    </row>
    <row r="72" spans="1:19">
      <c r="A72" s="1200" t="s">
        <v>390</v>
      </c>
      <c r="B72" s="1201"/>
      <c r="C72" s="1201"/>
      <c r="D72" s="1201"/>
      <c r="E72" s="1201"/>
      <c r="F72" s="1201"/>
      <c r="G72" s="1201"/>
      <c r="H72" s="1201"/>
      <c r="I72" s="1201"/>
      <c r="J72" s="1201"/>
      <c r="K72" s="1201"/>
      <c r="L72" s="1202"/>
      <c r="N72" s="73"/>
      <c r="O72" s="73"/>
      <c r="P72" s="73"/>
      <c r="Q72" s="73"/>
      <c r="R72" s="73"/>
      <c r="S72" s="73"/>
    </row>
    <row r="73" spans="1:19" ht="16.5">
      <c r="A73" s="437" t="s">
        <v>169</v>
      </c>
      <c r="B73" s="98" t="s">
        <v>185</v>
      </c>
      <c r="C73" s="895" t="s">
        <v>391</v>
      </c>
      <c r="D73" s="896"/>
      <c r="E73" s="896"/>
      <c r="F73" s="896"/>
      <c r="G73" s="896"/>
      <c r="H73" s="896"/>
      <c r="I73" s="896"/>
      <c r="J73" s="896"/>
      <c r="K73" s="896"/>
      <c r="L73" s="897"/>
      <c r="N73" s="73"/>
      <c r="O73" s="73"/>
      <c r="P73" s="73"/>
      <c r="Q73" s="73"/>
      <c r="R73" s="73"/>
      <c r="S73" s="73"/>
    </row>
    <row r="74" spans="1:19" ht="18.75" customHeight="1">
      <c r="A74" s="582" t="s">
        <v>173</v>
      </c>
      <c r="B74" s="582" t="s">
        <v>177</v>
      </c>
      <c r="C74" s="582" t="s">
        <v>182</v>
      </c>
      <c r="D74" s="887" t="s">
        <v>171</v>
      </c>
      <c r="E74" s="888"/>
      <c r="F74" s="888"/>
      <c r="G74" s="888"/>
      <c r="H74" s="888"/>
      <c r="I74" s="889"/>
      <c r="J74" s="887" t="s">
        <v>175</v>
      </c>
      <c r="K74" s="888"/>
      <c r="L74" s="889"/>
      <c r="N74" s="73"/>
      <c r="O74" s="73"/>
      <c r="P74" s="73"/>
      <c r="Q74" s="73"/>
      <c r="R74" s="73"/>
      <c r="S74" s="73"/>
    </row>
    <row r="75" spans="1:19" ht="32.25" customHeight="1">
      <c r="A75" s="572" t="s">
        <v>281</v>
      </c>
      <c r="B75" s="581" t="s">
        <v>282</v>
      </c>
      <c r="C75" s="581" t="s">
        <v>283</v>
      </c>
      <c r="D75" s="890" t="s">
        <v>284</v>
      </c>
      <c r="E75" s="891"/>
      <c r="F75" s="891"/>
      <c r="G75" s="891"/>
      <c r="H75" s="891"/>
      <c r="I75" s="891"/>
      <c r="J75" s="845" t="s">
        <v>285</v>
      </c>
      <c r="K75" s="845"/>
      <c r="L75" s="845"/>
      <c r="N75" s="73"/>
      <c r="O75" s="73"/>
      <c r="P75" s="73"/>
      <c r="Q75" s="73"/>
      <c r="R75" s="73"/>
      <c r="S75" s="73"/>
    </row>
    <row r="76" spans="1:19" ht="32.25" customHeight="1">
      <c r="A76" s="323"/>
      <c r="B76" s="324"/>
      <c r="C76" s="565" t="s">
        <v>286</v>
      </c>
      <c r="D76" s="819" t="s">
        <v>286</v>
      </c>
      <c r="E76" s="819"/>
      <c r="F76" s="819"/>
      <c r="G76" s="819"/>
      <c r="H76" s="819"/>
      <c r="I76" s="819"/>
      <c r="J76" s="858" t="s">
        <v>286</v>
      </c>
      <c r="K76" s="859"/>
      <c r="L76" s="860"/>
      <c r="N76" s="73"/>
      <c r="O76" s="73"/>
      <c r="P76" s="73"/>
      <c r="Q76" s="73"/>
      <c r="R76" s="73"/>
      <c r="S76" s="73"/>
    </row>
    <row r="77" spans="1:19" ht="15" customHeight="1">
      <c r="A77" s="836"/>
      <c r="B77" s="837"/>
      <c r="C77" s="837"/>
      <c r="D77" s="837"/>
      <c r="E77" s="837"/>
      <c r="F77" s="837"/>
      <c r="G77" s="837"/>
      <c r="H77" s="837"/>
      <c r="I77" s="838"/>
      <c r="J77" s="253" t="s">
        <v>287</v>
      </c>
      <c r="K77" s="625" t="s">
        <v>288</v>
      </c>
      <c r="L77" s="626" t="s">
        <v>289</v>
      </c>
      <c r="N77" s="73"/>
      <c r="O77" s="73"/>
      <c r="P77" s="73"/>
      <c r="Q77" s="73"/>
      <c r="R77" s="73"/>
      <c r="S77" s="73"/>
    </row>
    <row r="78" spans="1:19">
      <c r="A78" s="438" t="s">
        <v>180</v>
      </c>
      <c r="B78" s="438" t="s">
        <v>184</v>
      </c>
      <c r="C78" s="439" t="s">
        <v>290</v>
      </c>
      <c r="D78" s="438" t="s">
        <v>291</v>
      </c>
      <c r="E78" s="439" t="s">
        <v>292</v>
      </c>
      <c r="F78" s="440" t="s">
        <v>293</v>
      </c>
      <c r="G78" s="566" t="s">
        <v>294</v>
      </c>
      <c r="H78" s="566" t="s">
        <v>295</v>
      </c>
      <c r="I78" s="855" t="s">
        <v>296</v>
      </c>
      <c r="J78" s="855"/>
      <c r="K78" s="854">
        <v>16</v>
      </c>
      <c r="L78" s="854"/>
      <c r="N78" s="73"/>
      <c r="O78" s="73"/>
      <c r="P78" s="73"/>
      <c r="Q78" s="73"/>
      <c r="R78" s="73"/>
      <c r="S78" s="73"/>
    </row>
    <row r="79" spans="1:19" ht="48" customHeight="1">
      <c r="A79" s="445" t="s">
        <v>281</v>
      </c>
      <c r="B79" s="585" t="s">
        <v>298</v>
      </c>
      <c r="C79" s="563" t="s">
        <v>392</v>
      </c>
      <c r="D79" s="585" t="s">
        <v>393</v>
      </c>
      <c r="E79" s="585" t="s">
        <v>394</v>
      </c>
      <c r="F79" s="585" t="s">
        <v>331</v>
      </c>
      <c r="G79" s="441" t="s">
        <v>303</v>
      </c>
      <c r="H79" s="563" t="s">
        <v>304</v>
      </c>
      <c r="I79" s="807" t="s">
        <v>395</v>
      </c>
      <c r="J79" s="807"/>
      <c r="K79" s="807" t="s">
        <v>306</v>
      </c>
      <c r="L79" s="807"/>
      <c r="N79" s="73"/>
      <c r="O79" s="73"/>
      <c r="P79" s="73"/>
      <c r="Q79" s="73"/>
      <c r="R79" s="73"/>
      <c r="S79" s="73"/>
    </row>
    <row r="80" spans="1:19">
      <c r="A80" s="868" t="s">
        <v>307</v>
      </c>
      <c r="B80" s="879" t="s">
        <v>286</v>
      </c>
      <c r="C80" s="561" t="s">
        <v>286</v>
      </c>
      <c r="D80" s="561" t="s">
        <v>286</v>
      </c>
      <c r="E80" s="561" t="s">
        <v>286</v>
      </c>
      <c r="F80" s="561" t="s">
        <v>286</v>
      </c>
      <c r="G80" s="839" t="s">
        <v>286</v>
      </c>
      <c r="H80" s="866" t="s">
        <v>308</v>
      </c>
      <c r="I80" s="97" t="s">
        <v>309</v>
      </c>
      <c r="J80" s="561" t="s">
        <v>308</v>
      </c>
      <c r="K80" s="841"/>
      <c r="L80" s="841"/>
      <c r="N80" s="73"/>
      <c r="O80" s="73"/>
      <c r="P80" s="73"/>
      <c r="Q80" s="73"/>
      <c r="R80" s="73"/>
      <c r="S80" s="73"/>
    </row>
    <row r="81" spans="1:21">
      <c r="A81" s="868"/>
      <c r="B81" s="880"/>
      <c r="C81" s="544"/>
      <c r="D81" s="591"/>
      <c r="E81" s="544"/>
      <c r="F81" s="544"/>
      <c r="G81" s="839"/>
      <c r="H81" s="867"/>
      <c r="I81" s="97" t="s">
        <v>310</v>
      </c>
      <c r="J81" s="284"/>
      <c r="K81" s="841"/>
      <c r="L81" s="841"/>
      <c r="N81" s="73"/>
      <c r="O81" s="73"/>
      <c r="P81" s="73"/>
      <c r="Q81" s="73"/>
      <c r="R81" s="73"/>
      <c r="S81" s="73"/>
    </row>
    <row r="82" spans="1:21" ht="30.6" customHeight="1">
      <c r="A82" s="529">
        <v>17</v>
      </c>
      <c r="B82" s="961" t="s">
        <v>311</v>
      </c>
      <c r="C82" s="962"/>
      <c r="D82" s="937"/>
      <c r="E82" s="937"/>
      <c r="F82" s="937"/>
      <c r="G82" s="937"/>
      <c r="H82" s="937"/>
      <c r="I82" s="937"/>
      <c r="J82" s="937"/>
      <c r="K82" s="937"/>
      <c r="L82" s="937"/>
      <c r="N82" s="73"/>
      <c r="O82" s="73"/>
      <c r="P82" s="73"/>
      <c r="Q82" s="73"/>
      <c r="R82" s="73"/>
      <c r="S82" s="73"/>
      <c r="T82" s="73"/>
      <c r="U82" s="73"/>
    </row>
    <row r="83" spans="1:21" ht="30.6" customHeight="1">
      <c r="A83" s="869" t="s">
        <v>396</v>
      </c>
      <c r="B83" s="869"/>
      <c r="C83" s="869"/>
      <c r="D83" s="869"/>
      <c r="E83" s="869"/>
      <c r="F83" s="869"/>
      <c r="G83" s="869"/>
      <c r="H83" s="869"/>
      <c r="I83" s="869"/>
      <c r="J83" s="2"/>
      <c r="K83" s="2"/>
      <c r="L83" s="2"/>
      <c r="N83" s="73"/>
      <c r="O83" s="73"/>
      <c r="P83" s="73"/>
      <c r="Q83" s="73"/>
      <c r="R83" s="73"/>
      <c r="S83" s="73"/>
      <c r="T83" s="73"/>
      <c r="U83" s="73"/>
    </row>
    <row r="84" spans="1:21" ht="30.75" customHeight="1">
      <c r="A84" s="849" t="s">
        <v>313</v>
      </c>
      <c r="B84" s="849"/>
      <c r="C84" s="849"/>
      <c r="D84" s="849"/>
      <c r="E84" s="849"/>
      <c r="F84" s="849"/>
      <c r="G84" s="849"/>
      <c r="H84" s="849"/>
      <c r="I84" s="849"/>
      <c r="J84" s="2"/>
      <c r="K84" s="2"/>
      <c r="L84" s="2"/>
      <c r="N84" s="73"/>
      <c r="O84" s="73"/>
      <c r="P84" s="73"/>
      <c r="Q84" s="73"/>
      <c r="R84" s="73"/>
      <c r="S84" s="73"/>
      <c r="T84" s="73"/>
      <c r="U84" s="73"/>
    </row>
    <row r="85" spans="1:21" ht="33.75" customHeight="1">
      <c r="A85" s="849" t="s">
        <v>397</v>
      </c>
      <c r="B85" s="849"/>
      <c r="C85" s="849"/>
      <c r="D85" s="849"/>
      <c r="E85" s="849"/>
      <c r="F85" s="849"/>
      <c r="G85" s="849"/>
      <c r="H85" s="849"/>
      <c r="I85" s="849"/>
      <c r="K85" s="635"/>
      <c r="N85" s="73"/>
      <c r="O85" s="73"/>
      <c r="P85" s="73"/>
      <c r="Q85" s="73"/>
      <c r="R85" s="73"/>
      <c r="S85" s="73"/>
      <c r="T85" s="73"/>
      <c r="U85" s="73"/>
    </row>
    <row r="86" spans="1:21" ht="16.5" customHeight="1">
      <c r="A86" s="850" t="s">
        <v>398</v>
      </c>
      <c r="B86" s="850"/>
      <c r="C86" s="850"/>
      <c r="D86" s="850"/>
      <c r="E86" s="850"/>
      <c r="F86" s="850"/>
      <c r="G86" s="850"/>
      <c r="H86" s="850"/>
      <c r="I86" s="850"/>
      <c r="K86" s="635"/>
      <c r="N86" s="73"/>
      <c r="O86" s="73"/>
      <c r="P86" s="73"/>
      <c r="Q86" s="73"/>
      <c r="R86" s="73"/>
      <c r="S86" s="73"/>
      <c r="T86" s="73"/>
      <c r="U86" s="73"/>
    </row>
    <row r="87" spans="1:21" ht="16.5" customHeight="1">
      <c r="A87" s="559"/>
      <c r="B87" s="635"/>
      <c r="C87" s="121" t="s">
        <v>316</v>
      </c>
      <c r="D87" s="830" t="s">
        <v>317</v>
      </c>
      <c r="E87" s="830"/>
      <c r="F87" s="830"/>
      <c r="G87" s="830"/>
      <c r="H87" s="830"/>
      <c r="I87" s="830"/>
      <c r="J87" s="825" t="s">
        <v>318</v>
      </c>
      <c r="K87" s="826"/>
      <c r="L87" s="826"/>
      <c r="N87" s="73"/>
      <c r="O87" s="73"/>
      <c r="P87" s="73"/>
      <c r="Q87" s="73"/>
      <c r="R87" s="73"/>
      <c r="S87" s="73"/>
      <c r="T87" s="73"/>
      <c r="U87" s="73"/>
    </row>
    <row r="88" spans="1:21" ht="16.5" customHeight="1">
      <c r="A88" s="559"/>
      <c r="B88" s="635"/>
      <c r="C88" s="554" t="s">
        <v>319</v>
      </c>
      <c r="D88" s="846" t="s">
        <v>320</v>
      </c>
      <c r="E88" s="846"/>
      <c r="F88" s="846"/>
      <c r="G88" s="846"/>
      <c r="H88" s="846"/>
      <c r="I88" s="846"/>
      <c r="J88" s="827" t="s">
        <v>321</v>
      </c>
      <c r="K88" s="828"/>
      <c r="L88" s="828"/>
      <c r="N88" s="73"/>
      <c r="O88" s="73"/>
      <c r="P88" s="73"/>
      <c r="Q88" s="73"/>
      <c r="R88" s="73"/>
      <c r="S88" s="73"/>
      <c r="T88" s="73"/>
      <c r="U88" s="73"/>
    </row>
    <row r="89" spans="1:21" ht="27" customHeight="1">
      <c r="A89" s="559"/>
      <c r="B89" s="635"/>
      <c r="C89" s="554" t="s">
        <v>322</v>
      </c>
      <c r="D89" s="847" t="s">
        <v>323</v>
      </c>
      <c r="E89" s="847"/>
      <c r="F89" s="847"/>
      <c r="G89" s="847"/>
      <c r="H89" s="847"/>
      <c r="I89" s="847"/>
      <c r="J89" s="818" t="s">
        <v>192</v>
      </c>
      <c r="K89" s="818"/>
      <c r="L89" s="818"/>
      <c r="N89" s="73"/>
      <c r="O89" s="73"/>
      <c r="P89" s="73"/>
      <c r="Q89" s="73"/>
      <c r="R89" s="73"/>
      <c r="S89" s="73"/>
      <c r="T89" s="73"/>
      <c r="U89" s="73"/>
    </row>
    <row r="90" spans="1:21" ht="26.25" customHeight="1">
      <c r="A90" s="559"/>
      <c r="B90" s="635"/>
      <c r="D90" s="817" t="s">
        <v>324</v>
      </c>
      <c r="E90" s="817"/>
      <c r="F90" s="817"/>
      <c r="G90" s="817"/>
      <c r="H90" s="817"/>
      <c r="I90" s="817"/>
      <c r="J90" s="818" t="s">
        <v>325</v>
      </c>
      <c r="K90" s="818"/>
      <c r="L90" s="818"/>
      <c r="N90" s="73"/>
      <c r="O90" s="73"/>
      <c r="P90" s="73"/>
      <c r="Q90" s="73"/>
      <c r="R90" s="73"/>
      <c r="S90" s="73"/>
      <c r="T90" s="73"/>
      <c r="U90" s="73"/>
    </row>
    <row r="91" spans="1:21" ht="17.25" customHeight="1">
      <c r="A91" s="559"/>
      <c r="B91" s="635"/>
      <c r="D91" s="848" t="s">
        <v>399</v>
      </c>
      <c r="E91" s="848"/>
      <c r="F91" s="848"/>
      <c r="G91" s="848"/>
      <c r="H91" s="848"/>
      <c r="I91" s="848"/>
      <c r="J91" s="817" t="s">
        <v>400</v>
      </c>
      <c r="K91" s="817"/>
      <c r="L91" s="817"/>
      <c r="N91" s="73"/>
      <c r="O91" s="73"/>
      <c r="P91" s="73"/>
      <c r="Q91" s="73"/>
      <c r="R91" s="73"/>
      <c r="S91" s="73"/>
      <c r="T91" s="73"/>
      <c r="U91" s="73"/>
    </row>
    <row r="92" spans="1:21" ht="16.5" customHeight="1">
      <c r="A92" s="559"/>
      <c r="B92" s="546" t="s">
        <v>327</v>
      </c>
      <c r="C92" s="546" t="s">
        <v>401</v>
      </c>
      <c r="D92" s="546" t="s">
        <v>402</v>
      </c>
      <c r="E92" s="546" t="s">
        <v>403</v>
      </c>
      <c r="F92" s="546" t="s">
        <v>404</v>
      </c>
      <c r="G92" s="546" t="s">
        <v>405</v>
      </c>
      <c r="K92" s="635"/>
      <c r="N92" s="73"/>
      <c r="O92" s="73"/>
      <c r="P92" s="73"/>
      <c r="Q92" s="73"/>
      <c r="R92" s="73"/>
      <c r="S92" s="73"/>
      <c r="T92" s="73"/>
      <c r="U92" s="73"/>
    </row>
    <row r="93" spans="1:21">
      <c r="B93" s="613" t="s">
        <v>406</v>
      </c>
      <c r="C93" s="575" t="s">
        <v>407</v>
      </c>
      <c r="D93" s="575" t="s">
        <v>408</v>
      </c>
      <c r="E93" s="613" t="s">
        <v>409</v>
      </c>
      <c r="F93" s="613" t="s">
        <v>343</v>
      </c>
      <c r="G93" s="613" t="s">
        <v>338</v>
      </c>
      <c r="I93" s="100"/>
      <c r="J93" s="100"/>
    </row>
    <row r="94" spans="1:21">
      <c r="A94" s="43"/>
      <c r="B94" s="613" t="s">
        <v>340</v>
      </c>
      <c r="C94" s="575" t="s">
        <v>410</v>
      </c>
      <c r="D94" s="575" t="s">
        <v>411</v>
      </c>
      <c r="E94" s="43"/>
      <c r="F94" s="613" t="s">
        <v>412</v>
      </c>
      <c r="G94" s="613" t="s">
        <v>344</v>
      </c>
      <c r="I94" s="100"/>
      <c r="J94" s="100"/>
    </row>
    <row r="95" spans="1:21">
      <c r="B95" s="613" t="s">
        <v>345</v>
      </c>
      <c r="C95" s="575" t="s">
        <v>413</v>
      </c>
      <c r="D95" s="575" t="s">
        <v>414</v>
      </c>
      <c r="F95" s="613" t="s">
        <v>415</v>
      </c>
      <c r="I95" s="100"/>
      <c r="J95" s="100"/>
    </row>
    <row r="96" spans="1:21">
      <c r="C96" s="575" t="s">
        <v>416</v>
      </c>
      <c r="D96" s="575" t="s">
        <v>417</v>
      </c>
      <c r="F96" s="613" t="s">
        <v>418</v>
      </c>
      <c r="I96" s="100"/>
      <c r="J96" s="100"/>
    </row>
    <row r="97" spans="1:19">
      <c r="A97" s="43"/>
      <c r="C97" s="575" t="s">
        <v>419</v>
      </c>
      <c r="F97" s="613" t="s">
        <v>420</v>
      </c>
      <c r="I97" s="100"/>
      <c r="J97" s="100"/>
    </row>
    <row r="98" spans="1:19">
      <c r="A98" s="43"/>
      <c r="F98" s="613" t="s">
        <v>421</v>
      </c>
      <c r="I98" s="100"/>
      <c r="J98" s="100"/>
    </row>
    <row r="99" spans="1:19">
      <c r="A99" s="43"/>
      <c r="D99" s="546" t="s">
        <v>422</v>
      </c>
      <c r="I99" s="100"/>
      <c r="J99" s="100"/>
    </row>
    <row r="100" spans="1:19">
      <c r="A100" s="43"/>
      <c r="D100" s="575" t="s">
        <v>423</v>
      </c>
    </row>
    <row r="101" spans="1:19">
      <c r="A101" s="43"/>
    </row>
    <row r="102" spans="1:19">
      <c r="A102" s="43"/>
    </row>
    <row r="103" spans="1:19">
      <c r="A103" s="43"/>
    </row>
    <row r="104" spans="1:19">
      <c r="A104" s="43"/>
    </row>
    <row r="105" spans="1:19">
      <c r="A105" s="43"/>
    </row>
    <row r="106" spans="1:19">
      <c r="A106" s="640" t="s">
        <v>424</v>
      </c>
      <c r="B106" s="831"/>
      <c r="C106" s="831"/>
      <c r="D106" s="831"/>
      <c r="E106" s="831"/>
      <c r="F106" s="831"/>
      <c r="G106" s="831"/>
      <c r="H106" s="831"/>
      <c r="I106" s="831"/>
      <c r="J106" s="831"/>
      <c r="K106" s="102"/>
      <c r="L106" s="102"/>
    </row>
    <row r="107" spans="1:19" ht="16.5">
      <c r="A107" s="437" t="s">
        <v>169</v>
      </c>
      <c r="B107" s="98" t="s">
        <v>185</v>
      </c>
      <c r="C107" s="832" t="s">
        <v>425</v>
      </c>
      <c r="D107" s="832"/>
      <c r="E107" s="832"/>
      <c r="F107" s="832"/>
      <c r="G107" s="832"/>
      <c r="H107" s="832"/>
      <c r="I107" s="832"/>
      <c r="J107" s="832"/>
      <c r="K107" s="128"/>
      <c r="L107" s="128"/>
      <c r="N107" s="73"/>
      <c r="O107" s="73"/>
      <c r="P107" s="73"/>
      <c r="Q107" s="73"/>
      <c r="R107" s="73"/>
      <c r="S107" s="73"/>
    </row>
    <row r="108" spans="1:19" ht="18.75" customHeight="1">
      <c r="A108" s="582" t="s">
        <v>173</v>
      </c>
      <c r="B108" s="582" t="s">
        <v>177</v>
      </c>
      <c r="C108" s="582" t="s">
        <v>182</v>
      </c>
      <c r="D108" s="844" t="s">
        <v>171</v>
      </c>
      <c r="E108" s="844"/>
      <c r="F108" s="844"/>
      <c r="G108" s="844"/>
      <c r="H108" s="844"/>
      <c r="I108" s="844" t="s">
        <v>175</v>
      </c>
      <c r="J108" s="844"/>
      <c r="K108" s="113"/>
      <c r="L108" s="113"/>
      <c r="N108" s="73"/>
      <c r="O108" s="73"/>
      <c r="P108" s="73"/>
      <c r="Q108" s="73"/>
      <c r="R108" s="73"/>
      <c r="S108" s="73"/>
    </row>
    <row r="109" spans="1:19" ht="32.25" customHeight="1">
      <c r="A109" s="572" t="s">
        <v>281</v>
      </c>
      <c r="B109" s="581" t="s">
        <v>282</v>
      </c>
      <c r="C109" s="581" t="s">
        <v>283</v>
      </c>
      <c r="D109" s="845" t="s">
        <v>284</v>
      </c>
      <c r="E109" s="845"/>
      <c r="F109" s="845"/>
      <c r="G109" s="845"/>
      <c r="H109" s="845"/>
      <c r="I109" s="845" t="s">
        <v>285</v>
      </c>
      <c r="J109" s="845"/>
      <c r="K109" s="192"/>
      <c r="L109" s="192"/>
      <c r="N109" s="73"/>
      <c r="O109" s="73"/>
      <c r="P109" s="73"/>
      <c r="Q109" s="73"/>
      <c r="R109" s="73"/>
      <c r="S109" s="73"/>
    </row>
    <row r="110" spans="1:19" ht="32.25" customHeight="1">
      <c r="A110" s="323"/>
      <c r="B110" s="324"/>
      <c r="C110" s="565" t="s">
        <v>286</v>
      </c>
      <c r="D110" s="819" t="s">
        <v>286</v>
      </c>
      <c r="E110" s="819"/>
      <c r="F110" s="819"/>
      <c r="G110" s="819"/>
      <c r="H110" s="819"/>
      <c r="I110" s="819" t="s">
        <v>286</v>
      </c>
      <c r="J110" s="819"/>
      <c r="K110" s="103"/>
      <c r="L110" s="103"/>
      <c r="N110" s="73"/>
      <c r="O110" s="73"/>
      <c r="P110" s="73"/>
      <c r="Q110" s="73"/>
      <c r="R110" s="73"/>
      <c r="S110" s="73"/>
    </row>
    <row r="111" spans="1:19" ht="15" customHeight="1">
      <c r="A111" s="836"/>
      <c r="B111" s="837"/>
      <c r="C111" s="837"/>
      <c r="D111" s="837"/>
      <c r="E111" s="837"/>
      <c r="F111" s="837"/>
      <c r="G111" s="838"/>
      <c r="H111" s="253" t="s">
        <v>287</v>
      </c>
      <c r="I111" s="625" t="s">
        <v>288</v>
      </c>
      <c r="J111" s="249" t="s">
        <v>289</v>
      </c>
      <c r="N111" s="73"/>
      <c r="O111" s="73"/>
      <c r="P111" s="73"/>
      <c r="Q111" s="73"/>
      <c r="R111" s="73"/>
      <c r="S111" s="73"/>
    </row>
    <row r="112" spans="1:19">
      <c r="A112" s="566" t="s">
        <v>180</v>
      </c>
      <c r="B112" s="566" t="s">
        <v>184</v>
      </c>
      <c r="C112" s="566" t="s">
        <v>290</v>
      </c>
      <c r="D112" s="566" t="s">
        <v>291</v>
      </c>
      <c r="E112" s="567" t="s">
        <v>292</v>
      </c>
      <c r="F112" s="566" t="s">
        <v>293</v>
      </c>
      <c r="G112" s="566" t="s">
        <v>294</v>
      </c>
      <c r="H112" s="870" t="s">
        <v>295</v>
      </c>
      <c r="I112" s="870"/>
      <c r="J112" s="567" t="s">
        <v>296</v>
      </c>
      <c r="K112" s="635"/>
      <c r="L112" s="604"/>
    </row>
    <row r="113" spans="1:21" ht="36" customHeight="1">
      <c r="A113" s="445" t="s">
        <v>281</v>
      </c>
      <c r="B113" s="563" t="s">
        <v>298</v>
      </c>
      <c r="C113" s="563" t="s">
        <v>426</v>
      </c>
      <c r="D113" s="563" t="s">
        <v>427</v>
      </c>
      <c r="E113" s="563" t="s">
        <v>302</v>
      </c>
      <c r="F113" s="563" t="s">
        <v>303</v>
      </c>
      <c r="G113" s="563" t="s">
        <v>304</v>
      </c>
      <c r="H113" s="807" t="s">
        <v>305</v>
      </c>
      <c r="I113" s="807"/>
      <c r="J113" s="563" t="s">
        <v>306</v>
      </c>
      <c r="K113" s="74"/>
    </row>
    <row r="114" spans="1:21">
      <c r="A114" s="868" t="s">
        <v>307</v>
      </c>
      <c r="B114" s="839" t="s">
        <v>286</v>
      </c>
      <c r="C114" s="561" t="s">
        <v>286</v>
      </c>
      <c r="D114" s="561" t="s">
        <v>286</v>
      </c>
      <c r="E114" s="561" t="s">
        <v>286</v>
      </c>
      <c r="F114" s="839" t="s">
        <v>286</v>
      </c>
      <c r="G114" s="840" t="s">
        <v>308</v>
      </c>
      <c r="H114" s="97" t="s">
        <v>309</v>
      </c>
      <c r="I114" s="561" t="s">
        <v>308</v>
      </c>
      <c r="J114" s="841"/>
    </row>
    <row r="115" spans="1:21">
      <c r="A115" s="868"/>
      <c r="B115" s="839"/>
      <c r="C115" s="544"/>
      <c r="D115" s="544"/>
      <c r="E115" s="544"/>
      <c r="F115" s="839"/>
      <c r="G115" s="840"/>
      <c r="H115" s="97" t="s">
        <v>310</v>
      </c>
      <c r="I115" s="284"/>
      <c r="J115" s="842"/>
    </row>
    <row r="116" spans="1:21" ht="30.6" customHeight="1">
      <c r="A116" s="529" t="s">
        <v>297</v>
      </c>
      <c r="B116" s="961" t="s">
        <v>311</v>
      </c>
      <c r="C116" s="962"/>
      <c r="D116" s="963"/>
      <c r="E116" s="964"/>
      <c r="F116" s="964"/>
      <c r="G116" s="964"/>
      <c r="H116" s="964"/>
      <c r="I116" s="964"/>
      <c r="J116" s="965"/>
      <c r="N116" s="73"/>
      <c r="O116" s="73"/>
      <c r="P116" s="73"/>
      <c r="Q116" s="73"/>
      <c r="R116" s="73"/>
      <c r="S116" s="73"/>
      <c r="T116" s="73"/>
      <c r="U116" s="73"/>
    </row>
    <row r="117" spans="1:21" ht="30.75" customHeight="1">
      <c r="A117" s="843" t="s">
        <v>428</v>
      </c>
      <c r="B117" s="843"/>
      <c r="C117" s="843"/>
      <c r="D117" s="843"/>
      <c r="E117" s="843"/>
      <c r="F117" s="843"/>
      <c r="G117" s="843"/>
      <c r="H117" s="843"/>
      <c r="I117" s="2"/>
      <c r="J117" s="2"/>
      <c r="K117" s="2"/>
      <c r="N117" s="73"/>
      <c r="O117" s="73"/>
      <c r="P117" s="73"/>
      <c r="Q117" s="73"/>
      <c r="R117" s="73"/>
      <c r="S117" s="73"/>
      <c r="T117" s="73"/>
      <c r="U117" s="73"/>
    </row>
    <row r="118" spans="1:21" ht="30.75" customHeight="1">
      <c r="A118" s="849" t="s">
        <v>429</v>
      </c>
      <c r="B118" s="849"/>
      <c r="C118" s="849"/>
      <c r="D118" s="849"/>
      <c r="E118" s="849"/>
      <c r="F118" s="849"/>
      <c r="G118" s="849"/>
      <c r="H118" s="849"/>
      <c r="I118" s="2"/>
      <c r="J118" s="2"/>
      <c r="K118" s="2"/>
      <c r="N118" s="73"/>
      <c r="O118" s="73"/>
      <c r="P118" s="73"/>
      <c r="Q118" s="73"/>
      <c r="R118" s="73"/>
      <c r="S118" s="73"/>
      <c r="T118" s="73"/>
      <c r="U118" s="73"/>
    </row>
    <row r="119" spans="1:21" ht="30.75" customHeight="1">
      <c r="A119" s="850" t="s">
        <v>430</v>
      </c>
      <c r="B119" s="850"/>
      <c r="C119" s="850"/>
      <c r="D119" s="850"/>
      <c r="E119" s="850"/>
      <c r="F119" s="545"/>
      <c r="G119" s="545"/>
      <c r="H119" s="545"/>
      <c r="I119" s="2"/>
      <c r="J119" s="2"/>
      <c r="K119" s="2"/>
      <c r="N119" s="73"/>
      <c r="O119" s="73"/>
      <c r="P119" s="73"/>
      <c r="Q119" s="73"/>
      <c r="R119" s="73"/>
      <c r="S119" s="73"/>
      <c r="T119" s="73"/>
      <c r="U119" s="73"/>
    </row>
    <row r="120" spans="1:21" ht="16.5" customHeight="1">
      <c r="A120" s="850" t="s">
        <v>431</v>
      </c>
      <c r="B120" s="850"/>
      <c r="C120" s="328"/>
      <c r="D120" s="328"/>
      <c r="E120" s="328"/>
      <c r="F120" s="328"/>
      <c r="G120" s="328"/>
      <c r="H120" s="328"/>
      <c r="K120" s="635"/>
      <c r="N120" s="73"/>
      <c r="O120" s="73"/>
      <c r="P120" s="73"/>
      <c r="Q120" s="73"/>
      <c r="R120" s="73"/>
      <c r="S120" s="73"/>
      <c r="T120" s="73"/>
      <c r="U120" s="73"/>
    </row>
    <row r="121" spans="1:21" ht="16.5" customHeight="1">
      <c r="A121" s="559"/>
      <c r="B121" s="635"/>
      <c r="C121" s="121" t="s">
        <v>316</v>
      </c>
      <c r="D121" s="830" t="s">
        <v>317</v>
      </c>
      <c r="E121" s="830"/>
      <c r="F121" s="830"/>
      <c r="G121" s="830"/>
      <c r="H121" s="830"/>
      <c r="I121" s="826" t="s">
        <v>318</v>
      </c>
      <c r="J121" s="826"/>
      <c r="K121" s="47"/>
      <c r="L121" s="80"/>
      <c r="N121" s="73"/>
      <c r="O121" s="73"/>
      <c r="P121" s="73"/>
      <c r="Q121" s="73"/>
      <c r="R121" s="73"/>
      <c r="S121" s="73"/>
      <c r="T121" s="73"/>
      <c r="U121" s="73"/>
    </row>
    <row r="122" spans="1:21" ht="16.5" customHeight="1">
      <c r="A122" s="559"/>
      <c r="B122" s="635"/>
      <c r="C122" s="554" t="s">
        <v>319</v>
      </c>
      <c r="D122" s="833" t="s">
        <v>320</v>
      </c>
      <c r="E122" s="834"/>
      <c r="F122" s="834"/>
      <c r="G122" s="834"/>
      <c r="H122" s="835"/>
      <c r="I122" s="828" t="s">
        <v>321</v>
      </c>
      <c r="J122" s="828"/>
      <c r="K122" s="47"/>
      <c r="L122" s="80"/>
      <c r="N122" s="73"/>
      <c r="O122" s="73"/>
      <c r="P122" s="73"/>
      <c r="Q122" s="73"/>
      <c r="R122" s="73"/>
      <c r="S122" s="73"/>
      <c r="T122" s="73"/>
      <c r="U122" s="73"/>
    </row>
    <row r="123" spans="1:21" ht="27" customHeight="1">
      <c r="A123" s="559"/>
      <c r="B123" s="635"/>
      <c r="C123" s="554" t="s">
        <v>322</v>
      </c>
      <c r="D123" s="811" t="s">
        <v>323</v>
      </c>
      <c r="E123" s="812"/>
      <c r="F123" s="812"/>
      <c r="G123" s="812"/>
      <c r="H123" s="813"/>
      <c r="I123" s="818" t="s">
        <v>192</v>
      </c>
      <c r="J123" s="818"/>
      <c r="K123" s="41"/>
      <c r="L123" s="104"/>
      <c r="N123" s="73"/>
      <c r="O123" s="73"/>
      <c r="P123" s="73"/>
      <c r="Q123" s="73"/>
      <c r="R123" s="73"/>
      <c r="S123" s="73"/>
      <c r="T123" s="73"/>
      <c r="U123" s="73"/>
    </row>
    <row r="124" spans="1:21" ht="26.25" customHeight="1">
      <c r="A124" s="559"/>
      <c r="B124" s="635"/>
      <c r="D124" s="814" t="s">
        <v>324</v>
      </c>
      <c r="E124" s="815"/>
      <c r="F124" s="815"/>
      <c r="G124" s="815"/>
      <c r="H124" s="816"/>
      <c r="I124" s="818" t="s">
        <v>325</v>
      </c>
      <c r="J124" s="818"/>
      <c r="K124" s="41"/>
      <c r="L124" s="104"/>
      <c r="N124" s="73"/>
      <c r="O124" s="73"/>
      <c r="P124" s="73"/>
      <c r="Q124" s="73"/>
      <c r="R124" s="73"/>
      <c r="S124" s="73"/>
      <c r="T124" s="73"/>
      <c r="U124" s="73"/>
    </row>
    <row r="125" spans="1:21" ht="17.25" customHeight="1">
      <c r="A125" s="559"/>
      <c r="B125" s="635"/>
      <c r="D125" s="817" t="s">
        <v>399</v>
      </c>
      <c r="E125" s="817"/>
      <c r="F125" s="817"/>
      <c r="G125" s="817"/>
      <c r="H125" s="817"/>
      <c r="I125" s="817" t="s">
        <v>400</v>
      </c>
      <c r="J125" s="817"/>
      <c r="K125" s="104"/>
      <c r="L125" s="104"/>
      <c r="N125" s="73"/>
      <c r="O125" s="73"/>
      <c r="P125" s="73"/>
      <c r="Q125" s="73"/>
      <c r="R125" s="73"/>
      <c r="S125" s="73"/>
      <c r="T125" s="73"/>
      <c r="U125" s="73"/>
    </row>
    <row r="126" spans="1:21" ht="16.5" customHeight="1">
      <c r="A126" s="559"/>
      <c r="B126" s="635"/>
      <c r="K126" s="635"/>
      <c r="N126" s="73"/>
      <c r="O126" s="73"/>
      <c r="P126" s="73"/>
      <c r="Q126" s="73"/>
      <c r="R126" s="73"/>
      <c r="S126" s="73"/>
      <c r="T126" s="73"/>
      <c r="U126" s="73"/>
    </row>
    <row r="127" spans="1:21">
      <c r="A127" s="635"/>
      <c r="B127" s="546" t="s">
        <v>327</v>
      </c>
      <c r="C127" s="546" t="s">
        <v>426</v>
      </c>
      <c r="D127" s="546" t="s">
        <v>432</v>
      </c>
      <c r="E127" s="546" t="s">
        <v>433</v>
      </c>
      <c r="F127" s="546" t="s">
        <v>405</v>
      </c>
      <c r="G127" s="45"/>
      <c r="I127" s="44"/>
    </row>
    <row r="128" spans="1:21">
      <c r="A128" s="635"/>
      <c r="B128" s="613" t="s">
        <v>406</v>
      </c>
      <c r="C128" s="575" t="s">
        <v>434</v>
      </c>
      <c r="D128" s="575" t="s">
        <v>343</v>
      </c>
      <c r="E128" s="613" t="s">
        <v>343</v>
      </c>
      <c r="F128" s="613" t="s">
        <v>338</v>
      </c>
      <c r="G128" s="43"/>
      <c r="I128" s="871"/>
      <c r="J128" s="871"/>
    </row>
    <row r="129" spans="1:19">
      <c r="B129" s="613" t="s">
        <v>340</v>
      </c>
      <c r="C129" s="575" t="s">
        <v>435</v>
      </c>
      <c r="D129" s="569" t="s">
        <v>436</v>
      </c>
      <c r="E129" s="613" t="s">
        <v>415</v>
      </c>
      <c r="F129" s="613" t="s">
        <v>344</v>
      </c>
      <c r="G129" s="43"/>
      <c r="I129" s="871"/>
      <c r="J129" s="871"/>
    </row>
    <row r="130" spans="1:19">
      <c r="B130" s="613" t="s">
        <v>345</v>
      </c>
      <c r="C130" s="83"/>
      <c r="D130" s="569" t="s">
        <v>437</v>
      </c>
      <c r="E130" s="613" t="s">
        <v>438</v>
      </c>
      <c r="G130" s="43"/>
      <c r="I130" s="871"/>
      <c r="J130" s="871"/>
    </row>
    <row r="131" spans="1:19">
      <c r="C131" s="84"/>
      <c r="D131" s="569" t="s">
        <v>439</v>
      </c>
      <c r="E131" s="613" t="s">
        <v>421</v>
      </c>
      <c r="G131" s="43"/>
      <c r="I131" s="871"/>
      <c r="J131" s="871"/>
    </row>
    <row r="132" spans="1:19">
      <c r="C132" s="44"/>
      <c r="D132" s="44"/>
      <c r="E132" s="613" t="s">
        <v>440</v>
      </c>
      <c r="G132" s="43"/>
      <c r="I132" s="871"/>
      <c r="J132" s="871"/>
    </row>
    <row r="133" spans="1:19">
      <c r="C133" s="44"/>
      <c r="D133" s="44"/>
      <c r="E133" s="613" t="s">
        <v>441</v>
      </c>
      <c r="G133" s="43"/>
      <c r="I133" s="871"/>
      <c r="J133" s="871"/>
    </row>
    <row r="134" spans="1:19">
      <c r="C134" s="44"/>
      <c r="D134" s="44"/>
      <c r="E134" s="613" t="s">
        <v>442</v>
      </c>
      <c r="G134" s="43"/>
      <c r="I134" s="871"/>
      <c r="J134" s="871"/>
    </row>
    <row r="135" spans="1:19">
      <c r="C135" s="44"/>
      <c r="D135" s="44"/>
      <c r="E135" s="613" t="s">
        <v>443</v>
      </c>
      <c r="G135" s="43"/>
    </row>
    <row r="136" spans="1:19">
      <c r="C136" s="44"/>
      <c r="D136" s="44"/>
      <c r="E136" s="613" t="s">
        <v>444</v>
      </c>
      <c r="G136" s="43"/>
    </row>
    <row r="137" spans="1:19">
      <c r="D137" s="44"/>
      <c r="E137" s="613" t="s">
        <v>445</v>
      </c>
      <c r="G137" s="43"/>
    </row>
    <row r="138" spans="1:19">
      <c r="A138" s="968" t="s">
        <v>446</v>
      </c>
      <c r="B138" s="968"/>
      <c r="C138" s="968"/>
      <c r="D138" s="968"/>
      <c r="E138" s="968"/>
      <c r="F138" s="968"/>
      <c r="G138" s="968"/>
      <c r="H138" s="968"/>
      <c r="I138" s="102"/>
      <c r="J138" s="102"/>
      <c r="K138" s="102"/>
      <c r="L138" s="102"/>
    </row>
    <row r="139" spans="1:19" ht="16.5">
      <c r="A139" s="600" t="s">
        <v>169</v>
      </c>
      <c r="B139" s="98" t="s">
        <v>185</v>
      </c>
      <c r="C139" s="895" t="s">
        <v>447</v>
      </c>
      <c r="D139" s="896"/>
      <c r="E139" s="896"/>
      <c r="F139" s="896"/>
      <c r="G139" s="896"/>
      <c r="H139" s="897"/>
      <c r="I139" s="128"/>
      <c r="J139" s="128"/>
      <c r="K139" s="128"/>
      <c r="L139" s="128"/>
      <c r="N139" s="73"/>
      <c r="O139" s="73"/>
      <c r="P139" s="73"/>
      <c r="Q139" s="73"/>
      <c r="R139" s="73"/>
      <c r="S139" s="73"/>
    </row>
    <row r="140" spans="1:19" ht="18.75" customHeight="1">
      <c r="A140" s="548" t="s">
        <v>173</v>
      </c>
      <c r="B140" s="548" t="s">
        <v>177</v>
      </c>
      <c r="C140" s="548" t="s">
        <v>182</v>
      </c>
      <c r="D140" s="823" t="s">
        <v>171</v>
      </c>
      <c r="E140" s="823"/>
      <c r="F140" s="823"/>
      <c r="G140" s="823"/>
      <c r="H140" s="548" t="s">
        <v>175</v>
      </c>
      <c r="J140" s="113"/>
      <c r="K140" s="113"/>
      <c r="L140" s="113"/>
      <c r="N140" s="73"/>
      <c r="O140" s="73"/>
      <c r="P140" s="73"/>
      <c r="Q140" s="73"/>
      <c r="R140" s="73"/>
      <c r="S140" s="73"/>
    </row>
    <row r="141" spans="1:19" ht="32.25" customHeight="1">
      <c r="A141" s="608" t="s">
        <v>281</v>
      </c>
      <c r="B141" s="564" t="s">
        <v>282</v>
      </c>
      <c r="C141" s="564" t="s">
        <v>283</v>
      </c>
      <c r="D141" s="822" t="s">
        <v>284</v>
      </c>
      <c r="E141" s="822"/>
      <c r="F141" s="822"/>
      <c r="G141" s="822"/>
      <c r="H141" s="564" t="s">
        <v>285</v>
      </c>
      <c r="J141" s="192"/>
      <c r="K141" s="192"/>
      <c r="L141" s="192"/>
      <c r="N141" s="73"/>
      <c r="O141" s="73"/>
      <c r="P141" s="73"/>
      <c r="Q141" s="73"/>
      <c r="R141" s="73"/>
      <c r="S141" s="73"/>
    </row>
    <row r="142" spans="1:19" ht="32.25" customHeight="1">
      <c r="A142" s="323"/>
      <c r="B142" s="324"/>
      <c r="C142" s="565" t="s">
        <v>286</v>
      </c>
      <c r="D142" s="819" t="s">
        <v>286</v>
      </c>
      <c r="E142" s="819"/>
      <c r="F142" s="819"/>
      <c r="G142" s="819"/>
      <c r="H142" s="565" t="s">
        <v>286</v>
      </c>
      <c r="J142" s="103"/>
      <c r="K142" s="103"/>
      <c r="L142" s="103"/>
      <c r="N142" s="73"/>
      <c r="O142" s="73"/>
      <c r="P142" s="73"/>
      <c r="Q142" s="73"/>
      <c r="R142" s="73"/>
      <c r="S142" s="73"/>
    </row>
    <row r="143" spans="1:19" ht="15" customHeight="1">
      <c r="A143" s="824"/>
      <c r="B143" s="824"/>
      <c r="C143" s="824"/>
      <c r="D143" s="824"/>
      <c r="E143" s="824"/>
      <c r="F143" s="253" t="s">
        <v>287</v>
      </c>
      <c r="G143" s="625" t="s">
        <v>288</v>
      </c>
      <c r="H143" s="626" t="s">
        <v>289</v>
      </c>
      <c r="N143" s="73"/>
      <c r="O143" s="73"/>
      <c r="P143" s="73"/>
      <c r="Q143" s="73"/>
      <c r="R143" s="73"/>
      <c r="S143" s="73"/>
    </row>
    <row r="144" spans="1:19">
      <c r="A144" s="586" t="s">
        <v>180</v>
      </c>
      <c r="B144" s="586" t="s">
        <v>184</v>
      </c>
      <c r="C144" s="586" t="s">
        <v>290</v>
      </c>
      <c r="D144" s="586" t="s">
        <v>291</v>
      </c>
      <c r="E144" s="629" t="s">
        <v>292</v>
      </c>
      <c r="F144" s="820" t="s">
        <v>293</v>
      </c>
      <c r="G144" s="820"/>
      <c r="H144" s="586" t="s">
        <v>294</v>
      </c>
      <c r="J144" s="70"/>
      <c r="K144" s="635"/>
      <c r="L144" s="604"/>
    </row>
    <row r="145" spans="1:21" ht="27">
      <c r="A145" s="608" t="s">
        <v>281</v>
      </c>
      <c r="B145" s="587" t="s">
        <v>298</v>
      </c>
      <c r="C145" s="587" t="s">
        <v>448</v>
      </c>
      <c r="D145" s="587" t="s">
        <v>303</v>
      </c>
      <c r="E145" s="587" t="s">
        <v>449</v>
      </c>
      <c r="F145" s="821" t="s">
        <v>305</v>
      </c>
      <c r="G145" s="821"/>
      <c r="H145" s="587" t="s">
        <v>450</v>
      </c>
    </row>
    <row r="146" spans="1:21">
      <c r="A146" s="868" t="s">
        <v>307</v>
      </c>
      <c r="B146" s="839" t="s">
        <v>286</v>
      </c>
      <c r="C146" s="561" t="s">
        <v>286</v>
      </c>
      <c r="D146" s="828" t="s">
        <v>338</v>
      </c>
      <c r="E146" s="840" t="s">
        <v>308</v>
      </c>
      <c r="F146" s="97" t="s">
        <v>309</v>
      </c>
      <c r="G146" s="561" t="s">
        <v>308</v>
      </c>
      <c r="H146" s="841"/>
    </row>
    <row r="147" spans="1:21">
      <c r="A147" s="868"/>
      <c r="B147" s="839"/>
      <c r="C147" s="544"/>
      <c r="D147" s="828"/>
      <c r="E147" s="840"/>
      <c r="F147" s="97" t="s">
        <v>310</v>
      </c>
      <c r="G147" s="284"/>
      <c r="H147" s="842"/>
    </row>
    <row r="148" spans="1:21" ht="30.6" customHeight="1">
      <c r="A148" s="529" t="s">
        <v>295</v>
      </c>
      <c r="B148" s="961" t="s">
        <v>311</v>
      </c>
      <c r="C148" s="962"/>
      <c r="D148" s="937"/>
      <c r="E148" s="937"/>
      <c r="F148" s="937"/>
      <c r="G148" s="937"/>
      <c r="H148" s="937"/>
      <c r="N148" s="73"/>
      <c r="O148" s="73"/>
      <c r="P148" s="73"/>
      <c r="Q148" s="73"/>
      <c r="R148" s="73"/>
      <c r="S148" s="73"/>
      <c r="T148" s="73"/>
      <c r="U148" s="73"/>
    </row>
    <row r="149" spans="1:21" ht="30.75" customHeight="1">
      <c r="A149" s="843" t="s">
        <v>428</v>
      </c>
      <c r="B149" s="843"/>
      <c r="C149" s="843"/>
      <c r="D149" s="843"/>
      <c r="E149" s="843"/>
      <c r="F149" s="843"/>
      <c r="G149" s="2"/>
      <c r="H149" s="2"/>
      <c r="I149" s="2"/>
      <c r="N149" s="73"/>
      <c r="O149" s="73"/>
      <c r="P149" s="73"/>
      <c r="Q149" s="73"/>
      <c r="R149" s="73"/>
      <c r="S149" s="73"/>
      <c r="T149" s="73"/>
      <c r="U149" s="73"/>
    </row>
    <row r="150" spans="1:21" ht="30.75" customHeight="1">
      <c r="A150" s="933" t="s">
        <v>451</v>
      </c>
      <c r="B150" s="933"/>
      <c r="C150" s="553"/>
      <c r="D150" s="553"/>
      <c r="E150" s="553"/>
      <c r="F150" s="553"/>
      <c r="G150" s="132"/>
      <c r="H150" s="132"/>
      <c r="I150" s="2"/>
      <c r="J150" s="2"/>
      <c r="K150" s="2"/>
      <c r="N150" s="73"/>
      <c r="O150" s="73"/>
      <c r="P150" s="73"/>
      <c r="Q150" s="73"/>
      <c r="R150" s="73"/>
      <c r="S150" s="73"/>
      <c r="T150" s="73"/>
      <c r="U150" s="73"/>
    </row>
    <row r="151" spans="1:21" ht="16.5" customHeight="1">
      <c r="B151" s="635"/>
      <c r="K151" s="635"/>
      <c r="N151" s="73"/>
      <c r="O151" s="73"/>
      <c r="P151" s="73"/>
      <c r="Q151" s="73"/>
      <c r="R151" s="73"/>
      <c r="S151" s="73"/>
      <c r="T151" s="73"/>
      <c r="U151" s="73"/>
    </row>
    <row r="152" spans="1:21" ht="16.5" customHeight="1">
      <c r="A152" s="559"/>
      <c r="B152" s="635"/>
      <c r="C152" s="121" t="s">
        <v>316</v>
      </c>
      <c r="D152" s="830" t="s">
        <v>317</v>
      </c>
      <c r="E152" s="830"/>
      <c r="F152" s="830"/>
      <c r="G152" s="830"/>
      <c r="H152" s="825" t="s">
        <v>318</v>
      </c>
      <c r="I152" s="826"/>
      <c r="J152" s="80"/>
      <c r="K152" s="80"/>
      <c r="L152" s="80"/>
      <c r="N152" s="73"/>
      <c r="O152" s="73"/>
      <c r="P152" s="73"/>
      <c r="Q152" s="73"/>
      <c r="R152" s="73"/>
      <c r="S152" s="73"/>
      <c r="T152" s="73"/>
      <c r="U152" s="73"/>
    </row>
    <row r="153" spans="1:21" ht="16.5" customHeight="1">
      <c r="A153" s="559"/>
      <c r="B153" s="635"/>
      <c r="C153" s="554" t="s">
        <v>319</v>
      </c>
      <c r="D153" s="969" t="s">
        <v>320</v>
      </c>
      <c r="E153" s="970"/>
      <c r="F153" s="970"/>
      <c r="G153" s="971"/>
      <c r="H153" s="827" t="s">
        <v>321</v>
      </c>
      <c r="I153" s="828"/>
      <c r="J153" s="80"/>
      <c r="K153" s="80"/>
      <c r="L153" s="80"/>
      <c r="N153" s="73"/>
      <c r="O153" s="73"/>
      <c r="P153" s="73"/>
      <c r="Q153" s="73"/>
      <c r="R153" s="73"/>
      <c r="S153" s="73"/>
      <c r="T153" s="73"/>
      <c r="U153" s="73"/>
    </row>
    <row r="154" spans="1:21" ht="27" customHeight="1">
      <c r="A154" s="559"/>
      <c r="B154" s="635"/>
      <c r="C154" s="554" t="s">
        <v>322</v>
      </c>
      <c r="D154" s="811" t="s">
        <v>323</v>
      </c>
      <c r="E154" s="812"/>
      <c r="F154" s="812"/>
      <c r="G154" s="813"/>
      <c r="H154" s="829" t="s">
        <v>192</v>
      </c>
      <c r="I154" s="818"/>
      <c r="J154" s="104"/>
      <c r="K154" s="104"/>
      <c r="L154" s="104"/>
      <c r="N154" s="73"/>
      <c r="O154" s="73"/>
      <c r="P154" s="73"/>
      <c r="Q154" s="73"/>
      <c r="R154" s="73"/>
      <c r="S154" s="73"/>
      <c r="T154" s="73"/>
      <c r="U154" s="73"/>
    </row>
    <row r="155" spans="1:21" ht="26.25" customHeight="1">
      <c r="A155" s="559"/>
      <c r="B155" s="635"/>
      <c r="D155" s="814" t="s">
        <v>324</v>
      </c>
      <c r="E155" s="815"/>
      <c r="F155" s="815"/>
      <c r="G155" s="816"/>
      <c r="H155" s="829" t="s">
        <v>325</v>
      </c>
      <c r="I155" s="818"/>
      <c r="J155" s="104"/>
      <c r="K155" s="104"/>
      <c r="L155" s="104"/>
      <c r="N155" s="73"/>
      <c r="O155" s="73"/>
      <c r="P155" s="73"/>
      <c r="Q155" s="73"/>
      <c r="R155" s="73"/>
      <c r="S155" s="73"/>
      <c r="T155" s="73"/>
      <c r="U155" s="73"/>
    </row>
    <row r="156" spans="1:21" ht="17.25" customHeight="1">
      <c r="A156" s="559"/>
      <c r="B156" s="635"/>
      <c r="D156" s="817" t="s">
        <v>399</v>
      </c>
      <c r="E156" s="817"/>
      <c r="F156" s="817"/>
      <c r="G156" s="817"/>
      <c r="H156" s="817" t="s">
        <v>400</v>
      </c>
      <c r="I156" s="817"/>
      <c r="J156" s="104"/>
      <c r="K156" s="104"/>
      <c r="L156" s="104"/>
      <c r="N156" s="73"/>
      <c r="O156" s="73"/>
      <c r="P156" s="73"/>
      <c r="Q156" s="73"/>
      <c r="R156" s="73"/>
      <c r="S156" s="73"/>
      <c r="T156" s="73"/>
      <c r="U156" s="73"/>
    </row>
    <row r="157" spans="1:21" ht="16.5" customHeight="1">
      <c r="A157" s="635"/>
      <c r="B157" s="546" t="s">
        <v>327</v>
      </c>
      <c r="C157" s="546" t="s">
        <v>402</v>
      </c>
      <c r="D157" s="43"/>
      <c r="E157" s="45"/>
      <c r="F157" s="45"/>
      <c r="G157" s="45"/>
      <c r="H157" s="45"/>
      <c r="I157" s="100"/>
      <c r="J157" s="100"/>
    </row>
    <row r="158" spans="1:21" ht="16.5" customHeight="1">
      <c r="A158" s="635"/>
      <c r="B158" s="613" t="s">
        <v>406</v>
      </c>
      <c r="C158" s="575" t="s">
        <v>436</v>
      </c>
      <c r="D158" s="43"/>
      <c r="F158" s="45"/>
      <c r="G158" s="45"/>
      <c r="H158" s="45"/>
      <c r="I158" s="100"/>
      <c r="J158" s="100"/>
    </row>
    <row r="159" spans="1:21" ht="16.5" customHeight="1">
      <c r="A159" s="635"/>
      <c r="B159" s="613" t="s">
        <v>340</v>
      </c>
      <c r="C159" s="575" t="s">
        <v>452</v>
      </c>
      <c r="D159" s="43"/>
      <c r="F159" s="45"/>
      <c r="G159" s="45"/>
      <c r="H159" s="45"/>
      <c r="I159" s="100"/>
      <c r="J159" s="100"/>
    </row>
    <row r="160" spans="1:21" ht="16.5" customHeight="1">
      <c r="A160" s="635"/>
      <c r="B160" s="613" t="s">
        <v>345</v>
      </c>
      <c r="C160" s="575" t="s">
        <v>453</v>
      </c>
      <c r="D160" s="45"/>
      <c r="F160" s="45"/>
      <c r="G160" s="45"/>
      <c r="H160" s="45"/>
      <c r="I160" s="100"/>
      <c r="J160" s="100"/>
    </row>
    <row r="161" spans="1:21" ht="16.5" customHeight="1">
      <c r="A161" s="635"/>
      <c r="C161" s="575" t="s">
        <v>437</v>
      </c>
      <c r="D161" s="45"/>
      <c r="F161" s="45"/>
      <c r="G161" s="45"/>
      <c r="H161" s="45"/>
      <c r="I161" s="100"/>
      <c r="J161" s="100"/>
    </row>
    <row r="162" spans="1:21" ht="16.5" customHeight="1">
      <c r="A162" s="635"/>
      <c r="C162" s="575" t="s">
        <v>454</v>
      </c>
      <c r="D162" s="45"/>
      <c r="F162" s="45"/>
      <c r="G162" s="45"/>
      <c r="H162" s="45"/>
      <c r="I162" s="100"/>
      <c r="J162" s="100"/>
    </row>
    <row r="163" spans="1:21" ht="16.5" customHeight="1">
      <c r="A163" s="635"/>
      <c r="B163" s="45"/>
      <c r="C163" s="575" t="s">
        <v>439</v>
      </c>
      <c r="D163" s="45"/>
      <c r="F163" s="45"/>
      <c r="G163" s="45"/>
      <c r="H163" s="45"/>
      <c r="I163" s="100"/>
      <c r="J163" s="100"/>
    </row>
    <row r="164" spans="1:21">
      <c r="A164" s="635"/>
      <c r="B164" s="635"/>
      <c r="C164" s="45"/>
      <c r="D164" s="44"/>
      <c r="E164" s="45"/>
      <c r="F164" s="45"/>
      <c r="G164" s="45"/>
      <c r="H164" s="45"/>
      <c r="I164" s="100"/>
      <c r="J164" s="100"/>
    </row>
    <row r="165" spans="1:21">
      <c r="A165" s="968" t="s">
        <v>455</v>
      </c>
      <c r="B165" s="968"/>
      <c r="C165" s="968"/>
      <c r="D165" s="968"/>
      <c r="E165" s="968"/>
      <c r="F165" s="968"/>
      <c r="G165" s="968"/>
      <c r="H165" s="968"/>
      <c r="I165" s="968"/>
      <c r="J165" s="968"/>
      <c r="K165" s="968"/>
      <c r="L165" s="102"/>
    </row>
    <row r="166" spans="1:21" ht="16.5">
      <c r="A166" s="600" t="s">
        <v>169</v>
      </c>
      <c r="B166" s="98" t="s">
        <v>185</v>
      </c>
      <c r="C166" s="832" t="s">
        <v>456</v>
      </c>
      <c r="D166" s="832"/>
      <c r="E166" s="832"/>
      <c r="F166" s="832"/>
      <c r="G166" s="832"/>
      <c r="H166" s="832"/>
      <c r="I166" s="832"/>
      <c r="J166" s="832"/>
      <c r="K166" s="832"/>
      <c r="L166" s="128"/>
      <c r="N166" s="73"/>
      <c r="O166" s="73"/>
      <c r="P166" s="73"/>
      <c r="Q166" s="73"/>
      <c r="R166" s="73"/>
      <c r="S166" s="73"/>
    </row>
    <row r="167" spans="1:21" ht="18.75" customHeight="1">
      <c r="A167" s="548" t="s">
        <v>173</v>
      </c>
      <c r="B167" s="548" t="s">
        <v>177</v>
      </c>
      <c r="C167" s="548" t="s">
        <v>182</v>
      </c>
      <c r="D167" s="823" t="s">
        <v>171</v>
      </c>
      <c r="E167" s="823"/>
      <c r="F167" s="823"/>
      <c r="G167" s="823"/>
      <c r="H167" s="823"/>
      <c r="I167" s="823"/>
      <c r="J167" s="823" t="s">
        <v>175</v>
      </c>
      <c r="K167" s="823"/>
      <c r="L167" s="113"/>
      <c r="N167" s="73"/>
      <c r="O167" s="73"/>
      <c r="P167" s="73"/>
      <c r="Q167" s="73"/>
      <c r="R167" s="73"/>
      <c r="S167" s="73"/>
    </row>
    <row r="168" spans="1:21" ht="32.25" customHeight="1">
      <c r="A168" s="608" t="s">
        <v>281</v>
      </c>
      <c r="B168" s="564" t="s">
        <v>282</v>
      </c>
      <c r="C168" s="564" t="s">
        <v>283</v>
      </c>
      <c r="D168" s="822" t="s">
        <v>284</v>
      </c>
      <c r="E168" s="822"/>
      <c r="F168" s="822"/>
      <c r="G168" s="822"/>
      <c r="H168" s="822"/>
      <c r="I168" s="822"/>
      <c r="J168" s="822" t="s">
        <v>285</v>
      </c>
      <c r="K168" s="822"/>
      <c r="L168" s="192"/>
      <c r="N168" s="73"/>
      <c r="O168" s="73"/>
      <c r="P168" s="73"/>
      <c r="Q168" s="73"/>
      <c r="R168" s="73"/>
      <c r="S168" s="73"/>
    </row>
    <row r="169" spans="1:21" ht="32.25" customHeight="1">
      <c r="A169" s="189"/>
      <c r="B169" s="324"/>
      <c r="C169" s="565" t="s">
        <v>286</v>
      </c>
      <c r="D169" s="819" t="s">
        <v>286</v>
      </c>
      <c r="E169" s="819"/>
      <c r="F169" s="819"/>
      <c r="G169" s="819"/>
      <c r="H169" s="819"/>
      <c r="I169" s="819"/>
      <c r="J169" s="819" t="s">
        <v>286</v>
      </c>
      <c r="K169" s="819"/>
      <c r="L169" s="103"/>
      <c r="N169" s="73"/>
      <c r="O169" s="73"/>
      <c r="P169" s="73"/>
      <c r="Q169" s="73"/>
      <c r="R169" s="73"/>
      <c r="S169" s="73"/>
    </row>
    <row r="170" spans="1:21" ht="15" customHeight="1">
      <c r="A170" s="928"/>
      <c r="B170" s="928"/>
      <c r="C170" s="928"/>
      <c r="D170" s="928"/>
      <c r="E170" s="928"/>
      <c r="F170" s="928"/>
      <c r="G170" s="928"/>
      <c r="H170" s="928"/>
      <c r="I170" s="99" t="s">
        <v>287</v>
      </c>
      <c r="J170" s="40" t="s">
        <v>288</v>
      </c>
      <c r="K170" s="39" t="s">
        <v>289</v>
      </c>
      <c r="N170" s="73"/>
      <c r="O170" s="73"/>
      <c r="P170" s="73"/>
      <c r="Q170" s="73"/>
      <c r="R170" s="73"/>
      <c r="S170" s="73"/>
    </row>
    <row r="171" spans="1:21">
      <c r="A171" s="566" t="s">
        <v>180</v>
      </c>
      <c r="B171" s="566" t="s">
        <v>184</v>
      </c>
      <c r="C171" s="870" t="s">
        <v>290</v>
      </c>
      <c r="D171" s="870"/>
      <c r="E171" s="567" t="s">
        <v>291</v>
      </c>
      <c r="F171" s="567" t="s">
        <v>292</v>
      </c>
      <c r="G171" s="567" t="s">
        <v>293</v>
      </c>
      <c r="H171" s="567" t="s">
        <v>294</v>
      </c>
      <c r="I171" s="855" t="s">
        <v>295</v>
      </c>
      <c r="J171" s="855"/>
      <c r="K171" s="567" t="s">
        <v>296</v>
      </c>
      <c r="L171" s="635"/>
    </row>
    <row r="172" spans="1:21" ht="27">
      <c r="A172" s="572" t="s">
        <v>281</v>
      </c>
      <c r="B172" s="563" t="s">
        <v>298</v>
      </c>
      <c r="C172" s="807" t="s">
        <v>457</v>
      </c>
      <c r="D172" s="807"/>
      <c r="E172" s="563" t="s">
        <v>301</v>
      </c>
      <c r="F172" s="563" t="s">
        <v>302</v>
      </c>
      <c r="G172" s="563" t="s">
        <v>303</v>
      </c>
      <c r="H172" s="563" t="s">
        <v>304</v>
      </c>
      <c r="I172" s="861" t="s">
        <v>305</v>
      </c>
      <c r="J172" s="862"/>
      <c r="K172" s="563" t="s">
        <v>306</v>
      </c>
    </row>
    <row r="173" spans="1:21">
      <c r="A173" s="868" t="s">
        <v>307</v>
      </c>
      <c r="B173" s="839" t="s">
        <v>286</v>
      </c>
      <c r="C173" s="839" t="s">
        <v>286</v>
      </c>
      <c r="D173" s="839"/>
      <c r="E173" s="561" t="s">
        <v>286</v>
      </c>
      <c r="F173" s="561" t="s">
        <v>286</v>
      </c>
      <c r="G173" s="839" t="s">
        <v>286</v>
      </c>
      <c r="H173" s="840" t="s">
        <v>308</v>
      </c>
      <c r="I173" s="97" t="s">
        <v>309</v>
      </c>
      <c r="J173" s="561" t="s">
        <v>308</v>
      </c>
      <c r="K173" s="926"/>
    </row>
    <row r="174" spans="1:21">
      <c r="A174" s="868"/>
      <c r="B174" s="839"/>
      <c r="C174" s="937"/>
      <c r="D174" s="937"/>
      <c r="E174" s="544"/>
      <c r="F174" s="544"/>
      <c r="G174" s="839"/>
      <c r="H174" s="840"/>
      <c r="I174" s="97" t="s">
        <v>310</v>
      </c>
      <c r="J174" s="284"/>
      <c r="K174" s="927"/>
    </row>
    <row r="175" spans="1:21" ht="30.6" customHeight="1">
      <c r="A175" s="529" t="s">
        <v>297</v>
      </c>
      <c r="B175" s="961" t="s">
        <v>311</v>
      </c>
      <c r="C175" s="962"/>
      <c r="D175" s="972"/>
      <c r="E175" s="972"/>
      <c r="F175" s="972"/>
      <c r="G175" s="972"/>
      <c r="H175" s="972"/>
      <c r="I175" s="972"/>
      <c r="J175" s="972"/>
      <c r="K175" s="972"/>
      <c r="N175" s="73"/>
      <c r="O175" s="73"/>
      <c r="P175" s="73"/>
      <c r="Q175" s="73"/>
      <c r="R175" s="73"/>
      <c r="S175" s="73"/>
      <c r="T175" s="73"/>
      <c r="U175" s="73"/>
    </row>
    <row r="176" spans="1:21" ht="30.75" customHeight="1">
      <c r="A176" s="843" t="s">
        <v>458</v>
      </c>
      <c r="B176" s="843"/>
      <c r="C176" s="843"/>
      <c r="D176" s="843"/>
      <c r="E176" s="843"/>
      <c r="F176" s="843"/>
      <c r="G176" s="843"/>
      <c r="H176" s="843"/>
      <c r="J176" s="2"/>
      <c r="K176" s="2"/>
      <c r="L176" s="2"/>
      <c r="N176" s="73"/>
      <c r="O176" s="73"/>
      <c r="P176" s="73"/>
      <c r="Q176" s="73"/>
      <c r="R176" s="73"/>
      <c r="S176" s="73"/>
      <c r="T176" s="73"/>
      <c r="U176" s="73"/>
    </row>
    <row r="177" spans="1:21" ht="30.75" customHeight="1">
      <c r="A177" s="849" t="s">
        <v>313</v>
      </c>
      <c r="B177" s="849"/>
      <c r="C177" s="849"/>
      <c r="D177" s="849"/>
      <c r="E177" s="849"/>
      <c r="F177" s="849"/>
      <c r="G177" s="849"/>
      <c r="H177" s="849"/>
      <c r="I177" s="2"/>
      <c r="J177" s="2"/>
      <c r="K177" s="2"/>
      <c r="N177" s="73"/>
      <c r="O177" s="73"/>
      <c r="P177" s="73"/>
      <c r="Q177" s="73"/>
      <c r="R177" s="73"/>
      <c r="S177" s="73"/>
      <c r="T177" s="73"/>
      <c r="U177" s="73"/>
    </row>
    <row r="178" spans="1:21" ht="30.75" customHeight="1">
      <c r="A178" s="560" t="s">
        <v>430</v>
      </c>
      <c r="B178" s="545"/>
      <c r="C178" s="545"/>
      <c r="D178" s="545"/>
      <c r="E178" s="545"/>
      <c r="F178" s="545"/>
      <c r="G178" s="545"/>
      <c r="H178" s="545"/>
      <c r="I178" s="2"/>
      <c r="J178" s="2"/>
      <c r="K178" s="2"/>
      <c r="N178" s="73"/>
      <c r="O178" s="73"/>
      <c r="P178" s="73"/>
      <c r="Q178" s="73"/>
      <c r="R178" s="73"/>
      <c r="S178" s="73"/>
      <c r="T178" s="73"/>
      <c r="U178" s="73"/>
    </row>
    <row r="179" spans="1:21" ht="16.5" customHeight="1">
      <c r="A179" s="850" t="s">
        <v>398</v>
      </c>
      <c r="B179" s="850"/>
      <c r="C179" s="328"/>
      <c r="D179" s="328"/>
      <c r="E179" s="328"/>
      <c r="F179" s="328"/>
      <c r="G179" s="328"/>
      <c r="H179" s="328"/>
      <c r="K179" s="635"/>
      <c r="N179" s="73"/>
      <c r="O179" s="73"/>
      <c r="P179" s="73"/>
      <c r="Q179" s="73"/>
      <c r="R179" s="73"/>
      <c r="S179" s="73"/>
      <c r="T179" s="73"/>
      <c r="U179" s="73"/>
    </row>
    <row r="180" spans="1:21" ht="16.5" customHeight="1">
      <c r="A180" s="559"/>
      <c r="B180" s="635"/>
      <c r="C180" s="121" t="s">
        <v>316</v>
      </c>
      <c r="D180" s="830" t="s">
        <v>317</v>
      </c>
      <c r="E180" s="830"/>
      <c r="F180" s="830"/>
      <c r="G180" s="830"/>
      <c r="H180" s="830"/>
      <c r="I180" s="830"/>
      <c r="J180" s="826" t="s">
        <v>318</v>
      </c>
      <c r="K180" s="826"/>
      <c r="L180" s="80"/>
      <c r="N180" s="73"/>
      <c r="O180" s="73"/>
      <c r="P180" s="73"/>
      <c r="Q180" s="73"/>
      <c r="R180" s="73"/>
      <c r="S180" s="73"/>
      <c r="T180" s="73"/>
      <c r="U180" s="73"/>
    </row>
    <row r="181" spans="1:21" ht="16.5" customHeight="1">
      <c r="A181" s="559"/>
      <c r="B181" s="635"/>
      <c r="C181" s="554" t="s">
        <v>319</v>
      </c>
      <c r="D181" s="833" t="s">
        <v>320</v>
      </c>
      <c r="E181" s="834"/>
      <c r="F181" s="834"/>
      <c r="G181" s="834"/>
      <c r="H181" s="834"/>
      <c r="I181" s="835"/>
      <c r="J181" s="828" t="s">
        <v>321</v>
      </c>
      <c r="K181" s="828"/>
      <c r="L181" s="80"/>
      <c r="N181" s="73"/>
      <c r="O181" s="73"/>
      <c r="P181" s="73"/>
      <c r="Q181" s="73"/>
      <c r="R181" s="73"/>
      <c r="S181" s="73"/>
      <c r="T181" s="73"/>
      <c r="U181" s="73"/>
    </row>
    <row r="182" spans="1:21" ht="27" customHeight="1">
      <c r="A182" s="559"/>
      <c r="B182" s="635"/>
      <c r="C182" s="554" t="s">
        <v>322</v>
      </c>
      <c r="D182" s="811" t="s">
        <v>323</v>
      </c>
      <c r="E182" s="812"/>
      <c r="F182" s="812"/>
      <c r="G182" s="812"/>
      <c r="H182" s="812"/>
      <c r="I182" s="813"/>
      <c r="J182" s="818" t="s">
        <v>192</v>
      </c>
      <c r="K182" s="818"/>
      <c r="L182" s="104"/>
      <c r="N182" s="73"/>
      <c r="O182" s="73"/>
      <c r="P182" s="73"/>
      <c r="Q182" s="73"/>
      <c r="R182" s="73"/>
      <c r="S182" s="73"/>
      <c r="T182" s="73"/>
      <c r="U182" s="73"/>
    </row>
    <row r="183" spans="1:21" ht="26.25" customHeight="1">
      <c r="A183" s="559"/>
      <c r="B183" s="635"/>
      <c r="D183" s="814" t="s">
        <v>324</v>
      </c>
      <c r="E183" s="815"/>
      <c r="F183" s="815"/>
      <c r="G183" s="815"/>
      <c r="H183" s="815"/>
      <c r="I183" s="816"/>
      <c r="J183" s="818" t="s">
        <v>325</v>
      </c>
      <c r="K183" s="818"/>
      <c r="L183" s="104"/>
      <c r="N183" s="73"/>
      <c r="O183" s="73"/>
      <c r="P183" s="73"/>
      <c r="Q183" s="73"/>
      <c r="R183" s="73"/>
      <c r="S183" s="73"/>
      <c r="T183" s="73"/>
      <c r="U183" s="73"/>
    </row>
    <row r="184" spans="1:21" ht="17.25" customHeight="1">
      <c r="A184" s="559"/>
      <c r="B184" s="635"/>
      <c r="D184" s="817" t="s">
        <v>399</v>
      </c>
      <c r="E184" s="817"/>
      <c r="F184" s="817"/>
      <c r="G184" s="817"/>
      <c r="H184" s="817"/>
      <c r="I184" s="817"/>
      <c r="J184" s="817" t="s">
        <v>400</v>
      </c>
      <c r="K184" s="817"/>
      <c r="L184" s="104"/>
      <c r="N184" s="73"/>
      <c r="O184" s="73"/>
      <c r="P184" s="73"/>
      <c r="Q184" s="73"/>
      <c r="R184" s="73"/>
      <c r="S184" s="73"/>
      <c r="T184" s="73"/>
      <c r="U184" s="73"/>
    </row>
    <row r="185" spans="1:21">
      <c r="A185" s="635"/>
      <c r="B185" s="635"/>
      <c r="C185" s="45"/>
      <c r="D185" s="44"/>
      <c r="E185" s="45"/>
      <c r="F185" s="45"/>
      <c r="G185" s="45"/>
      <c r="H185" s="45"/>
      <c r="I185" s="100"/>
      <c r="J185" s="100"/>
    </row>
    <row r="186" spans="1:21">
      <c r="A186" s="635"/>
      <c r="B186" s="546" t="s">
        <v>327</v>
      </c>
      <c r="C186" s="826" t="s">
        <v>457</v>
      </c>
      <c r="D186" s="826"/>
      <c r="E186" s="546" t="s">
        <v>330</v>
      </c>
      <c r="F186" s="546" t="s">
        <v>459</v>
      </c>
      <c r="H186" s="45"/>
      <c r="I186" s="100"/>
      <c r="J186" s="43"/>
    </row>
    <row r="187" spans="1:21">
      <c r="A187" s="635"/>
      <c r="B187" s="613" t="s">
        <v>406</v>
      </c>
      <c r="C187" s="901" t="s">
        <v>460</v>
      </c>
      <c r="D187" s="901"/>
      <c r="E187" s="546" t="s">
        <v>461</v>
      </c>
      <c r="F187" s="613" t="s">
        <v>343</v>
      </c>
      <c r="H187" s="45"/>
      <c r="I187" s="100"/>
      <c r="J187" s="43"/>
    </row>
    <row r="188" spans="1:21">
      <c r="A188" s="635"/>
      <c r="B188" s="613" t="s">
        <v>340</v>
      </c>
      <c r="C188" s="907" t="s">
        <v>462</v>
      </c>
      <c r="D188" s="909"/>
      <c r="E188" s="613" t="s">
        <v>364</v>
      </c>
      <c r="F188" s="613" t="s">
        <v>355</v>
      </c>
      <c r="H188" s="45"/>
      <c r="I188" s="100"/>
      <c r="J188" s="43"/>
    </row>
    <row r="189" spans="1:21">
      <c r="A189" s="635"/>
      <c r="B189" s="613" t="s">
        <v>345</v>
      </c>
      <c r="C189" s="907" t="s">
        <v>463</v>
      </c>
      <c r="D189" s="909"/>
      <c r="E189" s="613" t="s">
        <v>348</v>
      </c>
      <c r="F189" s="613" t="s">
        <v>464</v>
      </c>
      <c r="H189" s="45"/>
      <c r="I189" s="100"/>
      <c r="J189" s="43"/>
    </row>
    <row r="190" spans="1:21">
      <c r="A190" s="635"/>
      <c r="B190" s="635"/>
      <c r="C190" s="907" t="s">
        <v>465</v>
      </c>
      <c r="D190" s="909"/>
      <c r="E190" s="613" t="s">
        <v>352</v>
      </c>
      <c r="F190" s="613" t="s">
        <v>352</v>
      </c>
      <c r="H190" s="45"/>
      <c r="I190" s="100"/>
      <c r="J190" s="43"/>
    </row>
    <row r="191" spans="1:21">
      <c r="A191" s="635"/>
      <c r="B191" s="635"/>
      <c r="C191" s="45"/>
      <c r="D191" s="44"/>
      <c r="E191" s="613" t="s">
        <v>466</v>
      </c>
      <c r="F191" s="613" t="s">
        <v>379</v>
      </c>
      <c r="H191" s="45"/>
      <c r="I191" s="100"/>
      <c r="J191" s="43"/>
    </row>
    <row r="192" spans="1:21">
      <c r="A192" s="635"/>
      <c r="B192" s="635"/>
      <c r="C192" s="45"/>
      <c r="D192" s="44"/>
      <c r="E192" s="613" t="s">
        <v>354</v>
      </c>
      <c r="F192" s="613" t="s">
        <v>354</v>
      </c>
      <c r="H192" s="45"/>
      <c r="I192" s="100"/>
      <c r="J192" s="43"/>
    </row>
    <row r="193" spans="1:10">
      <c r="A193" s="635"/>
      <c r="B193" s="635"/>
      <c r="C193" s="45"/>
      <c r="D193" s="44"/>
      <c r="E193" s="546" t="s">
        <v>467</v>
      </c>
      <c r="F193" s="613" t="s">
        <v>360</v>
      </c>
      <c r="H193" s="45"/>
      <c r="I193" s="100"/>
      <c r="J193" s="43"/>
    </row>
    <row r="194" spans="1:10">
      <c r="A194" s="635"/>
      <c r="B194" s="635"/>
      <c r="C194" s="45"/>
      <c r="D194" s="44"/>
      <c r="E194" s="613" t="s">
        <v>343</v>
      </c>
      <c r="F194" s="613" t="s">
        <v>363</v>
      </c>
      <c r="H194" s="45"/>
      <c r="I194" s="100"/>
      <c r="J194" s="43"/>
    </row>
    <row r="195" spans="1:10">
      <c r="A195" s="635"/>
      <c r="B195" s="635"/>
      <c r="C195" s="45"/>
      <c r="D195" s="44"/>
      <c r="E195" s="613" t="s">
        <v>364</v>
      </c>
      <c r="F195" s="613" t="s">
        <v>468</v>
      </c>
      <c r="H195" s="45"/>
      <c r="I195" s="100"/>
      <c r="J195" s="43"/>
    </row>
    <row r="196" spans="1:10">
      <c r="A196" s="635"/>
      <c r="B196" s="635"/>
      <c r="C196" s="45"/>
      <c r="D196" s="44"/>
      <c r="E196" s="613" t="s">
        <v>348</v>
      </c>
      <c r="F196" s="613" t="s">
        <v>369</v>
      </c>
      <c r="G196" s="45"/>
      <c r="H196" s="45"/>
      <c r="I196" s="100"/>
      <c r="J196" s="43"/>
    </row>
    <row r="197" spans="1:10">
      <c r="A197" s="635"/>
      <c r="B197" s="635"/>
      <c r="C197" s="45"/>
      <c r="D197" s="44"/>
      <c r="E197" s="613" t="s">
        <v>352</v>
      </c>
      <c r="G197" s="45"/>
      <c r="H197" s="45"/>
      <c r="I197" s="100"/>
      <c r="J197" s="43"/>
    </row>
    <row r="198" spans="1:10">
      <c r="A198" s="635"/>
      <c r="B198" s="635"/>
      <c r="C198" s="45"/>
      <c r="D198" s="44"/>
      <c r="E198" s="613" t="s">
        <v>466</v>
      </c>
      <c r="G198" s="45"/>
      <c r="H198" s="45"/>
      <c r="I198" s="100"/>
      <c r="J198" s="43"/>
    </row>
    <row r="199" spans="1:10">
      <c r="A199" s="635"/>
      <c r="B199" s="635"/>
      <c r="C199" s="45"/>
      <c r="D199" s="44"/>
      <c r="E199" s="613" t="s">
        <v>354</v>
      </c>
      <c r="G199" s="45"/>
      <c r="H199" s="45"/>
      <c r="I199" s="100"/>
      <c r="J199" s="43"/>
    </row>
    <row r="200" spans="1:10">
      <c r="A200" s="635"/>
      <c r="B200" s="635"/>
      <c r="C200" s="45"/>
      <c r="D200" s="44"/>
      <c r="E200" s="546" t="s">
        <v>469</v>
      </c>
      <c r="G200" s="45"/>
      <c r="H200" s="45"/>
      <c r="I200" s="100"/>
      <c r="J200" s="43"/>
    </row>
    <row r="201" spans="1:10">
      <c r="A201" s="635"/>
      <c r="B201" s="635"/>
      <c r="C201" s="45"/>
      <c r="D201" s="44"/>
      <c r="E201" s="613" t="s">
        <v>470</v>
      </c>
      <c r="G201" s="45"/>
      <c r="H201" s="45"/>
      <c r="I201" s="100"/>
      <c r="J201" s="43"/>
    </row>
    <row r="202" spans="1:10">
      <c r="A202" s="635"/>
      <c r="B202" s="635"/>
      <c r="C202" s="45"/>
      <c r="D202" s="44"/>
      <c r="E202" s="613" t="s">
        <v>471</v>
      </c>
      <c r="G202" s="45"/>
      <c r="H202" s="45"/>
      <c r="I202" s="100"/>
      <c r="J202" s="43"/>
    </row>
    <row r="203" spans="1:10">
      <c r="A203" s="635"/>
      <c r="B203" s="635"/>
      <c r="C203" s="45"/>
      <c r="D203" s="44"/>
      <c r="E203" s="613" t="s">
        <v>472</v>
      </c>
      <c r="G203" s="45"/>
      <c r="H203" s="45"/>
      <c r="I203" s="100"/>
      <c r="J203" s="100"/>
    </row>
    <row r="204" spans="1:10">
      <c r="A204" s="635"/>
      <c r="B204" s="635"/>
      <c r="C204" s="45"/>
      <c r="D204" s="44"/>
      <c r="E204" s="613" t="s">
        <v>473</v>
      </c>
      <c r="G204" s="45"/>
      <c r="H204" s="45"/>
      <c r="I204" s="100"/>
      <c r="J204" s="100"/>
    </row>
    <row r="205" spans="1:10">
      <c r="A205" s="635"/>
      <c r="B205" s="635"/>
      <c r="C205" s="45"/>
      <c r="D205" s="44"/>
      <c r="E205" s="613" t="s">
        <v>474</v>
      </c>
      <c r="G205" s="45"/>
      <c r="H205" s="45"/>
      <c r="I205" s="100"/>
      <c r="J205" s="100"/>
    </row>
    <row r="206" spans="1:10">
      <c r="A206" s="635"/>
      <c r="B206" s="635"/>
      <c r="C206" s="45"/>
      <c r="D206" s="44"/>
      <c r="E206" s="613" t="s">
        <v>475</v>
      </c>
      <c r="G206" s="45"/>
      <c r="H206" s="45"/>
      <c r="I206" s="100"/>
      <c r="J206" s="100"/>
    </row>
    <row r="207" spans="1:10">
      <c r="A207" s="635"/>
      <c r="B207" s="635"/>
      <c r="C207" s="45"/>
      <c r="D207" s="44"/>
      <c r="E207" s="613" t="s">
        <v>476</v>
      </c>
      <c r="G207" s="45"/>
      <c r="H207" s="45"/>
      <c r="I207" s="100"/>
      <c r="J207" s="100"/>
    </row>
    <row r="208" spans="1:10">
      <c r="A208" s="635"/>
      <c r="B208" s="635"/>
      <c r="C208" s="45"/>
      <c r="D208" s="44"/>
      <c r="E208" s="613" t="s">
        <v>477</v>
      </c>
      <c r="G208" s="45"/>
      <c r="H208" s="45"/>
      <c r="I208" s="100"/>
      <c r="J208" s="100"/>
    </row>
    <row r="209" spans="1:19">
      <c r="A209" s="635"/>
      <c r="B209" s="635"/>
      <c r="C209" s="45"/>
      <c r="D209" s="44"/>
      <c r="E209" s="613" t="s">
        <v>478</v>
      </c>
      <c r="H209" s="45"/>
      <c r="I209" s="100"/>
      <c r="J209" s="100"/>
    </row>
    <row r="210" spans="1:19">
      <c r="A210" s="635"/>
      <c r="B210" s="635"/>
      <c r="C210" s="45"/>
      <c r="D210" s="44"/>
      <c r="E210" s="613" t="s">
        <v>479</v>
      </c>
      <c r="H210" s="45"/>
      <c r="I210" s="100"/>
      <c r="J210" s="100"/>
    </row>
    <row r="211" spans="1:19">
      <c r="E211" s="613" t="s">
        <v>480</v>
      </c>
    </row>
    <row r="212" spans="1:19">
      <c r="E212" s="546" t="s">
        <v>481</v>
      </c>
      <c r="F212" s="620"/>
      <c r="G212" s="620"/>
      <c r="H212" s="620"/>
      <c r="I212" s="620"/>
      <c r="J212" s="620"/>
    </row>
    <row r="213" spans="1:19">
      <c r="E213" s="613" t="s">
        <v>473</v>
      </c>
      <c r="F213" s="620"/>
      <c r="G213" s="620"/>
      <c r="H213" s="620"/>
      <c r="I213" s="620"/>
      <c r="J213" s="620"/>
    </row>
    <row r="214" spans="1:19">
      <c r="A214" s="635"/>
      <c r="B214" s="635"/>
      <c r="C214" s="635"/>
      <c r="D214" s="635"/>
      <c r="E214" s="635"/>
      <c r="F214" s="620"/>
      <c r="G214" s="620"/>
      <c r="H214" s="620"/>
      <c r="I214" s="620"/>
      <c r="J214" s="620"/>
    </row>
    <row r="215" spans="1:19">
      <c r="E215" s="43"/>
      <c r="F215" s="620"/>
      <c r="G215" s="620"/>
      <c r="H215" s="620"/>
      <c r="I215" s="620"/>
      <c r="J215" s="620"/>
    </row>
    <row r="216" spans="1:19">
      <c r="A216" s="936" t="s">
        <v>482</v>
      </c>
      <c r="B216" s="936"/>
      <c r="C216" s="936"/>
      <c r="D216" s="936"/>
      <c r="E216" s="936"/>
      <c r="F216" s="936"/>
      <c r="G216" s="936"/>
      <c r="H216" s="936"/>
      <c r="I216" s="936"/>
      <c r="J216" s="936"/>
      <c r="K216" s="936"/>
      <c r="L216" s="936"/>
      <c r="N216" s="73"/>
      <c r="O216" s="73"/>
      <c r="P216" s="73"/>
      <c r="Q216" s="73"/>
      <c r="R216" s="73"/>
      <c r="S216" s="73"/>
    </row>
    <row r="217" spans="1:19">
      <c r="A217" s="947" t="s">
        <v>483</v>
      </c>
      <c r="B217" s="948"/>
      <c r="C217" s="948"/>
      <c r="D217" s="948"/>
      <c r="E217" s="948"/>
      <c r="F217" s="948"/>
      <c r="G217" s="948"/>
      <c r="H217" s="948"/>
      <c r="I217" s="948"/>
      <c r="J217" s="948"/>
      <c r="K217" s="948"/>
      <c r="L217" s="949"/>
      <c r="N217" s="73"/>
      <c r="O217" s="73"/>
      <c r="P217" s="73"/>
      <c r="Q217" s="73"/>
      <c r="R217" s="73"/>
      <c r="S217" s="73"/>
    </row>
    <row r="218" spans="1:19" ht="16.5">
      <c r="A218" s="437" t="s">
        <v>169</v>
      </c>
      <c r="B218" s="98" t="s">
        <v>185</v>
      </c>
      <c r="C218" s="892" t="s">
        <v>280</v>
      </c>
      <c r="D218" s="893"/>
      <c r="E218" s="893"/>
      <c r="F218" s="893"/>
      <c r="G218" s="893"/>
      <c r="H218" s="893"/>
      <c r="I218" s="893"/>
      <c r="J218" s="893"/>
      <c r="K218" s="893"/>
      <c r="L218" s="894"/>
      <c r="N218" s="73"/>
      <c r="O218" s="73"/>
      <c r="P218" s="73"/>
      <c r="Q218" s="73"/>
      <c r="R218" s="73"/>
      <c r="S218" s="73"/>
    </row>
    <row r="219" spans="1:19" ht="18.75" customHeight="1">
      <c r="A219" s="582" t="s">
        <v>173</v>
      </c>
      <c r="B219" s="582" t="s">
        <v>177</v>
      </c>
      <c r="C219" s="582" t="s">
        <v>182</v>
      </c>
      <c r="D219" s="582" t="s">
        <v>171</v>
      </c>
      <c r="E219" s="887" t="s">
        <v>175</v>
      </c>
      <c r="F219" s="888"/>
      <c r="G219" s="888"/>
      <c r="H219" s="888"/>
      <c r="I219" s="889"/>
      <c r="J219" s="887" t="s">
        <v>180</v>
      </c>
      <c r="K219" s="888"/>
      <c r="L219" s="889"/>
      <c r="N219" s="73"/>
      <c r="O219" s="73"/>
      <c r="P219" s="73"/>
      <c r="Q219" s="73"/>
      <c r="R219" s="73"/>
      <c r="S219" s="73"/>
    </row>
    <row r="220" spans="1:19" ht="32.25" customHeight="1">
      <c r="A220" s="572" t="s">
        <v>281</v>
      </c>
      <c r="B220" s="443" t="s">
        <v>282</v>
      </c>
      <c r="C220" s="443" t="s">
        <v>283</v>
      </c>
      <c r="D220" s="443" t="s">
        <v>484</v>
      </c>
      <c r="E220" s="920" t="s">
        <v>485</v>
      </c>
      <c r="F220" s="921"/>
      <c r="G220" s="921"/>
      <c r="H220" s="921"/>
      <c r="I220" s="922"/>
      <c r="J220" s="890" t="s">
        <v>486</v>
      </c>
      <c r="K220" s="891"/>
      <c r="L220" s="957"/>
      <c r="N220" s="73"/>
      <c r="O220" s="73"/>
      <c r="P220" s="73"/>
      <c r="Q220" s="73"/>
      <c r="R220" s="73"/>
      <c r="S220" s="73"/>
    </row>
    <row r="221" spans="1:19" ht="32.25" customHeight="1">
      <c r="A221" s="353"/>
      <c r="B221" s="354"/>
      <c r="C221" s="351" t="s">
        <v>286</v>
      </c>
      <c r="D221" s="351" t="s">
        <v>286</v>
      </c>
      <c r="E221" s="923" t="s">
        <v>286</v>
      </c>
      <c r="F221" s="924"/>
      <c r="G221" s="924"/>
      <c r="H221" s="924"/>
      <c r="I221" s="925"/>
      <c r="J221" s="958" t="s">
        <v>286</v>
      </c>
      <c r="K221" s="959"/>
      <c r="L221" s="960"/>
      <c r="N221" s="73"/>
      <c r="O221" s="73"/>
      <c r="P221" s="73"/>
      <c r="Q221" s="73"/>
      <c r="R221" s="73"/>
      <c r="S221" s="73"/>
    </row>
    <row r="222" spans="1:19" ht="21" customHeight="1">
      <c r="A222" s="869" t="s">
        <v>487</v>
      </c>
      <c r="B222" s="869"/>
      <c r="C222" s="869"/>
      <c r="D222" s="869"/>
      <c r="E222" s="869"/>
      <c r="F222" s="869"/>
      <c r="G222" s="869"/>
      <c r="H222" s="869"/>
      <c r="I222" s="919"/>
      <c r="J222" s="352"/>
      <c r="K222" s="292"/>
      <c r="L222" s="292"/>
      <c r="N222" s="73"/>
      <c r="O222" s="73"/>
      <c r="P222" s="73"/>
      <c r="Q222" s="73"/>
      <c r="R222" s="73"/>
      <c r="S222" s="73"/>
    </row>
    <row r="223" spans="1:19" ht="20.25" customHeight="1">
      <c r="A223" s="843" t="s">
        <v>488</v>
      </c>
      <c r="B223" s="881"/>
      <c r="C223" s="881"/>
      <c r="D223" s="881"/>
      <c r="E223" s="881"/>
      <c r="F223" s="881"/>
      <c r="G223" s="881"/>
      <c r="H223" s="881"/>
      <c r="I223" s="881"/>
      <c r="J223" s="352"/>
      <c r="K223" s="292"/>
      <c r="L223" s="292"/>
      <c r="N223" s="73"/>
      <c r="O223" s="73"/>
      <c r="P223" s="73"/>
      <c r="Q223" s="73"/>
      <c r="R223" s="73"/>
      <c r="S223" s="73"/>
    </row>
    <row r="224" spans="1:19" ht="32.25" customHeight="1">
      <c r="A224" s="261"/>
      <c r="B224" s="355"/>
      <c r="C224" s="352"/>
      <c r="D224" s="352"/>
      <c r="E224" s="352"/>
      <c r="F224" s="352"/>
      <c r="G224" s="352"/>
      <c r="H224" s="352"/>
      <c r="I224" s="352"/>
      <c r="J224" s="352"/>
      <c r="K224" s="292"/>
      <c r="L224" s="292"/>
      <c r="N224" s="73"/>
      <c r="O224" s="73"/>
      <c r="P224" s="73"/>
      <c r="Q224" s="73"/>
      <c r="R224" s="73"/>
      <c r="S224" s="73"/>
    </row>
    <row r="225" spans="1:21" ht="18" customHeight="1">
      <c r="A225" s="951" t="s">
        <v>489</v>
      </c>
      <c r="B225" s="951"/>
      <c r="C225" s="951"/>
      <c r="D225" s="951"/>
      <c r="E225" s="951"/>
      <c r="F225" s="951"/>
      <c r="G225" s="951"/>
      <c r="H225" s="951"/>
      <c r="I225" s="951"/>
      <c r="J225" s="951"/>
      <c r="K225" s="951"/>
      <c r="L225" s="951"/>
      <c r="N225" s="73"/>
      <c r="O225" s="73"/>
      <c r="P225" s="73"/>
      <c r="Q225" s="73"/>
      <c r="R225" s="73"/>
      <c r="S225" s="73"/>
    </row>
    <row r="226" spans="1:21" ht="15" customHeight="1">
      <c r="A226" s="438" t="s">
        <v>184</v>
      </c>
      <c r="B226" s="438" t="s">
        <v>290</v>
      </c>
      <c r="C226" s="439" t="s">
        <v>291</v>
      </c>
      <c r="D226" s="438" t="s">
        <v>292</v>
      </c>
      <c r="E226" s="439" t="s">
        <v>293</v>
      </c>
      <c r="F226" s="440" t="s">
        <v>294</v>
      </c>
      <c r="G226" s="566" t="s">
        <v>295</v>
      </c>
      <c r="H226" s="566" t="s">
        <v>296</v>
      </c>
      <c r="I226" s="870" t="s">
        <v>297</v>
      </c>
      <c r="J226" s="870"/>
      <c r="K226" s="855" t="s">
        <v>490</v>
      </c>
      <c r="L226" s="855"/>
      <c r="N226" s="73"/>
      <c r="O226" s="73"/>
      <c r="P226" s="73"/>
      <c r="Q226" s="73"/>
      <c r="R226" s="73"/>
      <c r="S226" s="73"/>
      <c r="T226" s="73"/>
      <c r="U226" s="73"/>
    </row>
    <row r="227" spans="1:21" s="48" customFormat="1" ht="24">
      <c r="A227" s="572" t="s">
        <v>281</v>
      </c>
      <c r="B227" s="563" t="s">
        <v>298</v>
      </c>
      <c r="C227" s="563" t="s">
        <v>491</v>
      </c>
      <c r="D227" s="563" t="s">
        <v>300</v>
      </c>
      <c r="E227" s="563" t="s">
        <v>330</v>
      </c>
      <c r="F227" s="563" t="s">
        <v>331</v>
      </c>
      <c r="G227" s="441" t="s">
        <v>303</v>
      </c>
      <c r="H227" s="563" t="s">
        <v>449</v>
      </c>
      <c r="I227" s="807" t="s">
        <v>305</v>
      </c>
      <c r="J227" s="807"/>
      <c r="K227" s="807" t="s">
        <v>492</v>
      </c>
      <c r="L227" s="807"/>
      <c r="N227" s="73"/>
      <c r="O227" s="73"/>
      <c r="P227" s="73"/>
      <c r="Q227" s="73"/>
      <c r="R227" s="73"/>
      <c r="S227" s="73"/>
      <c r="T227" s="73"/>
      <c r="U227" s="73"/>
    </row>
    <row r="228" spans="1:21">
      <c r="A228" s="868" t="s">
        <v>307</v>
      </c>
      <c r="B228" s="879" t="s">
        <v>286</v>
      </c>
      <c r="C228" s="568" t="s">
        <v>286</v>
      </c>
      <c r="D228" s="561" t="s">
        <v>286</v>
      </c>
      <c r="E228" s="561" t="s">
        <v>286</v>
      </c>
      <c r="F228" s="561" t="s">
        <v>286</v>
      </c>
      <c r="G228" s="950" t="s">
        <v>338</v>
      </c>
      <c r="H228" s="879" t="s">
        <v>308</v>
      </c>
      <c r="I228" s="442" t="s">
        <v>309</v>
      </c>
      <c r="J228" s="561" t="s">
        <v>308</v>
      </c>
      <c r="K228" s="841"/>
      <c r="L228" s="841"/>
      <c r="N228" s="73"/>
      <c r="O228" s="73"/>
      <c r="P228" s="73"/>
      <c r="Q228" s="73"/>
      <c r="R228" s="73"/>
      <c r="S228" s="73"/>
      <c r="T228" s="73"/>
      <c r="U228" s="73"/>
    </row>
    <row r="229" spans="1:21">
      <c r="A229" s="868"/>
      <c r="B229" s="880"/>
      <c r="C229" s="544"/>
      <c r="D229" s="544"/>
      <c r="E229" s="591"/>
      <c r="F229" s="544"/>
      <c r="G229" s="950"/>
      <c r="H229" s="880"/>
      <c r="I229" s="442" t="s">
        <v>310</v>
      </c>
      <c r="J229" s="284"/>
      <c r="K229" s="841"/>
      <c r="L229" s="841"/>
      <c r="N229" s="73"/>
      <c r="O229" s="73"/>
      <c r="P229" s="73"/>
      <c r="Q229" s="73"/>
      <c r="R229" s="73"/>
      <c r="S229" s="73"/>
      <c r="T229" s="73"/>
      <c r="U229" s="73"/>
    </row>
    <row r="230" spans="1:21" ht="30.75" customHeight="1">
      <c r="A230" s="933" t="s">
        <v>493</v>
      </c>
      <c r="B230" s="933"/>
      <c r="C230" s="933"/>
      <c r="D230" s="933"/>
      <c r="E230" s="933"/>
      <c r="F230" s="933"/>
      <c r="G230" s="933"/>
      <c r="H230" s="933"/>
      <c r="I230" s="933"/>
      <c r="N230" s="73"/>
      <c r="O230" s="73"/>
      <c r="P230" s="73"/>
      <c r="Q230" s="73"/>
      <c r="R230" s="73"/>
      <c r="S230" s="73"/>
      <c r="T230" s="73"/>
      <c r="U230" s="73"/>
    </row>
    <row r="231" spans="1:21" ht="21" customHeight="1">
      <c r="N231" s="73"/>
      <c r="O231" s="73"/>
      <c r="P231" s="73"/>
      <c r="Q231" s="73"/>
      <c r="R231" s="73"/>
      <c r="S231" s="73"/>
      <c r="T231" s="73"/>
      <c r="U231" s="73"/>
    </row>
    <row r="232" spans="1:21" ht="31.5" customHeight="1">
      <c r="K232" s="635"/>
      <c r="N232" s="73"/>
      <c r="O232" s="73"/>
      <c r="P232" s="73"/>
      <c r="Q232" s="73"/>
      <c r="R232" s="73"/>
      <c r="S232" s="73"/>
      <c r="T232" s="73"/>
      <c r="U232" s="73"/>
    </row>
    <row r="233" spans="1:21" ht="20.25" customHeight="1">
      <c r="A233" s="904" t="s">
        <v>494</v>
      </c>
      <c r="B233" s="905"/>
      <c r="C233" s="905"/>
      <c r="D233" s="905"/>
      <c r="E233" s="905"/>
      <c r="F233" s="906"/>
      <c r="G233" s="357"/>
      <c r="H233" s="357"/>
      <c r="I233" s="357"/>
      <c r="J233" s="357"/>
      <c r="K233" s="357"/>
      <c r="L233" s="357"/>
      <c r="N233" s="73"/>
      <c r="O233" s="73"/>
      <c r="P233" s="73"/>
      <c r="Q233" s="73"/>
      <c r="R233" s="73"/>
      <c r="S233" s="73"/>
      <c r="T233" s="73"/>
      <c r="U233" s="73"/>
    </row>
    <row r="234" spans="1:21" ht="31.5" customHeight="1">
      <c r="A234" s="299" t="s">
        <v>495</v>
      </c>
      <c r="B234" s="299" t="s">
        <v>496</v>
      </c>
      <c r="C234" s="356" t="s">
        <v>497</v>
      </c>
      <c r="D234" s="955" t="s">
        <v>498</v>
      </c>
      <c r="E234" s="956"/>
      <c r="F234" s="629" t="s">
        <v>499</v>
      </c>
      <c r="G234" s="360"/>
      <c r="H234" s="360"/>
      <c r="I234" s="360"/>
      <c r="J234" s="360"/>
      <c r="K234" s="360"/>
      <c r="L234" s="360"/>
      <c r="N234" s="73"/>
      <c r="O234" s="73"/>
      <c r="P234" s="73"/>
      <c r="Q234" s="73"/>
      <c r="R234" s="73"/>
      <c r="S234" s="73"/>
      <c r="T234" s="73"/>
      <c r="U234" s="73"/>
    </row>
    <row r="235" spans="1:21" ht="31.5" customHeight="1">
      <c r="A235" s="608" t="s">
        <v>281</v>
      </c>
      <c r="B235" s="587" t="s">
        <v>500</v>
      </c>
      <c r="C235" s="296" t="s">
        <v>303</v>
      </c>
      <c r="D235" s="953" t="s">
        <v>501</v>
      </c>
      <c r="E235" s="954"/>
      <c r="F235" s="587" t="s">
        <v>502</v>
      </c>
      <c r="G235" s="360"/>
      <c r="H235" s="360"/>
      <c r="I235" s="360"/>
      <c r="J235" s="360"/>
      <c r="K235" s="360"/>
      <c r="L235" s="360"/>
      <c r="N235" s="73"/>
      <c r="O235" s="73"/>
      <c r="P235" s="73"/>
      <c r="Q235" s="73"/>
      <c r="R235" s="73"/>
      <c r="S235" s="73"/>
      <c r="T235" s="73"/>
      <c r="U235" s="73"/>
    </row>
    <row r="236" spans="1:21" ht="18" customHeight="1">
      <c r="A236" s="868" t="s">
        <v>307</v>
      </c>
      <c r="B236" s="952" t="s">
        <v>503</v>
      </c>
      <c r="C236" s="950" t="s">
        <v>344</v>
      </c>
      <c r="D236" s="145" t="s">
        <v>504</v>
      </c>
      <c r="E236" s="557" t="s">
        <v>308</v>
      </c>
      <c r="F236" s="544"/>
      <c r="H236" s="358"/>
      <c r="I236" s="105"/>
      <c r="J236" s="292"/>
      <c r="K236" s="359"/>
      <c r="L236" s="359"/>
      <c r="N236" s="73"/>
      <c r="O236" s="73"/>
      <c r="P236" s="73"/>
      <c r="Q236" s="73"/>
      <c r="R236" s="73"/>
      <c r="S236" s="73"/>
      <c r="T236" s="73"/>
      <c r="U236" s="73"/>
    </row>
    <row r="237" spans="1:21" ht="17.850000000000001" customHeight="1">
      <c r="A237" s="868"/>
      <c r="B237" s="952"/>
      <c r="C237" s="950"/>
      <c r="D237" s="145" t="s">
        <v>505</v>
      </c>
      <c r="E237" s="557" t="s">
        <v>308</v>
      </c>
      <c r="F237" s="544"/>
      <c r="H237" s="358"/>
      <c r="I237" s="105"/>
      <c r="J237" s="292"/>
      <c r="K237" s="359"/>
      <c r="L237" s="359"/>
      <c r="N237" s="73"/>
      <c r="O237" s="73"/>
      <c r="P237" s="73"/>
      <c r="Q237" s="73"/>
      <c r="R237" s="73"/>
      <c r="S237" s="73"/>
      <c r="T237" s="73"/>
      <c r="U237" s="73"/>
    </row>
    <row r="238" spans="1:21" ht="16.5" customHeight="1">
      <c r="A238" s="843" t="s">
        <v>506</v>
      </c>
      <c r="B238" s="843"/>
      <c r="C238" s="843"/>
      <c r="D238" s="843"/>
      <c r="E238" s="843"/>
      <c r="F238" s="843"/>
      <c r="G238" s="843"/>
      <c r="H238" s="843"/>
      <c r="I238" s="843"/>
      <c r="N238" s="73"/>
      <c r="O238" s="73"/>
      <c r="P238" s="73"/>
      <c r="Q238" s="73"/>
      <c r="R238" s="73"/>
      <c r="S238" s="73"/>
      <c r="T238" s="73"/>
      <c r="U238" s="73"/>
    </row>
    <row r="239" spans="1:21" ht="30" customHeight="1">
      <c r="A239" s="843" t="s">
        <v>507</v>
      </c>
      <c r="B239" s="843"/>
      <c r="C239" s="843"/>
      <c r="D239" s="843"/>
      <c r="E239" s="843"/>
      <c r="F239" s="843"/>
      <c r="G239" s="843"/>
      <c r="H239" s="843"/>
      <c r="I239" s="843"/>
      <c r="J239" t="s">
        <v>508</v>
      </c>
      <c r="N239" s="73"/>
      <c r="O239" s="73"/>
      <c r="P239" s="73"/>
      <c r="Q239" s="73"/>
      <c r="R239" s="73"/>
      <c r="S239" s="73"/>
      <c r="T239" s="73"/>
      <c r="U239" s="73"/>
    </row>
    <row r="240" spans="1:21" ht="16.5" customHeight="1">
      <c r="A240" s="559"/>
      <c r="B240" s="635"/>
      <c r="C240" s="121" t="s">
        <v>316</v>
      </c>
      <c r="D240" s="121" t="s">
        <v>509</v>
      </c>
      <c r="E240" s="930" t="s">
        <v>510</v>
      </c>
      <c r="F240" s="931"/>
      <c r="G240" s="931"/>
      <c r="H240" s="931"/>
      <c r="I240" s="932"/>
      <c r="J240" s="966" t="s">
        <v>332</v>
      </c>
      <c r="K240" s="967"/>
      <c r="L240" s="825"/>
      <c r="N240" s="73"/>
      <c r="O240" s="73"/>
      <c r="P240" s="73"/>
      <c r="Q240" s="73"/>
      <c r="R240" s="73"/>
      <c r="S240" s="73"/>
      <c r="T240" s="73"/>
      <c r="U240" s="73"/>
    </row>
    <row r="241" spans="1:21" ht="33.75" customHeight="1">
      <c r="A241" s="559"/>
      <c r="B241" s="635"/>
      <c r="C241" s="345" t="s">
        <v>511</v>
      </c>
      <c r="D241" s="361" t="s">
        <v>512</v>
      </c>
      <c r="E241" s="941" t="s">
        <v>320</v>
      </c>
      <c r="F241" s="942"/>
      <c r="G241" s="942"/>
      <c r="H241" s="942"/>
      <c r="I241" s="943"/>
      <c r="J241" s="938" t="s">
        <v>338</v>
      </c>
      <c r="K241" s="939"/>
      <c r="L241" s="940"/>
      <c r="N241" s="73"/>
      <c r="O241" s="73"/>
      <c r="P241" s="73"/>
      <c r="Q241" s="73"/>
      <c r="R241" s="73"/>
      <c r="S241" s="73"/>
      <c r="T241" s="73"/>
      <c r="U241" s="73"/>
    </row>
    <row r="242" spans="1:21" ht="38.85" customHeight="1">
      <c r="A242" s="559"/>
      <c r="B242" s="635"/>
      <c r="C242" s="345" t="s">
        <v>513</v>
      </c>
      <c r="D242" s="361" t="s">
        <v>514</v>
      </c>
      <c r="E242" s="944" t="s">
        <v>515</v>
      </c>
      <c r="F242" s="945"/>
      <c r="G242" s="945"/>
      <c r="H242" s="945"/>
      <c r="I242" s="946"/>
      <c r="J242" s="938" t="s">
        <v>344</v>
      </c>
      <c r="K242" s="939"/>
      <c r="L242" s="940"/>
      <c r="N242" s="73"/>
      <c r="O242" s="73"/>
      <c r="P242" s="73"/>
      <c r="Q242" s="73"/>
      <c r="R242" s="73"/>
      <c r="S242" s="73"/>
      <c r="T242" s="73"/>
      <c r="U242" s="73"/>
    </row>
    <row r="243" spans="1:21" ht="38.25" customHeight="1">
      <c r="A243" s="559"/>
      <c r="B243" s="635"/>
      <c r="C243" s="345" t="s">
        <v>516</v>
      </c>
      <c r="D243" s="345" t="s">
        <v>517</v>
      </c>
      <c r="E243" s="910" t="s">
        <v>324</v>
      </c>
      <c r="F243" s="911"/>
      <c r="G243" s="911"/>
      <c r="H243" s="911"/>
      <c r="I243" s="911"/>
      <c r="J243" s="902"/>
      <c r="K243" s="902"/>
      <c r="L243" s="902"/>
      <c r="N243" s="73"/>
      <c r="O243" s="73"/>
      <c r="P243" s="73"/>
      <c r="Q243" s="73"/>
      <c r="R243" s="73"/>
      <c r="S243" s="73"/>
      <c r="T243" s="73"/>
      <c r="U243" s="73"/>
    </row>
    <row r="244" spans="1:21" ht="38.25" customHeight="1">
      <c r="A244" s="559"/>
      <c r="B244" s="635"/>
      <c r="C244" s="345" t="s">
        <v>518</v>
      </c>
      <c r="D244" s="348"/>
      <c r="E244" s="929" t="s">
        <v>326</v>
      </c>
      <c r="F244" s="929"/>
      <c r="G244" s="929"/>
      <c r="H244" s="929"/>
      <c r="I244" s="929"/>
      <c r="J244" s="334"/>
      <c r="K244" s="334"/>
      <c r="L244" s="334"/>
      <c r="N244" s="73"/>
      <c r="O244" s="73"/>
      <c r="P244" s="73"/>
      <c r="Q244" s="73"/>
      <c r="R244" s="73"/>
      <c r="S244" s="73"/>
      <c r="T244" s="73"/>
      <c r="U244" s="73"/>
    </row>
    <row r="245" spans="1:21" ht="17.25" customHeight="1">
      <c r="A245" s="559"/>
      <c r="B245" s="635"/>
      <c r="E245" s="347"/>
      <c r="F245" s="347"/>
      <c r="G245" s="347"/>
      <c r="H245" s="347"/>
      <c r="I245" s="347"/>
      <c r="J245" s="334"/>
      <c r="K245" s="334"/>
      <c r="L245" s="334"/>
      <c r="N245" s="73"/>
      <c r="O245" s="73"/>
      <c r="P245" s="73"/>
      <c r="Q245" s="73"/>
      <c r="R245" s="73"/>
      <c r="S245" s="73"/>
      <c r="T245" s="73"/>
      <c r="U245" s="73"/>
    </row>
    <row r="246" spans="1:21" ht="17.25" customHeight="1">
      <c r="A246" s="559"/>
      <c r="B246" s="635"/>
      <c r="E246" s="347"/>
      <c r="F246" s="347"/>
      <c r="G246" s="347"/>
      <c r="H246" s="347"/>
      <c r="I246" s="347"/>
      <c r="J246" s="334"/>
      <c r="K246" s="334"/>
      <c r="L246" s="334"/>
      <c r="N246" s="73"/>
      <c r="O246" s="73"/>
      <c r="P246" s="73"/>
      <c r="Q246" s="73"/>
      <c r="R246" s="73"/>
      <c r="S246" s="73"/>
      <c r="T246" s="73"/>
      <c r="U246" s="73"/>
    </row>
    <row r="247" spans="1:21" ht="17.25" customHeight="1">
      <c r="A247" s="559"/>
      <c r="B247" s="635"/>
      <c r="D247" s="121" t="s">
        <v>509</v>
      </c>
      <c r="E247" s="930" t="s">
        <v>510</v>
      </c>
      <c r="F247" s="931"/>
      <c r="G247" s="931"/>
      <c r="H247" s="931"/>
      <c r="I247" s="932"/>
      <c r="J247" s="334"/>
      <c r="K247" s="334"/>
      <c r="L247" s="334"/>
      <c r="N247" s="73"/>
      <c r="O247" s="73"/>
      <c r="P247" s="73"/>
      <c r="Q247" s="73"/>
      <c r="R247" s="73"/>
      <c r="S247" s="73"/>
      <c r="T247" s="73"/>
      <c r="U247" s="73"/>
    </row>
    <row r="248" spans="1:21" ht="17.25" customHeight="1">
      <c r="A248" s="559"/>
      <c r="B248" s="635"/>
      <c r="D248" s="345" t="s">
        <v>519</v>
      </c>
      <c r="E248" s="910" t="s">
        <v>520</v>
      </c>
      <c r="F248" s="911"/>
      <c r="G248" s="911"/>
      <c r="H248" s="911"/>
      <c r="I248" s="912"/>
      <c r="J248" s="334"/>
      <c r="K248" s="334"/>
      <c r="L248" s="334"/>
      <c r="N248" s="73"/>
      <c r="O248" s="73"/>
      <c r="P248" s="73"/>
      <c r="Q248" s="73"/>
      <c r="R248" s="73"/>
      <c r="S248" s="73"/>
      <c r="T248" s="73"/>
      <c r="U248" s="73"/>
    </row>
    <row r="249" spans="1:21" ht="17.25" customHeight="1">
      <c r="A249" s="559"/>
      <c r="B249" s="635"/>
      <c r="D249" s="345" t="s">
        <v>521</v>
      </c>
      <c r="E249" s="907" t="s">
        <v>522</v>
      </c>
      <c r="F249" s="908"/>
      <c r="G249" s="908"/>
      <c r="H249" s="908"/>
      <c r="I249" s="909"/>
      <c r="J249" s="334"/>
      <c r="K249" s="334"/>
      <c r="L249" s="334"/>
      <c r="N249" s="73"/>
      <c r="O249" s="73"/>
      <c r="P249" s="73"/>
      <c r="Q249" s="73"/>
      <c r="R249" s="73"/>
      <c r="S249" s="73"/>
      <c r="T249" s="73"/>
      <c r="U249" s="73"/>
    </row>
    <row r="250" spans="1:21" ht="37.35" customHeight="1">
      <c r="A250" s="559"/>
      <c r="B250" s="635"/>
      <c r="D250" s="345" t="s">
        <v>523</v>
      </c>
      <c r="E250" s="910" t="s">
        <v>524</v>
      </c>
      <c r="F250" s="911"/>
      <c r="G250" s="911"/>
      <c r="H250" s="911"/>
      <c r="I250" s="912"/>
      <c r="J250" s="334"/>
      <c r="K250" s="334"/>
      <c r="L250" s="334"/>
      <c r="N250" s="73"/>
      <c r="O250" s="73"/>
      <c r="P250" s="73"/>
      <c r="Q250" s="73"/>
      <c r="R250" s="73"/>
      <c r="S250" s="73"/>
      <c r="T250" s="73"/>
      <c r="U250" s="73"/>
    </row>
    <row r="251" spans="1:21">
      <c r="A251" s="559"/>
      <c r="B251" s="635"/>
      <c r="D251" s="348"/>
      <c r="E251" s="913" t="s">
        <v>525</v>
      </c>
      <c r="F251" s="914"/>
      <c r="G251" s="914"/>
      <c r="H251" s="914"/>
      <c r="I251" s="915"/>
      <c r="J251" s="334"/>
      <c r="K251" s="334"/>
      <c r="L251" s="334"/>
      <c r="N251" s="73"/>
      <c r="O251" s="73"/>
      <c r="P251" s="73"/>
      <c r="Q251" s="73"/>
      <c r="R251" s="73"/>
      <c r="S251" s="73"/>
      <c r="T251" s="73"/>
      <c r="U251" s="73"/>
    </row>
    <row r="252" spans="1:21">
      <c r="A252" s="559"/>
      <c r="B252" s="635"/>
      <c r="D252" s="121" t="s">
        <v>509</v>
      </c>
      <c r="E252" s="913" t="s">
        <v>526</v>
      </c>
      <c r="F252" s="914"/>
      <c r="G252" s="914"/>
      <c r="H252" s="914"/>
      <c r="I252" s="915"/>
      <c r="J252" s="334"/>
      <c r="K252" s="334"/>
      <c r="L252" s="334"/>
      <c r="N252" s="73"/>
      <c r="O252" s="73"/>
      <c r="P252" s="73"/>
      <c r="Q252" s="73"/>
      <c r="R252" s="73"/>
      <c r="S252" s="73"/>
      <c r="T252" s="73"/>
      <c r="U252" s="73"/>
    </row>
    <row r="253" spans="1:21" ht="27.75" customHeight="1">
      <c r="A253" s="559"/>
      <c r="B253" s="635"/>
      <c r="D253" s="345" t="s">
        <v>519</v>
      </c>
      <c r="E253" s="913" t="s">
        <v>527</v>
      </c>
      <c r="F253" s="914"/>
      <c r="G253" s="914"/>
      <c r="H253" s="914"/>
      <c r="I253" s="915"/>
      <c r="J253" s="334"/>
      <c r="K253" s="334"/>
      <c r="L253" s="334"/>
      <c r="N253" s="73"/>
      <c r="O253" s="73"/>
      <c r="P253" s="73"/>
      <c r="Q253" s="73"/>
      <c r="R253" s="73"/>
      <c r="S253" s="73"/>
      <c r="T253" s="73"/>
      <c r="U253" s="73"/>
    </row>
    <row r="254" spans="1:21" ht="28.35" customHeight="1">
      <c r="A254" s="559"/>
      <c r="B254" s="635"/>
      <c r="D254" s="345" t="s">
        <v>528</v>
      </c>
      <c r="E254" s="913" t="s">
        <v>529</v>
      </c>
      <c r="F254" s="914"/>
      <c r="G254" s="914"/>
      <c r="H254" s="914"/>
      <c r="I254" s="915"/>
      <c r="J254" s="334"/>
      <c r="K254" s="334"/>
      <c r="L254" s="334"/>
      <c r="N254" s="73"/>
      <c r="O254" s="73"/>
      <c r="P254" s="73"/>
      <c r="Q254" s="73"/>
      <c r="R254" s="73"/>
      <c r="S254" s="73"/>
      <c r="T254" s="73"/>
      <c r="U254" s="73"/>
    </row>
    <row r="255" spans="1:21" ht="17.850000000000001" customHeight="1">
      <c r="A255" s="559"/>
      <c r="B255" s="635"/>
      <c r="D255" s="348"/>
      <c r="E255" s="913" t="s">
        <v>326</v>
      </c>
      <c r="F255" s="914"/>
      <c r="G255" s="914"/>
      <c r="H255" s="914"/>
      <c r="I255" s="915"/>
      <c r="J255" s="334"/>
      <c r="K255" s="334"/>
      <c r="L255" s="334"/>
      <c r="N255" s="73"/>
      <c r="O255" s="73"/>
      <c r="P255" s="73"/>
      <c r="Q255" s="73"/>
      <c r="R255" s="73"/>
      <c r="S255" s="73"/>
      <c r="T255" s="73"/>
      <c r="U255" s="73"/>
    </row>
    <row r="256" spans="1:21" ht="37.35" customHeight="1">
      <c r="A256" s="559"/>
      <c r="B256" s="635"/>
      <c r="D256" s="348"/>
      <c r="E256" s="347"/>
      <c r="F256" s="347"/>
      <c r="G256" s="347"/>
      <c r="H256" s="347"/>
      <c r="I256" s="347"/>
      <c r="J256" s="334"/>
      <c r="K256" s="334"/>
      <c r="L256" s="334"/>
      <c r="N256" s="73"/>
      <c r="O256" s="73"/>
      <c r="P256" s="73"/>
      <c r="Q256" s="73"/>
      <c r="R256" s="73"/>
      <c r="S256" s="73"/>
      <c r="T256" s="73"/>
      <c r="U256" s="73"/>
    </row>
    <row r="257" spans="1:21" ht="17.25" customHeight="1">
      <c r="A257" s="559"/>
      <c r="B257" s="635"/>
      <c r="D257" s="347"/>
      <c r="E257" s="347"/>
      <c r="F257" s="347"/>
      <c r="G257" s="347"/>
      <c r="H257" s="347"/>
      <c r="I257" s="347"/>
      <c r="J257" s="334"/>
      <c r="K257" s="334"/>
      <c r="L257" s="334"/>
      <c r="N257" s="73"/>
      <c r="O257" s="73"/>
      <c r="P257" s="73"/>
      <c r="Q257" s="73"/>
      <c r="R257" s="73"/>
      <c r="S257" s="73"/>
      <c r="T257" s="73"/>
      <c r="U257" s="73"/>
    </row>
    <row r="258" spans="1:21" ht="16.5" customHeight="1">
      <c r="A258" s="559"/>
      <c r="B258" s="635"/>
      <c r="N258" s="73"/>
      <c r="O258" s="73"/>
      <c r="P258" s="73"/>
      <c r="Q258" s="73"/>
      <c r="R258" s="73"/>
      <c r="S258" s="73"/>
      <c r="T258" s="73"/>
      <c r="U258" s="73"/>
    </row>
    <row r="259" spans="1:21" ht="21.75" customHeight="1">
      <c r="B259" s="546" t="s">
        <v>327</v>
      </c>
      <c r="C259" s="546" t="s">
        <v>491</v>
      </c>
      <c r="D259" s="191" t="s">
        <v>329</v>
      </c>
      <c r="E259" s="546" t="s">
        <v>330</v>
      </c>
      <c r="F259" s="191" t="s">
        <v>331</v>
      </c>
      <c r="G259" s="43"/>
      <c r="J259" s="871"/>
      <c r="K259" s="100"/>
      <c r="N259" s="73"/>
      <c r="O259" s="73"/>
      <c r="P259" s="73"/>
      <c r="Q259" s="73"/>
      <c r="R259" s="73"/>
      <c r="S259" s="73"/>
      <c r="T259" s="73"/>
      <c r="U259" s="73"/>
    </row>
    <row r="260" spans="1:21">
      <c r="B260" s="613" t="s">
        <v>333</v>
      </c>
      <c r="C260" s="552" t="s">
        <v>530</v>
      </c>
      <c r="D260" s="546" t="s">
        <v>335</v>
      </c>
      <c r="E260" s="546" t="s">
        <v>336</v>
      </c>
      <c r="F260" s="546" t="s">
        <v>337</v>
      </c>
      <c r="G260" s="43"/>
      <c r="J260" s="871"/>
      <c r="K260" s="903"/>
      <c r="L260" s="903"/>
      <c r="M260" s="903"/>
      <c r="N260" s="73"/>
      <c r="O260" s="73"/>
      <c r="P260" s="73"/>
      <c r="Q260" s="73"/>
      <c r="R260" s="73"/>
      <c r="S260" s="73"/>
      <c r="T260" s="73"/>
      <c r="U260" s="73"/>
    </row>
    <row r="261" spans="1:21">
      <c r="B261" s="613" t="s">
        <v>340</v>
      </c>
      <c r="C261" s="552" t="s">
        <v>531</v>
      </c>
      <c r="D261" s="613" t="s">
        <v>342</v>
      </c>
      <c r="E261" s="613" t="s">
        <v>343</v>
      </c>
      <c r="F261" s="613" t="s">
        <v>343</v>
      </c>
      <c r="G261" s="43"/>
      <c r="J261" s="871"/>
      <c r="K261" s="100"/>
      <c r="N261" s="73"/>
      <c r="O261" s="73"/>
      <c r="P261" s="73"/>
      <c r="Q261" s="73"/>
      <c r="R261" s="73"/>
      <c r="S261" s="73"/>
      <c r="T261" s="73"/>
      <c r="U261" s="73"/>
    </row>
    <row r="262" spans="1:21">
      <c r="B262" s="613" t="s">
        <v>345</v>
      </c>
      <c r="C262" s="43"/>
      <c r="D262" s="613" t="s">
        <v>347</v>
      </c>
      <c r="E262" s="613" t="s">
        <v>348</v>
      </c>
      <c r="F262" s="613" t="s">
        <v>349</v>
      </c>
      <c r="J262" s="871"/>
      <c r="K262" s="100"/>
      <c r="N262" s="73"/>
      <c r="O262" s="73"/>
      <c r="P262" s="73"/>
      <c r="Q262" s="73"/>
      <c r="R262" s="73"/>
      <c r="S262" s="73"/>
      <c r="T262" s="73"/>
      <c r="U262" s="73"/>
    </row>
    <row r="263" spans="1:21">
      <c r="C263" s="43"/>
      <c r="D263" s="546" t="s">
        <v>351</v>
      </c>
      <c r="E263" s="610" t="s">
        <v>352</v>
      </c>
      <c r="F263" s="613" t="s">
        <v>353</v>
      </c>
      <c r="J263" s="871"/>
      <c r="K263" s="100"/>
    </row>
    <row r="264" spans="1:21">
      <c r="D264" s="613" t="s">
        <v>342</v>
      </c>
      <c r="E264" s="610" t="s">
        <v>354</v>
      </c>
      <c r="F264" s="613" t="s">
        <v>355</v>
      </c>
      <c r="J264" s="871"/>
      <c r="K264" s="100"/>
    </row>
    <row r="265" spans="1:21">
      <c r="D265" s="613" t="s">
        <v>356</v>
      </c>
      <c r="E265" s="610" t="s">
        <v>357</v>
      </c>
      <c r="F265" s="613" t="s">
        <v>358</v>
      </c>
      <c r="J265" s="871"/>
      <c r="K265" s="100"/>
    </row>
    <row r="266" spans="1:21">
      <c r="D266" s="613" t="s">
        <v>359</v>
      </c>
      <c r="E266" s="610" t="s">
        <v>360</v>
      </c>
      <c r="F266" s="613" t="s">
        <v>361</v>
      </c>
      <c r="J266" s="871"/>
    </row>
    <row r="267" spans="1:21">
      <c r="D267" s="613" t="s">
        <v>362</v>
      </c>
      <c r="E267" s="610" t="s">
        <v>363</v>
      </c>
      <c r="F267" s="613" t="s">
        <v>364</v>
      </c>
      <c r="H267" s="43"/>
      <c r="J267" s="871"/>
    </row>
    <row r="268" spans="1:21">
      <c r="D268" s="613" t="s">
        <v>365</v>
      </c>
      <c r="E268" s="610" t="s">
        <v>366</v>
      </c>
      <c r="F268" s="613" t="s">
        <v>367</v>
      </c>
      <c r="G268" s="43"/>
      <c r="H268" s="43"/>
      <c r="J268" s="871"/>
    </row>
    <row r="269" spans="1:21">
      <c r="D269" s="613" t="s">
        <v>368</v>
      </c>
      <c r="E269" s="610" t="s">
        <v>369</v>
      </c>
      <c r="F269" s="233"/>
      <c r="H269" s="43"/>
      <c r="J269" s="871"/>
    </row>
    <row r="270" spans="1:21">
      <c r="D270" s="613" t="s">
        <v>347</v>
      </c>
      <c r="E270" s="610" t="s">
        <v>370</v>
      </c>
      <c r="F270" s="350" t="s">
        <v>331</v>
      </c>
      <c r="J270" s="871"/>
    </row>
    <row r="271" spans="1:21">
      <c r="D271" s="613" t="s">
        <v>371</v>
      </c>
      <c r="E271" s="610" t="s">
        <v>372</v>
      </c>
      <c r="F271" s="349" t="s">
        <v>337</v>
      </c>
      <c r="J271" s="871"/>
    </row>
    <row r="272" spans="1:21">
      <c r="D272" s="613" t="s">
        <v>373</v>
      </c>
      <c r="E272" s="610" t="s">
        <v>374</v>
      </c>
      <c r="F272" s="349" t="s">
        <v>343</v>
      </c>
    </row>
    <row r="273" spans="4:6">
      <c r="D273" s="613" t="s">
        <v>375</v>
      </c>
      <c r="E273" s="546" t="s">
        <v>376</v>
      </c>
      <c r="F273" s="349" t="s">
        <v>349</v>
      </c>
    </row>
    <row r="274" spans="4:6">
      <c r="D274" s="613" t="s">
        <v>377</v>
      </c>
      <c r="E274" s="613" t="s">
        <v>343</v>
      </c>
      <c r="F274" s="349" t="s">
        <v>353</v>
      </c>
    </row>
    <row r="275" spans="4:6">
      <c r="D275" s="613" t="s">
        <v>378</v>
      </c>
      <c r="E275" s="613" t="s">
        <v>348</v>
      </c>
      <c r="F275" s="349" t="s">
        <v>355</v>
      </c>
    </row>
    <row r="276" spans="4:6">
      <c r="E276" s="613" t="s">
        <v>352</v>
      </c>
      <c r="F276" s="349" t="s">
        <v>358</v>
      </c>
    </row>
    <row r="277" spans="4:6">
      <c r="E277" s="613" t="s">
        <v>379</v>
      </c>
      <c r="F277" s="349" t="s">
        <v>361</v>
      </c>
    </row>
    <row r="278" spans="4:6">
      <c r="E278" s="613" t="s">
        <v>380</v>
      </c>
      <c r="F278" s="349" t="s">
        <v>364</v>
      </c>
    </row>
    <row r="279" spans="4:6">
      <c r="E279" s="613" t="s">
        <v>381</v>
      </c>
      <c r="F279" s="349" t="s">
        <v>367</v>
      </c>
    </row>
    <row r="280" spans="4:6">
      <c r="E280" s="546" t="s">
        <v>382</v>
      </c>
      <c r="F280" s="349" t="s">
        <v>383</v>
      </c>
    </row>
    <row r="281" spans="4:6">
      <c r="E281" s="613" t="s">
        <v>343</v>
      </c>
      <c r="F281" s="349" t="s">
        <v>384</v>
      </c>
    </row>
    <row r="282" spans="4:6">
      <c r="E282" s="613" t="s">
        <v>348</v>
      </c>
      <c r="F282" s="349" t="s">
        <v>385</v>
      </c>
    </row>
    <row r="283" spans="4:6">
      <c r="E283" s="613" t="s">
        <v>352</v>
      </c>
    </row>
    <row r="284" spans="4:6">
      <c r="E284" s="613" t="s">
        <v>379</v>
      </c>
    </row>
    <row r="285" spans="4:6">
      <c r="E285" s="613" t="s">
        <v>354</v>
      </c>
    </row>
    <row r="286" spans="4:6">
      <c r="E286" s="613" t="s">
        <v>357</v>
      </c>
    </row>
    <row r="287" spans="4:6">
      <c r="E287" s="546" t="s">
        <v>386</v>
      </c>
    </row>
    <row r="288" spans="4:6">
      <c r="E288" s="613" t="s">
        <v>343</v>
      </c>
    </row>
    <row r="289" spans="5:10">
      <c r="E289" s="613" t="s">
        <v>354</v>
      </c>
    </row>
    <row r="290" spans="5:10">
      <c r="E290" s="613" t="s">
        <v>357</v>
      </c>
    </row>
    <row r="291" spans="5:10">
      <c r="E291" s="546" t="s">
        <v>387</v>
      </c>
    </row>
    <row r="292" spans="5:10">
      <c r="E292" s="613" t="s">
        <v>343</v>
      </c>
    </row>
    <row r="293" spans="5:10">
      <c r="E293" s="613" t="s">
        <v>360</v>
      </c>
    </row>
    <row r="294" spans="5:10">
      <c r="E294" s="613" t="s">
        <v>363</v>
      </c>
    </row>
    <row r="295" spans="5:10">
      <c r="E295" s="613" t="s">
        <v>366</v>
      </c>
    </row>
    <row r="296" spans="5:10">
      <c r="E296" s="546" t="s">
        <v>388</v>
      </c>
    </row>
    <row r="297" spans="5:10">
      <c r="E297" s="613" t="s">
        <v>343</v>
      </c>
    </row>
    <row r="298" spans="5:10">
      <c r="E298" s="613" t="s">
        <v>366</v>
      </c>
    </row>
    <row r="299" spans="5:10">
      <c r="E299" s="613" t="s">
        <v>369</v>
      </c>
    </row>
    <row r="300" spans="5:10">
      <c r="E300" s="546" t="s">
        <v>389</v>
      </c>
    </row>
    <row r="301" spans="5:10">
      <c r="E301" s="613" t="s">
        <v>343</v>
      </c>
    </row>
    <row r="302" spans="5:10">
      <c r="E302" s="613" t="s">
        <v>369</v>
      </c>
      <c r="F302" s="43"/>
    </row>
    <row r="303" spans="5:10" ht="15" customHeight="1"/>
    <row r="304" spans="5:10" ht="15" customHeight="1">
      <c r="G304" s="274"/>
      <c r="H304" s="274"/>
      <c r="I304" s="274"/>
      <c r="J304" s="274"/>
    </row>
    <row r="305" spans="1:12" ht="15" customHeight="1">
      <c r="E305" s="43"/>
      <c r="F305" s="916" t="s">
        <v>532</v>
      </c>
      <c r="G305" s="917"/>
      <c r="H305" s="917"/>
      <c r="I305" s="917"/>
      <c r="J305" s="917"/>
    </row>
    <row r="306" spans="1:12" ht="15" customHeight="1">
      <c r="E306" s="43"/>
      <c r="G306" s="274" t="s">
        <v>533</v>
      </c>
      <c r="H306" s="274" t="s">
        <v>534</v>
      </c>
      <c r="I306" s="274" t="s">
        <v>535</v>
      </c>
      <c r="J306" s="274" t="s">
        <v>536</v>
      </c>
    </row>
    <row r="307" spans="1:12">
      <c r="A307" s="287" t="s">
        <v>537</v>
      </c>
      <c r="F307" s="620" t="s">
        <v>538</v>
      </c>
      <c r="G307" s="325" t="s">
        <v>539</v>
      </c>
      <c r="H307" s="325">
        <v>1000</v>
      </c>
      <c r="I307" s="325">
        <v>4.9000000000000002E-2</v>
      </c>
      <c r="J307" s="325">
        <v>3.3000000000000002E-2</v>
      </c>
    </row>
    <row r="308" spans="1:12">
      <c r="F308" s="620" t="s">
        <v>540</v>
      </c>
      <c r="G308" s="620" t="s">
        <v>539</v>
      </c>
      <c r="H308" s="620">
        <v>100</v>
      </c>
      <c r="I308" s="620">
        <v>4.9000000000000002E-2</v>
      </c>
      <c r="J308" s="620">
        <v>4.1000000000000002E-2</v>
      </c>
    </row>
    <row r="309" spans="1:12">
      <c r="A309" s="640" t="s">
        <v>541</v>
      </c>
      <c r="B309" s="831"/>
      <c r="C309" s="831"/>
      <c r="D309" s="831"/>
      <c r="E309" s="641"/>
      <c r="F309" s="620" t="s">
        <v>542</v>
      </c>
      <c r="G309" s="620" t="s">
        <v>543</v>
      </c>
      <c r="H309" s="620">
        <v>500</v>
      </c>
      <c r="I309" s="225">
        <v>0.04</v>
      </c>
      <c r="J309" s="620">
        <v>3.1E-2</v>
      </c>
      <c r="K309" s="102"/>
      <c r="L309" s="102"/>
    </row>
    <row r="310" spans="1:12" ht="14.85" customHeight="1">
      <c r="A310" s="437" t="s">
        <v>169</v>
      </c>
      <c r="B310" s="437" t="s">
        <v>173</v>
      </c>
      <c r="C310" s="437" t="s">
        <v>177</v>
      </c>
      <c r="D310" s="437" t="s">
        <v>182</v>
      </c>
      <c r="E310" s="582" t="s">
        <v>171</v>
      </c>
      <c r="G310" s="918" t="s">
        <v>541</v>
      </c>
      <c r="H310" s="918"/>
      <c r="I310" s="918"/>
      <c r="J310" s="918"/>
      <c r="K310" s="635"/>
      <c r="L310" s="604"/>
    </row>
    <row r="311" spans="1:12">
      <c r="A311" s="806" t="s">
        <v>533</v>
      </c>
      <c r="B311" s="807" t="s">
        <v>544</v>
      </c>
      <c r="C311" s="807" t="s">
        <v>545</v>
      </c>
      <c r="D311" s="807"/>
      <c r="E311" s="807" t="s">
        <v>546</v>
      </c>
      <c r="F311" s="574"/>
      <c r="G311" s="226" t="s">
        <v>169</v>
      </c>
      <c r="H311" s="226" t="s">
        <v>173</v>
      </c>
      <c r="I311" s="226" t="s">
        <v>177</v>
      </c>
      <c r="J311" s="226" t="s">
        <v>182</v>
      </c>
      <c r="K311" s="574"/>
    </row>
    <row r="312" spans="1:12">
      <c r="A312" s="806"/>
      <c r="B312" s="807"/>
      <c r="C312" s="563" t="s">
        <v>547</v>
      </c>
      <c r="D312" s="563" t="s">
        <v>548</v>
      </c>
      <c r="E312" s="807"/>
      <c r="F312" s="574"/>
      <c r="G312" s="226" t="s">
        <v>533</v>
      </c>
      <c r="H312" s="226" t="s">
        <v>549</v>
      </c>
      <c r="I312" s="226" t="s">
        <v>547</v>
      </c>
      <c r="J312" s="226" t="s">
        <v>548</v>
      </c>
      <c r="K312" s="574"/>
    </row>
    <row r="313" spans="1:12" ht="48.75" customHeight="1">
      <c r="A313" s="293" t="s">
        <v>550</v>
      </c>
      <c r="B313" s="289" t="s">
        <v>551</v>
      </c>
      <c r="C313" s="290" t="s">
        <v>552</v>
      </c>
      <c r="D313" s="290" t="s">
        <v>553</v>
      </c>
      <c r="E313" s="807"/>
      <c r="F313" s="45"/>
      <c r="G313" s="611" t="s">
        <v>539</v>
      </c>
      <c r="H313" s="611">
        <f>H307+H308</f>
        <v>1100</v>
      </c>
      <c r="I313" s="611">
        <f>((I307*H307)+(I308*H308))/(H313)</f>
        <v>4.9000000000000002E-2</v>
      </c>
      <c r="J313" s="227">
        <f>((0.033*1000)+(0.041*100))/1100</f>
        <v>3.3727272727272731E-2</v>
      </c>
    </row>
    <row r="314" spans="1:12" ht="36.6">
      <c r="A314" s="305" t="s">
        <v>554</v>
      </c>
      <c r="B314" s="295" t="s">
        <v>555</v>
      </c>
      <c r="C314" s="290" t="s">
        <v>556</v>
      </c>
      <c r="D314" s="290" t="s">
        <v>557</v>
      </c>
      <c r="E314" s="291" t="s">
        <v>558</v>
      </c>
      <c r="F314" s="44"/>
      <c r="G314" s="611" t="s">
        <v>543</v>
      </c>
      <c r="H314" s="611">
        <v>500</v>
      </c>
      <c r="I314" s="228">
        <f>((0.034*500))/500</f>
        <v>3.4000000000000002E-2</v>
      </c>
      <c r="J314" s="611">
        <f>((0.031*500))/500</f>
        <v>3.1E-2</v>
      </c>
    </row>
    <row r="315" spans="1:12">
      <c r="G315" s="229" t="s">
        <v>554</v>
      </c>
      <c r="H315" s="611">
        <f>SUM(H313:H314)</f>
        <v>1600</v>
      </c>
      <c r="I315" s="227">
        <f>((0.049*1100)+(0.034*500))/1600</f>
        <v>4.4312500000000005E-2</v>
      </c>
      <c r="J315" s="227">
        <f>((0.0337*1100)+(0.031*500))/1600</f>
        <v>3.2856250000000004E-2</v>
      </c>
    </row>
    <row r="316" spans="1:12">
      <c r="A316" s="640" t="s">
        <v>559</v>
      </c>
      <c r="B316" s="831"/>
      <c r="C316" s="831"/>
      <c r="D316" s="831"/>
      <c r="E316" s="641"/>
      <c r="F316" s="102"/>
      <c r="G316" s="102"/>
      <c r="H316" s="102"/>
      <c r="I316" s="102"/>
      <c r="J316" s="102"/>
      <c r="K316" s="102"/>
      <c r="L316" s="102"/>
    </row>
    <row r="317" spans="1:12">
      <c r="A317" s="437" t="s">
        <v>169</v>
      </c>
      <c r="B317" s="437" t="s">
        <v>173</v>
      </c>
      <c r="C317" s="437" t="s">
        <v>177</v>
      </c>
      <c r="D317" s="437" t="s">
        <v>182</v>
      </c>
      <c r="E317" s="582" t="s">
        <v>171</v>
      </c>
      <c r="F317" s="604"/>
      <c r="G317" s="604"/>
      <c r="H317" s="604"/>
      <c r="I317" s="70"/>
      <c r="J317" s="70"/>
      <c r="K317" s="635"/>
      <c r="L317" s="604"/>
    </row>
    <row r="318" spans="1:12" ht="15" customHeight="1">
      <c r="A318" s="806" t="s">
        <v>533</v>
      </c>
      <c r="B318" s="898" t="s">
        <v>560</v>
      </c>
      <c r="C318" s="898" t="s">
        <v>545</v>
      </c>
      <c r="D318" s="898"/>
      <c r="E318" s="899" t="s">
        <v>546</v>
      </c>
      <c r="F318" s="574"/>
      <c r="G318" s="574"/>
      <c r="H318" s="574"/>
      <c r="I318" s="810"/>
      <c r="J318" s="810"/>
      <c r="K318" s="574"/>
    </row>
    <row r="319" spans="1:12">
      <c r="A319" s="806"/>
      <c r="B319" s="898"/>
      <c r="C319" s="573" t="s">
        <v>547</v>
      </c>
      <c r="D319" s="573" t="s">
        <v>548</v>
      </c>
      <c r="E319" s="900"/>
      <c r="F319" s="574"/>
      <c r="G319" s="574"/>
      <c r="H319" s="574"/>
      <c r="I319" s="230"/>
      <c r="J319" s="230"/>
      <c r="K319" s="574"/>
    </row>
    <row r="320" spans="1:12" ht="48.75" customHeight="1">
      <c r="A320" s="112" t="s">
        <v>561</v>
      </c>
      <c r="B320" s="289" t="s">
        <v>551</v>
      </c>
      <c r="C320" s="290" t="s">
        <v>552</v>
      </c>
      <c r="D320" s="290" t="s">
        <v>562</v>
      </c>
      <c r="E320" s="106" t="s">
        <v>558</v>
      </c>
      <c r="F320" s="45"/>
      <c r="I320" s="105"/>
      <c r="J320" s="45"/>
    </row>
    <row r="327" spans="1:12">
      <c r="A327" s="803" t="s">
        <v>563</v>
      </c>
      <c r="B327" s="804"/>
      <c r="C327" s="804"/>
      <c r="D327" s="804"/>
      <c r="E327" s="805"/>
      <c r="F327" s="102"/>
      <c r="G327" s="102"/>
      <c r="H327" s="102"/>
      <c r="I327" s="102"/>
      <c r="J327" s="102"/>
      <c r="K327" s="102"/>
      <c r="L327" s="102"/>
    </row>
    <row r="328" spans="1:12">
      <c r="A328" s="566" t="s">
        <v>169</v>
      </c>
      <c r="B328" s="566" t="s">
        <v>173</v>
      </c>
      <c r="C328" s="566" t="s">
        <v>177</v>
      </c>
      <c r="D328" s="566" t="s">
        <v>182</v>
      </c>
      <c r="E328" s="567" t="s">
        <v>171</v>
      </c>
      <c r="F328" s="604"/>
      <c r="G328" s="604"/>
      <c r="H328" s="604"/>
      <c r="I328" s="70"/>
      <c r="J328" s="70"/>
      <c r="K328" s="635"/>
      <c r="L328" s="604"/>
    </row>
    <row r="329" spans="1:12" ht="15" customHeight="1">
      <c r="A329" s="806" t="s">
        <v>533</v>
      </c>
      <c r="B329" s="807" t="s">
        <v>544</v>
      </c>
      <c r="C329" s="807" t="s">
        <v>545</v>
      </c>
      <c r="D329" s="807"/>
      <c r="E329" s="808" t="s">
        <v>546</v>
      </c>
      <c r="F329" s="574"/>
      <c r="G329" s="574"/>
      <c r="H329" s="574"/>
      <c r="I329" s="810"/>
      <c r="J329" s="810"/>
      <c r="K329" s="574"/>
    </row>
    <row r="330" spans="1:12">
      <c r="A330" s="806"/>
      <c r="B330" s="807"/>
      <c r="C330" s="563" t="s">
        <v>547</v>
      </c>
      <c r="D330" s="563" t="s">
        <v>548</v>
      </c>
      <c r="E330" s="809"/>
      <c r="F330" s="574"/>
      <c r="G330" s="574"/>
      <c r="H330" s="574"/>
      <c r="I330" s="230"/>
      <c r="J330" s="230"/>
      <c r="K330" s="574"/>
    </row>
    <row r="331" spans="1:12" ht="48.75" customHeight="1">
      <c r="A331" s="436" t="s">
        <v>564</v>
      </c>
      <c r="B331" s="289" t="s">
        <v>565</v>
      </c>
      <c r="C331" s="290" t="s">
        <v>552</v>
      </c>
      <c r="D331" s="290" t="s">
        <v>562</v>
      </c>
      <c r="E331" s="291" t="s">
        <v>558</v>
      </c>
      <c r="F331" s="45"/>
      <c r="I331" s="105"/>
      <c r="J331" s="45"/>
    </row>
  </sheetData>
  <mergeCells count="246">
    <mergeCell ref="B17:C17"/>
    <mergeCell ref="D17:L17"/>
    <mergeCell ref="B82:C82"/>
    <mergeCell ref="D82:L82"/>
    <mergeCell ref="B116:C116"/>
    <mergeCell ref="D116:J116"/>
    <mergeCell ref="B148:C148"/>
    <mergeCell ref="D148:H148"/>
    <mergeCell ref="J240:L240"/>
    <mergeCell ref="A138:H138"/>
    <mergeCell ref="D152:G152"/>
    <mergeCell ref="D153:G153"/>
    <mergeCell ref="D154:G154"/>
    <mergeCell ref="D155:G155"/>
    <mergeCell ref="C139:H139"/>
    <mergeCell ref="A177:H177"/>
    <mergeCell ref="J180:K180"/>
    <mergeCell ref="J181:K181"/>
    <mergeCell ref="D167:I167"/>
    <mergeCell ref="J167:K167"/>
    <mergeCell ref="A165:K165"/>
    <mergeCell ref="H155:I155"/>
    <mergeCell ref="B175:C175"/>
    <mergeCell ref="D175:K175"/>
    <mergeCell ref="J241:L241"/>
    <mergeCell ref="A223:I223"/>
    <mergeCell ref="E240:I240"/>
    <mergeCell ref="E241:I241"/>
    <mergeCell ref="E242:I242"/>
    <mergeCell ref="A217:L217"/>
    <mergeCell ref="G228:G229"/>
    <mergeCell ref="A225:L225"/>
    <mergeCell ref="A236:A237"/>
    <mergeCell ref="B236:B237"/>
    <mergeCell ref="C236:C237"/>
    <mergeCell ref="D235:E235"/>
    <mergeCell ref="D234:E234"/>
    <mergeCell ref="A239:I239"/>
    <mergeCell ref="J219:L219"/>
    <mergeCell ref="J220:L220"/>
    <mergeCell ref="J221:L221"/>
    <mergeCell ref="E244:I244"/>
    <mergeCell ref="E247:I247"/>
    <mergeCell ref="A238:I238"/>
    <mergeCell ref="A230:I230"/>
    <mergeCell ref="H5:I5"/>
    <mergeCell ref="A216:L216"/>
    <mergeCell ref="C218:L218"/>
    <mergeCell ref="A86:I86"/>
    <mergeCell ref="A120:B120"/>
    <mergeCell ref="A150:B150"/>
    <mergeCell ref="A179:B179"/>
    <mergeCell ref="A176:H176"/>
    <mergeCell ref="A173:A174"/>
    <mergeCell ref="B173:B174"/>
    <mergeCell ref="G173:G174"/>
    <mergeCell ref="C174:D174"/>
    <mergeCell ref="C173:D173"/>
    <mergeCell ref="A149:F149"/>
    <mergeCell ref="B146:B147"/>
    <mergeCell ref="D146:D147"/>
    <mergeCell ref="E146:E147"/>
    <mergeCell ref="C166:K166"/>
    <mergeCell ref="I172:J172"/>
    <mergeCell ref="J242:L242"/>
    <mergeCell ref="J182:K182"/>
    <mergeCell ref="D182:I182"/>
    <mergeCell ref="C172:D172"/>
    <mergeCell ref="K173:K174"/>
    <mergeCell ref="H173:H174"/>
    <mergeCell ref="D180:I180"/>
    <mergeCell ref="D181:I181"/>
    <mergeCell ref="J168:K168"/>
    <mergeCell ref="J169:K169"/>
    <mergeCell ref="C171:D171"/>
    <mergeCell ref="I171:J171"/>
    <mergeCell ref="A170:H170"/>
    <mergeCell ref="D168:I168"/>
    <mergeCell ref="C186:D186"/>
    <mergeCell ref="D183:I183"/>
    <mergeCell ref="F305:J305"/>
    <mergeCell ref="G310:J310"/>
    <mergeCell ref="I226:J226"/>
    <mergeCell ref="J184:K184"/>
    <mergeCell ref="I227:J227"/>
    <mergeCell ref="K227:L227"/>
    <mergeCell ref="A228:A229"/>
    <mergeCell ref="B228:B229"/>
    <mergeCell ref="H228:H229"/>
    <mergeCell ref="K228:L229"/>
    <mergeCell ref="A222:I222"/>
    <mergeCell ref="C188:D188"/>
    <mergeCell ref="C189:D189"/>
    <mergeCell ref="C190:D190"/>
    <mergeCell ref="D184:I184"/>
    <mergeCell ref="E219:I219"/>
    <mergeCell ref="E220:I220"/>
    <mergeCell ref="E221:I221"/>
    <mergeCell ref="J183:K183"/>
    <mergeCell ref="E253:I253"/>
    <mergeCell ref="E254:I254"/>
    <mergeCell ref="E243:I243"/>
    <mergeCell ref="A318:A319"/>
    <mergeCell ref="B318:B319"/>
    <mergeCell ref="C318:D318"/>
    <mergeCell ref="I318:J318"/>
    <mergeCell ref="E318:E319"/>
    <mergeCell ref="A311:A312"/>
    <mergeCell ref="C187:D187"/>
    <mergeCell ref="C311:D311"/>
    <mergeCell ref="A309:E309"/>
    <mergeCell ref="E311:E313"/>
    <mergeCell ref="B311:B312"/>
    <mergeCell ref="A316:E316"/>
    <mergeCell ref="J243:L243"/>
    <mergeCell ref="J259:J265"/>
    <mergeCell ref="K260:M260"/>
    <mergeCell ref="J266:J271"/>
    <mergeCell ref="K226:L226"/>
    <mergeCell ref="A233:F233"/>
    <mergeCell ref="E249:I249"/>
    <mergeCell ref="E248:I248"/>
    <mergeCell ref="E250:I250"/>
    <mergeCell ref="E251:I251"/>
    <mergeCell ref="E255:I255"/>
    <mergeCell ref="E252:I252"/>
    <mergeCell ref="A3:L3"/>
    <mergeCell ref="A4:L4"/>
    <mergeCell ref="A7:L7"/>
    <mergeCell ref="A80:A81"/>
    <mergeCell ref="B80:B81"/>
    <mergeCell ref="A15:A16"/>
    <mergeCell ref="B15:B16"/>
    <mergeCell ref="J28:J34"/>
    <mergeCell ref="G15:G16"/>
    <mergeCell ref="J35:J40"/>
    <mergeCell ref="A72:L72"/>
    <mergeCell ref="G80:G81"/>
    <mergeCell ref="H80:H81"/>
    <mergeCell ref="A18:I18"/>
    <mergeCell ref="K5:L5"/>
    <mergeCell ref="B5:D5"/>
    <mergeCell ref="J24:L24"/>
    <mergeCell ref="J25:L25"/>
    <mergeCell ref="D74:I74"/>
    <mergeCell ref="J74:L74"/>
    <mergeCell ref="D75:I75"/>
    <mergeCell ref="I79:J79"/>
    <mergeCell ref="C8:L8"/>
    <mergeCell ref="C73:L73"/>
    <mergeCell ref="H15:H16"/>
    <mergeCell ref="A20:I20"/>
    <mergeCell ref="J75:L75"/>
    <mergeCell ref="D76:I76"/>
    <mergeCell ref="J76:L76"/>
    <mergeCell ref="A146:A147"/>
    <mergeCell ref="A83:I83"/>
    <mergeCell ref="A114:A115"/>
    <mergeCell ref="B114:B115"/>
    <mergeCell ref="H112:I112"/>
    <mergeCell ref="H113:I113"/>
    <mergeCell ref="D110:H110"/>
    <mergeCell ref="D109:H109"/>
    <mergeCell ref="D108:H108"/>
    <mergeCell ref="A85:I85"/>
    <mergeCell ref="A77:I77"/>
    <mergeCell ref="I128:I134"/>
    <mergeCell ref="J128:J134"/>
    <mergeCell ref="H146:H147"/>
    <mergeCell ref="A19:I19"/>
    <mergeCell ref="A21:I21"/>
    <mergeCell ref="K29:M29"/>
    <mergeCell ref="J87:L87"/>
    <mergeCell ref="J88:L88"/>
    <mergeCell ref="J9:L9"/>
    <mergeCell ref="D9:I9"/>
    <mergeCell ref="A84:I84"/>
    <mergeCell ref="K78:L78"/>
    <mergeCell ref="K79:L79"/>
    <mergeCell ref="K80:L81"/>
    <mergeCell ref="I78:J78"/>
    <mergeCell ref="D10:I10"/>
    <mergeCell ref="D11:I11"/>
    <mergeCell ref="J10:L10"/>
    <mergeCell ref="J11:L11"/>
    <mergeCell ref="I14:J14"/>
    <mergeCell ref="I13:J13"/>
    <mergeCell ref="K13:L13"/>
    <mergeCell ref="K14:L14"/>
    <mergeCell ref="A12:I12"/>
    <mergeCell ref="K15:L16"/>
    <mergeCell ref="D22:I22"/>
    <mergeCell ref="D23:I23"/>
    <mergeCell ref="D24:I24"/>
    <mergeCell ref="D25:I25"/>
    <mergeCell ref="D26:I26"/>
    <mergeCell ref="J22:L22"/>
    <mergeCell ref="J23:L23"/>
    <mergeCell ref="J89:L89"/>
    <mergeCell ref="J90:L90"/>
    <mergeCell ref="D87:I87"/>
    <mergeCell ref="A106:J106"/>
    <mergeCell ref="C107:J107"/>
    <mergeCell ref="D121:H121"/>
    <mergeCell ref="D122:H122"/>
    <mergeCell ref="I121:J121"/>
    <mergeCell ref="I122:J122"/>
    <mergeCell ref="A111:G111"/>
    <mergeCell ref="F114:F115"/>
    <mergeCell ref="G114:G115"/>
    <mergeCell ref="J114:J115"/>
    <mergeCell ref="A117:H117"/>
    <mergeCell ref="I108:J108"/>
    <mergeCell ref="I109:J109"/>
    <mergeCell ref="I110:J110"/>
    <mergeCell ref="D88:I88"/>
    <mergeCell ref="D89:I89"/>
    <mergeCell ref="D90:I90"/>
    <mergeCell ref="D91:I91"/>
    <mergeCell ref="J91:L91"/>
    <mergeCell ref="A118:H118"/>
    <mergeCell ref="A119:E119"/>
    <mergeCell ref="A327:E327"/>
    <mergeCell ref="A329:A330"/>
    <mergeCell ref="B329:B330"/>
    <mergeCell ref="C329:D329"/>
    <mergeCell ref="E329:E330"/>
    <mergeCell ref="I329:J329"/>
    <mergeCell ref="D123:H123"/>
    <mergeCell ref="D124:H124"/>
    <mergeCell ref="D125:H125"/>
    <mergeCell ref="I123:J123"/>
    <mergeCell ref="I124:J124"/>
    <mergeCell ref="D169:I169"/>
    <mergeCell ref="F144:G144"/>
    <mergeCell ref="F145:G145"/>
    <mergeCell ref="D142:G142"/>
    <mergeCell ref="D141:G141"/>
    <mergeCell ref="D140:G140"/>
    <mergeCell ref="A143:E143"/>
    <mergeCell ref="I125:J125"/>
    <mergeCell ref="H156:I156"/>
    <mergeCell ref="D156:G156"/>
    <mergeCell ref="H152:I152"/>
    <mergeCell ref="H153:I153"/>
    <mergeCell ref="H154:I154"/>
  </mergeCells>
  <pageMargins left="0.7" right="0.7" top="0.75" bottom="0.75" header="0.3" footer="0.3"/>
  <pageSetup paperSize="3" scale="93" orientation="landscape" cellComments="asDisplayed" errors="blank"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pageSetUpPr fitToPage="1"/>
  </sheetPr>
  <dimension ref="A1:AC91"/>
  <sheetViews>
    <sheetView topLeftCell="C1" zoomScale="60" zoomScaleNormal="60" zoomScaleSheetLayoutView="100" workbookViewId="0">
      <selection activeCell="E6" sqref="E6"/>
    </sheetView>
  </sheetViews>
  <sheetFormatPr defaultColWidth="9.42578125" defaultRowHeight="12.95"/>
  <cols>
    <col min="1" max="1" width="16" style="4" customWidth="1"/>
    <col min="2" max="3" width="23.42578125" style="4" customWidth="1"/>
    <col min="4" max="4" width="27.42578125" style="4" customWidth="1"/>
    <col min="5" max="5" width="13.42578125" style="4" customWidth="1"/>
    <col min="6" max="6" width="31.42578125" style="4" customWidth="1"/>
    <col min="7" max="7" width="30.42578125" style="4" customWidth="1"/>
    <col min="8" max="8" width="17" style="4" customWidth="1"/>
    <col min="9" max="11" width="16" style="4" customWidth="1"/>
    <col min="12" max="12" width="20.42578125" style="4" customWidth="1"/>
    <col min="13" max="14" width="16" style="4" customWidth="1"/>
    <col min="15" max="15" width="5.42578125" style="3" customWidth="1"/>
    <col min="16" max="16" width="18.42578125" style="3" customWidth="1"/>
    <col min="17" max="20" width="9.42578125" style="3"/>
    <col min="21" max="21" width="4.42578125" style="3" customWidth="1"/>
    <col min="22" max="16384" width="9.42578125" style="3"/>
  </cols>
  <sheetData>
    <row r="1" spans="1:29" customFormat="1" ht="14.45">
      <c r="A1" s="10"/>
      <c r="B1" t="s">
        <v>140</v>
      </c>
      <c r="D1" s="36"/>
      <c r="E1" t="s">
        <v>141</v>
      </c>
      <c r="G1" s="32"/>
      <c r="H1" t="s">
        <v>142</v>
      </c>
      <c r="J1" s="12"/>
      <c r="K1" t="s">
        <v>566</v>
      </c>
    </row>
    <row r="3" spans="1:29" ht="15" customHeight="1">
      <c r="A3" s="974" t="s">
        <v>567</v>
      </c>
      <c r="B3" s="974"/>
      <c r="C3" s="974"/>
      <c r="D3" s="974"/>
      <c r="E3" s="974"/>
      <c r="F3" s="974"/>
      <c r="G3" s="974"/>
      <c r="H3" s="974"/>
      <c r="I3" s="974"/>
      <c r="J3" s="974"/>
      <c r="K3" s="974"/>
      <c r="L3" s="974"/>
      <c r="M3" s="17"/>
      <c r="N3" s="17"/>
      <c r="O3" s="17"/>
      <c r="P3" s="17"/>
      <c r="Q3" s="34"/>
      <c r="R3" s="34"/>
      <c r="S3" s="34"/>
    </row>
    <row r="4" spans="1:29" ht="42" customHeight="1">
      <c r="A4" s="973" t="s">
        <v>568</v>
      </c>
      <c r="B4" s="973"/>
      <c r="C4" s="973"/>
      <c r="D4" s="973"/>
      <c r="E4" s="973"/>
      <c r="F4" s="973"/>
      <c r="G4" s="973"/>
      <c r="H4" s="973"/>
      <c r="I4" s="973"/>
      <c r="J4" s="973"/>
      <c r="K4" s="973"/>
      <c r="L4" s="973"/>
      <c r="M4" s="72" t="s">
        <v>569</v>
      </c>
      <c r="N4" s="72" t="s">
        <v>570</v>
      </c>
      <c r="O4" s="72" t="s">
        <v>98</v>
      </c>
      <c r="P4" s="72"/>
      <c r="Q4" s="34"/>
      <c r="R4" s="34"/>
      <c r="S4" s="34"/>
    </row>
    <row r="5" spans="1:29" ht="15" customHeight="1">
      <c r="A5" s="600" t="s">
        <v>169</v>
      </c>
      <c r="B5" s="600" t="s">
        <v>173</v>
      </c>
      <c r="C5" s="600" t="s">
        <v>177</v>
      </c>
      <c r="D5" s="600" t="s">
        <v>182</v>
      </c>
      <c r="E5" s="600" t="s">
        <v>171</v>
      </c>
      <c r="F5" s="600" t="s">
        <v>175</v>
      </c>
      <c r="G5" s="600" t="s">
        <v>180</v>
      </c>
      <c r="H5" s="823" t="s">
        <v>184</v>
      </c>
      <c r="I5" s="823"/>
      <c r="J5" s="823" t="s">
        <v>290</v>
      </c>
      <c r="K5" s="823"/>
      <c r="L5" s="548" t="s">
        <v>291</v>
      </c>
      <c r="M5" s="235">
        <f>0.2+(O6*(N5-0.2))</f>
        <v>0.69</v>
      </c>
      <c r="N5" s="67" t="s">
        <v>571</v>
      </c>
      <c r="O5" s="70" t="s">
        <v>572</v>
      </c>
      <c r="P5" s="979" t="s">
        <v>573</v>
      </c>
      <c r="Q5" s="979"/>
      <c r="R5" s="979"/>
      <c r="S5" s="34"/>
      <c r="T5" s="34"/>
      <c r="U5" s="34"/>
      <c r="V5" s="34"/>
    </row>
    <row r="6" spans="1:29" ht="30" customHeight="1">
      <c r="A6" s="589" t="s">
        <v>281</v>
      </c>
      <c r="B6" s="589" t="s">
        <v>574</v>
      </c>
      <c r="C6" s="589" t="s">
        <v>283</v>
      </c>
      <c r="D6" s="589" t="s">
        <v>285</v>
      </c>
      <c r="E6" s="590" t="s">
        <v>575</v>
      </c>
      <c r="F6" s="589" t="s">
        <v>576</v>
      </c>
      <c r="G6" s="589" t="s">
        <v>577</v>
      </c>
      <c r="H6" s="978" t="s">
        <v>578</v>
      </c>
      <c r="I6" s="978"/>
      <c r="J6" s="976" t="s">
        <v>579</v>
      </c>
      <c r="K6" s="976"/>
      <c r="L6" s="589" t="s">
        <v>580</v>
      </c>
      <c r="M6" s="124"/>
      <c r="N6" s="68"/>
      <c r="O6" s="70">
        <v>0.7</v>
      </c>
      <c r="P6" s="588" t="s">
        <v>581</v>
      </c>
      <c r="Q6" s="588"/>
      <c r="R6" s="588"/>
      <c r="S6" s="50"/>
      <c r="T6" s="50"/>
      <c r="U6" s="50"/>
      <c r="V6" s="50"/>
    </row>
    <row r="7" spans="1:29" ht="14.45">
      <c r="A7" s="975"/>
      <c r="B7" s="982"/>
      <c r="C7" s="981" t="s">
        <v>582</v>
      </c>
      <c r="D7" s="981" t="s">
        <v>582</v>
      </c>
      <c r="E7" s="981" t="s">
        <v>582</v>
      </c>
      <c r="F7" s="981" t="s">
        <v>582</v>
      </c>
      <c r="G7" s="981" t="s">
        <v>583</v>
      </c>
      <c r="H7" s="123" t="s">
        <v>584</v>
      </c>
      <c r="I7" s="121"/>
      <c r="J7" s="306" t="s">
        <v>585</v>
      </c>
      <c r="K7" s="307"/>
      <c r="L7" s="977" t="s">
        <v>586</v>
      </c>
      <c r="M7" s="308"/>
      <c r="N7"/>
      <c r="O7" s="71"/>
      <c r="P7" s="71"/>
      <c r="Q7" s="50"/>
      <c r="R7" s="50"/>
      <c r="S7" s="50"/>
      <c r="T7" s="50"/>
      <c r="U7" s="50"/>
      <c r="V7" s="50"/>
    </row>
    <row r="8" spans="1:29">
      <c r="A8" s="975"/>
      <c r="B8" s="982"/>
      <c r="C8" s="981"/>
      <c r="D8" s="981"/>
      <c r="E8" s="981"/>
      <c r="F8" s="981"/>
      <c r="G8" s="981"/>
      <c r="H8" s="123" t="s">
        <v>587</v>
      </c>
      <c r="I8" s="122"/>
      <c r="J8" s="306" t="s">
        <v>587</v>
      </c>
      <c r="K8" s="309"/>
      <c r="L8" s="977"/>
      <c r="M8" s="310"/>
      <c r="N8" s="3"/>
      <c r="O8" s="5"/>
      <c r="P8" s="49"/>
      <c r="Q8" s="50"/>
      <c r="R8" s="50"/>
      <c r="S8" s="50"/>
      <c r="T8" s="50"/>
      <c r="U8" s="50"/>
      <c r="V8" s="38"/>
      <c r="W8" s="38"/>
      <c r="X8" s="38"/>
      <c r="Y8" s="38"/>
      <c r="Z8" s="38"/>
      <c r="AA8" s="38"/>
      <c r="AB8" s="38"/>
      <c r="AC8" s="38"/>
    </row>
    <row r="9" spans="1:29">
      <c r="A9" s="975"/>
      <c r="B9" s="982"/>
      <c r="C9" s="981"/>
      <c r="D9" s="981"/>
      <c r="E9" s="981"/>
      <c r="F9" s="981"/>
      <c r="G9" s="981"/>
      <c r="H9" s="123" t="s">
        <v>588</v>
      </c>
      <c r="I9" s="122"/>
      <c r="J9" s="306" t="s">
        <v>588</v>
      </c>
      <c r="K9" s="309"/>
      <c r="L9" s="977"/>
      <c r="M9" s="311"/>
      <c r="N9" s="49"/>
      <c r="O9" s="5"/>
      <c r="P9" s="49"/>
      <c r="Q9" s="50"/>
      <c r="R9" s="50"/>
      <c r="S9" s="50"/>
      <c r="T9" s="50"/>
      <c r="U9" s="50"/>
      <c r="V9" s="38"/>
      <c r="W9" s="38"/>
      <c r="X9" s="38"/>
      <c r="Y9" s="38"/>
      <c r="Z9" s="38"/>
      <c r="AA9" s="38"/>
      <c r="AB9" s="38"/>
      <c r="AC9" s="38"/>
    </row>
    <row r="10" spans="1:29" ht="24.75" customHeight="1">
      <c r="A10" s="980" t="s">
        <v>589</v>
      </c>
      <c r="B10" s="980"/>
      <c r="C10" s="980"/>
      <c r="D10" s="980"/>
      <c r="E10" s="980"/>
      <c r="F10" s="980"/>
      <c r="G10" s="980"/>
      <c r="H10" s="980"/>
      <c r="I10" s="980"/>
      <c r="J10" s="312" t="s">
        <v>287</v>
      </c>
      <c r="K10" s="313" t="s">
        <v>288</v>
      </c>
      <c r="L10" s="314" t="s">
        <v>289</v>
      </c>
      <c r="M10" s="128"/>
      <c r="N10" s="69"/>
      <c r="O10" s="69"/>
      <c r="Q10" s="50"/>
      <c r="R10" s="50"/>
      <c r="S10" s="50"/>
      <c r="T10" s="50"/>
      <c r="U10" s="50"/>
    </row>
    <row r="11" spans="1:29" ht="24">
      <c r="A11" s="60"/>
      <c r="B11" s="60"/>
      <c r="C11" s="621" t="s">
        <v>590</v>
      </c>
      <c r="D11" s="621" t="s">
        <v>591</v>
      </c>
      <c r="E11" s="59" t="s">
        <v>592</v>
      </c>
      <c r="F11" s="118" t="s">
        <v>593</v>
      </c>
      <c r="G11" s="118" t="s">
        <v>594</v>
      </c>
      <c r="H11" s="117"/>
      <c r="I11" s="108"/>
      <c r="J11" s="315"/>
      <c r="K11" s="108"/>
      <c r="L11" s="118" t="s">
        <v>595</v>
      </c>
      <c r="M11" s="316" t="s">
        <v>596</v>
      </c>
      <c r="N11" s="34"/>
    </row>
    <row r="12" spans="1:29">
      <c r="A12" s="35"/>
      <c r="B12" s="35"/>
      <c r="C12" s="119" t="s">
        <v>319</v>
      </c>
      <c r="D12" s="446" t="s">
        <v>321</v>
      </c>
      <c r="E12" s="550" t="s">
        <v>597</v>
      </c>
      <c r="F12" s="613" t="s">
        <v>598</v>
      </c>
      <c r="G12" s="15" t="s">
        <v>599</v>
      </c>
      <c r="H12" s="34"/>
      <c r="I12" s="35"/>
      <c r="J12" s="315"/>
      <c r="K12" s="317"/>
      <c r="L12" s="575" t="s">
        <v>600</v>
      </c>
      <c r="M12" s="316">
        <v>0.25</v>
      </c>
      <c r="N12" s="34"/>
    </row>
    <row r="13" spans="1:29" ht="12.75" customHeight="1">
      <c r="A13" s="35"/>
      <c r="B13" s="35"/>
      <c r="C13" s="119" t="s">
        <v>322</v>
      </c>
      <c r="D13" s="446" t="s">
        <v>192</v>
      </c>
      <c r="E13" s="550" t="s">
        <v>601</v>
      </c>
      <c r="F13" s="613" t="s">
        <v>602</v>
      </c>
      <c r="G13" s="15" t="s">
        <v>603</v>
      </c>
      <c r="H13" s="34"/>
      <c r="I13" s="35"/>
      <c r="J13" s="318"/>
      <c r="K13" s="317"/>
      <c r="L13" s="575" t="s">
        <v>604</v>
      </c>
      <c r="M13" s="316">
        <v>0.36</v>
      </c>
      <c r="N13" s="34"/>
      <c r="Q13" s="4"/>
      <c r="R13" s="4"/>
      <c r="S13" s="4"/>
      <c r="T13" s="4"/>
      <c r="U13" s="4"/>
    </row>
    <row r="14" spans="1:29">
      <c r="A14" s="35"/>
      <c r="B14" s="35"/>
      <c r="C14" s="35"/>
      <c r="D14" s="446" t="s">
        <v>325</v>
      </c>
      <c r="E14" s="35"/>
      <c r="F14" s="613" t="s">
        <v>605</v>
      </c>
      <c r="G14" s="15" t="s">
        <v>606</v>
      </c>
      <c r="H14" s="34"/>
      <c r="I14" s="116"/>
      <c r="J14" s="318"/>
      <c r="K14" s="319"/>
      <c r="L14" s="575" t="s">
        <v>607</v>
      </c>
      <c r="M14" s="316">
        <v>0.46</v>
      </c>
      <c r="N14" s="34"/>
      <c r="Q14" s="4"/>
      <c r="R14" s="4"/>
      <c r="S14" s="4"/>
      <c r="T14" s="4"/>
      <c r="U14" s="4"/>
    </row>
    <row r="15" spans="1:29">
      <c r="A15" s="35"/>
      <c r="B15" s="35"/>
      <c r="C15" s="35"/>
      <c r="D15" s="515" t="s">
        <v>608</v>
      </c>
      <c r="F15" s="613" t="s">
        <v>609</v>
      </c>
      <c r="G15" s="15" t="s">
        <v>610</v>
      </c>
      <c r="H15" s="34"/>
      <c r="I15" s="120"/>
      <c r="J15" s="318"/>
      <c r="K15" s="320"/>
      <c r="L15" s="575" t="s">
        <v>611</v>
      </c>
      <c r="M15" s="316">
        <v>0.56000000000000005</v>
      </c>
      <c r="N15" s="34"/>
      <c r="O15" s="4"/>
      <c r="P15" s="4"/>
    </row>
    <row r="16" spans="1:29">
      <c r="A16" s="35"/>
      <c r="B16" s="35"/>
      <c r="C16" s="35"/>
      <c r="D16" s="517" t="s">
        <v>612</v>
      </c>
      <c r="F16" s="613" t="s">
        <v>613</v>
      </c>
      <c r="G16" s="15" t="s">
        <v>614</v>
      </c>
      <c r="H16" s="34"/>
      <c r="I16" s="35"/>
      <c r="J16" s="318"/>
      <c r="K16" s="317"/>
      <c r="L16" s="321"/>
      <c r="M16" s="316"/>
      <c r="N16" s="34"/>
      <c r="O16" s="4"/>
      <c r="P16" s="4"/>
    </row>
    <row r="17" spans="1:16" ht="26.1">
      <c r="A17" s="35"/>
      <c r="B17" s="35"/>
      <c r="C17" s="35"/>
      <c r="D17" s="516" t="s">
        <v>615</v>
      </c>
      <c r="F17" s="613" t="s">
        <v>616</v>
      </c>
      <c r="G17" s="15" t="s">
        <v>617</v>
      </c>
      <c r="H17" s="34"/>
      <c r="I17" s="35"/>
      <c r="J17" s="318"/>
      <c r="K17" s="317"/>
      <c r="L17" s="118" t="s">
        <v>595</v>
      </c>
      <c r="M17" s="316"/>
      <c r="N17" s="34"/>
      <c r="O17" s="4"/>
      <c r="P17" s="4"/>
    </row>
    <row r="18" spans="1:16" ht="14.45">
      <c r="A18" s="35"/>
      <c r="B18" s="35"/>
      <c r="C18" s="35"/>
      <c r="F18" s="613" t="s">
        <v>618</v>
      </c>
      <c r="G18" s="15" t="s">
        <v>619</v>
      </c>
      <c r="H18" s="34"/>
      <c r="I18" s="35"/>
      <c r="J18" s="318"/>
      <c r="K18" s="317"/>
      <c r="L18" s="575" t="s">
        <v>620</v>
      </c>
      <c r="M18" s="316">
        <v>0.25</v>
      </c>
      <c r="N18" s="34"/>
      <c r="O18" s="4"/>
      <c r="P18" s="4"/>
    </row>
    <row r="19" spans="1:16">
      <c r="A19" s="35"/>
      <c r="B19" s="35"/>
      <c r="C19" s="35"/>
      <c r="F19" s="613" t="s">
        <v>621</v>
      </c>
      <c r="G19" s="15" t="s">
        <v>622</v>
      </c>
      <c r="H19" s="34"/>
      <c r="I19" s="35"/>
      <c r="J19" s="318"/>
      <c r="K19" s="317"/>
      <c r="L19" s="575" t="s">
        <v>623</v>
      </c>
      <c r="M19" s="316">
        <v>0.36</v>
      </c>
      <c r="N19" s="34"/>
      <c r="O19" s="4"/>
      <c r="P19" s="4"/>
    </row>
    <row r="20" spans="1:16">
      <c r="A20" s="35"/>
      <c r="B20" s="35"/>
      <c r="C20" s="35"/>
      <c r="F20" s="613" t="s">
        <v>624</v>
      </c>
      <c r="G20" s="35"/>
      <c r="H20" s="34"/>
      <c r="I20" s="35"/>
      <c r="J20" s="318"/>
      <c r="K20" s="317"/>
      <c r="L20" s="575" t="s">
        <v>625</v>
      </c>
      <c r="M20" s="316">
        <v>0.46</v>
      </c>
      <c r="N20" s="34"/>
      <c r="O20" s="4"/>
      <c r="P20" s="4"/>
    </row>
    <row r="21" spans="1:16" ht="24">
      <c r="A21" s="35"/>
      <c r="B21" s="35"/>
      <c r="C21" s="35"/>
      <c r="F21" s="613" t="s">
        <v>626</v>
      </c>
      <c r="G21" s="118" t="s">
        <v>594</v>
      </c>
      <c r="H21" s="34"/>
      <c r="I21" s="35"/>
      <c r="J21" s="318"/>
      <c r="K21" s="317"/>
      <c r="L21" s="575" t="s">
        <v>627</v>
      </c>
      <c r="M21" s="316">
        <v>0.56000000000000005</v>
      </c>
      <c r="N21" s="34"/>
      <c r="O21" s="4"/>
      <c r="P21" s="4"/>
    </row>
    <row r="22" spans="1:16">
      <c r="A22" s="35"/>
      <c r="B22" s="35"/>
      <c r="C22" s="35"/>
      <c r="F22" s="613" t="s">
        <v>628</v>
      </c>
      <c r="G22" s="15" t="s">
        <v>599</v>
      </c>
      <c r="H22" s="34"/>
      <c r="I22" s="35"/>
      <c r="J22" s="318"/>
      <c r="K22" s="317"/>
      <c r="L22" s="321"/>
      <c r="M22" s="316"/>
      <c r="N22" s="34"/>
      <c r="O22" s="4"/>
      <c r="P22" s="4"/>
    </row>
    <row r="23" spans="1:16" ht="24">
      <c r="A23" s="35"/>
      <c r="B23" s="35"/>
      <c r="C23" s="35"/>
      <c r="F23" s="613" t="s">
        <v>629</v>
      </c>
      <c r="G23" s="15" t="s">
        <v>603</v>
      </c>
      <c r="H23" s="34"/>
      <c r="I23" s="35"/>
      <c r="J23" s="318"/>
      <c r="K23" s="317"/>
      <c r="L23" s="118" t="s">
        <v>595</v>
      </c>
      <c r="M23" s="316"/>
      <c r="N23" s="34"/>
      <c r="O23" s="4"/>
      <c r="P23" s="4"/>
    </row>
    <row r="24" spans="1:16">
      <c r="A24" s="35"/>
      <c r="B24" s="35"/>
      <c r="C24" s="35"/>
      <c r="F24" s="613" t="s">
        <v>630</v>
      </c>
      <c r="G24" s="15" t="s">
        <v>606</v>
      </c>
      <c r="H24" s="34"/>
      <c r="I24" s="35"/>
      <c r="J24" s="318"/>
      <c r="K24" s="317"/>
      <c r="L24" s="575" t="s">
        <v>631</v>
      </c>
      <c r="M24" s="316">
        <v>0.25</v>
      </c>
      <c r="N24" s="34"/>
      <c r="O24" s="4"/>
      <c r="P24" s="4"/>
    </row>
    <row r="25" spans="1:16">
      <c r="A25" s="35"/>
      <c r="B25" s="35"/>
      <c r="C25" s="35"/>
      <c r="F25" s="613" t="s">
        <v>530</v>
      </c>
      <c r="G25" s="15" t="s">
        <v>614</v>
      </c>
      <c r="H25" s="333"/>
      <c r="I25" s="35"/>
      <c r="J25" s="318"/>
      <c r="K25" s="317"/>
      <c r="L25" s="575" t="s">
        <v>632</v>
      </c>
      <c r="M25" s="316">
        <v>0.36</v>
      </c>
      <c r="N25" s="34"/>
      <c r="O25" s="4"/>
      <c r="P25" s="4"/>
    </row>
    <row r="26" spans="1:16">
      <c r="A26" s="35"/>
      <c r="B26" s="35"/>
      <c r="C26" s="35"/>
      <c r="F26" s="613" t="s">
        <v>633</v>
      </c>
      <c r="G26" s="15" t="s">
        <v>617</v>
      </c>
      <c r="H26" s="34"/>
      <c r="I26" s="35"/>
      <c r="J26" s="318"/>
      <c r="K26" s="317"/>
      <c r="L26" s="575" t="s">
        <v>634</v>
      </c>
      <c r="M26" s="316">
        <v>0.46</v>
      </c>
      <c r="N26" s="34"/>
      <c r="O26" s="4"/>
      <c r="P26" s="4"/>
    </row>
    <row r="27" spans="1:16" ht="14.45">
      <c r="A27" s="35"/>
      <c r="B27" s="35"/>
      <c r="C27" s="35"/>
      <c r="F27" s="3"/>
      <c r="G27" s="15" t="s">
        <v>619</v>
      </c>
      <c r="H27" s="34"/>
      <c r="I27" s="35"/>
      <c r="J27" s="318"/>
      <c r="K27" s="317"/>
      <c r="L27" s="575" t="s">
        <v>635</v>
      </c>
      <c r="M27" s="316">
        <v>0.56000000000000005</v>
      </c>
      <c r="N27" s="34"/>
      <c r="O27" s="4"/>
      <c r="P27" s="4"/>
    </row>
    <row r="28" spans="1:16">
      <c r="A28" s="35"/>
      <c r="B28" s="35"/>
      <c r="C28" s="35"/>
      <c r="F28" s="3"/>
      <c r="G28" s="15" t="s">
        <v>622</v>
      </c>
      <c r="H28" s="34"/>
      <c r="I28" s="35"/>
      <c r="J28" s="318"/>
      <c r="K28" s="317"/>
      <c r="L28" s="321"/>
      <c r="M28" s="316"/>
      <c r="N28" s="34"/>
      <c r="O28" s="4"/>
      <c r="P28" s="4"/>
    </row>
    <row r="29" spans="1:16" ht="24">
      <c r="A29" s="35"/>
      <c r="B29" s="35"/>
      <c r="C29" s="35"/>
      <c r="F29" s="3"/>
      <c r="H29" s="34"/>
      <c r="I29" s="35"/>
      <c r="J29" s="318"/>
      <c r="K29" s="317"/>
      <c r="L29" s="118" t="s">
        <v>595</v>
      </c>
      <c r="M29" s="316"/>
      <c r="N29" s="34"/>
      <c r="O29" s="4"/>
      <c r="P29" s="4"/>
    </row>
    <row r="30" spans="1:16" ht="24">
      <c r="A30" s="35"/>
      <c r="B30" s="35"/>
      <c r="C30" s="35"/>
      <c r="F30" s="3"/>
      <c r="G30" s="118" t="s">
        <v>594</v>
      </c>
      <c r="H30" s="34"/>
      <c r="I30" s="35"/>
      <c r="J30" s="318"/>
      <c r="K30" s="317"/>
      <c r="L30" s="547" t="s">
        <v>636</v>
      </c>
      <c r="M30" s="316">
        <v>0.25</v>
      </c>
      <c r="N30" s="34"/>
      <c r="O30" s="4"/>
      <c r="P30" s="4"/>
    </row>
    <row r="31" spans="1:16">
      <c r="A31" s="35"/>
      <c r="B31" s="35"/>
      <c r="C31" s="35"/>
      <c r="F31" s="3"/>
      <c r="G31" s="15" t="s">
        <v>599</v>
      </c>
      <c r="H31" s="34"/>
      <c r="I31" s="35"/>
      <c r="J31" s="318"/>
      <c r="K31" s="317"/>
      <c r="L31" s="547" t="s">
        <v>637</v>
      </c>
      <c r="M31" s="316">
        <v>0.3</v>
      </c>
      <c r="N31" s="34"/>
      <c r="O31" s="4"/>
      <c r="P31" s="4"/>
    </row>
    <row r="32" spans="1:16">
      <c r="E32" s="58"/>
      <c r="G32" s="15" t="s">
        <v>603</v>
      </c>
      <c r="J32" s="321"/>
      <c r="K32" s="321"/>
      <c r="L32" s="547" t="s">
        <v>632</v>
      </c>
      <c r="M32" s="316">
        <v>0.35</v>
      </c>
    </row>
    <row r="33" spans="5:13">
      <c r="E33" s="58"/>
      <c r="G33" s="15" t="s">
        <v>606</v>
      </c>
      <c r="J33" s="321"/>
      <c r="K33" s="321"/>
      <c r="L33" s="547" t="s">
        <v>638</v>
      </c>
      <c r="M33" s="316">
        <v>0.4</v>
      </c>
    </row>
    <row r="34" spans="5:13">
      <c r="E34" s="58"/>
      <c r="G34" s="15" t="s">
        <v>639</v>
      </c>
      <c r="J34" s="321"/>
      <c r="K34" s="321"/>
      <c r="L34" s="547" t="s">
        <v>640</v>
      </c>
      <c r="M34" s="316">
        <v>0.45</v>
      </c>
    </row>
    <row r="35" spans="5:13">
      <c r="E35" s="58"/>
      <c r="G35" s="15" t="s">
        <v>614</v>
      </c>
      <c r="J35" s="321"/>
      <c r="K35" s="321"/>
      <c r="L35" s="547" t="s">
        <v>641</v>
      </c>
      <c r="M35" s="316">
        <v>0.5</v>
      </c>
    </row>
    <row r="36" spans="5:13">
      <c r="G36" s="15" t="s">
        <v>617</v>
      </c>
      <c r="J36" s="321"/>
      <c r="K36" s="321"/>
      <c r="L36" s="547" t="s">
        <v>642</v>
      </c>
      <c r="M36" s="316">
        <v>0.55000000000000004</v>
      </c>
    </row>
    <row r="37" spans="5:13">
      <c r="G37" s="15" t="s">
        <v>622</v>
      </c>
      <c r="J37" s="321"/>
      <c r="K37" s="321"/>
      <c r="L37" s="547" t="s">
        <v>643</v>
      </c>
      <c r="M37" s="322">
        <v>0.6</v>
      </c>
    </row>
    <row r="38" spans="5:13">
      <c r="G38" s="35"/>
      <c r="J38" s="321"/>
      <c r="K38" s="321"/>
      <c r="L38" s="321"/>
      <c r="M38" s="316"/>
    </row>
    <row r="39" spans="5:13" ht="24">
      <c r="G39" s="118" t="s">
        <v>594</v>
      </c>
      <c r="J39" s="321"/>
      <c r="K39" s="321"/>
      <c r="L39" s="118" t="s">
        <v>595</v>
      </c>
      <c r="M39" s="316"/>
    </row>
    <row r="40" spans="5:13">
      <c r="G40" s="15" t="s">
        <v>599</v>
      </c>
      <c r="J40" s="321"/>
      <c r="K40" s="321"/>
      <c r="L40" s="547" t="s">
        <v>644</v>
      </c>
      <c r="M40" s="316">
        <v>0.25</v>
      </c>
    </row>
    <row r="41" spans="5:13">
      <c r="G41" s="15" t="s">
        <v>603</v>
      </c>
      <c r="J41" s="321"/>
      <c r="K41" s="321"/>
      <c r="L41" s="547" t="s">
        <v>645</v>
      </c>
      <c r="M41" s="316">
        <v>0.3</v>
      </c>
    </row>
    <row r="42" spans="5:13">
      <c r="G42" s="15" t="s">
        <v>606</v>
      </c>
      <c r="J42" s="321"/>
      <c r="K42" s="321"/>
      <c r="L42" s="547" t="s">
        <v>646</v>
      </c>
      <c r="M42" s="316">
        <v>0.35</v>
      </c>
    </row>
    <row r="43" spans="5:13">
      <c r="G43" s="15" t="s">
        <v>639</v>
      </c>
      <c r="J43" s="321"/>
      <c r="K43" s="321"/>
      <c r="L43" s="547" t="s">
        <v>637</v>
      </c>
      <c r="M43" s="316">
        <v>0.4</v>
      </c>
    </row>
    <row r="44" spans="5:13">
      <c r="G44" s="15" t="s">
        <v>614</v>
      </c>
      <c r="J44" s="321"/>
      <c r="K44" s="321"/>
      <c r="L44" s="547" t="s">
        <v>647</v>
      </c>
      <c r="M44" s="316">
        <v>0.45</v>
      </c>
    </row>
    <row r="45" spans="5:13">
      <c r="G45" s="15" t="s">
        <v>617</v>
      </c>
      <c r="J45" s="321"/>
      <c r="K45" s="321"/>
      <c r="L45" s="547" t="s">
        <v>648</v>
      </c>
      <c r="M45" s="316">
        <v>0.5</v>
      </c>
    </row>
    <row r="46" spans="5:13">
      <c r="G46" s="15" t="s">
        <v>649</v>
      </c>
      <c r="J46" s="321"/>
      <c r="K46" s="321"/>
      <c r="L46" s="547" t="s">
        <v>650</v>
      </c>
      <c r="M46" s="316">
        <v>0.55000000000000004</v>
      </c>
    </row>
    <row r="47" spans="5:13">
      <c r="G47" s="15" t="s">
        <v>622</v>
      </c>
      <c r="J47" s="321"/>
      <c r="K47" s="321"/>
      <c r="L47" s="547" t="s">
        <v>651</v>
      </c>
      <c r="M47" s="322">
        <v>0.6</v>
      </c>
    </row>
    <row r="48" spans="5:13">
      <c r="J48" s="321"/>
      <c r="K48" s="321"/>
      <c r="L48" s="321"/>
      <c r="M48" s="321"/>
    </row>
    <row r="49" spans="7:13" ht="24">
      <c r="G49" s="118" t="s">
        <v>594</v>
      </c>
      <c r="L49" s="118" t="s">
        <v>652</v>
      </c>
      <c r="M49" s="316"/>
    </row>
    <row r="50" spans="7:13">
      <c r="G50" s="15" t="s">
        <v>599</v>
      </c>
      <c r="L50" s="547" t="s">
        <v>653</v>
      </c>
      <c r="M50" s="316">
        <v>0</v>
      </c>
    </row>
    <row r="51" spans="7:13">
      <c r="G51" s="15" t="s">
        <v>603</v>
      </c>
      <c r="L51" s="547" t="s">
        <v>654</v>
      </c>
      <c r="M51" s="316">
        <v>0.45</v>
      </c>
    </row>
    <row r="52" spans="7:13">
      <c r="G52" s="15" t="s">
        <v>606</v>
      </c>
      <c r="L52" s="547" t="s">
        <v>655</v>
      </c>
      <c r="M52" s="316">
        <v>0.5</v>
      </c>
    </row>
    <row r="53" spans="7:13">
      <c r="G53" s="15" t="s">
        <v>614</v>
      </c>
      <c r="L53" s="547" t="s">
        <v>656</v>
      </c>
      <c r="M53" s="316">
        <v>0.55000000000000004</v>
      </c>
    </row>
    <row r="54" spans="7:13">
      <c r="G54" s="15" t="s">
        <v>617</v>
      </c>
      <c r="L54" s="547" t="s">
        <v>657</v>
      </c>
      <c r="M54" s="316">
        <v>0.6</v>
      </c>
    </row>
    <row r="55" spans="7:13">
      <c r="G55" s="15" t="s">
        <v>622</v>
      </c>
    </row>
    <row r="57" spans="7:13" ht="24">
      <c r="G57" s="118" t="s">
        <v>594</v>
      </c>
      <c r="L57" s="118" t="s">
        <v>652</v>
      </c>
      <c r="M57" s="316"/>
    </row>
    <row r="58" spans="7:13">
      <c r="G58" s="15" t="s">
        <v>599</v>
      </c>
      <c r="L58" s="547" t="s">
        <v>658</v>
      </c>
      <c r="M58" s="316">
        <v>0</v>
      </c>
    </row>
    <row r="59" spans="7:13">
      <c r="G59" s="15" t="s">
        <v>603</v>
      </c>
      <c r="L59" s="547" t="s">
        <v>659</v>
      </c>
      <c r="M59" s="316">
        <v>0.45</v>
      </c>
    </row>
    <row r="60" spans="7:13">
      <c r="G60" s="15" t="s">
        <v>606</v>
      </c>
      <c r="L60" s="547" t="s">
        <v>660</v>
      </c>
      <c r="M60" s="316">
        <v>0.5</v>
      </c>
    </row>
    <row r="61" spans="7:13">
      <c r="G61" s="15" t="s">
        <v>614</v>
      </c>
      <c r="L61" s="547" t="s">
        <v>661</v>
      </c>
      <c r="M61" s="316">
        <v>0.55000000000000004</v>
      </c>
    </row>
    <row r="62" spans="7:13">
      <c r="G62" s="15" t="s">
        <v>622</v>
      </c>
      <c r="L62" s="547" t="s">
        <v>662</v>
      </c>
      <c r="M62" s="316">
        <v>0.6</v>
      </c>
    </row>
    <row r="64" spans="7:13" ht="24">
      <c r="G64" s="118" t="s">
        <v>594</v>
      </c>
    </row>
    <row r="65" spans="7:7">
      <c r="G65" s="15" t="s">
        <v>599</v>
      </c>
    </row>
    <row r="66" spans="7:7">
      <c r="G66" s="15" t="s">
        <v>603</v>
      </c>
    </row>
    <row r="67" spans="7:7">
      <c r="G67" s="15" t="s">
        <v>622</v>
      </c>
    </row>
    <row r="69" spans="7:7" ht="24">
      <c r="G69" s="118" t="s">
        <v>594</v>
      </c>
    </row>
    <row r="70" spans="7:7">
      <c r="G70" s="447" t="s">
        <v>599</v>
      </c>
    </row>
    <row r="71" spans="7:7">
      <c r="G71" s="447" t="s">
        <v>603</v>
      </c>
    </row>
    <row r="72" spans="7:7">
      <c r="G72" s="447" t="s">
        <v>606</v>
      </c>
    </row>
    <row r="73" spans="7:7">
      <c r="G73" s="447" t="s">
        <v>663</v>
      </c>
    </row>
    <row r="74" spans="7:7">
      <c r="G74" s="447" t="s">
        <v>614</v>
      </c>
    </row>
    <row r="75" spans="7:7">
      <c r="G75" s="447" t="s">
        <v>617</v>
      </c>
    </row>
    <row r="76" spans="7:7" ht="14.45">
      <c r="G76" s="447" t="s">
        <v>664</v>
      </c>
    </row>
    <row r="77" spans="7:7">
      <c r="G77" s="447" t="s">
        <v>622</v>
      </c>
    </row>
    <row r="79" spans="7:7" ht="24">
      <c r="G79" s="118" t="s">
        <v>594</v>
      </c>
    </row>
    <row r="80" spans="7:7">
      <c r="G80" s="448" t="s">
        <v>599</v>
      </c>
    </row>
    <row r="81" spans="7:7">
      <c r="G81" s="448" t="s">
        <v>603</v>
      </c>
    </row>
    <row r="82" spans="7:7">
      <c r="G82" s="448" t="s">
        <v>606</v>
      </c>
    </row>
    <row r="83" spans="7:7">
      <c r="G83" s="448" t="s">
        <v>665</v>
      </c>
    </row>
    <row r="84" spans="7:7">
      <c r="G84" s="448" t="s">
        <v>666</v>
      </c>
    </row>
    <row r="85" spans="7:7" ht="26.1">
      <c r="G85" s="448" t="s">
        <v>667</v>
      </c>
    </row>
    <row r="86" spans="7:7" ht="26.1">
      <c r="G86" s="448" t="s">
        <v>668</v>
      </c>
    </row>
    <row r="87" spans="7:7" ht="26.1">
      <c r="G87" s="448" t="s">
        <v>669</v>
      </c>
    </row>
    <row r="88" spans="7:7" ht="26.1">
      <c r="G88" s="448" t="s">
        <v>614</v>
      </c>
    </row>
    <row r="89" spans="7:7" ht="26.1">
      <c r="G89" s="448" t="s">
        <v>617</v>
      </c>
    </row>
    <row r="90" spans="7:7" ht="27.6">
      <c r="G90" s="448" t="s">
        <v>664</v>
      </c>
    </row>
    <row r="91" spans="7:7">
      <c r="G91" s="448" t="s">
        <v>622</v>
      </c>
    </row>
  </sheetData>
  <mergeCells count="16">
    <mergeCell ref="P5:R5"/>
    <mergeCell ref="A10:I10"/>
    <mergeCell ref="G7:G9"/>
    <mergeCell ref="F7:F9"/>
    <mergeCell ref="E7:E9"/>
    <mergeCell ref="D7:D9"/>
    <mergeCell ref="B7:B9"/>
    <mergeCell ref="C7:C9"/>
    <mergeCell ref="A4:L4"/>
    <mergeCell ref="A3:L3"/>
    <mergeCell ref="A7:A9"/>
    <mergeCell ref="J5:K5"/>
    <mergeCell ref="J6:K6"/>
    <mergeCell ref="L7:L9"/>
    <mergeCell ref="H6:I6"/>
    <mergeCell ref="H5:I5"/>
  </mergeCells>
  <pageMargins left="0.5" right="0.5" top="0.75" bottom="0.75" header="0.3" footer="0.3"/>
  <pageSetup paperSize="3" scale="61" fitToHeight="0" orientation="landscape" cellComments="asDisplayed" horizontalDpi="1200" verticalDpi="1200"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dimension ref="A1:V385"/>
  <sheetViews>
    <sheetView topLeftCell="A354" zoomScale="50" zoomScaleNormal="50" workbookViewId="0">
      <selection activeCell="C362" sqref="C362"/>
    </sheetView>
  </sheetViews>
  <sheetFormatPr defaultColWidth="9.42578125" defaultRowHeight="14.45"/>
  <cols>
    <col min="1" max="1" width="24.42578125" customWidth="1"/>
    <col min="2" max="2" width="20.42578125" customWidth="1"/>
    <col min="3" max="3" width="15.42578125" customWidth="1"/>
    <col min="4" max="4" width="34.42578125" customWidth="1"/>
    <col min="5" max="5" width="24.42578125" customWidth="1"/>
    <col min="6" max="6" width="18.42578125" customWidth="1"/>
    <col min="7" max="7" width="20.42578125" customWidth="1"/>
    <col min="8" max="8" width="15.42578125" customWidth="1"/>
    <col min="9" max="9" width="11.42578125" customWidth="1"/>
    <col min="10" max="10" width="16.42578125" customWidth="1"/>
    <col min="11" max="11" width="18.42578125" customWidth="1"/>
    <col min="12" max="12" width="10.42578125" customWidth="1"/>
  </cols>
  <sheetData>
    <row r="1" spans="1:21">
      <c r="A1" s="10"/>
      <c r="B1" t="s">
        <v>140</v>
      </c>
      <c r="C1" s="11"/>
      <c r="D1" t="s">
        <v>141</v>
      </c>
      <c r="F1" s="32"/>
      <c r="G1" t="s">
        <v>142</v>
      </c>
      <c r="K1" s="12"/>
      <c r="L1" t="s">
        <v>143</v>
      </c>
    </row>
    <row r="2" spans="1:21" ht="33" customHeight="1">
      <c r="N2" s="73"/>
      <c r="O2" s="73"/>
      <c r="P2" s="73"/>
      <c r="Q2" s="73"/>
      <c r="R2" s="73"/>
      <c r="S2" s="73"/>
    </row>
    <row r="3" spans="1:21" ht="15" customHeight="1">
      <c r="A3" s="1199" t="s">
        <v>670</v>
      </c>
      <c r="B3" s="1199"/>
      <c r="C3" s="1199"/>
      <c r="D3" s="1199"/>
      <c r="E3" s="1199"/>
      <c r="F3" s="1199"/>
      <c r="G3" s="1199"/>
      <c r="H3" s="1199"/>
      <c r="I3" s="1199"/>
      <c r="J3" s="1199"/>
      <c r="K3" s="1199"/>
      <c r="L3" s="1199"/>
      <c r="N3" s="73"/>
      <c r="O3" s="73"/>
      <c r="P3" s="73"/>
      <c r="Q3" s="73"/>
      <c r="R3" s="73"/>
      <c r="S3" s="73"/>
    </row>
    <row r="4" spans="1:21" s="51" customFormat="1" ht="21" customHeight="1">
      <c r="A4" s="1025" t="s">
        <v>671</v>
      </c>
      <c r="B4" s="1026"/>
      <c r="C4" s="1026"/>
      <c r="D4" s="1026"/>
      <c r="E4" s="1026"/>
      <c r="F4" s="1026"/>
      <c r="G4" s="1026"/>
      <c r="H4" s="1026"/>
      <c r="I4" s="1026"/>
      <c r="J4" s="1026"/>
      <c r="K4" s="1026"/>
      <c r="L4" s="1027"/>
      <c r="N4" s="73"/>
      <c r="O4" s="73"/>
      <c r="P4" s="73"/>
      <c r="Q4" s="73"/>
      <c r="R4" s="73"/>
      <c r="S4" s="73"/>
    </row>
    <row r="5" spans="1:21">
      <c r="A5" s="740" t="s">
        <v>169</v>
      </c>
      <c r="B5" s="1029" t="s">
        <v>672</v>
      </c>
      <c r="C5" s="1029"/>
      <c r="D5" s="1029"/>
      <c r="E5" s="598" t="s">
        <v>273</v>
      </c>
      <c r="F5" s="598" t="s">
        <v>673</v>
      </c>
      <c r="G5" s="1028" t="s">
        <v>674</v>
      </c>
      <c r="H5" s="883"/>
      <c r="I5" s="1028" t="s">
        <v>275</v>
      </c>
      <c r="J5" s="883"/>
      <c r="K5" s="1028" t="s">
        <v>675</v>
      </c>
      <c r="L5" s="883"/>
      <c r="N5" s="73"/>
      <c r="O5" s="73"/>
      <c r="P5" s="73"/>
      <c r="Q5" s="73"/>
      <c r="R5" s="73"/>
      <c r="S5" s="73"/>
    </row>
    <row r="6" spans="1:21">
      <c r="A6" s="740"/>
      <c r="B6" s="1029"/>
      <c r="C6" s="1029"/>
      <c r="D6" s="1029"/>
      <c r="E6" s="598" t="s">
        <v>676</v>
      </c>
      <c r="F6" s="598" t="s">
        <v>677</v>
      </c>
      <c r="G6" s="1028" t="s">
        <v>678</v>
      </c>
      <c r="H6" s="883"/>
      <c r="I6" s="1028" t="s">
        <v>679</v>
      </c>
      <c r="J6" s="883"/>
      <c r="K6" s="1028" t="s">
        <v>680</v>
      </c>
      <c r="L6" s="883"/>
      <c r="N6" s="73"/>
      <c r="O6" s="73"/>
      <c r="P6" s="73"/>
      <c r="Q6" s="73"/>
      <c r="R6" s="73"/>
      <c r="S6" s="73"/>
    </row>
    <row r="7" spans="1:21">
      <c r="A7" s="1030" t="s">
        <v>681</v>
      </c>
      <c r="B7" s="1030"/>
      <c r="C7" s="1030"/>
      <c r="D7" s="1030"/>
      <c r="E7" s="1030"/>
      <c r="F7" s="1030"/>
      <c r="G7" s="1030"/>
      <c r="H7" s="1030"/>
      <c r="I7" s="1030"/>
      <c r="J7" s="1030"/>
      <c r="K7" s="1030"/>
      <c r="L7" s="1030"/>
      <c r="N7" s="73"/>
      <c r="O7" s="73"/>
      <c r="P7" s="73"/>
      <c r="Q7" s="73"/>
      <c r="R7" s="73"/>
      <c r="S7" s="73"/>
    </row>
    <row r="8" spans="1:21">
      <c r="A8" s="193"/>
      <c r="B8" s="133"/>
      <c r="C8" s="133"/>
      <c r="D8" s="133"/>
      <c r="E8" s="135"/>
      <c r="F8" s="135"/>
      <c r="G8" s="635"/>
      <c r="H8" s="635"/>
      <c r="I8" s="635"/>
      <c r="J8" s="635"/>
      <c r="K8" s="635"/>
      <c r="L8" s="194"/>
      <c r="N8" s="73"/>
      <c r="O8" s="73"/>
      <c r="P8" s="73"/>
      <c r="Q8" s="73"/>
      <c r="R8" s="73"/>
      <c r="S8" s="73"/>
    </row>
    <row r="9" spans="1:21">
      <c r="A9" s="876" t="s">
        <v>682</v>
      </c>
      <c r="B9" s="877"/>
      <c r="C9" s="877"/>
      <c r="D9" s="877"/>
      <c r="E9" s="877"/>
      <c r="F9" s="877"/>
      <c r="G9" s="877"/>
      <c r="H9" s="877"/>
      <c r="I9" s="877"/>
      <c r="J9" s="877"/>
      <c r="K9" s="877"/>
      <c r="L9" s="878"/>
      <c r="N9" s="73"/>
      <c r="O9" s="73"/>
      <c r="P9" s="73"/>
      <c r="Q9" s="73"/>
      <c r="R9" s="73"/>
      <c r="S9" s="73"/>
    </row>
    <row r="10" spans="1:21" ht="16.5">
      <c r="A10" s="600" t="s">
        <v>169</v>
      </c>
      <c r="B10" s="98" t="s">
        <v>185</v>
      </c>
      <c r="C10" s="1031" t="s">
        <v>683</v>
      </c>
      <c r="D10" s="1032"/>
      <c r="E10" s="1032"/>
      <c r="F10" s="1032"/>
      <c r="G10" s="1032"/>
      <c r="H10" s="1032"/>
      <c r="I10" s="1032"/>
      <c r="J10" s="1032"/>
      <c r="K10" s="1032"/>
      <c r="L10" s="1033"/>
      <c r="N10" s="73"/>
      <c r="O10" s="73"/>
      <c r="P10" s="73"/>
      <c r="Q10" s="73"/>
      <c r="R10" s="73"/>
      <c r="S10" s="73"/>
    </row>
    <row r="11" spans="1:21" ht="16.5">
      <c r="A11" s="91" t="s">
        <v>173</v>
      </c>
      <c r="B11" s="98" t="s">
        <v>185</v>
      </c>
      <c r="C11" s="1031" t="s">
        <v>684</v>
      </c>
      <c r="D11" s="1032"/>
      <c r="E11" s="1032"/>
      <c r="F11" s="1032"/>
      <c r="G11" s="1032"/>
      <c r="H11" s="1032"/>
      <c r="I11" s="1032"/>
      <c r="J11" s="1032"/>
      <c r="K11" s="1032"/>
      <c r="L11" s="1033"/>
      <c r="N11" s="73"/>
      <c r="O11" s="73"/>
      <c r="P11" s="73"/>
      <c r="Q11" s="73"/>
      <c r="R11" s="73"/>
      <c r="S11" s="73"/>
    </row>
    <row r="12" spans="1:21" ht="15" customHeight="1">
      <c r="A12" s="91" t="s">
        <v>177</v>
      </c>
      <c r="B12" s="91" t="s">
        <v>182</v>
      </c>
      <c r="C12" s="92" t="s">
        <v>171</v>
      </c>
      <c r="D12" s="91" t="s">
        <v>175</v>
      </c>
      <c r="E12" s="92" t="s">
        <v>180</v>
      </c>
      <c r="F12" s="93" t="s">
        <v>184</v>
      </c>
      <c r="G12" s="600" t="s">
        <v>290</v>
      </c>
      <c r="H12" s="514" t="s">
        <v>291</v>
      </c>
      <c r="I12" s="600" t="s">
        <v>292</v>
      </c>
      <c r="J12" s="1010" t="s">
        <v>293</v>
      </c>
      <c r="K12" s="1011"/>
      <c r="L12" s="94">
        <v>13</v>
      </c>
      <c r="N12" s="73"/>
      <c r="O12" s="73"/>
      <c r="P12" s="73"/>
      <c r="Q12" s="73"/>
      <c r="R12" s="73"/>
      <c r="S12" s="73"/>
      <c r="T12" s="73"/>
      <c r="U12" s="73"/>
    </row>
    <row r="13" spans="1:21" s="48" customFormat="1" ht="37.5">
      <c r="A13" s="608" t="s">
        <v>281</v>
      </c>
      <c r="B13" s="564" t="s">
        <v>685</v>
      </c>
      <c r="C13" s="587" t="s">
        <v>298</v>
      </c>
      <c r="D13" s="587" t="s">
        <v>686</v>
      </c>
      <c r="E13" s="587" t="s">
        <v>687</v>
      </c>
      <c r="F13" s="587" t="s">
        <v>330</v>
      </c>
      <c r="G13" s="587" t="s">
        <v>331</v>
      </c>
      <c r="H13" s="296" t="s">
        <v>303</v>
      </c>
      <c r="I13" s="587" t="s">
        <v>688</v>
      </c>
      <c r="J13" s="953" t="s">
        <v>305</v>
      </c>
      <c r="K13" s="954"/>
      <c r="L13" s="597" t="s">
        <v>689</v>
      </c>
      <c r="N13" s="73"/>
      <c r="O13" s="73"/>
      <c r="P13" s="73"/>
      <c r="Q13" s="73"/>
      <c r="R13" s="73"/>
      <c r="S13" s="73"/>
      <c r="T13" s="73"/>
      <c r="U13" s="73"/>
    </row>
    <row r="14" spans="1:21">
      <c r="A14" s="842"/>
      <c r="B14" s="879" t="s">
        <v>286</v>
      </c>
      <c r="C14" s="879" t="s">
        <v>286</v>
      </c>
      <c r="D14" s="879" t="s">
        <v>286</v>
      </c>
      <c r="E14" s="879" t="s">
        <v>286</v>
      </c>
      <c r="F14" s="561" t="s">
        <v>286</v>
      </c>
      <c r="G14" s="561" t="s">
        <v>286</v>
      </c>
      <c r="H14" s="840" t="s">
        <v>286</v>
      </c>
      <c r="I14" s="866" t="s">
        <v>308</v>
      </c>
      <c r="J14" s="97" t="s">
        <v>309</v>
      </c>
      <c r="K14" s="561" t="s">
        <v>308</v>
      </c>
      <c r="L14" s="997"/>
      <c r="N14" s="73"/>
      <c r="O14" s="73"/>
      <c r="P14" s="73"/>
      <c r="Q14" s="73"/>
      <c r="R14" s="73"/>
      <c r="S14" s="73"/>
      <c r="T14" s="73"/>
      <c r="U14" s="73"/>
    </row>
    <row r="15" spans="1:21">
      <c r="A15" s="842"/>
      <c r="B15" s="880"/>
      <c r="C15" s="880"/>
      <c r="D15" s="880"/>
      <c r="E15" s="880"/>
      <c r="F15" s="591"/>
      <c r="G15" s="544"/>
      <c r="H15" s="840"/>
      <c r="I15" s="867"/>
      <c r="J15" s="97" t="s">
        <v>310</v>
      </c>
      <c r="K15" s="284"/>
      <c r="L15" s="998"/>
      <c r="N15" s="73"/>
      <c r="O15" s="73"/>
      <c r="P15" s="73"/>
      <c r="Q15" s="73"/>
      <c r="R15" s="73"/>
      <c r="S15" s="73"/>
      <c r="T15" s="73"/>
      <c r="U15" s="73"/>
    </row>
    <row r="16" spans="1:21" ht="39" customHeight="1">
      <c r="A16" s="869" t="s">
        <v>690</v>
      </c>
      <c r="B16" s="869"/>
      <c r="C16" s="869"/>
      <c r="D16" s="869"/>
      <c r="E16" s="869"/>
      <c r="F16" s="869"/>
      <c r="G16" s="869"/>
      <c r="H16" s="869"/>
      <c r="I16" s="919"/>
      <c r="J16" s="99" t="s">
        <v>287</v>
      </c>
      <c r="K16" s="40" t="s">
        <v>288</v>
      </c>
      <c r="L16" s="39" t="s">
        <v>289</v>
      </c>
      <c r="N16" s="73"/>
      <c r="O16" s="73"/>
      <c r="P16" s="73"/>
      <c r="Q16" s="73"/>
      <c r="R16" s="73"/>
      <c r="S16" s="73"/>
      <c r="T16" s="73"/>
      <c r="U16" s="73"/>
    </row>
    <row r="17" spans="1:22" ht="16.5" customHeight="1">
      <c r="A17" s="287" t="s">
        <v>691</v>
      </c>
      <c r="B17" s="635"/>
      <c r="K17" s="635"/>
      <c r="N17" s="73"/>
      <c r="O17" s="73"/>
      <c r="P17" s="73"/>
      <c r="Q17" s="73"/>
      <c r="R17" s="73"/>
      <c r="S17" s="73"/>
      <c r="T17" s="73"/>
      <c r="U17" s="73"/>
    </row>
    <row r="18" spans="1:22" ht="16.5" customHeight="1">
      <c r="A18" s="933" t="s">
        <v>692</v>
      </c>
      <c r="B18" s="933"/>
      <c r="K18" s="635"/>
      <c r="N18" s="73"/>
      <c r="O18" s="73"/>
      <c r="P18" s="73"/>
      <c r="Q18" s="993" t="s">
        <v>693</v>
      </c>
      <c r="R18" s="993"/>
      <c r="S18" s="993"/>
      <c r="T18" s="993"/>
      <c r="U18" s="993"/>
      <c r="V18" s="993"/>
    </row>
    <row r="19" spans="1:22" ht="30.6" customHeight="1">
      <c r="A19" s="530" t="s">
        <v>295</v>
      </c>
      <c r="B19" s="961" t="s">
        <v>311</v>
      </c>
      <c r="C19" s="962"/>
      <c r="D19" s="937"/>
      <c r="E19" s="937"/>
      <c r="F19" s="937"/>
      <c r="G19" s="937"/>
      <c r="H19" s="937"/>
      <c r="I19" s="937"/>
      <c r="J19" s="937"/>
      <c r="K19" s="937"/>
      <c r="L19" s="937"/>
      <c r="N19" s="73"/>
      <c r="O19" s="73"/>
      <c r="P19" s="73"/>
      <c r="Q19" s="73"/>
      <c r="R19" s="73"/>
      <c r="S19" s="73"/>
      <c r="T19" s="73"/>
      <c r="U19" s="73"/>
    </row>
    <row r="20" spans="1:22" ht="16.5" customHeight="1">
      <c r="A20" s="559"/>
      <c r="B20" s="614" t="s">
        <v>685</v>
      </c>
      <c r="C20" s="219" t="s">
        <v>298</v>
      </c>
      <c r="D20" s="219" t="s">
        <v>686</v>
      </c>
      <c r="E20" s="219" t="s">
        <v>687</v>
      </c>
      <c r="F20" s="219" t="s">
        <v>330</v>
      </c>
      <c r="G20" s="219" t="s">
        <v>331</v>
      </c>
      <c r="H20" s="220" t="s">
        <v>303</v>
      </c>
      <c r="K20" s="635"/>
      <c r="N20" s="73"/>
      <c r="O20" s="73"/>
      <c r="P20" s="73"/>
      <c r="Q20" s="73"/>
      <c r="R20" s="73"/>
      <c r="S20" s="73"/>
      <c r="T20" s="73"/>
      <c r="U20" s="73"/>
    </row>
    <row r="21" spans="1:22" ht="15" customHeight="1">
      <c r="A21" s="635"/>
      <c r="B21" s="550" t="s">
        <v>694</v>
      </c>
      <c r="C21" s="613" t="s">
        <v>406</v>
      </c>
      <c r="D21" s="550" t="s">
        <v>695</v>
      </c>
      <c r="E21" s="613" t="s">
        <v>696</v>
      </c>
      <c r="F21" s="613" t="s">
        <v>343</v>
      </c>
      <c r="G21" s="613" t="s">
        <v>343</v>
      </c>
      <c r="H21" s="613" t="s">
        <v>338</v>
      </c>
      <c r="J21" s="871"/>
      <c r="K21" s="871"/>
      <c r="M21" s="46"/>
      <c r="N21" s="73"/>
      <c r="O21" s="73"/>
      <c r="P21" s="73"/>
      <c r="Q21" s="73"/>
      <c r="R21" s="73"/>
      <c r="S21" s="73"/>
    </row>
    <row r="22" spans="1:22" ht="15" customHeight="1">
      <c r="A22" s="635"/>
      <c r="B22" s="622" t="s">
        <v>697</v>
      </c>
      <c r="C22" s="613" t="s">
        <v>340</v>
      </c>
      <c r="D22" s="613" t="s">
        <v>698</v>
      </c>
      <c r="E22" s="613" t="s">
        <v>699</v>
      </c>
      <c r="F22" s="234" t="s">
        <v>700</v>
      </c>
      <c r="G22" s="613" t="s">
        <v>412</v>
      </c>
      <c r="H22" s="613" t="s">
        <v>344</v>
      </c>
      <c r="J22" s="871"/>
      <c r="K22" s="871"/>
    </row>
    <row r="23" spans="1:22" ht="15" customHeight="1">
      <c r="B23" s="622" t="s">
        <v>701</v>
      </c>
      <c r="C23" s="550" t="s">
        <v>345</v>
      </c>
      <c r="D23" s="522" t="s">
        <v>702</v>
      </c>
      <c r="E23" s="613" t="s">
        <v>703</v>
      </c>
      <c r="F23" s="613" t="s">
        <v>348</v>
      </c>
      <c r="G23" s="613" t="s">
        <v>415</v>
      </c>
      <c r="J23" s="871"/>
      <c r="K23" s="871"/>
    </row>
    <row r="24" spans="1:22" ht="15" customHeight="1">
      <c r="B24" s="622" t="s">
        <v>704</v>
      </c>
      <c r="D24" s="219" t="s">
        <v>686</v>
      </c>
      <c r="E24" s="613" t="s">
        <v>705</v>
      </c>
      <c r="F24" s="613" t="s">
        <v>352</v>
      </c>
      <c r="G24" s="613" t="s">
        <v>418</v>
      </c>
      <c r="J24" s="871"/>
      <c r="K24" s="871"/>
    </row>
    <row r="25" spans="1:22" ht="15" customHeight="1">
      <c r="B25" s="547" t="s">
        <v>706</v>
      </c>
      <c r="D25" s="622" t="s">
        <v>707</v>
      </c>
      <c r="E25" s="613" t="s">
        <v>708</v>
      </c>
      <c r="F25" s="610" t="s">
        <v>379</v>
      </c>
      <c r="G25" s="613" t="s">
        <v>438</v>
      </c>
      <c r="J25" s="871"/>
      <c r="K25" s="871"/>
    </row>
    <row r="26" spans="1:22" ht="15" customHeight="1">
      <c r="B26" s="504" t="s">
        <v>709</v>
      </c>
      <c r="D26" s="622" t="s">
        <v>710</v>
      </c>
      <c r="E26" s="613" t="s">
        <v>711</v>
      </c>
      <c r="G26" s="613" t="s">
        <v>420</v>
      </c>
      <c r="J26" s="871"/>
      <c r="K26" s="871"/>
    </row>
    <row r="27" spans="1:22" ht="15" customHeight="1">
      <c r="D27" s="547" t="s">
        <v>698</v>
      </c>
      <c r="E27" s="613" t="s">
        <v>712</v>
      </c>
      <c r="F27" s="219" t="s">
        <v>330</v>
      </c>
      <c r="G27" s="613" t="s">
        <v>421</v>
      </c>
      <c r="J27" s="871"/>
      <c r="K27" s="871"/>
    </row>
    <row r="28" spans="1:22" ht="15" customHeight="1">
      <c r="D28" s="522" t="s">
        <v>702</v>
      </c>
      <c r="E28" s="613" t="s">
        <v>713</v>
      </c>
      <c r="F28" s="613" t="s">
        <v>343</v>
      </c>
      <c r="G28" s="613" t="s">
        <v>440</v>
      </c>
    </row>
    <row r="29" spans="1:22" ht="15" customHeight="1">
      <c r="E29" s="613" t="s">
        <v>714</v>
      </c>
      <c r="F29" s="610" t="s">
        <v>354</v>
      </c>
      <c r="G29" s="613" t="s">
        <v>441</v>
      </c>
    </row>
    <row r="30" spans="1:22" ht="15" customHeight="1">
      <c r="E30" s="613" t="s">
        <v>715</v>
      </c>
      <c r="F30" s="234" t="s">
        <v>384</v>
      </c>
      <c r="G30" s="613" t="s">
        <v>716</v>
      </c>
    </row>
    <row r="31" spans="1:22" ht="15" customHeight="1">
      <c r="E31" s="613" t="s">
        <v>717</v>
      </c>
      <c r="F31" s="610" t="s">
        <v>357</v>
      </c>
      <c r="G31" s="613" t="s">
        <v>442</v>
      </c>
    </row>
    <row r="32" spans="1:22" ht="16.5" customHeight="1">
      <c r="A32" s="559"/>
      <c r="B32" s="635"/>
      <c r="E32" s="613" t="s">
        <v>718</v>
      </c>
      <c r="K32" s="635"/>
      <c r="N32" s="73"/>
      <c r="O32" s="73"/>
      <c r="P32" s="73"/>
      <c r="Q32" s="73"/>
      <c r="R32" s="73"/>
      <c r="S32" s="73"/>
      <c r="T32" s="73"/>
      <c r="U32" s="73"/>
    </row>
    <row r="33" spans="1:21" ht="16.5" customHeight="1">
      <c r="A33" s="559"/>
      <c r="B33" s="635"/>
      <c r="E33" s="613" t="s">
        <v>719</v>
      </c>
      <c r="F33" s="219" t="s">
        <v>330</v>
      </c>
      <c r="K33" s="635"/>
      <c r="N33" s="73"/>
      <c r="O33" s="73"/>
      <c r="P33" s="73"/>
      <c r="Q33" s="73"/>
      <c r="R33" s="73"/>
      <c r="S33" s="73"/>
      <c r="T33" s="73"/>
      <c r="U33" s="73"/>
    </row>
    <row r="34" spans="1:21" ht="16.5" customHeight="1">
      <c r="A34" s="559"/>
      <c r="B34" s="635"/>
      <c r="E34" s="613" t="s">
        <v>720</v>
      </c>
      <c r="F34" s="613" t="s">
        <v>343</v>
      </c>
      <c r="G34" s="219" t="s">
        <v>331</v>
      </c>
      <c r="K34" s="635"/>
      <c r="N34" s="73"/>
      <c r="O34" s="73"/>
      <c r="P34" s="73"/>
      <c r="Q34" s="73"/>
      <c r="R34" s="73"/>
      <c r="S34" s="73"/>
      <c r="T34" s="73"/>
      <c r="U34" s="73"/>
    </row>
    <row r="35" spans="1:21" ht="16.5" customHeight="1">
      <c r="A35" s="559"/>
      <c r="B35" s="635"/>
      <c r="E35" s="613" t="s">
        <v>721</v>
      </c>
      <c r="F35" s="610" t="s">
        <v>354</v>
      </c>
      <c r="G35" s="613" t="s">
        <v>343</v>
      </c>
      <c r="K35" s="635"/>
      <c r="N35" s="73"/>
      <c r="O35" s="73"/>
      <c r="P35" s="73"/>
      <c r="Q35" s="73"/>
      <c r="R35" s="73"/>
      <c r="S35" s="73"/>
      <c r="T35" s="73"/>
      <c r="U35" s="73"/>
    </row>
    <row r="36" spans="1:21" ht="16.5" customHeight="1">
      <c r="A36" s="559"/>
      <c r="B36" s="635"/>
      <c r="E36" s="613" t="s">
        <v>722</v>
      </c>
      <c r="F36" s="610" t="s">
        <v>360</v>
      </c>
      <c r="G36" s="613" t="s">
        <v>412</v>
      </c>
      <c r="K36" s="635"/>
      <c r="N36" s="73"/>
      <c r="O36" s="73"/>
      <c r="P36" s="73"/>
      <c r="Q36" s="73"/>
      <c r="R36" s="73"/>
      <c r="S36" s="73"/>
      <c r="T36" s="73"/>
      <c r="U36" s="73"/>
    </row>
    <row r="37" spans="1:21" ht="16.5" customHeight="1">
      <c r="A37" s="559"/>
      <c r="B37" s="635"/>
      <c r="E37" s="613" t="s">
        <v>723</v>
      </c>
      <c r="F37" s="610" t="s">
        <v>363</v>
      </c>
      <c r="G37" s="613" t="s">
        <v>415</v>
      </c>
      <c r="K37" s="635"/>
      <c r="N37" s="73"/>
      <c r="O37" s="73"/>
      <c r="P37" s="73"/>
      <c r="Q37" s="73"/>
      <c r="R37" s="73"/>
      <c r="S37" s="73"/>
      <c r="T37" s="73"/>
      <c r="U37" s="73"/>
    </row>
    <row r="38" spans="1:21" ht="16.5" customHeight="1">
      <c r="A38" s="559"/>
      <c r="B38" s="635"/>
      <c r="E38" s="613" t="s">
        <v>724</v>
      </c>
      <c r="F38" s="610" t="s">
        <v>366</v>
      </c>
      <c r="G38" s="613" t="s">
        <v>418</v>
      </c>
      <c r="K38" s="635"/>
      <c r="N38" s="73"/>
      <c r="O38" s="73"/>
      <c r="P38" s="73"/>
      <c r="Q38" s="73"/>
      <c r="R38" s="73"/>
      <c r="S38" s="73"/>
      <c r="T38" s="73"/>
      <c r="U38" s="73"/>
    </row>
    <row r="39" spans="1:21" ht="15" customHeight="1">
      <c r="G39" s="613" t="s">
        <v>438</v>
      </c>
      <c r="N39" s="107"/>
      <c r="O39" s="107"/>
      <c r="P39" s="107"/>
      <c r="Q39" s="107"/>
      <c r="R39" s="107"/>
      <c r="S39" s="107"/>
    </row>
    <row r="40" spans="1:21" ht="24">
      <c r="A40" s="604"/>
      <c r="B40" s="604"/>
      <c r="C40" s="604"/>
      <c r="D40" s="604"/>
      <c r="E40" s="113"/>
      <c r="F40" s="219" t="s">
        <v>330</v>
      </c>
      <c r="G40" s="613" t="s">
        <v>420</v>
      </c>
      <c r="H40" s="604"/>
      <c r="J40" s="604"/>
      <c r="K40" s="604"/>
      <c r="M40" s="46"/>
      <c r="N40" s="107"/>
      <c r="O40" s="107"/>
      <c r="P40" s="107"/>
      <c r="Q40" s="107"/>
      <c r="R40" s="107"/>
      <c r="S40" s="107"/>
    </row>
    <row r="41" spans="1:21">
      <c r="A41" s="108"/>
      <c r="B41" s="48"/>
      <c r="C41" s="574"/>
      <c r="D41" s="574"/>
      <c r="E41" s="74"/>
      <c r="F41" s="613" t="s">
        <v>343</v>
      </c>
      <c r="G41" s="613" t="s">
        <v>421</v>
      </c>
      <c r="H41" s="574"/>
      <c r="J41" s="48"/>
      <c r="K41" s="574"/>
      <c r="M41" s="46"/>
      <c r="N41" s="107"/>
      <c r="O41" s="107"/>
      <c r="P41" s="107"/>
      <c r="Q41" s="107"/>
      <c r="R41" s="107"/>
      <c r="S41" s="107"/>
    </row>
    <row r="42" spans="1:21">
      <c r="A42" s="51"/>
      <c r="B42" s="51"/>
      <c r="C42" s="79"/>
      <c r="D42" s="45"/>
      <c r="F42" s="613" t="s">
        <v>348</v>
      </c>
      <c r="G42" s="613" t="s">
        <v>440</v>
      </c>
      <c r="H42" s="45"/>
      <c r="J42" s="45"/>
      <c r="M42" s="46"/>
      <c r="N42" s="107"/>
      <c r="O42" s="107"/>
      <c r="P42" s="107"/>
      <c r="Q42" s="107"/>
      <c r="R42" s="107"/>
      <c r="S42" s="107"/>
    </row>
    <row r="43" spans="1:21">
      <c r="A43" s="51"/>
      <c r="B43" s="51"/>
      <c r="C43" s="79"/>
      <c r="D43" s="45"/>
      <c r="E43" s="617"/>
      <c r="F43" s="613" t="s">
        <v>352</v>
      </c>
      <c r="G43" s="613" t="s">
        <v>441</v>
      </c>
      <c r="H43" s="45"/>
      <c r="J43" s="45"/>
      <c r="M43" s="46"/>
      <c r="N43" s="107"/>
      <c r="O43" s="107"/>
      <c r="P43" s="107"/>
      <c r="Q43" s="107"/>
      <c r="R43" s="107"/>
      <c r="S43" s="107"/>
    </row>
    <row r="44" spans="1:21">
      <c r="A44" s="51"/>
      <c r="B44" s="51"/>
      <c r="C44" s="79"/>
      <c r="D44" s="45"/>
      <c r="E44" s="617"/>
      <c r="F44" s="610" t="s">
        <v>379</v>
      </c>
      <c r="G44" s="613" t="s">
        <v>442</v>
      </c>
      <c r="H44" s="45"/>
      <c r="J44" s="45"/>
      <c r="M44" s="46"/>
      <c r="N44" s="107"/>
      <c r="O44" s="107"/>
      <c r="P44" s="107"/>
      <c r="Q44" s="107"/>
      <c r="R44" s="107"/>
      <c r="S44" s="107"/>
    </row>
    <row r="45" spans="1:21">
      <c r="A45" s="51"/>
      <c r="B45" s="51"/>
      <c r="C45" s="79"/>
      <c r="D45" s="45"/>
      <c r="E45" s="617"/>
      <c r="H45" s="45"/>
      <c r="J45" s="45"/>
      <c r="M45" s="46"/>
      <c r="N45" s="107"/>
      <c r="O45" s="107"/>
      <c r="P45" s="107"/>
      <c r="Q45" s="107"/>
      <c r="R45" s="107"/>
      <c r="S45" s="107"/>
    </row>
    <row r="46" spans="1:21" ht="24">
      <c r="A46" s="51"/>
      <c r="B46" s="51"/>
      <c r="C46" s="79"/>
      <c r="D46" s="45"/>
      <c r="E46" s="617"/>
      <c r="F46" s="219" t="s">
        <v>330</v>
      </c>
      <c r="G46" s="617"/>
      <c r="H46" s="45"/>
      <c r="J46" s="45"/>
      <c r="M46" s="46"/>
      <c r="N46" s="107"/>
      <c r="O46" s="107"/>
      <c r="P46" s="107"/>
      <c r="Q46" s="107"/>
      <c r="R46" s="107"/>
      <c r="S46" s="107"/>
    </row>
    <row r="47" spans="1:21" ht="24">
      <c r="A47" s="51"/>
      <c r="B47" s="51"/>
      <c r="C47" s="79"/>
      <c r="D47" s="45"/>
      <c r="E47" s="617"/>
      <c r="F47" s="613" t="s">
        <v>343</v>
      </c>
      <c r="G47" s="219" t="s">
        <v>331</v>
      </c>
      <c r="H47" s="45"/>
      <c r="J47" s="45"/>
      <c r="M47" s="46"/>
      <c r="N47" s="107"/>
      <c r="O47" s="107"/>
      <c r="P47" s="107"/>
      <c r="Q47" s="107"/>
      <c r="R47" s="107"/>
      <c r="S47" s="107"/>
    </row>
    <row r="48" spans="1:21">
      <c r="A48" s="51"/>
      <c r="B48" s="51"/>
      <c r="C48" s="79"/>
      <c r="D48" s="45"/>
      <c r="E48" s="617"/>
      <c r="F48" s="610" t="s">
        <v>354</v>
      </c>
      <c r="G48" s="613" t="s">
        <v>343</v>
      </c>
      <c r="H48" s="45"/>
      <c r="J48" s="45"/>
      <c r="M48" s="46"/>
      <c r="N48" s="107"/>
      <c r="O48" s="107"/>
      <c r="P48" s="107"/>
      <c r="Q48" s="107"/>
      <c r="R48" s="107"/>
      <c r="S48" s="107"/>
    </row>
    <row r="49" spans="1:19">
      <c r="A49" s="51"/>
      <c r="B49" s="51"/>
      <c r="C49" s="79"/>
      <c r="D49" s="45"/>
      <c r="E49" s="617"/>
      <c r="F49" s="613" t="s">
        <v>384</v>
      </c>
      <c r="G49" s="613" t="s">
        <v>412</v>
      </c>
      <c r="H49" s="45"/>
      <c r="J49" s="45"/>
      <c r="M49" s="46"/>
      <c r="N49" s="107"/>
      <c r="O49" s="107"/>
      <c r="P49" s="107"/>
      <c r="Q49" s="107"/>
      <c r="R49" s="107"/>
      <c r="S49" s="107"/>
    </row>
    <row r="50" spans="1:19">
      <c r="A50" s="51"/>
      <c r="B50" s="51"/>
      <c r="C50" s="79"/>
      <c r="D50" s="45"/>
      <c r="E50" s="617"/>
      <c r="F50" s="610" t="s">
        <v>357</v>
      </c>
      <c r="G50" s="613" t="s">
        <v>415</v>
      </c>
      <c r="H50" s="45"/>
      <c r="J50" s="45"/>
      <c r="M50" s="46"/>
      <c r="N50" s="107"/>
      <c r="O50" s="107"/>
      <c r="P50" s="107"/>
      <c r="Q50" s="107"/>
      <c r="R50" s="107"/>
      <c r="S50" s="107"/>
    </row>
    <row r="51" spans="1:19">
      <c r="A51" s="51"/>
      <c r="B51" s="51"/>
      <c r="C51" s="79"/>
      <c r="D51" s="45"/>
      <c r="E51" s="617"/>
      <c r="F51" s="610" t="s">
        <v>360</v>
      </c>
      <c r="G51" s="613" t="s">
        <v>418</v>
      </c>
      <c r="H51" s="45"/>
      <c r="J51" s="45"/>
      <c r="M51" s="46"/>
      <c r="N51" s="107"/>
      <c r="O51" s="107"/>
      <c r="P51" s="107"/>
      <c r="Q51" s="107"/>
      <c r="R51" s="107"/>
      <c r="S51" s="107"/>
    </row>
    <row r="52" spans="1:19">
      <c r="A52" s="51"/>
      <c r="B52" s="51"/>
      <c r="C52" s="79"/>
      <c r="D52" s="45"/>
      <c r="E52" s="617"/>
      <c r="F52" s="610" t="s">
        <v>385</v>
      </c>
      <c r="G52" s="613" t="s">
        <v>438</v>
      </c>
      <c r="H52" s="45"/>
      <c r="J52" s="45"/>
      <c r="M52" s="46"/>
      <c r="N52" s="107"/>
      <c r="O52" s="107"/>
      <c r="P52" s="107"/>
      <c r="Q52" s="107"/>
      <c r="R52" s="107"/>
      <c r="S52" s="107"/>
    </row>
    <row r="53" spans="1:19">
      <c r="A53" s="51"/>
      <c r="B53" s="51"/>
      <c r="C53" s="79"/>
      <c r="D53" s="45"/>
      <c r="E53" s="617"/>
      <c r="F53" s="610" t="s">
        <v>363</v>
      </c>
      <c r="G53" s="613" t="s">
        <v>420</v>
      </c>
      <c r="H53" s="45"/>
      <c r="J53" s="45"/>
      <c r="M53" s="46"/>
      <c r="N53" s="107"/>
      <c r="O53" s="107"/>
      <c r="P53" s="107"/>
      <c r="Q53" s="107"/>
      <c r="R53" s="107"/>
      <c r="S53" s="107"/>
    </row>
    <row r="54" spans="1:19">
      <c r="A54" s="51"/>
      <c r="B54" s="51"/>
      <c r="C54" s="79"/>
      <c r="D54" s="45"/>
      <c r="E54" s="617"/>
      <c r="G54" s="613" t="s">
        <v>421</v>
      </c>
      <c r="H54" s="45"/>
      <c r="J54" s="45"/>
      <c r="M54" s="46"/>
      <c r="N54" s="107"/>
      <c r="O54" s="107"/>
      <c r="P54" s="107"/>
      <c r="Q54" s="107"/>
      <c r="R54" s="107"/>
      <c r="S54" s="107"/>
    </row>
    <row r="55" spans="1:19" ht="24">
      <c r="A55" s="51"/>
      <c r="B55" s="51"/>
      <c r="C55" s="79"/>
      <c r="D55" s="45"/>
      <c r="E55" s="617"/>
      <c r="F55" s="219" t="s">
        <v>330</v>
      </c>
      <c r="G55" s="613" t="s">
        <v>440</v>
      </c>
      <c r="H55" s="45"/>
      <c r="J55" s="45"/>
      <c r="M55" s="46"/>
      <c r="N55" s="107"/>
      <c r="O55" s="107"/>
      <c r="P55" s="107"/>
      <c r="Q55" s="107"/>
      <c r="R55" s="107"/>
      <c r="S55" s="107"/>
    </row>
    <row r="56" spans="1:19">
      <c r="A56" s="51"/>
      <c r="B56" s="51"/>
      <c r="C56" s="79"/>
      <c r="D56" s="45"/>
      <c r="E56" s="617"/>
      <c r="F56" s="613" t="s">
        <v>343</v>
      </c>
      <c r="G56" s="43"/>
      <c r="H56" s="45"/>
      <c r="J56" s="45"/>
      <c r="M56" s="46"/>
      <c r="N56" s="107"/>
      <c r="O56" s="107"/>
      <c r="P56" s="107"/>
      <c r="Q56" s="107"/>
      <c r="R56" s="107"/>
      <c r="S56" s="107"/>
    </row>
    <row r="57" spans="1:19">
      <c r="A57" s="51"/>
      <c r="B57" s="51"/>
      <c r="C57" s="79"/>
      <c r="D57" s="45"/>
      <c r="E57" s="617"/>
      <c r="F57" s="610" t="s">
        <v>354</v>
      </c>
      <c r="G57" s="43"/>
      <c r="H57" s="45"/>
      <c r="J57" s="45"/>
      <c r="M57" s="46"/>
      <c r="N57" s="107"/>
      <c r="O57" s="107"/>
      <c r="P57" s="107"/>
      <c r="Q57" s="107"/>
      <c r="R57" s="107"/>
      <c r="S57" s="107"/>
    </row>
    <row r="58" spans="1:19">
      <c r="A58" s="51"/>
      <c r="B58" s="51"/>
      <c r="C58" s="79"/>
      <c r="D58" s="45"/>
      <c r="E58" s="617"/>
      <c r="F58" s="610" t="s">
        <v>357</v>
      </c>
      <c r="G58" s="43"/>
      <c r="H58" s="45"/>
      <c r="J58" s="45"/>
      <c r="M58" s="46"/>
      <c r="N58" s="107"/>
      <c r="O58" s="107"/>
      <c r="P58" s="107"/>
      <c r="Q58" s="107"/>
      <c r="R58" s="107"/>
      <c r="S58" s="107"/>
    </row>
    <row r="59" spans="1:19">
      <c r="A59" s="51"/>
      <c r="B59" s="51"/>
      <c r="C59" s="79"/>
      <c r="D59" s="45"/>
      <c r="E59" s="617"/>
      <c r="F59" s="610" t="s">
        <v>360</v>
      </c>
      <c r="G59" s="43"/>
      <c r="H59" s="45"/>
      <c r="J59" s="45"/>
      <c r="M59" s="46"/>
      <c r="N59" s="107"/>
      <c r="O59" s="107"/>
      <c r="P59" s="107"/>
      <c r="Q59" s="107"/>
      <c r="R59" s="107"/>
      <c r="S59" s="107"/>
    </row>
    <row r="60" spans="1:19">
      <c r="A60" s="51"/>
      <c r="B60" s="51"/>
      <c r="C60" s="79"/>
      <c r="D60" s="45"/>
      <c r="E60" s="617"/>
      <c r="G60" s="43"/>
      <c r="H60" s="45"/>
      <c r="J60" s="45"/>
      <c r="M60" s="46"/>
      <c r="N60" s="107"/>
      <c r="O60" s="107"/>
      <c r="P60" s="107"/>
      <c r="Q60" s="107"/>
      <c r="R60" s="107"/>
      <c r="S60" s="107"/>
    </row>
    <row r="61" spans="1:19" ht="24">
      <c r="A61" s="51"/>
      <c r="B61" s="51"/>
      <c r="C61" s="79"/>
      <c r="D61" s="45"/>
      <c r="E61" s="617"/>
      <c r="F61" s="219" t="s">
        <v>330</v>
      </c>
      <c r="G61" s="43"/>
      <c r="H61" s="45"/>
      <c r="J61" s="45"/>
      <c r="M61" s="46"/>
      <c r="N61" s="107"/>
      <c r="O61" s="107"/>
      <c r="P61" s="107"/>
      <c r="Q61" s="107"/>
      <c r="R61" s="107"/>
      <c r="S61" s="107"/>
    </row>
    <row r="62" spans="1:19">
      <c r="A62" s="51"/>
      <c r="B62" s="51"/>
      <c r="C62" s="79"/>
      <c r="D62" s="45"/>
      <c r="E62" s="617"/>
      <c r="F62" s="613" t="s">
        <v>343</v>
      </c>
      <c r="G62" s="43"/>
      <c r="H62" s="45"/>
      <c r="J62" s="45"/>
      <c r="M62" s="46"/>
      <c r="N62" s="107"/>
      <c r="O62" s="107"/>
      <c r="P62" s="107"/>
      <c r="Q62" s="107"/>
      <c r="R62" s="107"/>
      <c r="S62" s="107"/>
    </row>
    <row r="63" spans="1:19">
      <c r="A63" s="51"/>
      <c r="B63" s="51"/>
      <c r="C63" s="79"/>
      <c r="D63" s="45"/>
      <c r="E63" s="617"/>
      <c r="F63" s="610" t="s">
        <v>354</v>
      </c>
      <c r="G63" s="43"/>
      <c r="H63" s="45"/>
      <c r="J63" s="45"/>
      <c r="M63" s="46"/>
      <c r="N63" s="107"/>
      <c r="O63" s="107"/>
      <c r="P63" s="107"/>
      <c r="Q63" s="107"/>
      <c r="R63" s="107"/>
      <c r="S63" s="107"/>
    </row>
    <row r="64" spans="1:19">
      <c r="A64" s="51"/>
      <c r="B64" s="51"/>
      <c r="C64" s="79"/>
      <c r="D64" s="45"/>
      <c r="E64" s="617"/>
      <c r="F64" s="610" t="s">
        <v>360</v>
      </c>
      <c r="G64" s="43"/>
      <c r="H64" s="45"/>
      <c r="J64" s="45"/>
      <c r="M64" s="46"/>
      <c r="N64" s="107"/>
      <c r="O64" s="107"/>
      <c r="P64" s="107"/>
      <c r="Q64" s="107"/>
      <c r="R64" s="107"/>
      <c r="S64" s="107"/>
    </row>
    <row r="65" spans="1:22">
      <c r="A65" s="51"/>
      <c r="B65" s="51"/>
      <c r="C65" s="79"/>
      <c r="D65" s="45"/>
      <c r="E65" s="617"/>
      <c r="F65" s="610" t="s">
        <v>363</v>
      </c>
      <c r="G65" s="43"/>
      <c r="H65" s="45"/>
      <c r="J65" s="45"/>
      <c r="M65" s="46"/>
      <c r="N65" s="107"/>
      <c r="O65" s="107"/>
      <c r="P65" s="107"/>
      <c r="Q65" s="107"/>
      <c r="R65" s="107"/>
      <c r="S65" s="107"/>
    </row>
    <row r="66" spans="1:22">
      <c r="A66" s="51"/>
      <c r="B66" s="51"/>
      <c r="C66" s="79"/>
      <c r="D66" s="45"/>
      <c r="E66" s="617"/>
      <c r="F66" s="610" t="s">
        <v>366</v>
      </c>
      <c r="G66" s="43"/>
      <c r="H66" s="45"/>
      <c r="J66" s="45"/>
      <c r="M66" s="46"/>
      <c r="N66" s="107"/>
      <c r="O66" s="107"/>
      <c r="P66" s="107"/>
      <c r="Q66" s="107"/>
      <c r="R66" s="107"/>
      <c r="S66" s="107"/>
    </row>
    <row r="67" spans="1:22">
      <c r="A67" s="51"/>
      <c r="B67" s="51"/>
      <c r="C67" s="79"/>
      <c r="D67" s="45"/>
      <c r="E67" s="617"/>
      <c r="F67" s="617"/>
      <c r="G67" s="43"/>
      <c r="H67" s="45"/>
      <c r="J67" s="45"/>
      <c r="M67" s="46"/>
      <c r="N67" s="107"/>
      <c r="O67" s="107"/>
      <c r="P67" s="107"/>
      <c r="Q67" s="107"/>
      <c r="R67" s="107"/>
      <c r="S67" s="107"/>
    </row>
    <row r="68" spans="1:22">
      <c r="A68" s="968" t="s">
        <v>725</v>
      </c>
      <c r="B68" s="968"/>
      <c r="C68" s="968"/>
      <c r="D68" s="968"/>
      <c r="E68" s="968"/>
      <c r="F68" s="968"/>
      <c r="G68" s="968"/>
      <c r="H68" s="968"/>
      <c r="I68" s="968"/>
      <c r="J68" s="968"/>
      <c r="K68" s="968"/>
      <c r="L68" s="968"/>
      <c r="M68" s="968"/>
      <c r="N68" s="107"/>
      <c r="O68" s="107"/>
      <c r="P68" s="107"/>
      <c r="Q68" s="107"/>
      <c r="R68" s="107"/>
      <c r="S68" s="107"/>
    </row>
    <row r="69" spans="1:22" ht="16.5">
      <c r="A69" s="600" t="s">
        <v>169</v>
      </c>
      <c r="B69" s="98" t="s">
        <v>185</v>
      </c>
      <c r="C69" s="1005" t="s">
        <v>726</v>
      </c>
      <c r="D69" s="1005"/>
      <c r="E69" s="1005"/>
      <c r="F69" s="1005"/>
      <c r="G69" s="1005"/>
      <c r="H69" s="1005"/>
      <c r="I69" s="1005"/>
      <c r="J69" s="1005"/>
      <c r="K69" s="1005"/>
      <c r="L69" s="1005"/>
      <c r="M69" s="1005"/>
      <c r="N69" s="107"/>
      <c r="O69" s="107"/>
      <c r="P69" s="107"/>
      <c r="Q69" s="107"/>
      <c r="R69" s="107"/>
      <c r="S69" s="107"/>
    </row>
    <row r="70" spans="1:22" ht="15" customHeight="1">
      <c r="A70" s="297" t="s">
        <v>173</v>
      </c>
      <c r="B70" s="297" t="s">
        <v>177</v>
      </c>
      <c r="C70" s="297" t="s">
        <v>182</v>
      </c>
      <c r="D70" s="298" t="s">
        <v>171</v>
      </c>
      <c r="E70" s="297" t="s">
        <v>175</v>
      </c>
      <c r="F70" s="298" t="s">
        <v>180</v>
      </c>
      <c r="G70" s="370" t="s">
        <v>184</v>
      </c>
      <c r="H70" s="1024" t="s">
        <v>290</v>
      </c>
      <c r="I70" s="1024"/>
      <c r="J70" s="370" t="s">
        <v>291</v>
      </c>
      <c r="K70" s="1021" t="s">
        <v>292</v>
      </c>
      <c r="L70" s="1022"/>
      <c r="M70" s="628">
        <v>12</v>
      </c>
      <c r="O70" s="107"/>
      <c r="P70" s="107"/>
      <c r="Q70" s="107"/>
      <c r="R70" s="107"/>
      <c r="S70" s="107"/>
      <c r="T70" s="107"/>
      <c r="U70" s="73"/>
      <c r="V70" s="73"/>
    </row>
    <row r="71" spans="1:22" ht="15" customHeight="1">
      <c r="A71" s="1000" t="s">
        <v>281</v>
      </c>
      <c r="B71" s="1000" t="s">
        <v>285</v>
      </c>
      <c r="C71" s="984" t="s">
        <v>298</v>
      </c>
      <c r="D71" s="1036" t="s">
        <v>727</v>
      </c>
      <c r="E71" s="1037"/>
      <c r="F71" s="1041"/>
      <c r="G71" s="1038" t="s">
        <v>728</v>
      </c>
      <c r="H71" s="1038"/>
      <c r="I71" s="1038"/>
      <c r="J71" s="821" t="s">
        <v>729</v>
      </c>
      <c r="K71" s="1012" t="s">
        <v>305</v>
      </c>
      <c r="L71" s="1034"/>
      <c r="M71" s="984" t="s">
        <v>492</v>
      </c>
      <c r="N71" s="107"/>
      <c r="O71" s="107"/>
      <c r="P71" s="107"/>
      <c r="Q71" s="107"/>
      <c r="R71" s="107"/>
      <c r="S71" s="107"/>
      <c r="T71" s="73"/>
      <c r="U71" s="73"/>
    </row>
    <row r="72" spans="1:22" s="48" customFormat="1" ht="38.25" customHeight="1">
      <c r="A72" s="1001"/>
      <c r="B72" s="1001"/>
      <c r="C72" s="1019"/>
      <c r="D72" s="587" t="s">
        <v>730</v>
      </c>
      <c r="E72" s="587" t="s">
        <v>731</v>
      </c>
      <c r="F72" s="587" t="s">
        <v>732</v>
      </c>
      <c r="G72" s="587" t="s">
        <v>733</v>
      </c>
      <c r="H72" s="821" t="s">
        <v>330</v>
      </c>
      <c r="I72" s="821"/>
      <c r="J72" s="821"/>
      <c r="K72" s="1013"/>
      <c r="L72" s="1035"/>
      <c r="M72" s="1019"/>
      <c r="O72" s="107"/>
      <c r="P72" s="107"/>
      <c r="Q72" s="107"/>
      <c r="R72" s="107"/>
      <c r="S72" s="107"/>
      <c r="T72" s="107"/>
      <c r="U72" s="73"/>
      <c r="V72" s="73"/>
    </row>
    <row r="73" spans="1:22">
      <c r="A73" s="842"/>
      <c r="B73" s="879" t="s">
        <v>286</v>
      </c>
      <c r="C73" s="879" t="s">
        <v>286</v>
      </c>
      <c r="D73" s="879" t="s">
        <v>286</v>
      </c>
      <c r="E73" s="879" t="s">
        <v>286</v>
      </c>
      <c r="F73" s="879" t="s">
        <v>286</v>
      </c>
      <c r="G73" s="561" t="s">
        <v>286</v>
      </c>
      <c r="H73" s="839" t="s">
        <v>286</v>
      </c>
      <c r="I73" s="839"/>
      <c r="J73" s="840" t="s">
        <v>308</v>
      </c>
      <c r="K73" s="97" t="s">
        <v>309</v>
      </c>
      <c r="L73" s="561" t="s">
        <v>308</v>
      </c>
      <c r="M73" s="1039"/>
      <c r="O73" s="107"/>
      <c r="P73" s="107"/>
      <c r="Q73" s="107"/>
      <c r="R73" s="107"/>
      <c r="S73" s="107"/>
      <c r="T73" s="107"/>
      <c r="U73" s="73"/>
      <c r="V73" s="73"/>
    </row>
    <row r="74" spans="1:22">
      <c r="A74" s="842"/>
      <c r="B74" s="880"/>
      <c r="C74" s="880"/>
      <c r="D74" s="880"/>
      <c r="E74" s="880"/>
      <c r="F74" s="880"/>
      <c r="G74" s="544"/>
      <c r="H74" s="999"/>
      <c r="I74" s="999"/>
      <c r="J74" s="840"/>
      <c r="K74" s="97" t="s">
        <v>310</v>
      </c>
      <c r="L74" s="284"/>
      <c r="M74" s="1040"/>
      <c r="O74" s="107"/>
      <c r="P74" s="107"/>
      <c r="Q74" s="107"/>
      <c r="R74" s="107"/>
      <c r="S74" s="107"/>
      <c r="T74" s="107"/>
      <c r="U74" s="73"/>
      <c r="V74" s="73"/>
    </row>
    <row r="75" spans="1:22" ht="30.75" customHeight="1">
      <c r="A75" s="1016" t="s">
        <v>734</v>
      </c>
      <c r="B75" s="1016"/>
      <c r="C75" s="1016"/>
      <c r="D75" s="1016"/>
      <c r="E75" s="1016"/>
      <c r="F75" s="1016"/>
      <c r="G75" s="1016"/>
      <c r="H75" s="1016"/>
      <c r="I75" s="1016"/>
      <c r="J75" s="1017"/>
      <c r="K75" s="99" t="s">
        <v>287</v>
      </c>
      <c r="L75" s="40" t="s">
        <v>288</v>
      </c>
      <c r="M75" s="39" t="s">
        <v>289</v>
      </c>
      <c r="O75" s="107"/>
      <c r="P75" s="107"/>
      <c r="Q75" s="107"/>
      <c r="R75" s="107"/>
      <c r="S75" s="107"/>
      <c r="T75" s="107"/>
      <c r="U75" s="73"/>
      <c r="V75" s="73"/>
    </row>
    <row r="76" spans="1:22" ht="28.5" customHeight="1">
      <c r="A76" s="881" t="s">
        <v>735</v>
      </c>
      <c r="B76" s="881"/>
      <c r="C76" s="881"/>
      <c r="D76" s="881"/>
      <c r="E76" s="881"/>
      <c r="F76" s="881"/>
      <c r="G76" s="881"/>
      <c r="H76" s="881"/>
      <c r="I76" s="881"/>
      <c r="J76" s="881"/>
      <c r="K76" s="2"/>
      <c r="L76" s="2"/>
      <c r="M76" s="2"/>
      <c r="O76" s="107"/>
      <c r="P76" s="107"/>
      <c r="Q76" s="107"/>
      <c r="R76" s="107"/>
      <c r="S76" s="107"/>
      <c r="T76" s="107"/>
      <c r="U76" s="73"/>
      <c r="V76" s="73"/>
    </row>
    <row r="77" spans="1:22" ht="36" customHeight="1">
      <c r="A77" s="933" t="s">
        <v>736</v>
      </c>
      <c r="B77" s="933"/>
      <c r="L77" s="635"/>
      <c r="O77" s="107"/>
      <c r="P77" s="107"/>
      <c r="Q77" s="107"/>
      <c r="R77" s="107"/>
      <c r="S77" s="107"/>
      <c r="T77" s="107"/>
      <c r="U77" s="73"/>
      <c r="V77" s="73"/>
    </row>
    <row r="78" spans="1:22" ht="30.6" customHeight="1">
      <c r="A78" s="530" t="s">
        <v>294</v>
      </c>
      <c r="B78" s="961" t="s">
        <v>311</v>
      </c>
      <c r="C78" s="962"/>
      <c r="D78" s="972"/>
      <c r="E78" s="972"/>
      <c r="F78" s="972"/>
      <c r="G78" s="972"/>
      <c r="H78" s="972"/>
      <c r="I78" s="972"/>
      <c r="J78" s="972"/>
      <c r="K78" s="972"/>
      <c r="L78" s="972"/>
      <c r="M78" s="972"/>
      <c r="N78" s="73"/>
      <c r="O78" s="73"/>
      <c r="P78" s="73"/>
      <c r="Q78" s="73"/>
      <c r="R78" s="73"/>
      <c r="S78" s="73"/>
      <c r="T78" s="73"/>
      <c r="U78" s="73"/>
    </row>
    <row r="79" spans="1:22" ht="36" customHeight="1">
      <c r="C79" s="553"/>
      <c r="D79" s="553"/>
      <c r="E79" s="553"/>
      <c r="F79" s="553"/>
      <c r="G79" s="553"/>
      <c r="H79" s="553"/>
      <c r="I79" s="553"/>
      <c r="J79" s="553"/>
      <c r="L79" s="635"/>
      <c r="O79" s="107"/>
      <c r="P79" s="107"/>
      <c r="Q79" s="107"/>
      <c r="R79" s="107"/>
      <c r="S79" s="107"/>
      <c r="T79" s="107"/>
      <c r="U79" s="73"/>
      <c r="V79" s="73"/>
    </row>
    <row r="80" spans="1:22" ht="36" customHeight="1">
      <c r="A80" s="553"/>
      <c r="B80" s="621" t="s">
        <v>591</v>
      </c>
      <c r="C80" s="621" t="s">
        <v>298</v>
      </c>
      <c r="D80" s="219" t="s">
        <v>730</v>
      </c>
      <c r="E80" s="125" t="s">
        <v>737</v>
      </c>
      <c r="F80" s="125" t="s">
        <v>738</v>
      </c>
      <c r="H80" s="219" t="s">
        <v>733</v>
      </c>
      <c r="I80" s="219" t="s">
        <v>330</v>
      </c>
      <c r="J80" s="553"/>
      <c r="L80" s="635"/>
      <c r="O80" s="107"/>
      <c r="P80" s="107"/>
      <c r="Q80" s="107"/>
      <c r="R80" s="107"/>
      <c r="S80" s="107"/>
      <c r="T80" s="107"/>
      <c r="U80" s="73"/>
      <c r="V80" s="73"/>
    </row>
    <row r="81" spans="1:20" ht="26.1">
      <c r="B81" s="119" t="s">
        <v>321</v>
      </c>
      <c r="C81" s="613" t="s">
        <v>406</v>
      </c>
      <c r="D81" s="613" t="s">
        <v>739</v>
      </c>
      <c r="E81" s="613" t="s">
        <v>740</v>
      </c>
      <c r="F81" s="613" t="s">
        <v>453</v>
      </c>
      <c r="H81" s="233" t="s">
        <v>741</v>
      </c>
      <c r="I81" s="233" t="s">
        <v>741</v>
      </c>
      <c r="K81" s="2"/>
      <c r="L81" s="2"/>
      <c r="N81" s="46"/>
      <c r="O81" s="107"/>
      <c r="P81" s="107"/>
      <c r="Q81" s="107"/>
      <c r="R81" s="107"/>
      <c r="S81" s="107"/>
      <c r="T81" s="107"/>
    </row>
    <row r="82" spans="1:20" ht="24">
      <c r="B82" s="446" t="s">
        <v>192</v>
      </c>
      <c r="C82" s="613" t="s">
        <v>340</v>
      </c>
      <c r="D82" s="613" t="s">
        <v>742</v>
      </c>
      <c r="E82" s="125" t="s">
        <v>737</v>
      </c>
      <c r="F82" s="613" t="s">
        <v>437</v>
      </c>
      <c r="H82" s="558" t="s">
        <v>743</v>
      </c>
      <c r="I82" s="613" t="s">
        <v>343</v>
      </c>
      <c r="N82" s="46"/>
      <c r="O82" s="73"/>
      <c r="P82" s="73"/>
      <c r="Q82" s="73"/>
      <c r="R82" s="73"/>
      <c r="S82" s="73"/>
      <c r="T82" s="73"/>
    </row>
    <row r="83" spans="1:20" ht="15" customHeight="1">
      <c r="A83" s="635"/>
      <c r="B83" s="446" t="s">
        <v>325</v>
      </c>
      <c r="C83" s="613" t="s">
        <v>345</v>
      </c>
      <c r="D83" s="613" t="s">
        <v>744</v>
      </c>
      <c r="E83" s="613" t="s">
        <v>740</v>
      </c>
      <c r="F83" s="613" t="s">
        <v>454</v>
      </c>
      <c r="H83" s="613" t="s">
        <v>745</v>
      </c>
      <c r="I83" s="613" t="s">
        <v>746</v>
      </c>
      <c r="K83" s="100"/>
      <c r="L83" s="100"/>
      <c r="N83" s="46"/>
      <c r="O83" s="73"/>
      <c r="P83" s="73"/>
      <c r="Q83" s="73"/>
      <c r="R83" s="73"/>
      <c r="S83" s="73"/>
      <c r="T83" s="73"/>
    </row>
    <row r="84" spans="1:20" ht="15" customHeight="1">
      <c r="A84" s="635"/>
      <c r="B84" s="450" t="s">
        <v>747</v>
      </c>
      <c r="C84" s="43"/>
      <c r="D84" s="613" t="s">
        <v>748</v>
      </c>
      <c r="E84" s="613" t="s">
        <v>749</v>
      </c>
      <c r="F84" s="613" t="s">
        <v>439</v>
      </c>
      <c r="H84" s="613" t="s">
        <v>750</v>
      </c>
      <c r="I84" s="613" t="s">
        <v>349</v>
      </c>
      <c r="J84" s="100"/>
      <c r="K84" s="100"/>
    </row>
    <row r="85" spans="1:20" ht="15" customHeight="1">
      <c r="B85" s="450" t="s">
        <v>751</v>
      </c>
      <c r="D85" s="613" t="s">
        <v>752</v>
      </c>
      <c r="E85" s="613" t="s">
        <v>753</v>
      </c>
      <c r="F85" s="613" t="s">
        <v>754</v>
      </c>
      <c r="H85" s="613" t="s">
        <v>755</v>
      </c>
      <c r="I85" s="610" t="s">
        <v>756</v>
      </c>
      <c r="J85" s="100"/>
      <c r="K85" s="100"/>
    </row>
    <row r="86" spans="1:20" ht="15" customHeight="1">
      <c r="D86" s="613" t="s">
        <v>757</v>
      </c>
      <c r="E86" s="613" t="s">
        <v>758</v>
      </c>
      <c r="F86" s="613" t="s">
        <v>759</v>
      </c>
      <c r="H86" s="613" t="s">
        <v>760</v>
      </c>
      <c r="I86" s="610" t="s">
        <v>353</v>
      </c>
      <c r="J86" s="100"/>
      <c r="K86" s="100"/>
      <c r="O86" t="s">
        <v>761</v>
      </c>
      <c r="P86" t="s">
        <v>762</v>
      </c>
      <c r="Q86" t="s">
        <v>763</v>
      </c>
      <c r="R86" t="s">
        <v>764</v>
      </c>
    </row>
    <row r="87" spans="1:20" ht="15" customHeight="1">
      <c r="F87" s="613" t="s">
        <v>765</v>
      </c>
      <c r="H87" s="613" t="s">
        <v>766</v>
      </c>
      <c r="I87" s="610" t="s">
        <v>700</v>
      </c>
      <c r="J87" s="100"/>
      <c r="K87" s="100"/>
      <c r="O87">
        <v>0.56000000000000005</v>
      </c>
      <c r="P87">
        <v>4.4000000000000004</v>
      </c>
      <c r="Q87">
        <v>0</v>
      </c>
      <c r="R87">
        <f>(1/(Q87+(1/O87)+P87))</f>
        <v>0.16166281755196305</v>
      </c>
    </row>
    <row r="88" spans="1:20" ht="15" customHeight="1">
      <c r="E88" s="125" t="s">
        <v>737</v>
      </c>
      <c r="F88" s="613" t="s">
        <v>767</v>
      </c>
      <c r="H88" s="613" t="s">
        <v>768</v>
      </c>
      <c r="I88" s="610" t="s">
        <v>355</v>
      </c>
      <c r="J88" s="100"/>
      <c r="K88" s="100"/>
    </row>
    <row r="89" spans="1:20" ht="15" customHeight="1">
      <c r="E89" s="613" t="s">
        <v>749</v>
      </c>
      <c r="F89" s="613" t="s">
        <v>769</v>
      </c>
      <c r="H89" s="613" t="s">
        <v>770</v>
      </c>
      <c r="I89" s="610" t="s">
        <v>358</v>
      </c>
      <c r="J89" s="100"/>
      <c r="K89" s="100"/>
    </row>
    <row r="90" spans="1:20" ht="15" customHeight="1">
      <c r="E90" s="613" t="s">
        <v>753</v>
      </c>
      <c r="F90" s="613" t="s">
        <v>771</v>
      </c>
      <c r="H90" s="613" t="s">
        <v>772</v>
      </c>
      <c r="I90" s="610" t="s">
        <v>361</v>
      </c>
    </row>
    <row r="91" spans="1:20" ht="15" customHeight="1">
      <c r="E91" s="613" t="s">
        <v>758</v>
      </c>
      <c r="F91" s="125" t="s">
        <v>738</v>
      </c>
      <c r="H91" s="613" t="s">
        <v>773</v>
      </c>
      <c r="I91" s="610" t="s">
        <v>464</v>
      </c>
    </row>
    <row r="92" spans="1:20" ht="15" customHeight="1">
      <c r="F92" s="613" t="s">
        <v>439</v>
      </c>
      <c r="H92" s="613" t="s">
        <v>774</v>
      </c>
      <c r="I92" s="610" t="s">
        <v>364</v>
      </c>
    </row>
    <row r="93" spans="1:20" ht="15" customHeight="1">
      <c r="F93" s="613" t="s">
        <v>759</v>
      </c>
      <c r="H93" s="613" t="s">
        <v>775</v>
      </c>
      <c r="I93" s="610" t="s">
        <v>348</v>
      </c>
    </row>
    <row r="94" spans="1:20" ht="15" customHeight="1">
      <c r="F94" s="613" t="s">
        <v>767</v>
      </c>
      <c r="H94" s="613" t="s">
        <v>776</v>
      </c>
      <c r="I94" s="610" t="s">
        <v>777</v>
      </c>
    </row>
    <row r="95" spans="1:20" ht="15" customHeight="1">
      <c r="F95" s="613" t="s">
        <v>771</v>
      </c>
      <c r="H95" s="613" t="s">
        <v>778</v>
      </c>
      <c r="I95" s="610" t="s">
        <v>352</v>
      </c>
    </row>
    <row r="96" spans="1:20" ht="15" customHeight="1">
      <c r="H96" s="613" t="s">
        <v>779</v>
      </c>
      <c r="I96" s="610" t="s">
        <v>367</v>
      </c>
    </row>
    <row r="97" spans="1:21" ht="15" customHeight="1">
      <c r="F97" s="125" t="s">
        <v>738</v>
      </c>
      <c r="H97" s="613" t="s">
        <v>780</v>
      </c>
      <c r="I97" s="610" t="s">
        <v>379</v>
      </c>
    </row>
    <row r="98" spans="1:21" ht="15" customHeight="1">
      <c r="F98" s="613" t="s">
        <v>453</v>
      </c>
      <c r="H98" s="613" t="s">
        <v>781</v>
      </c>
      <c r="I98" s="610" t="s">
        <v>466</v>
      </c>
    </row>
    <row r="99" spans="1:21" ht="15" customHeight="1">
      <c r="F99" s="613" t="s">
        <v>437</v>
      </c>
      <c r="H99" s="613" t="s">
        <v>782</v>
      </c>
      <c r="I99" s="610" t="s">
        <v>383</v>
      </c>
    </row>
    <row r="100" spans="1:21" ht="15" customHeight="1">
      <c r="F100" s="613" t="s">
        <v>454</v>
      </c>
      <c r="H100" s="613" t="s">
        <v>783</v>
      </c>
      <c r="I100" s="610" t="s">
        <v>784</v>
      </c>
    </row>
    <row r="101" spans="1:21" ht="15" customHeight="1">
      <c r="F101" s="43"/>
      <c r="H101" s="613" t="s">
        <v>785</v>
      </c>
      <c r="I101" s="610" t="s">
        <v>354</v>
      </c>
    </row>
    <row r="102" spans="1:21" ht="15" customHeight="1">
      <c r="F102" s="125" t="s">
        <v>738</v>
      </c>
      <c r="H102" s="613" t="s">
        <v>786</v>
      </c>
      <c r="I102" s="610" t="s">
        <v>384</v>
      </c>
    </row>
    <row r="103" spans="1:21" ht="15" customHeight="1">
      <c r="F103" s="613" t="s">
        <v>439</v>
      </c>
      <c r="H103" s="613" t="s">
        <v>787</v>
      </c>
      <c r="I103" s="610" t="s">
        <v>357</v>
      </c>
    </row>
    <row r="104" spans="1:21" ht="15" customHeight="1">
      <c r="F104" s="613" t="s">
        <v>759</v>
      </c>
      <c r="H104" s="613" t="s">
        <v>788</v>
      </c>
      <c r="I104" s="43"/>
    </row>
    <row r="105" spans="1:21" ht="15" customHeight="1">
      <c r="F105" s="43"/>
      <c r="H105" s="613" t="s">
        <v>789</v>
      </c>
      <c r="I105" s="43"/>
    </row>
    <row r="106" spans="1:21" ht="15" customHeight="1">
      <c r="F106" s="43"/>
      <c r="H106" s="613" t="s">
        <v>790</v>
      </c>
      <c r="I106" s="43"/>
    </row>
    <row r="107" spans="1:21" ht="15" customHeight="1">
      <c r="E107" s="43"/>
      <c r="F107" s="617"/>
      <c r="H107" s="610" t="s">
        <v>791</v>
      </c>
    </row>
    <row r="108" spans="1:21">
      <c r="A108" s="876" t="s">
        <v>792</v>
      </c>
      <c r="B108" s="877"/>
      <c r="C108" s="877"/>
      <c r="D108" s="877"/>
      <c r="E108" s="877"/>
      <c r="F108" s="877"/>
      <c r="G108" s="877"/>
      <c r="H108" s="877"/>
      <c r="I108" s="877"/>
      <c r="J108" s="877"/>
      <c r="K108" s="877"/>
      <c r="L108" s="878"/>
      <c r="N108" s="107"/>
      <c r="O108" s="107"/>
      <c r="P108" s="107"/>
      <c r="Q108" s="107"/>
      <c r="R108" s="107"/>
      <c r="S108" s="107"/>
    </row>
    <row r="109" spans="1:21" ht="16.5">
      <c r="A109" s="600" t="s">
        <v>169</v>
      </c>
      <c r="B109" s="98" t="s">
        <v>185</v>
      </c>
      <c r="C109" s="892" t="s">
        <v>793</v>
      </c>
      <c r="D109" s="893"/>
      <c r="E109" s="893"/>
      <c r="F109" s="893"/>
      <c r="G109" s="893"/>
      <c r="H109" s="893"/>
      <c r="I109" s="893"/>
      <c r="J109" s="893"/>
      <c r="K109" s="893"/>
      <c r="L109" s="894"/>
      <c r="N109" s="107"/>
      <c r="O109" s="107"/>
      <c r="P109" s="107"/>
      <c r="Q109" s="107"/>
      <c r="R109" s="107"/>
      <c r="S109" s="107"/>
    </row>
    <row r="110" spans="1:21" ht="15" customHeight="1">
      <c r="A110" s="91" t="s">
        <v>173</v>
      </c>
      <c r="B110" s="91" t="s">
        <v>177</v>
      </c>
      <c r="C110" s="92" t="s">
        <v>182</v>
      </c>
      <c r="D110" s="91" t="s">
        <v>171</v>
      </c>
      <c r="E110" s="92" t="s">
        <v>175</v>
      </c>
      <c r="F110" s="93" t="s">
        <v>180</v>
      </c>
      <c r="G110" s="600" t="s">
        <v>184</v>
      </c>
      <c r="H110" s="600" t="s">
        <v>290</v>
      </c>
      <c r="I110" s="600" t="s">
        <v>291</v>
      </c>
      <c r="J110" s="1010" t="s">
        <v>292</v>
      </c>
      <c r="K110" s="1011"/>
      <c r="L110" s="94">
        <v>12</v>
      </c>
      <c r="N110" s="107"/>
      <c r="O110" s="107"/>
      <c r="P110" s="107"/>
      <c r="Q110" s="107"/>
      <c r="R110" s="107"/>
      <c r="S110" s="107"/>
      <c r="T110" s="73"/>
      <c r="U110" s="73"/>
    </row>
    <row r="111" spans="1:21" ht="15" customHeight="1">
      <c r="A111" s="1000" t="s">
        <v>281</v>
      </c>
      <c r="B111" s="1000" t="s">
        <v>285</v>
      </c>
      <c r="C111" s="984" t="s">
        <v>298</v>
      </c>
      <c r="D111" s="1036" t="s">
        <v>727</v>
      </c>
      <c r="E111" s="1037"/>
      <c r="F111" s="821" t="s">
        <v>794</v>
      </c>
      <c r="G111" s="1003" t="s">
        <v>728</v>
      </c>
      <c r="H111" s="1003"/>
      <c r="I111" s="1012" t="s">
        <v>729</v>
      </c>
      <c r="J111" s="821" t="s">
        <v>305</v>
      </c>
      <c r="K111" s="821"/>
      <c r="L111" s="1002" t="s">
        <v>689</v>
      </c>
      <c r="M111" s="107"/>
      <c r="N111" s="107"/>
      <c r="O111" s="107"/>
      <c r="P111" s="107"/>
      <c r="Q111" s="107"/>
      <c r="R111" s="107"/>
      <c r="S111" s="73"/>
      <c r="T111" s="73"/>
    </row>
    <row r="112" spans="1:21" s="48" customFormat="1" ht="24">
      <c r="A112" s="1001"/>
      <c r="B112" s="1001"/>
      <c r="C112" s="1019"/>
      <c r="D112" s="587" t="s">
        <v>795</v>
      </c>
      <c r="E112" s="555" t="s">
        <v>796</v>
      </c>
      <c r="F112" s="821"/>
      <c r="G112" s="587" t="s">
        <v>733</v>
      </c>
      <c r="H112" s="587" t="s">
        <v>330</v>
      </c>
      <c r="I112" s="1013"/>
      <c r="J112" s="821"/>
      <c r="K112" s="821"/>
      <c r="L112" s="1002"/>
      <c r="N112" s="107"/>
      <c r="O112" s="107"/>
      <c r="P112" s="107"/>
      <c r="Q112" s="107"/>
      <c r="R112" s="107"/>
      <c r="S112" s="107"/>
      <c r="T112" s="73"/>
      <c r="U112" s="73"/>
    </row>
    <row r="113" spans="1:22">
      <c r="A113" s="842"/>
      <c r="B113" s="879" t="s">
        <v>286</v>
      </c>
      <c r="C113" s="879" t="s">
        <v>286</v>
      </c>
      <c r="D113" s="879" t="s">
        <v>286</v>
      </c>
      <c r="E113" s="879" t="s">
        <v>286</v>
      </c>
      <c r="F113" s="879" t="s">
        <v>286</v>
      </c>
      <c r="G113" s="561" t="s">
        <v>286</v>
      </c>
      <c r="H113" s="561" t="s">
        <v>286</v>
      </c>
      <c r="I113" s="866" t="s">
        <v>308</v>
      </c>
      <c r="J113" s="97" t="s">
        <v>309</v>
      </c>
      <c r="K113" s="561" t="s">
        <v>308</v>
      </c>
      <c r="L113" s="997"/>
      <c r="N113" s="107"/>
      <c r="O113" s="107"/>
      <c r="P113" s="107"/>
      <c r="Q113" s="107"/>
      <c r="R113" s="107"/>
      <c r="S113" s="107"/>
      <c r="T113" s="73"/>
      <c r="U113" s="73"/>
    </row>
    <row r="114" spans="1:22">
      <c r="A114" s="842"/>
      <c r="B114" s="880"/>
      <c r="C114" s="880"/>
      <c r="D114" s="880"/>
      <c r="E114" s="880"/>
      <c r="F114" s="880"/>
      <c r="G114" s="544"/>
      <c r="H114" s="544"/>
      <c r="I114" s="867"/>
      <c r="J114" s="97" t="s">
        <v>310</v>
      </c>
      <c r="K114" s="284"/>
      <c r="L114" s="998"/>
      <c r="N114" s="107"/>
      <c r="O114" s="107"/>
      <c r="P114" s="107"/>
      <c r="Q114" s="107"/>
      <c r="R114" s="107"/>
      <c r="S114" s="107"/>
      <c r="T114" s="73"/>
      <c r="U114" s="73"/>
    </row>
    <row r="115" spans="1:22" ht="30.75" customHeight="1">
      <c r="A115" s="869" t="s">
        <v>797</v>
      </c>
      <c r="B115" s="869"/>
      <c r="C115" s="869"/>
      <c r="D115" s="869"/>
      <c r="E115" s="869"/>
      <c r="F115" s="869"/>
      <c r="G115" s="869"/>
      <c r="H115" s="869"/>
      <c r="I115" s="919"/>
      <c r="J115" s="99" t="s">
        <v>287</v>
      </c>
      <c r="K115" s="40" t="s">
        <v>288</v>
      </c>
      <c r="L115" s="39" t="s">
        <v>289</v>
      </c>
      <c r="N115" s="107"/>
      <c r="O115" s="107"/>
      <c r="P115" s="107"/>
      <c r="Q115" s="107"/>
      <c r="R115" s="107"/>
      <c r="S115" s="107"/>
      <c r="T115" s="73"/>
      <c r="U115" s="73"/>
    </row>
    <row r="116" spans="1:22">
      <c r="A116" s="881" t="s">
        <v>798</v>
      </c>
      <c r="B116" s="881"/>
      <c r="C116" s="881"/>
      <c r="D116" s="881"/>
      <c r="E116" s="881"/>
      <c r="F116" s="881"/>
      <c r="G116" s="881"/>
      <c r="H116" s="881"/>
      <c r="I116" s="881"/>
      <c r="J116" s="132"/>
      <c r="L116" s="635"/>
      <c r="O116" s="107"/>
      <c r="P116" s="107"/>
      <c r="Q116" s="107"/>
      <c r="R116" s="107"/>
      <c r="S116" s="107"/>
      <c r="T116" s="107"/>
      <c r="U116" s="73"/>
      <c r="V116" s="73"/>
    </row>
    <row r="117" spans="1:22" ht="15" customHeight="1">
      <c r="A117" s="933" t="s">
        <v>692</v>
      </c>
      <c r="B117" s="933"/>
      <c r="G117" s="43"/>
      <c r="H117" s="617"/>
      <c r="I117" s="43"/>
    </row>
    <row r="118" spans="1:22" ht="30.6" customHeight="1">
      <c r="A118" s="530" t="s">
        <v>294</v>
      </c>
      <c r="B118" s="961" t="s">
        <v>311</v>
      </c>
      <c r="C118" s="962"/>
      <c r="D118" s="963"/>
      <c r="E118" s="964"/>
      <c r="F118" s="964"/>
      <c r="G118" s="964"/>
      <c r="H118" s="964"/>
      <c r="I118" s="964"/>
      <c r="J118" s="964"/>
      <c r="K118" s="964"/>
      <c r="L118" s="965"/>
      <c r="M118" s="73"/>
      <c r="N118" s="73"/>
      <c r="O118" s="73"/>
      <c r="P118" s="73"/>
      <c r="Q118" s="73"/>
      <c r="R118" s="73"/>
      <c r="S118" s="73"/>
      <c r="T118" s="73"/>
      <c r="U118" s="73"/>
    </row>
    <row r="119" spans="1:22" ht="15" customHeight="1">
      <c r="A119" s="559"/>
      <c r="B119" s="219" t="s">
        <v>591</v>
      </c>
      <c r="C119" s="219" t="s">
        <v>298</v>
      </c>
      <c r="D119" s="219" t="s">
        <v>795</v>
      </c>
      <c r="E119" s="219" t="s">
        <v>796</v>
      </c>
      <c r="F119" s="219" t="s">
        <v>794</v>
      </c>
      <c r="G119" s="219" t="s">
        <v>733</v>
      </c>
      <c r="H119" s="219" t="s">
        <v>330</v>
      </c>
      <c r="I119" s="43"/>
    </row>
    <row r="120" spans="1:22" ht="14.25" customHeight="1">
      <c r="B120" s="119" t="s">
        <v>321</v>
      </c>
      <c r="C120" s="550" t="s">
        <v>406</v>
      </c>
      <c r="D120" s="126">
        <v>0</v>
      </c>
      <c r="E120" s="85" t="s">
        <v>434</v>
      </c>
      <c r="F120" s="613" t="s">
        <v>799</v>
      </c>
      <c r="G120" s="613" t="s">
        <v>743</v>
      </c>
      <c r="H120" s="613" t="s">
        <v>343</v>
      </c>
      <c r="I120" s="43"/>
    </row>
    <row r="121" spans="1:22">
      <c r="B121" s="446" t="s">
        <v>192</v>
      </c>
      <c r="C121" s="550" t="s">
        <v>340</v>
      </c>
      <c r="D121" s="126">
        <v>0.1</v>
      </c>
      <c r="E121" s="85" t="s">
        <v>435</v>
      </c>
      <c r="F121" s="613" t="s">
        <v>800</v>
      </c>
      <c r="G121" s="613" t="s">
        <v>745</v>
      </c>
      <c r="H121" s="613" t="s">
        <v>746</v>
      </c>
    </row>
    <row r="122" spans="1:22">
      <c r="B122" s="446" t="s">
        <v>325</v>
      </c>
      <c r="C122" s="613" t="s">
        <v>345</v>
      </c>
      <c r="D122" s="126">
        <v>0.2</v>
      </c>
      <c r="F122" s="613" t="s">
        <v>801</v>
      </c>
      <c r="G122" s="613" t="s">
        <v>750</v>
      </c>
      <c r="H122" s="613" t="s">
        <v>349</v>
      </c>
      <c r="I122" s="543"/>
      <c r="J122" s="543"/>
      <c r="K122" s="2"/>
      <c r="L122" s="2"/>
    </row>
    <row r="123" spans="1:22">
      <c r="A123" s="1"/>
      <c r="B123" s="450" t="s">
        <v>747</v>
      </c>
      <c r="C123" s="1"/>
      <c r="D123" s="1"/>
      <c r="E123" s="1"/>
      <c r="F123" s="613" t="s">
        <v>802</v>
      </c>
      <c r="G123" s="613" t="s">
        <v>755</v>
      </c>
      <c r="H123" s="610" t="s">
        <v>756</v>
      </c>
      <c r="I123" s="1"/>
      <c r="J123" s="1"/>
      <c r="K123" s="1"/>
      <c r="L123" s="1"/>
      <c r="M123" s="1"/>
      <c r="N123" s="46"/>
      <c r="O123" s="73"/>
      <c r="P123" s="73"/>
      <c r="Q123" s="73"/>
      <c r="R123" s="73"/>
      <c r="S123" s="73"/>
      <c r="T123" s="73"/>
    </row>
    <row r="124" spans="1:22">
      <c r="B124" s="450" t="s">
        <v>751</v>
      </c>
      <c r="F124" s="613" t="s">
        <v>803</v>
      </c>
      <c r="G124" s="613" t="s">
        <v>760</v>
      </c>
      <c r="H124" s="610" t="s">
        <v>353</v>
      </c>
    </row>
    <row r="125" spans="1:22">
      <c r="F125" s="43"/>
      <c r="G125" s="613" t="s">
        <v>766</v>
      </c>
      <c r="H125" s="610" t="s">
        <v>700</v>
      </c>
    </row>
    <row r="126" spans="1:22">
      <c r="F126" s="43"/>
      <c r="G126" s="613" t="s">
        <v>768</v>
      </c>
      <c r="H126" s="610" t="s">
        <v>355</v>
      </c>
    </row>
    <row r="127" spans="1:22">
      <c r="F127" s="43"/>
      <c r="G127" s="613" t="s">
        <v>770</v>
      </c>
      <c r="H127" s="610" t="s">
        <v>358</v>
      </c>
      <c r="M127" t="s">
        <v>804</v>
      </c>
      <c r="N127" t="s">
        <v>762</v>
      </c>
      <c r="O127" t="s">
        <v>763</v>
      </c>
      <c r="P127" t="s">
        <v>764</v>
      </c>
    </row>
    <row r="128" spans="1:22">
      <c r="F128" s="43"/>
      <c r="G128" s="613" t="s">
        <v>772</v>
      </c>
      <c r="H128" s="610" t="s">
        <v>361</v>
      </c>
      <c r="M128">
        <v>0.58799999999999997</v>
      </c>
      <c r="N128">
        <v>3</v>
      </c>
      <c r="O128">
        <v>0</v>
      </c>
      <c r="P128">
        <f>(1/(O128+(1/M128)+N128))</f>
        <v>0.2127351664254703</v>
      </c>
    </row>
    <row r="129" spans="6:8">
      <c r="F129" s="43"/>
      <c r="G129" s="613" t="s">
        <v>773</v>
      </c>
      <c r="H129" s="610" t="s">
        <v>464</v>
      </c>
    </row>
    <row r="130" spans="6:8">
      <c r="F130" s="43"/>
      <c r="G130" s="613" t="s">
        <v>774</v>
      </c>
      <c r="H130" s="610" t="s">
        <v>364</v>
      </c>
    </row>
    <row r="131" spans="6:8">
      <c r="F131" s="43"/>
      <c r="G131" s="613" t="s">
        <v>775</v>
      </c>
      <c r="H131" s="610" t="s">
        <v>348</v>
      </c>
    </row>
    <row r="132" spans="6:8">
      <c r="F132" s="43"/>
      <c r="G132" s="613" t="s">
        <v>776</v>
      </c>
      <c r="H132" s="610" t="s">
        <v>777</v>
      </c>
    </row>
    <row r="133" spans="6:8">
      <c r="F133" s="43"/>
      <c r="G133" s="613" t="s">
        <v>778</v>
      </c>
      <c r="H133" s="610" t="s">
        <v>352</v>
      </c>
    </row>
    <row r="134" spans="6:8">
      <c r="F134" s="43"/>
      <c r="G134" s="613" t="s">
        <v>779</v>
      </c>
      <c r="H134" s="610" t="s">
        <v>367</v>
      </c>
    </row>
    <row r="135" spans="6:8">
      <c r="F135" s="43"/>
      <c r="G135" s="613" t="s">
        <v>780</v>
      </c>
      <c r="H135" s="610" t="s">
        <v>379</v>
      </c>
    </row>
    <row r="136" spans="6:8">
      <c r="F136" s="43"/>
      <c r="G136" s="613" t="s">
        <v>781</v>
      </c>
      <c r="H136" s="610" t="s">
        <v>466</v>
      </c>
    </row>
    <row r="137" spans="6:8">
      <c r="F137" s="43"/>
      <c r="G137" s="613" t="s">
        <v>782</v>
      </c>
      <c r="H137" s="610" t="s">
        <v>383</v>
      </c>
    </row>
    <row r="138" spans="6:8">
      <c r="F138" s="43"/>
      <c r="G138" s="613" t="s">
        <v>783</v>
      </c>
      <c r="H138" s="610" t="s">
        <v>784</v>
      </c>
    </row>
    <row r="139" spans="6:8">
      <c r="F139" s="43"/>
      <c r="G139" s="613" t="s">
        <v>785</v>
      </c>
      <c r="H139" s="610" t="s">
        <v>354</v>
      </c>
    </row>
    <row r="140" spans="6:8">
      <c r="F140" s="43"/>
      <c r="G140" s="613" t="s">
        <v>786</v>
      </c>
      <c r="H140" s="610" t="s">
        <v>384</v>
      </c>
    </row>
    <row r="141" spans="6:8">
      <c r="F141" s="43"/>
      <c r="G141" s="613" t="s">
        <v>787</v>
      </c>
      <c r="H141" s="610" t="s">
        <v>357</v>
      </c>
    </row>
    <row r="142" spans="6:8">
      <c r="F142" s="43"/>
      <c r="G142" s="613" t="s">
        <v>788</v>
      </c>
    </row>
    <row r="143" spans="6:8">
      <c r="F143" s="43"/>
      <c r="G143" s="613" t="s">
        <v>789</v>
      </c>
    </row>
    <row r="144" spans="6:8">
      <c r="F144" s="43"/>
      <c r="G144" s="613" t="s">
        <v>790</v>
      </c>
    </row>
    <row r="145" spans="1:21">
      <c r="F145" s="43"/>
      <c r="G145" s="610" t="s">
        <v>791</v>
      </c>
    </row>
    <row r="146" spans="1:21">
      <c r="E146" s="43"/>
    </row>
    <row r="147" spans="1:21">
      <c r="A147" s="1203" t="s">
        <v>805</v>
      </c>
      <c r="B147" s="1204"/>
      <c r="C147" s="1204"/>
      <c r="D147" s="1204"/>
      <c r="E147" s="1204"/>
      <c r="F147" s="1204"/>
      <c r="G147" s="1204"/>
      <c r="H147" s="1204"/>
      <c r="I147" s="1204"/>
      <c r="J147" s="1204"/>
      <c r="K147" s="1204"/>
      <c r="L147" s="1205"/>
      <c r="N147" s="73"/>
      <c r="O147" s="73"/>
      <c r="P147" s="73"/>
      <c r="Q147" s="73"/>
      <c r="R147" s="73"/>
      <c r="S147" s="73"/>
    </row>
    <row r="148" spans="1:21" ht="16.5">
      <c r="A148" s="600" t="s">
        <v>169</v>
      </c>
      <c r="B148" s="98" t="s">
        <v>185</v>
      </c>
      <c r="C148" s="895" t="s">
        <v>806</v>
      </c>
      <c r="D148" s="896"/>
      <c r="E148" s="896"/>
      <c r="F148" s="896"/>
      <c r="G148" s="896"/>
      <c r="H148" s="896"/>
      <c r="I148" s="896"/>
      <c r="J148" s="896"/>
      <c r="K148" s="896"/>
      <c r="L148" s="897"/>
      <c r="N148" s="73"/>
      <c r="O148" s="73"/>
      <c r="P148" s="73"/>
      <c r="Q148" s="73"/>
      <c r="R148" s="73"/>
      <c r="S148" s="73"/>
    </row>
    <row r="149" spans="1:21">
      <c r="A149" s="91" t="s">
        <v>173</v>
      </c>
      <c r="B149" s="91" t="s">
        <v>177</v>
      </c>
      <c r="C149" s="92" t="s">
        <v>182</v>
      </c>
      <c r="D149" s="91" t="s">
        <v>171</v>
      </c>
      <c r="E149" s="92" t="s">
        <v>175</v>
      </c>
      <c r="F149" s="93" t="s">
        <v>180</v>
      </c>
      <c r="G149" s="600" t="s">
        <v>184</v>
      </c>
      <c r="H149" s="600" t="s">
        <v>290</v>
      </c>
      <c r="I149" s="600" t="s">
        <v>291</v>
      </c>
      <c r="J149" s="1010" t="s">
        <v>292</v>
      </c>
      <c r="K149" s="1023"/>
      <c r="L149" s="94">
        <v>12</v>
      </c>
      <c r="N149" s="73"/>
      <c r="O149" s="73"/>
      <c r="P149" s="73"/>
      <c r="Q149" s="73"/>
      <c r="R149" s="73"/>
      <c r="S149" s="73"/>
    </row>
    <row r="150" spans="1:21" ht="48" customHeight="1">
      <c r="A150" s="593" t="s">
        <v>281</v>
      </c>
      <c r="B150" s="300" t="s">
        <v>685</v>
      </c>
      <c r="C150" s="595" t="s">
        <v>298</v>
      </c>
      <c r="D150" s="587" t="s">
        <v>392</v>
      </c>
      <c r="E150" s="595" t="s">
        <v>393</v>
      </c>
      <c r="F150" s="595" t="s">
        <v>403</v>
      </c>
      <c r="G150" s="595" t="s">
        <v>331</v>
      </c>
      <c r="H150" s="296" t="s">
        <v>303</v>
      </c>
      <c r="I150" s="587" t="s">
        <v>688</v>
      </c>
      <c r="J150" s="953" t="s">
        <v>305</v>
      </c>
      <c r="K150" s="954"/>
      <c r="L150" s="597" t="s">
        <v>689</v>
      </c>
      <c r="N150" s="73"/>
      <c r="O150" s="73"/>
      <c r="P150" s="73"/>
      <c r="Q150" s="73"/>
      <c r="R150" s="73"/>
      <c r="S150" s="73"/>
    </row>
    <row r="151" spans="1:21">
      <c r="A151" s="842"/>
      <c r="B151" s="879" t="s">
        <v>286</v>
      </c>
      <c r="C151" s="879" t="s">
        <v>286</v>
      </c>
      <c r="D151" s="561" t="s">
        <v>286</v>
      </c>
      <c r="E151" s="561" t="s">
        <v>286</v>
      </c>
      <c r="F151" s="561" t="s">
        <v>286</v>
      </c>
      <c r="G151" s="561" t="s">
        <v>286</v>
      </c>
      <c r="H151" s="839" t="s">
        <v>286</v>
      </c>
      <c r="I151" s="866" t="s">
        <v>308</v>
      </c>
      <c r="J151" s="97" t="s">
        <v>309</v>
      </c>
      <c r="K151" s="561" t="s">
        <v>308</v>
      </c>
      <c r="L151" s="997"/>
      <c r="N151" s="73"/>
      <c r="O151" s="73"/>
      <c r="P151" s="73"/>
      <c r="Q151" s="73"/>
      <c r="R151" s="73"/>
      <c r="S151" s="73"/>
    </row>
    <row r="152" spans="1:21">
      <c r="A152" s="842"/>
      <c r="B152" s="880"/>
      <c r="C152" s="880"/>
      <c r="D152" s="544"/>
      <c r="E152" s="591"/>
      <c r="F152" s="544"/>
      <c r="G152" s="544"/>
      <c r="H152" s="839"/>
      <c r="I152" s="867"/>
      <c r="J152" s="97" t="s">
        <v>807</v>
      </c>
      <c r="K152" s="284"/>
      <c r="L152" s="998"/>
      <c r="N152" s="73"/>
      <c r="O152" s="73"/>
      <c r="P152" s="73"/>
      <c r="Q152" s="73"/>
      <c r="R152" s="73"/>
      <c r="S152" s="73"/>
    </row>
    <row r="153" spans="1:21" ht="30.75" customHeight="1">
      <c r="A153" s="869" t="s">
        <v>808</v>
      </c>
      <c r="B153" s="869"/>
      <c r="C153" s="869"/>
      <c r="D153" s="869"/>
      <c r="E153" s="869"/>
      <c r="F153" s="869"/>
      <c r="G153" s="869"/>
      <c r="H153" s="869"/>
      <c r="I153" s="919"/>
      <c r="J153" s="99" t="s">
        <v>287</v>
      </c>
      <c r="K153" s="40" t="s">
        <v>288</v>
      </c>
      <c r="L153" s="39" t="s">
        <v>289</v>
      </c>
      <c r="N153" s="73"/>
      <c r="O153" s="73"/>
      <c r="P153" s="73"/>
      <c r="Q153" s="73"/>
      <c r="R153" s="73"/>
      <c r="S153" s="73"/>
      <c r="T153" s="73"/>
      <c r="U153" s="73"/>
    </row>
    <row r="154" spans="1:21" ht="16.5" customHeight="1">
      <c r="A154" s="559" t="s">
        <v>809</v>
      </c>
      <c r="B154" s="635"/>
      <c r="K154" s="635"/>
      <c r="N154" s="73"/>
      <c r="O154" s="73"/>
      <c r="P154" s="73"/>
      <c r="Q154" s="73"/>
      <c r="R154" s="73"/>
      <c r="S154" s="73"/>
      <c r="T154" s="73"/>
      <c r="U154" s="73"/>
    </row>
    <row r="155" spans="1:21" ht="16.5" customHeight="1">
      <c r="A155" s="933" t="s">
        <v>692</v>
      </c>
      <c r="B155" s="933"/>
      <c r="K155" s="635"/>
      <c r="N155" s="73"/>
      <c r="O155" s="73"/>
      <c r="P155" s="73"/>
      <c r="Q155" s="73"/>
      <c r="R155" s="73"/>
      <c r="S155" s="73"/>
      <c r="T155" s="73"/>
      <c r="U155" s="73"/>
    </row>
    <row r="156" spans="1:21" ht="30.6" customHeight="1">
      <c r="A156" s="530" t="s">
        <v>294</v>
      </c>
      <c r="B156" s="961" t="s">
        <v>311</v>
      </c>
      <c r="C156" s="962"/>
      <c r="D156" s="963"/>
      <c r="E156" s="964"/>
      <c r="F156" s="964"/>
      <c r="G156" s="964"/>
      <c r="H156" s="964"/>
      <c r="I156" s="964"/>
      <c r="J156" s="964"/>
      <c r="K156" s="964"/>
      <c r="L156" s="965"/>
      <c r="M156" s="73"/>
      <c r="N156" s="73"/>
      <c r="O156" s="73"/>
      <c r="P156" s="73"/>
      <c r="Q156" s="73"/>
      <c r="R156" s="73"/>
      <c r="S156" s="73"/>
      <c r="T156" s="73"/>
      <c r="U156" s="73"/>
    </row>
    <row r="157" spans="1:21" ht="24">
      <c r="B157" s="221" t="s">
        <v>685</v>
      </c>
      <c r="C157" s="222" t="s">
        <v>298</v>
      </c>
      <c r="D157" s="219" t="s">
        <v>392</v>
      </c>
      <c r="E157" s="222" t="s">
        <v>393</v>
      </c>
      <c r="F157" s="222" t="s">
        <v>403</v>
      </c>
      <c r="G157" s="222" t="s">
        <v>331</v>
      </c>
      <c r="H157" s="220" t="s">
        <v>303</v>
      </c>
    </row>
    <row r="158" spans="1:21">
      <c r="A158" s="635"/>
      <c r="B158" s="550" t="s">
        <v>694</v>
      </c>
      <c r="C158" s="613" t="s">
        <v>406</v>
      </c>
      <c r="D158" s="575" t="s">
        <v>407</v>
      </c>
      <c r="E158" s="575" t="s">
        <v>810</v>
      </c>
      <c r="F158" s="578" t="s">
        <v>409</v>
      </c>
      <c r="G158" s="613" t="s">
        <v>343</v>
      </c>
      <c r="H158" s="613" t="s">
        <v>338</v>
      </c>
      <c r="I158" s="43"/>
      <c r="J158" s="43"/>
      <c r="L158" s="43"/>
    </row>
    <row r="159" spans="1:21">
      <c r="B159" s="622" t="s">
        <v>697</v>
      </c>
      <c r="C159" s="575" t="s">
        <v>340</v>
      </c>
      <c r="D159" s="575" t="s">
        <v>410</v>
      </c>
      <c r="E159" s="575" t="s">
        <v>408</v>
      </c>
      <c r="F159" s="44"/>
      <c r="G159" s="575" t="s">
        <v>349</v>
      </c>
      <c r="H159" s="613" t="s">
        <v>344</v>
      </c>
      <c r="I159" s="43"/>
      <c r="J159" s="43"/>
      <c r="L159" s="43"/>
    </row>
    <row r="160" spans="1:21">
      <c r="B160" s="622" t="s">
        <v>701</v>
      </c>
      <c r="C160" s="575" t="s">
        <v>345</v>
      </c>
      <c r="D160" s="575" t="s">
        <v>413</v>
      </c>
      <c r="E160" s="575" t="s">
        <v>411</v>
      </c>
      <c r="F160" s="44"/>
      <c r="G160" s="575" t="s">
        <v>353</v>
      </c>
      <c r="H160" s="43"/>
      <c r="I160" s="617"/>
      <c r="J160" s="43"/>
      <c r="L160" s="43"/>
    </row>
    <row r="161" spans="2:10">
      <c r="B161" s="622" t="s">
        <v>704</v>
      </c>
      <c r="C161" s="128"/>
      <c r="D161" s="575" t="s">
        <v>416</v>
      </c>
      <c r="E161" s="575" t="s">
        <v>414</v>
      </c>
      <c r="F161" s="44"/>
      <c r="G161" s="575" t="s">
        <v>700</v>
      </c>
      <c r="H161" s="43"/>
      <c r="I161" s="617"/>
      <c r="J161" s="43"/>
    </row>
    <row r="162" spans="2:10">
      <c r="B162" s="450" t="s">
        <v>747</v>
      </c>
      <c r="C162" s="128"/>
      <c r="D162" s="346"/>
      <c r="E162" s="570" t="s">
        <v>417</v>
      </c>
      <c r="F162" s="44"/>
      <c r="G162" s="575" t="s">
        <v>355</v>
      </c>
      <c r="H162" s="43"/>
      <c r="I162" s="617"/>
      <c r="J162" s="43"/>
    </row>
    <row r="163" spans="2:10">
      <c r="B163" s="450" t="s">
        <v>751</v>
      </c>
      <c r="C163" s="128"/>
      <c r="D163" s="44"/>
      <c r="E163" s="44"/>
      <c r="F163" s="44"/>
      <c r="G163" s="575" t="s">
        <v>361</v>
      </c>
      <c r="H163" s="43"/>
      <c r="I163" s="617"/>
      <c r="J163" s="43"/>
    </row>
    <row r="164" spans="2:10">
      <c r="B164" s="128"/>
      <c r="C164" s="128"/>
      <c r="D164" s="44"/>
      <c r="E164" s="44"/>
      <c r="F164" s="44"/>
      <c r="G164" s="282"/>
      <c r="H164" s="43"/>
      <c r="I164" s="617"/>
      <c r="J164" s="43"/>
    </row>
    <row r="165" spans="2:10">
      <c r="B165" s="128"/>
      <c r="C165" s="128"/>
      <c r="D165" s="44"/>
      <c r="E165" s="44"/>
      <c r="F165" s="44"/>
      <c r="G165" s="282"/>
      <c r="H165" s="43"/>
      <c r="I165" s="617"/>
      <c r="J165" s="43"/>
    </row>
    <row r="166" spans="2:10">
      <c r="B166" s="128"/>
      <c r="C166" s="128"/>
      <c r="D166" s="44"/>
      <c r="E166" s="44"/>
      <c r="F166" s="44"/>
      <c r="G166" s="282"/>
      <c r="H166" s="43"/>
      <c r="I166" s="617"/>
      <c r="J166" s="43"/>
    </row>
    <row r="167" spans="2:10">
      <c r="B167" s="128"/>
      <c r="C167" s="128"/>
      <c r="D167" s="44"/>
      <c r="E167" s="44"/>
      <c r="F167" s="44"/>
      <c r="G167" s="282"/>
      <c r="H167" s="43"/>
      <c r="I167" s="617"/>
      <c r="J167" s="43"/>
    </row>
    <row r="168" spans="2:10">
      <c r="D168" s="44"/>
      <c r="E168" s="44"/>
      <c r="F168" s="43"/>
      <c r="G168" s="617"/>
      <c r="H168" s="43"/>
      <c r="I168" s="617"/>
      <c r="J168" s="43"/>
    </row>
    <row r="169" spans="2:10">
      <c r="D169" s="44"/>
      <c r="E169" s="44"/>
      <c r="F169" s="43"/>
      <c r="G169" s="617"/>
      <c r="H169" s="43"/>
      <c r="I169" s="617"/>
      <c r="J169" s="43"/>
    </row>
    <row r="170" spans="2:10">
      <c r="D170" s="44"/>
      <c r="E170" s="44"/>
      <c r="F170" s="43"/>
      <c r="G170" s="617"/>
      <c r="H170" s="43"/>
      <c r="I170" s="617"/>
      <c r="J170" s="43"/>
    </row>
    <row r="171" spans="2:10">
      <c r="D171" s="44"/>
      <c r="E171" s="44"/>
      <c r="F171" s="43"/>
      <c r="G171" s="617"/>
      <c r="H171" s="43"/>
      <c r="I171" s="617"/>
      <c r="J171" s="43"/>
    </row>
    <row r="172" spans="2:10">
      <c r="D172" s="44"/>
      <c r="E172" s="44"/>
      <c r="F172" s="43"/>
      <c r="G172" s="617"/>
      <c r="H172" s="43"/>
      <c r="I172" s="617"/>
      <c r="J172" s="43"/>
    </row>
    <row r="173" spans="2:10">
      <c r="D173" s="44"/>
      <c r="E173" s="44"/>
      <c r="F173" s="43"/>
      <c r="G173" s="617"/>
      <c r="H173" s="43"/>
      <c r="I173" s="617"/>
      <c r="J173" s="43"/>
    </row>
    <row r="174" spans="2:10">
      <c r="D174" s="44"/>
      <c r="E174" s="44"/>
      <c r="F174" s="43"/>
      <c r="G174" s="617"/>
      <c r="H174" s="43"/>
      <c r="I174" s="617"/>
      <c r="J174" s="43"/>
    </row>
    <row r="175" spans="2:10">
      <c r="D175" s="44"/>
      <c r="E175" s="44"/>
      <c r="F175" s="43"/>
      <c r="G175" s="617"/>
      <c r="H175" s="43"/>
      <c r="I175" s="617"/>
      <c r="J175" s="43"/>
    </row>
    <row r="176" spans="2:10">
      <c r="D176" s="44"/>
      <c r="E176" s="44"/>
      <c r="F176" s="43"/>
      <c r="G176" s="617"/>
      <c r="H176" s="43"/>
      <c r="I176" s="617"/>
      <c r="J176" s="43"/>
    </row>
    <row r="177" spans="1:21">
      <c r="D177" s="44"/>
      <c r="E177" s="44"/>
      <c r="F177" s="43"/>
      <c r="G177" s="617"/>
      <c r="H177" s="43"/>
      <c r="I177" s="617"/>
      <c r="J177" s="43"/>
    </row>
    <row r="178" spans="1:21">
      <c r="D178" s="44"/>
      <c r="E178" s="44"/>
      <c r="F178" s="43"/>
      <c r="G178" s="617"/>
      <c r="H178" s="43"/>
      <c r="I178" s="617"/>
      <c r="J178" s="43"/>
    </row>
    <row r="179" spans="1:21">
      <c r="A179" s="968" t="s">
        <v>811</v>
      </c>
      <c r="B179" s="968"/>
      <c r="C179" s="968"/>
      <c r="D179" s="968"/>
      <c r="E179" s="968"/>
      <c r="F179" s="968"/>
      <c r="G179" s="968"/>
      <c r="H179" s="968"/>
      <c r="I179" s="968"/>
      <c r="J179" s="968"/>
      <c r="K179" s="968"/>
      <c r="L179" s="968"/>
      <c r="M179" s="968"/>
    </row>
    <row r="180" spans="1:21" ht="16.5">
      <c r="A180" s="600" t="s">
        <v>169</v>
      </c>
      <c r="B180" s="98" t="s">
        <v>185</v>
      </c>
      <c r="C180" s="832" t="s">
        <v>812</v>
      </c>
      <c r="D180" s="832"/>
      <c r="E180" s="832"/>
      <c r="F180" s="832"/>
      <c r="G180" s="832"/>
      <c r="H180" s="832"/>
      <c r="I180" s="832"/>
      <c r="J180" s="832"/>
      <c r="K180" s="832"/>
      <c r="L180" s="832"/>
      <c r="M180" s="832"/>
      <c r="N180" s="73"/>
      <c r="O180" s="73"/>
      <c r="P180" s="73"/>
      <c r="Q180" s="73"/>
      <c r="R180" s="73"/>
      <c r="S180" s="73"/>
    </row>
    <row r="181" spans="1:21">
      <c r="A181" s="91" t="s">
        <v>173</v>
      </c>
      <c r="B181" s="91" t="s">
        <v>177</v>
      </c>
      <c r="C181" s="91" t="s">
        <v>182</v>
      </c>
      <c r="D181" s="1004" t="s">
        <v>171</v>
      </c>
      <c r="E181" s="1004"/>
      <c r="F181" s="823" t="s">
        <v>175</v>
      </c>
      <c r="G181" s="823"/>
      <c r="H181" s="91" t="s">
        <v>180</v>
      </c>
      <c r="I181" s="600" t="s">
        <v>184</v>
      </c>
      <c r="J181" s="600" t="s">
        <v>290</v>
      </c>
      <c r="K181" s="1010" t="s">
        <v>291</v>
      </c>
      <c r="L181" s="1023"/>
      <c r="M181" s="94">
        <v>11</v>
      </c>
      <c r="N181" s="76"/>
      <c r="O181" s="77"/>
      <c r="P181" s="77"/>
    </row>
    <row r="182" spans="1:21" ht="36">
      <c r="A182" s="608" t="s">
        <v>281</v>
      </c>
      <c r="B182" s="564" t="s">
        <v>685</v>
      </c>
      <c r="C182" s="587" t="s">
        <v>298</v>
      </c>
      <c r="D182" s="821" t="s">
        <v>813</v>
      </c>
      <c r="E182" s="821"/>
      <c r="F182" s="821" t="s">
        <v>814</v>
      </c>
      <c r="G182" s="821"/>
      <c r="H182" s="595" t="s">
        <v>815</v>
      </c>
      <c r="I182" s="296" t="s">
        <v>303</v>
      </c>
      <c r="J182" s="587" t="s">
        <v>449</v>
      </c>
      <c r="K182" s="953" t="s">
        <v>305</v>
      </c>
      <c r="L182" s="954"/>
      <c r="M182" s="597" t="s">
        <v>816</v>
      </c>
      <c r="N182" s="76"/>
      <c r="O182" s="77"/>
      <c r="P182" s="77"/>
    </row>
    <row r="183" spans="1:21">
      <c r="A183" s="302"/>
      <c r="B183" s="879" t="s">
        <v>286</v>
      </c>
      <c r="C183" s="879" t="s">
        <v>286</v>
      </c>
      <c r="D183" s="839" t="s">
        <v>286</v>
      </c>
      <c r="E183" s="839"/>
      <c r="F183" s="839" t="s">
        <v>286</v>
      </c>
      <c r="G183" s="839"/>
      <c r="H183" s="561" t="s">
        <v>286</v>
      </c>
      <c r="I183" s="839" t="s">
        <v>286</v>
      </c>
      <c r="J183" s="840" t="s">
        <v>308</v>
      </c>
      <c r="K183" s="97" t="s">
        <v>309</v>
      </c>
      <c r="L183" s="561" t="s">
        <v>308</v>
      </c>
      <c r="M183" s="997"/>
    </row>
    <row r="184" spans="1:21">
      <c r="A184" s="596"/>
      <c r="B184" s="880"/>
      <c r="C184" s="880"/>
      <c r="D184" s="937"/>
      <c r="E184" s="937"/>
      <c r="F184" s="937"/>
      <c r="G184" s="937"/>
      <c r="H184" s="583"/>
      <c r="I184" s="839"/>
      <c r="J184" s="840"/>
      <c r="K184" s="97" t="s">
        <v>310</v>
      </c>
      <c r="L184" s="284"/>
      <c r="M184" s="998"/>
    </row>
    <row r="185" spans="1:21" ht="33.75" customHeight="1">
      <c r="A185" s="1016" t="s">
        <v>817</v>
      </c>
      <c r="B185" s="1016"/>
      <c r="C185" s="1016"/>
      <c r="D185" s="1016"/>
      <c r="E185" s="1016"/>
      <c r="F185" s="1016"/>
      <c r="G185" s="1016"/>
      <c r="H185" s="1016"/>
      <c r="I185" s="1016"/>
      <c r="J185" s="1017"/>
      <c r="K185" s="253" t="s">
        <v>287</v>
      </c>
      <c r="L185" s="625" t="s">
        <v>288</v>
      </c>
      <c r="M185" s="39" t="s">
        <v>289</v>
      </c>
    </row>
    <row r="186" spans="1:21" ht="33.6" customHeight="1">
      <c r="A186" s="933" t="s">
        <v>818</v>
      </c>
      <c r="B186" s="933"/>
      <c r="C186" s="553"/>
      <c r="D186" s="553"/>
      <c r="E186" s="553"/>
      <c r="F186" s="553"/>
      <c r="G186" s="553"/>
      <c r="H186" s="553"/>
      <c r="I186" s="553"/>
      <c r="J186" s="553"/>
      <c r="K186" s="2"/>
      <c r="L186" s="2"/>
      <c r="M186" s="2"/>
    </row>
    <row r="187" spans="1:21" ht="30.6" customHeight="1">
      <c r="A187" s="530" t="s">
        <v>293</v>
      </c>
      <c r="B187" s="961" t="s">
        <v>311</v>
      </c>
      <c r="C187" s="962"/>
      <c r="D187" s="937"/>
      <c r="E187" s="937"/>
      <c r="F187" s="937"/>
      <c r="G187" s="937"/>
      <c r="H187" s="937"/>
      <c r="I187" s="937"/>
      <c r="J187" s="937"/>
      <c r="K187" s="937"/>
      <c r="L187" s="937"/>
      <c r="M187" s="937"/>
      <c r="N187" s="73"/>
      <c r="O187" s="73"/>
      <c r="P187" s="73"/>
      <c r="Q187" s="73"/>
      <c r="R187" s="73"/>
      <c r="S187" s="73"/>
      <c r="T187" s="73"/>
      <c r="U187" s="73"/>
    </row>
    <row r="188" spans="1:21" ht="36">
      <c r="B188" s="614" t="s">
        <v>685</v>
      </c>
      <c r="C188" s="219" t="s">
        <v>298</v>
      </c>
      <c r="D188" s="1020" t="s">
        <v>813</v>
      </c>
      <c r="E188" s="1020"/>
      <c r="F188" s="1020" t="s">
        <v>814</v>
      </c>
      <c r="G188" s="1020"/>
      <c r="H188" s="531" t="s">
        <v>815</v>
      </c>
      <c r="I188" s="220" t="s">
        <v>303</v>
      </c>
    </row>
    <row r="189" spans="1:21">
      <c r="A189" s="635"/>
      <c r="B189" s="550" t="s">
        <v>694</v>
      </c>
      <c r="C189" s="550" t="s">
        <v>406</v>
      </c>
      <c r="D189" s="901" t="s">
        <v>819</v>
      </c>
      <c r="E189" s="901"/>
      <c r="F189" s="901" t="s">
        <v>820</v>
      </c>
      <c r="G189" s="901"/>
      <c r="H189" s="613" t="s">
        <v>343</v>
      </c>
      <c r="I189" s="613" t="s">
        <v>338</v>
      </c>
      <c r="K189" s="45"/>
      <c r="L189" s="635"/>
    </row>
    <row r="190" spans="1:21">
      <c r="A190" s="635"/>
      <c r="B190" s="622" t="s">
        <v>697</v>
      </c>
      <c r="C190" s="550" t="s">
        <v>340</v>
      </c>
      <c r="D190" s="901" t="s">
        <v>821</v>
      </c>
      <c r="E190" s="901"/>
      <c r="F190" s="901" t="s">
        <v>822</v>
      </c>
      <c r="G190" s="901"/>
      <c r="H190" s="613" t="s">
        <v>353</v>
      </c>
      <c r="I190" s="613" t="s">
        <v>344</v>
      </c>
    </row>
    <row r="191" spans="1:21">
      <c r="B191" s="622" t="s">
        <v>701</v>
      </c>
      <c r="C191" s="613" t="s">
        <v>345</v>
      </c>
      <c r="D191" s="901" t="s">
        <v>823</v>
      </c>
      <c r="E191" s="901"/>
      <c r="F191" s="901" t="s">
        <v>824</v>
      </c>
      <c r="G191" s="901"/>
      <c r="H191" s="613" t="s">
        <v>358</v>
      </c>
      <c r="I191" s="127"/>
    </row>
    <row r="192" spans="1:21">
      <c r="B192" s="622" t="s">
        <v>704</v>
      </c>
      <c r="D192" s="901" t="s">
        <v>825</v>
      </c>
      <c r="E192" s="901"/>
      <c r="F192" s="901" t="s">
        <v>826</v>
      </c>
      <c r="G192" s="901"/>
      <c r="H192" s="613" t="s">
        <v>364</v>
      </c>
      <c r="I192" s="127"/>
    </row>
    <row r="193" spans="1:21">
      <c r="B193" s="450" t="s">
        <v>747</v>
      </c>
      <c r="D193" s="901" t="s">
        <v>827</v>
      </c>
      <c r="E193" s="901"/>
      <c r="F193" s="901" t="s">
        <v>828</v>
      </c>
      <c r="G193" s="901"/>
      <c r="H193" s="613" t="s">
        <v>379</v>
      </c>
      <c r="I193" s="127"/>
    </row>
    <row r="194" spans="1:21">
      <c r="B194" s="450" t="s">
        <v>751</v>
      </c>
      <c r="D194" s="901" t="s">
        <v>829</v>
      </c>
      <c r="E194" s="901"/>
      <c r="G194" s="43"/>
      <c r="H194" s="613" t="s">
        <v>384</v>
      </c>
    </row>
    <row r="195" spans="1:21">
      <c r="D195" s="901" t="s">
        <v>830</v>
      </c>
      <c r="E195" s="901"/>
      <c r="G195" s="43"/>
      <c r="H195" s="613" t="s">
        <v>363</v>
      </c>
    </row>
    <row r="196" spans="1:21">
      <c r="D196" s="901" t="s">
        <v>831</v>
      </c>
      <c r="E196" s="901"/>
      <c r="G196" s="43"/>
      <c r="H196" s="613" t="s">
        <v>366</v>
      </c>
    </row>
    <row r="197" spans="1:21">
      <c r="D197" s="43"/>
      <c r="G197" s="43"/>
      <c r="H197" s="551"/>
    </row>
    <row r="198" spans="1:21">
      <c r="A198" s="1203" t="s">
        <v>832</v>
      </c>
      <c r="B198" s="1204"/>
      <c r="C198" s="1204"/>
      <c r="D198" s="1204"/>
      <c r="E198" s="1204"/>
      <c r="F198" s="1204"/>
      <c r="G198" s="1204"/>
      <c r="H198" s="1204"/>
      <c r="I198" s="1204"/>
      <c r="J198" s="1204"/>
      <c r="K198" s="1204"/>
      <c r="L198" s="1205"/>
      <c r="N198" s="73"/>
      <c r="O198" s="73"/>
      <c r="P198" s="73"/>
      <c r="Q198" s="73"/>
      <c r="R198" s="73"/>
      <c r="S198" s="73"/>
    </row>
    <row r="199" spans="1:21" ht="16.5">
      <c r="A199" s="600" t="s">
        <v>169</v>
      </c>
      <c r="B199" s="98" t="s">
        <v>185</v>
      </c>
      <c r="C199" s="895" t="s">
        <v>833</v>
      </c>
      <c r="D199" s="896"/>
      <c r="E199" s="896"/>
      <c r="F199" s="896"/>
      <c r="G199" s="896"/>
      <c r="H199" s="896"/>
      <c r="I199" s="896"/>
      <c r="J199" s="896"/>
      <c r="K199" s="896"/>
      <c r="L199" s="897"/>
      <c r="N199" s="73"/>
      <c r="O199" s="73"/>
      <c r="P199" s="73"/>
      <c r="Q199" s="73"/>
      <c r="R199" s="73"/>
      <c r="S199" s="73"/>
    </row>
    <row r="200" spans="1:21">
      <c r="A200" s="91" t="s">
        <v>173</v>
      </c>
      <c r="B200" s="91" t="s">
        <v>177</v>
      </c>
      <c r="C200" s="92" t="s">
        <v>182</v>
      </c>
      <c r="D200" s="1010" t="s">
        <v>171</v>
      </c>
      <c r="E200" s="1011"/>
      <c r="F200" s="93" t="s">
        <v>175</v>
      </c>
      <c r="G200" s="600" t="s">
        <v>180</v>
      </c>
      <c r="H200" s="600" t="s">
        <v>184</v>
      </c>
      <c r="I200" s="600" t="s">
        <v>290</v>
      </c>
      <c r="J200" s="1010" t="s">
        <v>291</v>
      </c>
      <c r="K200" s="1023"/>
      <c r="L200" s="94">
        <v>11</v>
      </c>
      <c r="N200" s="73"/>
      <c r="O200" s="73"/>
      <c r="P200" s="73"/>
      <c r="Q200" s="73"/>
      <c r="R200" s="73"/>
      <c r="S200" s="73"/>
    </row>
    <row r="201" spans="1:21" ht="48" customHeight="1">
      <c r="A201" s="593" t="s">
        <v>281</v>
      </c>
      <c r="B201" s="564" t="s">
        <v>685</v>
      </c>
      <c r="C201" s="595" t="s">
        <v>298</v>
      </c>
      <c r="D201" s="953" t="s">
        <v>457</v>
      </c>
      <c r="E201" s="954"/>
      <c r="F201" s="595" t="s">
        <v>330</v>
      </c>
      <c r="G201" s="595" t="s">
        <v>331</v>
      </c>
      <c r="H201" s="296" t="s">
        <v>303</v>
      </c>
      <c r="I201" s="587" t="s">
        <v>688</v>
      </c>
      <c r="J201" s="953" t="s">
        <v>305</v>
      </c>
      <c r="K201" s="954"/>
      <c r="L201" s="597" t="s">
        <v>689</v>
      </c>
      <c r="N201" s="73"/>
      <c r="O201" s="73"/>
      <c r="P201" s="73"/>
      <c r="Q201" s="73"/>
      <c r="R201" s="73"/>
      <c r="S201" s="73"/>
    </row>
    <row r="202" spans="1:21">
      <c r="A202" s="842"/>
      <c r="B202" s="879" t="s">
        <v>286</v>
      </c>
      <c r="C202" s="879" t="s">
        <v>286</v>
      </c>
      <c r="D202" s="958" t="s">
        <v>286</v>
      </c>
      <c r="E202" s="960"/>
      <c r="F202" s="561" t="s">
        <v>286</v>
      </c>
      <c r="G202" s="561" t="s">
        <v>286</v>
      </c>
      <c r="H202" s="839" t="s">
        <v>286</v>
      </c>
      <c r="I202" s="866" t="s">
        <v>308</v>
      </c>
      <c r="J202" s="97" t="s">
        <v>309</v>
      </c>
      <c r="K202" s="561" t="s">
        <v>308</v>
      </c>
      <c r="L202" s="997"/>
      <c r="N202" s="73"/>
      <c r="O202" s="73"/>
      <c r="P202" s="73"/>
      <c r="Q202" s="73"/>
      <c r="R202" s="73"/>
      <c r="S202" s="73"/>
    </row>
    <row r="203" spans="1:21">
      <c r="A203" s="842"/>
      <c r="B203" s="880"/>
      <c r="C203" s="880"/>
      <c r="D203" s="1008"/>
      <c r="E203" s="1009"/>
      <c r="F203" s="544"/>
      <c r="G203" s="544"/>
      <c r="H203" s="839"/>
      <c r="I203" s="867"/>
      <c r="J203" s="97" t="s">
        <v>310</v>
      </c>
      <c r="K203" s="284"/>
      <c r="L203" s="998"/>
      <c r="N203" s="73"/>
      <c r="O203" s="73"/>
      <c r="P203" s="73"/>
      <c r="Q203" s="73"/>
      <c r="R203" s="73"/>
      <c r="S203" s="73"/>
    </row>
    <row r="204" spans="1:21" ht="30.75" customHeight="1">
      <c r="A204" s="869" t="s">
        <v>834</v>
      </c>
      <c r="B204" s="869"/>
      <c r="C204" s="869"/>
      <c r="D204" s="869"/>
      <c r="E204" s="869"/>
      <c r="F204" s="869"/>
      <c r="G204" s="869"/>
      <c r="H204" s="869"/>
      <c r="I204" s="919"/>
      <c r="J204" s="99" t="s">
        <v>287</v>
      </c>
      <c r="K204" s="40" t="s">
        <v>288</v>
      </c>
      <c r="L204" s="39" t="s">
        <v>289</v>
      </c>
      <c r="N204" s="73"/>
      <c r="O204" s="73"/>
      <c r="P204" s="73"/>
      <c r="Q204" s="73"/>
      <c r="R204" s="73"/>
      <c r="S204" s="73"/>
      <c r="T204" s="73"/>
      <c r="U204" s="73"/>
    </row>
    <row r="205" spans="1:21" ht="16.5" customHeight="1">
      <c r="A205" s="559" t="s">
        <v>835</v>
      </c>
      <c r="B205" s="635"/>
      <c r="K205" s="635"/>
      <c r="N205" s="73"/>
      <c r="O205" s="73"/>
      <c r="P205" s="73"/>
      <c r="Q205" s="73"/>
      <c r="R205" s="73"/>
      <c r="S205" s="73"/>
      <c r="T205" s="73"/>
      <c r="U205" s="73"/>
    </row>
    <row r="206" spans="1:21" ht="16.5" customHeight="1">
      <c r="A206" s="933" t="s">
        <v>692</v>
      </c>
      <c r="B206" s="933"/>
      <c r="K206" s="635"/>
      <c r="N206" s="73"/>
      <c r="O206" s="73"/>
      <c r="P206" s="73"/>
      <c r="Q206" s="73"/>
      <c r="R206" s="73"/>
      <c r="S206" s="73"/>
      <c r="T206" s="73"/>
      <c r="U206" s="73"/>
    </row>
    <row r="207" spans="1:21" ht="30.6" customHeight="1">
      <c r="A207" s="530" t="s">
        <v>293</v>
      </c>
      <c r="B207" s="961" t="s">
        <v>311</v>
      </c>
      <c r="C207" s="962"/>
      <c r="D207" s="1008"/>
      <c r="E207" s="1042"/>
      <c r="F207" s="1042"/>
      <c r="G207" s="1042"/>
      <c r="H207" s="1042"/>
      <c r="I207" s="1042"/>
      <c r="J207" s="1042"/>
      <c r="K207" s="1042"/>
      <c r="L207" s="1009"/>
      <c r="M207" s="73"/>
      <c r="N207" s="73"/>
      <c r="O207" s="73"/>
      <c r="P207" s="73"/>
      <c r="Q207" s="73"/>
      <c r="R207" s="73"/>
      <c r="S207" s="73"/>
      <c r="T207" s="73"/>
      <c r="U207" s="73"/>
    </row>
    <row r="208" spans="1:21" ht="16.5" customHeight="1">
      <c r="A208" s="559"/>
      <c r="B208" s="614" t="s">
        <v>685</v>
      </c>
      <c r="C208" s="222" t="s">
        <v>298</v>
      </c>
      <c r="D208" s="1006" t="s">
        <v>457</v>
      </c>
      <c r="E208" s="1007"/>
      <c r="F208" s="222" t="s">
        <v>330</v>
      </c>
      <c r="G208" s="222" t="s">
        <v>331</v>
      </c>
      <c r="H208" s="220" t="s">
        <v>303</v>
      </c>
      <c r="K208" s="635"/>
      <c r="N208" s="73"/>
      <c r="O208" s="73"/>
      <c r="P208" s="73"/>
      <c r="Q208" s="73"/>
      <c r="R208" s="73"/>
      <c r="S208" s="73"/>
      <c r="T208" s="73"/>
      <c r="U208" s="73"/>
    </row>
    <row r="209" spans="1:21" ht="16.5" customHeight="1">
      <c r="A209" s="559"/>
      <c r="B209" s="550" t="s">
        <v>694</v>
      </c>
      <c r="C209" s="613" t="s">
        <v>406</v>
      </c>
      <c r="D209" s="907" t="s">
        <v>836</v>
      </c>
      <c r="E209" s="909"/>
      <c r="F209" s="546" t="s">
        <v>837</v>
      </c>
      <c r="G209" s="613" t="s">
        <v>343</v>
      </c>
      <c r="H209" s="613" t="s">
        <v>338</v>
      </c>
      <c r="K209" s="635"/>
      <c r="N209" s="73"/>
      <c r="O209" s="73"/>
      <c r="P209" s="73"/>
      <c r="Q209" s="73"/>
      <c r="R209" s="73"/>
      <c r="S209" s="73"/>
      <c r="T209" s="73"/>
      <c r="U209" s="73"/>
    </row>
    <row r="210" spans="1:21" ht="16.5" customHeight="1">
      <c r="A210" s="559"/>
      <c r="B210" s="622" t="s">
        <v>697</v>
      </c>
      <c r="C210" s="613" t="s">
        <v>340</v>
      </c>
      <c r="D210" s="907" t="s">
        <v>838</v>
      </c>
      <c r="E210" s="909"/>
      <c r="F210" s="613" t="s">
        <v>343</v>
      </c>
      <c r="G210" s="613" t="s">
        <v>349</v>
      </c>
      <c r="H210" s="613" t="s">
        <v>344</v>
      </c>
      <c r="K210" s="635"/>
      <c r="N210" s="73"/>
      <c r="O210" s="73"/>
      <c r="P210" s="73"/>
      <c r="Q210" s="73"/>
      <c r="R210" s="73"/>
      <c r="S210" s="73"/>
      <c r="T210" s="73"/>
      <c r="U210" s="73"/>
    </row>
    <row r="211" spans="1:21" ht="16.5" customHeight="1">
      <c r="A211" s="559"/>
      <c r="B211" s="622" t="s">
        <v>701</v>
      </c>
      <c r="C211" s="613" t="s">
        <v>345</v>
      </c>
      <c r="F211" s="613" t="s">
        <v>355</v>
      </c>
      <c r="G211" s="613" t="s">
        <v>353</v>
      </c>
      <c r="K211" s="635"/>
      <c r="N211" s="73"/>
      <c r="O211" s="73"/>
      <c r="P211" s="73"/>
      <c r="Q211" s="73"/>
      <c r="R211" s="73"/>
      <c r="S211" s="73"/>
      <c r="T211" s="73"/>
      <c r="U211" s="73"/>
    </row>
    <row r="212" spans="1:21" ht="16.5" customHeight="1">
      <c r="A212" s="559"/>
      <c r="B212" s="622" t="s">
        <v>704</v>
      </c>
      <c r="F212" s="613" t="s">
        <v>364</v>
      </c>
      <c r="G212" s="613" t="s">
        <v>355</v>
      </c>
      <c r="K212" s="635"/>
      <c r="N212" s="73"/>
      <c r="O212" s="73"/>
      <c r="P212" s="73"/>
      <c r="Q212" s="73"/>
      <c r="R212" s="73"/>
      <c r="S212" s="73"/>
      <c r="T212" s="73"/>
      <c r="U212" s="73"/>
    </row>
    <row r="213" spans="1:21" ht="16.5" customHeight="1">
      <c r="A213" s="559"/>
      <c r="B213" s="450" t="s">
        <v>400</v>
      </c>
      <c r="F213" s="613" t="s">
        <v>348</v>
      </c>
      <c r="G213" s="613" t="s">
        <v>358</v>
      </c>
      <c r="K213" s="635"/>
      <c r="N213" s="73"/>
      <c r="O213" s="73"/>
      <c r="P213" s="73"/>
      <c r="Q213" s="73"/>
      <c r="R213" s="73"/>
      <c r="S213" s="73"/>
      <c r="T213" s="73"/>
      <c r="U213" s="73"/>
    </row>
    <row r="214" spans="1:21" ht="16.5" customHeight="1">
      <c r="A214" s="559"/>
      <c r="B214" s="635"/>
      <c r="F214" s="613" t="s">
        <v>352</v>
      </c>
      <c r="G214" s="613" t="s">
        <v>361</v>
      </c>
      <c r="K214" s="635"/>
      <c r="N214" s="73"/>
      <c r="O214" s="73"/>
      <c r="P214" s="73"/>
      <c r="Q214" s="73"/>
      <c r="R214" s="73"/>
      <c r="S214" s="73"/>
      <c r="T214" s="73"/>
      <c r="U214" s="73"/>
    </row>
    <row r="215" spans="1:21" ht="16.5" customHeight="1">
      <c r="A215" s="559"/>
      <c r="B215" s="635"/>
      <c r="F215" s="546" t="s">
        <v>839</v>
      </c>
      <c r="G215" s="613" t="s">
        <v>364</v>
      </c>
      <c r="K215" s="635"/>
      <c r="N215" s="73"/>
      <c r="O215" s="73"/>
      <c r="P215" s="73"/>
      <c r="Q215" s="73"/>
      <c r="R215" s="73"/>
      <c r="S215" s="73"/>
      <c r="T215" s="73"/>
      <c r="U215" s="73"/>
    </row>
    <row r="216" spans="1:21" ht="16.5" customHeight="1">
      <c r="A216" s="559"/>
      <c r="B216" s="635"/>
      <c r="F216" s="613" t="s">
        <v>840</v>
      </c>
      <c r="G216" s="613" t="s">
        <v>367</v>
      </c>
      <c r="K216" s="635"/>
      <c r="N216" s="73"/>
      <c r="O216" s="73"/>
      <c r="P216" s="73"/>
      <c r="Q216" s="73"/>
      <c r="R216" s="73"/>
      <c r="S216" s="73"/>
      <c r="T216" s="73"/>
      <c r="U216" s="73"/>
    </row>
    <row r="217" spans="1:21" ht="16.5" customHeight="1">
      <c r="A217" s="559"/>
      <c r="B217" s="635"/>
      <c r="F217" s="613" t="s">
        <v>841</v>
      </c>
      <c r="K217" s="635"/>
      <c r="N217" s="73"/>
      <c r="O217" s="73"/>
      <c r="P217" s="73"/>
      <c r="Q217" s="73"/>
      <c r="R217" s="73"/>
      <c r="S217" s="73"/>
      <c r="T217" s="73"/>
      <c r="U217" s="73"/>
    </row>
    <row r="218" spans="1:21" ht="16.5" customHeight="1">
      <c r="A218" s="559"/>
      <c r="B218" s="635"/>
      <c r="F218" s="613" t="s">
        <v>842</v>
      </c>
      <c r="K218" s="635"/>
      <c r="N218" s="73"/>
      <c r="O218" s="73"/>
      <c r="P218" s="73"/>
      <c r="Q218" s="73"/>
      <c r="R218" s="73"/>
      <c r="S218" s="73"/>
      <c r="T218" s="73"/>
      <c r="U218" s="73"/>
    </row>
    <row r="219" spans="1:21" ht="16.5" customHeight="1">
      <c r="A219" s="559"/>
      <c r="B219" s="635"/>
      <c r="F219" s="613" t="s">
        <v>843</v>
      </c>
      <c r="K219" s="635"/>
      <c r="N219" s="73"/>
      <c r="O219" s="73"/>
      <c r="P219" s="73"/>
      <c r="Q219" s="73"/>
      <c r="R219" s="73"/>
      <c r="S219" s="73"/>
      <c r="T219" s="73"/>
      <c r="U219" s="73"/>
    </row>
    <row r="220" spans="1:21" ht="16.5" customHeight="1">
      <c r="A220" s="559"/>
      <c r="B220" s="635"/>
      <c r="F220" s="43"/>
      <c r="K220" s="635"/>
      <c r="N220" s="73"/>
      <c r="O220" s="73"/>
      <c r="P220" s="73"/>
      <c r="Q220" s="73"/>
      <c r="R220" s="73"/>
      <c r="S220" s="73"/>
      <c r="T220" s="73"/>
      <c r="U220" s="73"/>
    </row>
    <row r="221" spans="1:21" ht="16.5" customHeight="1">
      <c r="A221" s="559"/>
      <c r="B221" s="635"/>
      <c r="F221" s="43"/>
      <c r="K221" s="635"/>
      <c r="N221" s="73"/>
      <c r="O221" s="73"/>
      <c r="P221" s="73"/>
      <c r="Q221" s="73"/>
      <c r="R221" s="73"/>
      <c r="S221" s="73"/>
      <c r="T221" s="73"/>
      <c r="U221" s="73"/>
    </row>
    <row r="222" spans="1:21" ht="16.5" customHeight="1">
      <c r="A222" s="559"/>
      <c r="B222" s="635"/>
      <c r="F222" s="43"/>
      <c r="K222" s="635"/>
      <c r="N222" s="73"/>
      <c r="O222" s="73"/>
      <c r="P222" s="73"/>
      <c r="Q222" s="73"/>
      <c r="R222" s="73"/>
      <c r="S222" s="73"/>
      <c r="T222" s="73"/>
      <c r="U222" s="73"/>
    </row>
    <row r="223" spans="1:21" ht="16.5" customHeight="1">
      <c r="A223" s="559"/>
      <c r="B223" s="635"/>
      <c r="K223" s="635"/>
      <c r="N223" s="73"/>
      <c r="O223" s="73"/>
      <c r="P223" s="73"/>
      <c r="Q223" s="73"/>
      <c r="R223" s="73"/>
      <c r="S223" s="73"/>
      <c r="T223" s="73"/>
      <c r="U223" s="73"/>
    </row>
    <row r="224" spans="1:21">
      <c r="A224" s="986" t="s">
        <v>844</v>
      </c>
      <c r="B224" s="987"/>
      <c r="C224" s="987"/>
      <c r="D224" s="987"/>
      <c r="E224" s="987"/>
      <c r="F224" s="987"/>
      <c r="G224" s="987"/>
      <c r="H224" s="987"/>
      <c r="I224" s="988"/>
      <c r="J224" s="102"/>
      <c r="K224" s="102"/>
      <c r="L224" s="102"/>
      <c r="N224" s="73"/>
      <c r="O224" s="73"/>
      <c r="P224" s="73"/>
      <c r="Q224" s="73"/>
      <c r="R224" s="73"/>
      <c r="S224" s="73"/>
    </row>
    <row r="225" spans="1:22" ht="16.5">
      <c r="A225" s="600" t="s">
        <v>169</v>
      </c>
      <c r="B225" s="98" t="s">
        <v>185</v>
      </c>
      <c r="C225" s="895" t="s">
        <v>845</v>
      </c>
      <c r="D225" s="896"/>
      <c r="E225" s="896"/>
      <c r="F225" s="896"/>
      <c r="G225" s="896"/>
      <c r="H225" s="896"/>
      <c r="I225" s="897"/>
      <c r="J225" s="128"/>
      <c r="K225" s="128"/>
      <c r="L225" s="128"/>
      <c r="N225" s="73"/>
      <c r="O225" s="73"/>
      <c r="P225" s="73"/>
      <c r="Q225" s="73"/>
      <c r="R225" s="73"/>
      <c r="S225" s="73"/>
    </row>
    <row r="226" spans="1:22">
      <c r="A226" s="91" t="s">
        <v>173</v>
      </c>
      <c r="B226" s="91" t="s">
        <v>177</v>
      </c>
      <c r="C226" s="92" t="s">
        <v>182</v>
      </c>
      <c r="D226" s="92" t="s">
        <v>171</v>
      </c>
      <c r="E226" s="91" t="s">
        <v>175</v>
      </c>
      <c r="F226" s="92" t="s">
        <v>180</v>
      </c>
      <c r="G226" s="1010" t="s">
        <v>184</v>
      </c>
      <c r="H226" s="1011"/>
      <c r="I226" s="600" t="s">
        <v>290</v>
      </c>
      <c r="J226" s="989"/>
      <c r="K226" s="989"/>
      <c r="L226" s="635"/>
      <c r="N226" s="73"/>
      <c r="O226" s="73"/>
      <c r="P226" s="73"/>
      <c r="Q226" s="73"/>
      <c r="R226" s="73"/>
      <c r="S226" s="73"/>
    </row>
    <row r="227" spans="1:22" ht="48" customHeight="1">
      <c r="A227" s="593" t="s">
        <v>281</v>
      </c>
      <c r="B227" s="300" t="s">
        <v>282</v>
      </c>
      <c r="C227" s="300" t="s">
        <v>685</v>
      </c>
      <c r="D227" s="595" t="s">
        <v>298</v>
      </c>
      <c r="E227" s="595" t="s">
        <v>393</v>
      </c>
      <c r="F227" s="587" t="s">
        <v>846</v>
      </c>
      <c r="G227" s="953" t="s">
        <v>305</v>
      </c>
      <c r="H227" s="1018"/>
      <c r="I227" s="597" t="s">
        <v>816</v>
      </c>
      <c r="K227" s="73"/>
      <c r="L227" s="73"/>
      <c r="M227" s="73"/>
      <c r="N227" s="73"/>
      <c r="O227" s="73"/>
      <c r="P227" s="73"/>
    </row>
    <row r="228" spans="1:22">
      <c r="A228" s="927"/>
      <c r="B228" s="842"/>
      <c r="C228" s="879" t="s">
        <v>286</v>
      </c>
      <c r="D228" s="879" t="s">
        <v>286</v>
      </c>
      <c r="E228" s="561" t="s">
        <v>286</v>
      </c>
      <c r="F228" s="866" t="s">
        <v>308</v>
      </c>
      <c r="G228" s="97" t="s">
        <v>309</v>
      </c>
      <c r="H228" s="561" t="s">
        <v>308</v>
      </c>
      <c r="I228" s="997"/>
      <c r="K228" s="73"/>
      <c r="L228" s="73"/>
      <c r="M228" s="73"/>
      <c r="N228" s="73"/>
      <c r="O228" s="73"/>
      <c r="P228" s="73"/>
    </row>
    <row r="229" spans="1:22">
      <c r="A229" s="927"/>
      <c r="B229" s="842"/>
      <c r="C229" s="880"/>
      <c r="D229" s="880"/>
      <c r="E229" s="544"/>
      <c r="F229" s="867"/>
      <c r="G229" s="97" t="s">
        <v>310</v>
      </c>
      <c r="H229" s="284"/>
      <c r="I229" s="998"/>
      <c r="K229" s="73"/>
      <c r="L229" s="73"/>
      <c r="M229" s="73"/>
      <c r="N229" s="73"/>
      <c r="O229" s="73"/>
      <c r="P229" s="73"/>
    </row>
    <row r="230" spans="1:22" ht="41.25" customHeight="1">
      <c r="A230" s="1016" t="s">
        <v>847</v>
      </c>
      <c r="B230" s="1016"/>
      <c r="C230" s="1016"/>
      <c r="D230" s="1016"/>
      <c r="E230" s="1016"/>
      <c r="F230" s="1017"/>
      <c r="G230" s="99" t="s">
        <v>287</v>
      </c>
      <c r="H230" s="40" t="s">
        <v>288</v>
      </c>
      <c r="I230" s="39" t="s">
        <v>289</v>
      </c>
      <c r="N230" s="73"/>
      <c r="O230" s="73"/>
      <c r="P230" s="73"/>
      <c r="Q230" s="73"/>
      <c r="R230" s="73"/>
      <c r="S230" s="73"/>
      <c r="T230" s="73"/>
      <c r="U230" s="73"/>
    </row>
    <row r="231" spans="1:22" ht="16.5" customHeight="1">
      <c r="A231" s="933" t="s">
        <v>818</v>
      </c>
      <c r="B231" s="933"/>
      <c r="C231" s="635"/>
      <c r="L231" s="635"/>
      <c r="O231" s="73"/>
      <c r="P231" s="73"/>
      <c r="Q231" s="73"/>
      <c r="R231" s="73"/>
      <c r="S231" s="73"/>
      <c r="T231" s="73"/>
      <c r="U231" s="73"/>
      <c r="V231" s="73"/>
    </row>
    <row r="232" spans="1:22" ht="30.6" customHeight="1">
      <c r="A232" s="530" t="s">
        <v>291</v>
      </c>
      <c r="B232" s="961" t="s">
        <v>311</v>
      </c>
      <c r="C232" s="962"/>
      <c r="D232" s="937"/>
      <c r="E232" s="937"/>
      <c r="F232" s="937"/>
      <c r="G232" s="937"/>
      <c r="H232" s="937"/>
      <c r="I232" s="937"/>
      <c r="M232" s="73"/>
      <c r="N232" s="73"/>
      <c r="O232" s="73"/>
      <c r="P232" s="73"/>
      <c r="Q232" s="73"/>
      <c r="R232" s="73"/>
      <c r="S232" s="73"/>
      <c r="T232" s="73"/>
      <c r="U232" s="73"/>
    </row>
    <row r="233" spans="1:22" ht="16.5" customHeight="1">
      <c r="A233" s="559"/>
      <c r="B233" s="635"/>
      <c r="C233" s="221" t="s">
        <v>685</v>
      </c>
      <c r="D233" s="222" t="s">
        <v>298</v>
      </c>
      <c r="E233" s="222" t="s">
        <v>393</v>
      </c>
      <c r="L233" s="635"/>
      <c r="O233" s="73"/>
      <c r="P233" s="73"/>
      <c r="Q233" s="73"/>
      <c r="R233" s="73"/>
      <c r="S233" s="73"/>
      <c r="T233" s="73"/>
      <c r="U233" s="73"/>
      <c r="V233" s="73"/>
    </row>
    <row r="234" spans="1:22" ht="16.5" customHeight="1">
      <c r="A234" s="559"/>
      <c r="B234" s="635"/>
      <c r="C234" s="550" t="s">
        <v>694</v>
      </c>
      <c r="D234" s="613" t="s">
        <v>406</v>
      </c>
      <c r="E234" s="613" t="s">
        <v>436</v>
      </c>
      <c r="F234" s="43"/>
      <c r="L234" s="635"/>
      <c r="O234" s="73"/>
      <c r="P234" s="73"/>
      <c r="Q234" s="73"/>
      <c r="R234" s="73"/>
      <c r="S234" s="73"/>
      <c r="T234" s="73"/>
      <c r="U234" s="73"/>
      <c r="V234" s="73"/>
    </row>
    <row r="235" spans="1:22" ht="16.5" customHeight="1">
      <c r="A235" s="559"/>
      <c r="B235" s="635"/>
      <c r="C235" s="622" t="s">
        <v>697</v>
      </c>
      <c r="D235" s="613" t="s">
        <v>340</v>
      </c>
      <c r="E235" s="613" t="s">
        <v>452</v>
      </c>
      <c r="F235" s="43"/>
      <c r="L235" s="635"/>
      <c r="O235" s="73"/>
      <c r="P235" s="73"/>
      <c r="Q235" s="73"/>
      <c r="R235" s="73"/>
      <c r="S235" s="73"/>
      <c r="T235" s="73"/>
      <c r="U235" s="73"/>
      <c r="V235" s="73"/>
    </row>
    <row r="236" spans="1:22" ht="16.5" customHeight="1">
      <c r="A236" s="559"/>
      <c r="B236" s="635"/>
      <c r="C236" s="622" t="s">
        <v>701</v>
      </c>
      <c r="D236" s="613" t="s">
        <v>345</v>
      </c>
      <c r="E236" s="613" t="s">
        <v>453</v>
      </c>
      <c r="L236" s="635"/>
      <c r="O236" s="73"/>
      <c r="P236" s="73"/>
      <c r="Q236" s="73"/>
      <c r="R236" s="73"/>
      <c r="S236" s="73"/>
      <c r="T236" s="73"/>
      <c r="U236" s="73"/>
      <c r="V236" s="73"/>
    </row>
    <row r="237" spans="1:22" ht="16.5" customHeight="1">
      <c r="A237" s="559"/>
      <c r="B237" s="635"/>
      <c r="C237" s="622" t="s">
        <v>704</v>
      </c>
      <c r="E237" s="613" t="s">
        <v>437</v>
      </c>
      <c r="L237" s="635"/>
      <c r="O237" s="73"/>
      <c r="P237" s="73"/>
      <c r="Q237" s="73"/>
      <c r="R237" s="73"/>
      <c r="S237" s="73"/>
      <c r="T237" s="73"/>
      <c r="U237" s="73"/>
      <c r="V237" s="73"/>
    </row>
    <row r="238" spans="1:22" ht="16.5" customHeight="1">
      <c r="A238" s="559"/>
      <c r="B238" s="635"/>
      <c r="C238" s="450" t="s">
        <v>747</v>
      </c>
      <c r="E238" s="613" t="s">
        <v>454</v>
      </c>
      <c r="L238" s="635"/>
      <c r="O238" s="73"/>
      <c r="P238" s="73"/>
      <c r="Q238" s="73"/>
      <c r="R238" s="73"/>
      <c r="S238" s="73"/>
      <c r="T238" s="73"/>
      <c r="U238" s="73"/>
      <c r="V238" s="73"/>
    </row>
    <row r="239" spans="1:22">
      <c r="C239" s="450" t="s">
        <v>751</v>
      </c>
      <c r="E239" s="613" t="s">
        <v>439</v>
      </c>
    </row>
    <row r="240" spans="1:22">
      <c r="E240" s="43"/>
    </row>
    <row r="241" spans="1:22">
      <c r="D241" s="43"/>
    </row>
    <row r="242" spans="1:22">
      <c r="D242" s="43"/>
    </row>
    <row r="243" spans="1:22">
      <c r="D243" s="43"/>
    </row>
    <row r="244" spans="1:22">
      <c r="D244" s="43"/>
    </row>
    <row r="245" spans="1:22">
      <c r="D245" s="43"/>
    </row>
    <row r="246" spans="1:22">
      <c r="D246" s="43"/>
    </row>
    <row r="247" spans="1:22">
      <c r="A247" s="968" t="s">
        <v>848</v>
      </c>
      <c r="B247" s="968"/>
      <c r="C247" s="968"/>
      <c r="D247" s="968"/>
      <c r="E247" s="968"/>
      <c r="F247" s="968"/>
      <c r="G247" s="968"/>
      <c r="H247" s="968"/>
      <c r="I247" s="968"/>
      <c r="J247" s="968"/>
      <c r="K247" s="102"/>
      <c r="L247" s="102"/>
      <c r="N247" s="107"/>
      <c r="O247" s="107"/>
      <c r="P247" s="107"/>
      <c r="Q247" s="107"/>
      <c r="R247" s="107"/>
      <c r="S247" s="107"/>
    </row>
    <row r="248" spans="1:22" ht="16.5">
      <c r="A248" s="600" t="s">
        <v>169</v>
      </c>
      <c r="B248" s="98" t="s">
        <v>185</v>
      </c>
      <c r="C248" s="1005" t="s">
        <v>849</v>
      </c>
      <c r="D248" s="1005"/>
      <c r="E248" s="1005"/>
      <c r="F248" s="1005"/>
      <c r="G248" s="1005"/>
      <c r="H248" s="1005"/>
      <c r="I248" s="1005"/>
      <c r="J248" s="1005"/>
      <c r="K248" s="129"/>
      <c r="L248" s="129"/>
      <c r="N248" s="107"/>
      <c r="O248" s="107"/>
      <c r="P248" s="107"/>
      <c r="Q248" s="107"/>
      <c r="R248" s="107"/>
      <c r="S248" s="107"/>
    </row>
    <row r="249" spans="1:22" ht="15" customHeight="1">
      <c r="A249" s="600" t="s">
        <v>173</v>
      </c>
      <c r="B249" s="600" t="s">
        <v>177</v>
      </c>
      <c r="C249" s="600" t="s">
        <v>182</v>
      </c>
      <c r="D249" s="600" t="s">
        <v>171</v>
      </c>
      <c r="E249" s="600" t="s">
        <v>175</v>
      </c>
      <c r="F249" s="548" t="s">
        <v>180</v>
      </c>
      <c r="G249" s="600" t="s">
        <v>184</v>
      </c>
      <c r="H249" s="1004" t="s">
        <v>290</v>
      </c>
      <c r="I249" s="1004"/>
      <c r="J249" s="600" t="s">
        <v>291</v>
      </c>
      <c r="K249" s="70"/>
      <c r="L249" s="635"/>
      <c r="N249" s="107"/>
      <c r="O249" s="107"/>
      <c r="P249" s="107"/>
      <c r="Q249" s="107"/>
      <c r="R249" s="107"/>
      <c r="S249" s="107"/>
      <c r="T249" s="73"/>
      <c r="U249" s="73"/>
    </row>
    <row r="250" spans="1:22" ht="15" customHeight="1">
      <c r="A250" s="1000" t="s">
        <v>281</v>
      </c>
      <c r="B250" s="1000" t="s">
        <v>285</v>
      </c>
      <c r="C250" s="984" t="s">
        <v>298</v>
      </c>
      <c r="D250" s="1012" t="s">
        <v>850</v>
      </c>
      <c r="E250" s="1014" t="s">
        <v>728</v>
      </c>
      <c r="F250" s="1015"/>
      <c r="G250" s="1012" t="s">
        <v>729</v>
      </c>
      <c r="H250" s="821" t="s">
        <v>305</v>
      </c>
      <c r="I250" s="821"/>
      <c r="J250" s="1002" t="s">
        <v>689</v>
      </c>
      <c r="K250" s="107"/>
      <c r="L250" s="107"/>
      <c r="M250" s="107"/>
      <c r="N250" s="107"/>
      <c r="O250" s="107"/>
      <c r="P250" s="107"/>
      <c r="Q250" s="73"/>
      <c r="R250" s="73"/>
    </row>
    <row r="251" spans="1:22" s="48" customFormat="1" ht="24">
      <c r="A251" s="1001"/>
      <c r="B251" s="1001"/>
      <c r="C251" s="1019"/>
      <c r="D251" s="1013"/>
      <c r="E251" s="587" t="s">
        <v>733</v>
      </c>
      <c r="F251" s="587" t="s">
        <v>330</v>
      </c>
      <c r="G251" s="1013"/>
      <c r="H251" s="821"/>
      <c r="I251" s="821"/>
      <c r="J251" s="1002"/>
      <c r="L251" s="107"/>
      <c r="M251" s="107"/>
      <c r="N251" s="107"/>
      <c r="O251" s="107"/>
      <c r="P251" s="107"/>
      <c r="Q251" s="107"/>
      <c r="R251" s="73"/>
      <c r="S251" s="73"/>
    </row>
    <row r="252" spans="1:22">
      <c r="A252" s="927"/>
      <c r="B252" s="879" t="s">
        <v>286</v>
      </c>
      <c r="C252" s="879" t="s">
        <v>286</v>
      </c>
      <c r="D252" s="879" t="s">
        <v>286</v>
      </c>
      <c r="E252" s="561" t="s">
        <v>286</v>
      </c>
      <c r="F252" s="561" t="s">
        <v>286</v>
      </c>
      <c r="G252" s="866" t="s">
        <v>308</v>
      </c>
      <c r="H252" s="97" t="s">
        <v>309</v>
      </c>
      <c r="I252" s="561" t="s">
        <v>308</v>
      </c>
      <c r="J252" s="997"/>
      <c r="L252" s="107"/>
      <c r="M252" s="107"/>
      <c r="N252" s="107"/>
      <c r="O252" s="107"/>
      <c r="P252" s="107"/>
      <c r="Q252" s="107"/>
      <c r="R252" s="73"/>
      <c r="S252" s="73"/>
    </row>
    <row r="253" spans="1:22">
      <c r="A253" s="927"/>
      <c r="B253" s="880"/>
      <c r="C253" s="880"/>
      <c r="D253" s="880"/>
      <c r="E253" s="544"/>
      <c r="F253" s="544"/>
      <c r="G253" s="867"/>
      <c r="H253" s="97" t="s">
        <v>851</v>
      </c>
      <c r="I253" s="284"/>
      <c r="J253" s="998"/>
      <c r="L253" s="107"/>
      <c r="M253" s="107"/>
      <c r="N253" s="107"/>
      <c r="O253" s="107"/>
      <c r="P253" s="107"/>
      <c r="Q253" s="107"/>
      <c r="R253" s="73"/>
      <c r="S253" s="73"/>
    </row>
    <row r="254" spans="1:22" ht="41.25" customHeight="1">
      <c r="A254" s="869" t="s">
        <v>852</v>
      </c>
      <c r="B254" s="869"/>
      <c r="C254" s="869"/>
      <c r="D254" s="869"/>
      <c r="E254" s="869"/>
      <c r="F254" s="869"/>
      <c r="G254" s="919"/>
      <c r="H254" s="99" t="s">
        <v>287</v>
      </c>
      <c r="I254" s="40" t="s">
        <v>288</v>
      </c>
      <c r="J254" s="39" t="s">
        <v>289</v>
      </c>
      <c r="O254" s="107"/>
      <c r="P254" s="107"/>
      <c r="Q254" s="107"/>
      <c r="R254" s="107"/>
      <c r="S254" s="107"/>
      <c r="T254" s="107"/>
      <c r="U254" s="73"/>
      <c r="V254" s="73"/>
    </row>
    <row r="255" spans="1:22" ht="36" customHeight="1">
      <c r="A255" s="881" t="s">
        <v>853</v>
      </c>
      <c r="B255" s="881"/>
      <c r="C255" s="881"/>
      <c r="D255" s="881"/>
      <c r="E255" s="881"/>
      <c r="F255" s="881"/>
      <c r="G255" s="881"/>
      <c r="H255" s="132"/>
      <c r="I255" s="132"/>
      <c r="J255" s="132"/>
      <c r="L255" s="635"/>
      <c r="O255" s="107"/>
      <c r="P255" s="107"/>
      <c r="Q255" s="107"/>
      <c r="R255" s="107"/>
      <c r="S255" s="107"/>
      <c r="T255" s="107"/>
      <c r="U255" s="73"/>
      <c r="V255" s="73"/>
    </row>
    <row r="256" spans="1:22">
      <c r="A256" s="933" t="s">
        <v>692</v>
      </c>
      <c r="B256" s="933"/>
    </row>
    <row r="257" spans="1:22" ht="30.6" customHeight="1">
      <c r="A257" s="530" t="s">
        <v>292</v>
      </c>
      <c r="B257" s="961" t="s">
        <v>311</v>
      </c>
      <c r="C257" s="962"/>
      <c r="D257" s="937"/>
      <c r="E257" s="937"/>
      <c r="F257" s="937"/>
      <c r="G257" s="937"/>
      <c r="H257" s="937"/>
      <c r="I257" s="937"/>
      <c r="J257" s="937"/>
      <c r="M257" s="73"/>
      <c r="N257" s="73"/>
      <c r="O257" s="73"/>
      <c r="P257" s="73"/>
      <c r="Q257" s="73"/>
      <c r="R257" s="73"/>
      <c r="S257" s="73"/>
      <c r="T257" s="73"/>
      <c r="U257" s="73"/>
    </row>
    <row r="258" spans="1:22" ht="24">
      <c r="B258" s="219" t="s">
        <v>591</v>
      </c>
      <c r="C258" s="219" t="s">
        <v>298</v>
      </c>
      <c r="D258" s="603" t="s">
        <v>854</v>
      </c>
      <c r="E258" s="603" t="s">
        <v>733</v>
      </c>
      <c r="F258" s="603" t="s">
        <v>330</v>
      </c>
      <c r="K258" t="s">
        <v>855</v>
      </c>
      <c r="L258" t="s">
        <v>762</v>
      </c>
      <c r="M258" t="s">
        <v>763</v>
      </c>
      <c r="N258" t="s">
        <v>764</v>
      </c>
    </row>
    <row r="259" spans="1:22" ht="26.1">
      <c r="B259" s="119" t="s">
        <v>321</v>
      </c>
      <c r="C259" s="613" t="s">
        <v>406</v>
      </c>
      <c r="D259" s="613" t="s">
        <v>439</v>
      </c>
      <c r="E259" s="613" t="s">
        <v>743</v>
      </c>
      <c r="F259" s="613" t="s">
        <v>343</v>
      </c>
      <c r="K259">
        <v>7.0000000000000007E-2</v>
      </c>
      <c r="L259">
        <v>3.6</v>
      </c>
      <c r="M259">
        <v>0</v>
      </c>
      <c r="N259">
        <f>(1/(M259+(1/K259)+L259))</f>
        <v>5.5910543130990413E-2</v>
      </c>
    </row>
    <row r="260" spans="1:22">
      <c r="B260" s="446" t="s">
        <v>192</v>
      </c>
      <c r="C260" s="613" t="s">
        <v>340</v>
      </c>
      <c r="D260" s="613" t="s">
        <v>759</v>
      </c>
      <c r="E260" s="613" t="s">
        <v>745</v>
      </c>
      <c r="F260" s="613" t="s">
        <v>746</v>
      </c>
    </row>
    <row r="261" spans="1:22" ht="16.5" customHeight="1">
      <c r="A261" s="559"/>
      <c r="B261" s="195"/>
      <c r="C261" s="552" t="s">
        <v>345</v>
      </c>
      <c r="D261" s="613" t="s">
        <v>767</v>
      </c>
      <c r="E261" s="613" t="s">
        <v>750</v>
      </c>
      <c r="F261" s="613" t="s">
        <v>349</v>
      </c>
      <c r="L261" s="635"/>
      <c r="O261" s="73"/>
      <c r="P261" s="73"/>
      <c r="Q261" s="73"/>
      <c r="R261" s="73"/>
      <c r="S261" s="73"/>
      <c r="T261" s="73"/>
      <c r="U261" s="73"/>
      <c r="V261" s="73"/>
    </row>
    <row r="262" spans="1:22" ht="16.5" customHeight="1">
      <c r="A262" s="559"/>
      <c r="B262" s="195"/>
      <c r="C262" s="635"/>
      <c r="D262" s="613" t="s">
        <v>771</v>
      </c>
      <c r="E262" s="613" t="s">
        <v>755</v>
      </c>
      <c r="F262" s="610" t="s">
        <v>756</v>
      </c>
      <c r="L262" s="635"/>
      <c r="O262" s="73"/>
      <c r="P262" s="73"/>
      <c r="Q262" s="73"/>
      <c r="R262" s="73"/>
      <c r="S262" s="73"/>
      <c r="T262" s="73"/>
      <c r="U262" s="73"/>
      <c r="V262" s="73"/>
    </row>
    <row r="263" spans="1:22" ht="16.5" customHeight="1">
      <c r="A263" s="559"/>
      <c r="B263" s="559"/>
      <c r="C263" s="635"/>
      <c r="D263" s="613" t="s">
        <v>856</v>
      </c>
      <c r="E263" s="613" t="s">
        <v>760</v>
      </c>
      <c r="F263" s="610" t="s">
        <v>353</v>
      </c>
      <c r="L263" s="635"/>
      <c r="O263" s="73"/>
      <c r="P263" s="73"/>
      <c r="Q263" s="73"/>
      <c r="R263" s="73"/>
      <c r="S263" s="73"/>
      <c r="T263" s="73"/>
      <c r="U263" s="73"/>
      <c r="V263" s="73"/>
    </row>
    <row r="264" spans="1:22" ht="16.5" customHeight="1">
      <c r="A264" s="559"/>
      <c r="B264" s="559"/>
      <c r="C264" s="635"/>
      <c r="D264" s="613" t="s">
        <v>857</v>
      </c>
      <c r="E264" s="613" t="s">
        <v>766</v>
      </c>
      <c r="F264" s="610" t="s">
        <v>700</v>
      </c>
      <c r="L264" s="635"/>
      <c r="O264" s="73"/>
      <c r="P264" s="73"/>
      <c r="Q264" s="73"/>
      <c r="R264" s="73"/>
      <c r="S264" s="73"/>
      <c r="T264" s="73"/>
      <c r="U264" s="73"/>
      <c r="V264" s="73"/>
    </row>
    <row r="265" spans="1:22" ht="16.5" customHeight="1">
      <c r="B265" s="68"/>
      <c r="C265" s="635"/>
      <c r="D265" s="43"/>
      <c r="E265" s="613" t="s">
        <v>768</v>
      </c>
      <c r="F265" s="610" t="s">
        <v>355</v>
      </c>
      <c r="L265" s="635"/>
      <c r="O265" s="73"/>
      <c r="P265" s="73"/>
      <c r="Q265" s="73"/>
      <c r="R265" s="73"/>
      <c r="S265" s="73"/>
      <c r="T265" s="73"/>
      <c r="U265" s="73"/>
      <c r="V265" s="73"/>
    </row>
    <row r="266" spans="1:22" ht="16.5" customHeight="1">
      <c r="B266" s="195"/>
      <c r="C266" s="635"/>
      <c r="D266" s="43"/>
      <c r="E266" s="613" t="s">
        <v>770</v>
      </c>
      <c r="F266" s="610" t="s">
        <v>358</v>
      </c>
      <c r="L266" s="635"/>
      <c r="O266" s="73"/>
      <c r="P266" s="73"/>
      <c r="Q266" s="73"/>
      <c r="R266" s="73"/>
      <c r="S266" s="73"/>
      <c r="T266" s="73"/>
      <c r="U266" s="73"/>
      <c r="V266" s="73"/>
    </row>
    <row r="267" spans="1:22" ht="16.5" customHeight="1">
      <c r="B267" s="195"/>
      <c r="C267" s="635"/>
      <c r="D267" s="43"/>
      <c r="E267" s="613" t="s">
        <v>772</v>
      </c>
      <c r="F267" s="610" t="s">
        <v>361</v>
      </c>
      <c r="L267" s="635"/>
      <c r="O267" s="73"/>
      <c r="P267" s="73"/>
      <c r="Q267" s="73"/>
      <c r="R267" s="73"/>
      <c r="S267" s="73"/>
      <c r="T267" s="73"/>
      <c r="U267" s="73"/>
      <c r="V267" s="73"/>
    </row>
    <row r="268" spans="1:22" ht="16.5" customHeight="1">
      <c r="B268" s="195"/>
      <c r="C268" s="635"/>
      <c r="D268" s="43"/>
      <c r="E268" s="613" t="s">
        <v>773</v>
      </c>
      <c r="F268" s="610" t="s">
        <v>464</v>
      </c>
      <c r="L268" s="635"/>
      <c r="O268" s="73"/>
      <c r="P268" s="73"/>
      <c r="Q268" s="73"/>
      <c r="R268" s="73"/>
      <c r="S268" s="73"/>
      <c r="T268" s="73"/>
      <c r="U268" s="73"/>
      <c r="V268" s="73"/>
    </row>
    <row r="269" spans="1:22" ht="16.5" customHeight="1">
      <c r="A269" s="559"/>
      <c r="B269" s="559"/>
      <c r="C269" s="635"/>
      <c r="D269" s="43"/>
      <c r="E269" s="613" t="s">
        <v>774</v>
      </c>
      <c r="F269" s="610" t="s">
        <v>364</v>
      </c>
      <c r="L269" s="635"/>
      <c r="O269" s="73"/>
      <c r="P269" s="73"/>
      <c r="Q269" s="73"/>
      <c r="R269" s="73"/>
      <c r="S269" s="73"/>
      <c r="T269" s="73"/>
      <c r="U269" s="73"/>
      <c r="V269" s="73"/>
    </row>
    <row r="270" spans="1:22" ht="16.5" customHeight="1">
      <c r="A270" s="559"/>
      <c r="B270" s="559"/>
      <c r="C270" s="635"/>
      <c r="D270" s="43"/>
      <c r="E270" s="613" t="s">
        <v>775</v>
      </c>
      <c r="F270" s="610" t="s">
        <v>348</v>
      </c>
      <c r="L270" s="635"/>
      <c r="O270" s="73"/>
      <c r="P270" s="73"/>
      <c r="Q270" s="73"/>
      <c r="R270" s="73"/>
      <c r="S270" s="73"/>
      <c r="T270" s="73"/>
      <c r="U270" s="73"/>
      <c r="V270" s="73"/>
    </row>
    <row r="271" spans="1:22" ht="16.5" customHeight="1">
      <c r="A271" s="559"/>
      <c r="B271" s="559"/>
      <c r="C271" s="635"/>
      <c r="D271" s="43"/>
      <c r="E271" s="613" t="s">
        <v>776</v>
      </c>
      <c r="F271" s="610" t="s">
        <v>777</v>
      </c>
      <c r="L271" s="635"/>
      <c r="O271" s="73"/>
      <c r="P271" s="73"/>
      <c r="Q271" s="73"/>
      <c r="R271" s="73"/>
      <c r="S271" s="73"/>
      <c r="T271" s="73"/>
      <c r="U271" s="73"/>
      <c r="V271" s="73"/>
    </row>
    <row r="272" spans="1:22" ht="16.5" customHeight="1">
      <c r="A272" s="559"/>
      <c r="B272" s="559"/>
      <c r="C272" s="635"/>
      <c r="D272" s="43"/>
      <c r="E272" s="613" t="s">
        <v>778</v>
      </c>
      <c r="F272" s="610" t="s">
        <v>352</v>
      </c>
      <c r="L272" s="635"/>
      <c r="O272" s="73"/>
      <c r="P272" s="73"/>
      <c r="Q272" s="73"/>
      <c r="R272" s="73"/>
      <c r="S272" s="73"/>
      <c r="T272" s="73"/>
      <c r="U272" s="73"/>
      <c r="V272" s="73"/>
    </row>
    <row r="273" spans="1:22" ht="16.5" customHeight="1">
      <c r="A273" s="559"/>
      <c r="B273" s="559"/>
      <c r="C273" s="635"/>
      <c r="D273" s="43"/>
      <c r="E273" s="613" t="s">
        <v>779</v>
      </c>
      <c r="F273" s="610" t="s">
        <v>367</v>
      </c>
      <c r="L273" s="635"/>
      <c r="O273" s="73"/>
      <c r="P273" s="73"/>
      <c r="Q273" s="73"/>
      <c r="R273" s="73"/>
      <c r="S273" s="73"/>
      <c r="T273" s="73"/>
      <c r="U273" s="73"/>
      <c r="V273" s="73"/>
    </row>
    <row r="274" spans="1:22" ht="16.5" customHeight="1">
      <c r="A274" s="559"/>
      <c r="B274" s="559"/>
      <c r="C274" s="635"/>
      <c r="D274" s="43"/>
      <c r="E274" s="613" t="s">
        <v>780</v>
      </c>
      <c r="F274" s="610" t="s">
        <v>379</v>
      </c>
      <c r="L274" s="635"/>
      <c r="O274" s="73"/>
      <c r="P274" s="73"/>
      <c r="Q274" s="73"/>
      <c r="R274" s="73"/>
      <c r="S274" s="73"/>
      <c r="T274" s="73"/>
      <c r="U274" s="73"/>
      <c r="V274" s="73"/>
    </row>
    <row r="275" spans="1:22" ht="16.5" customHeight="1">
      <c r="A275" s="559"/>
      <c r="B275" s="559"/>
      <c r="C275" s="635"/>
      <c r="D275" s="43"/>
      <c r="E275" s="613" t="s">
        <v>781</v>
      </c>
      <c r="F275" s="610" t="s">
        <v>466</v>
      </c>
      <c r="L275" s="635"/>
      <c r="O275" s="73"/>
      <c r="P275" s="73"/>
      <c r="Q275" s="73"/>
      <c r="R275" s="73"/>
      <c r="S275" s="73"/>
      <c r="T275" s="73"/>
      <c r="U275" s="73"/>
      <c r="V275" s="73"/>
    </row>
    <row r="276" spans="1:22" ht="16.5" customHeight="1">
      <c r="A276" s="559"/>
      <c r="B276" s="559"/>
      <c r="C276" s="635"/>
      <c r="D276" s="43"/>
      <c r="E276" s="613" t="s">
        <v>782</v>
      </c>
      <c r="F276" s="610" t="s">
        <v>383</v>
      </c>
      <c r="L276" s="635"/>
      <c r="O276" s="73"/>
      <c r="P276" s="73"/>
      <c r="Q276" s="73"/>
      <c r="R276" s="73"/>
      <c r="S276" s="73"/>
      <c r="T276" s="73"/>
      <c r="U276" s="73"/>
      <c r="V276" s="73"/>
    </row>
    <row r="277" spans="1:22" ht="16.5" customHeight="1">
      <c r="A277" s="559"/>
      <c r="B277" s="559"/>
      <c r="C277" s="635"/>
      <c r="D277" s="43"/>
      <c r="E277" s="613" t="s">
        <v>783</v>
      </c>
      <c r="F277" s="610" t="s">
        <v>784</v>
      </c>
      <c r="L277" s="635"/>
      <c r="O277" s="73"/>
      <c r="P277" s="73"/>
      <c r="Q277" s="73"/>
      <c r="R277" s="73"/>
      <c r="S277" s="73"/>
      <c r="T277" s="73"/>
      <c r="U277" s="73"/>
      <c r="V277" s="73"/>
    </row>
    <row r="278" spans="1:22" ht="16.5" customHeight="1">
      <c r="A278" s="559"/>
      <c r="B278" s="559"/>
      <c r="C278" s="635"/>
      <c r="D278" s="43"/>
      <c r="E278" s="613" t="s">
        <v>785</v>
      </c>
      <c r="F278" s="610" t="s">
        <v>354</v>
      </c>
      <c r="L278" s="635"/>
      <c r="O278" s="73"/>
      <c r="P278" s="73"/>
      <c r="Q278" s="73"/>
      <c r="R278" s="73"/>
      <c r="S278" s="73"/>
      <c r="T278" s="73"/>
      <c r="U278" s="73"/>
      <c r="V278" s="73"/>
    </row>
    <row r="279" spans="1:22" ht="16.5" customHeight="1">
      <c r="A279" s="559"/>
      <c r="B279" s="559"/>
      <c r="C279" s="635"/>
      <c r="D279" s="43"/>
      <c r="E279" s="613" t="s">
        <v>786</v>
      </c>
      <c r="F279" s="610" t="s">
        <v>384</v>
      </c>
      <c r="L279" s="635"/>
      <c r="O279" s="73"/>
      <c r="P279" s="73"/>
      <c r="Q279" s="73"/>
      <c r="R279" s="73"/>
      <c r="S279" s="73"/>
      <c r="T279" s="73"/>
      <c r="U279" s="73"/>
      <c r="V279" s="73"/>
    </row>
    <row r="280" spans="1:22" ht="16.5" customHeight="1">
      <c r="A280" s="559"/>
      <c r="B280" s="559"/>
      <c r="C280" s="635"/>
      <c r="D280" s="43"/>
      <c r="E280" s="613" t="s">
        <v>787</v>
      </c>
      <c r="F280" s="610" t="s">
        <v>357</v>
      </c>
      <c r="L280" s="635"/>
      <c r="O280" s="73"/>
      <c r="P280" s="73"/>
      <c r="Q280" s="73"/>
      <c r="R280" s="73"/>
      <c r="S280" s="73"/>
      <c r="T280" s="73"/>
      <c r="U280" s="73"/>
      <c r="V280" s="73"/>
    </row>
    <row r="281" spans="1:22" ht="16.5" customHeight="1">
      <c r="A281" s="559"/>
      <c r="B281" s="559"/>
      <c r="C281" s="635"/>
      <c r="D281" s="43"/>
      <c r="E281" s="613" t="s">
        <v>788</v>
      </c>
      <c r="L281" s="635"/>
      <c r="O281" s="73"/>
      <c r="P281" s="73"/>
      <c r="Q281" s="73"/>
      <c r="R281" s="73"/>
      <c r="S281" s="73"/>
      <c r="T281" s="73"/>
      <c r="U281" s="73"/>
      <c r="V281" s="73"/>
    </row>
    <row r="282" spans="1:22" ht="16.5" customHeight="1">
      <c r="A282" s="559"/>
      <c r="B282" s="559"/>
      <c r="C282" s="635"/>
      <c r="D282" s="43"/>
      <c r="E282" s="613" t="s">
        <v>789</v>
      </c>
      <c r="L282" s="635"/>
      <c r="O282" s="73"/>
      <c r="P282" s="73"/>
      <c r="Q282" s="73"/>
      <c r="R282" s="73"/>
      <c r="S282" s="73"/>
      <c r="T282" s="73"/>
      <c r="U282" s="73"/>
      <c r="V282" s="73"/>
    </row>
    <row r="283" spans="1:22" ht="16.5" customHeight="1">
      <c r="A283" s="559"/>
      <c r="B283" s="559"/>
      <c r="C283" s="635"/>
      <c r="D283" s="43"/>
      <c r="E283" s="613" t="s">
        <v>790</v>
      </c>
      <c r="L283" s="635"/>
      <c r="O283" s="73"/>
      <c r="P283" s="73"/>
      <c r="Q283" s="73"/>
      <c r="R283" s="73"/>
      <c r="S283" s="73"/>
      <c r="T283" s="73"/>
      <c r="U283" s="73"/>
      <c r="V283" s="73"/>
    </row>
    <row r="284" spans="1:22" ht="16.5" customHeight="1">
      <c r="A284" s="559"/>
      <c r="B284" s="559"/>
      <c r="C284" s="635"/>
      <c r="D284" s="43"/>
      <c r="E284" s="610" t="s">
        <v>791</v>
      </c>
      <c r="L284" s="635"/>
      <c r="O284" s="73"/>
      <c r="P284" s="73"/>
      <c r="Q284" s="73"/>
      <c r="R284" s="73"/>
      <c r="S284" s="73"/>
      <c r="T284" s="73"/>
      <c r="U284" s="73"/>
      <c r="V284" s="73"/>
    </row>
    <row r="285" spans="1:22" ht="16.5" customHeight="1">
      <c r="A285" s="559"/>
      <c r="B285" s="635"/>
      <c r="C285" s="43"/>
      <c r="K285" s="635"/>
      <c r="N285" s="73"/>
      <c r="O285" s="73"/>
      <c r="P285" s="73"/>
      <c r="Q285" s="73"/>
      <c r="R285" s="73"/>
      <c r="S285" s="73"/>
      <c r="T285" s="73"/>
      <c r="U285" s="73"/>
    </row>
    <row r="286" spans="1:22" ht="16.5" customHeight="1">
      <c r="A286" s="559"/>
      <c r="B286" s="635"/>
      <c r="C286" s="43"/>
      <c r="K286" s="635"/>
      <c r="N286" s="73"/>
      <c r="O286" s="73"/>
      <c r="P286" s="73"/>
      <c r="Q286" s="73"/>
      <c r="R286" s="73"/>
      <c r="S286" s="73"/>
      <c r="T286" s="73"/>
      <c r="U286" s="73"/>
    </row>
    <row r="287" spans="1:22">
      <c r="A287" s="968" t="s">
        <v>858</v>
      </c>
      <c r="B287" s="968"/>
      <c r="C287" s="968"/>
      <c r="D287" s="968"/>
      <c r="E287" s="968"/>
      <c r="F287" s="968"/>
      <c r="G287" s="968"/>
      <c r="H287" s="968"/>
      <c r="I287" s="968"/>
      <c r="J287" s="968"/>
      <c r="K287" s="102"/>
      <c r="L287" s="102"/>
      <c r="N287" s="73"/>
      <c r="O287" s="73"/>
      <c r="P287" s="73"/>
      <c r="Q287" s="73"/>
      <c r="R287" s="73"/>
      <c r="S287" s="73"/>
    </row>
    <row r="288" spans="1:22" ht="16.5">
      <c r="A288" s="600" t="s">
        <v>169</v>
      </c>
      <c r="B288" s="98" t="s">
        <v>185</v>
      </c>
      <c r="C288" s="832" t="s">
        <v>859</v>
      </c>
      <c r="D288" s="832"/>
      <c r="E288" s="832"/>
      <c r="F288" s="832"/>
      <c r="G288" s="832"/>
      <c r="H288" s="832"/>
      <c r="I288" s="832"/>
      <c r="J288" s="832"/>
      <c r="K288" s="128"/>
      <c r="L288" s="128"/>
      <c r="N288" s="73"/>
      <c r="O288" s="73"/>
      <c r="P288" s="73"/>
      <c r="Q288" s="73"/>
      <c r="R288" s="73"/>
      <c r="S288" s="73"/>
    </row>
    <row r="289" spans="1:22">
      <c r="A289" s="600" t="s">
        <v>173</v>
      </c>
      <c r="B289" s="600" t="s">
        <v>177</v>
      </c>
      <c r="C289" s="600" t="s">
        <v>182</v>
      </c>
      <c r="D289" s="600" t="s">
        <v>171</v>
      </c>
      <c r="E289" s="600" t="s">
        <v>175</v>
      </c>
      <c r="F289" s="600" t="s">
        <v>180</v>
      </c>
      <c r="G289" s="548" t="s">
        <v>184</v>
      </c>
      <c r="H289" s="1010" t="s">
        <v>290</v>
      </c>
      <c r="I289" s="1011"/>
      <c r="J289" s="600" t="s">
        <v>291</v>
      </c>
      <c r="K289" s="989"/>
      <c r="L289" s="989"/>
      <c r="M289" s="635"/>
      <c r="O289" s="73"/>
      <c r="P289" s="73"/>
      <c r="Q289" s="73"/>
      <c r="R289" s="73"/>
      <c r="S289" s="73"/>
      <c r="T289" s="73"/>
    </row>
    <row r="290" spans="1:22" ht="48" customHeight="1">
      <c r="A290" s="593" t="s">
        <v>281</v>
      </c>
      <c r="B290" s="101" t="s">
        <v>282</v>
      </c>
      <c r="C290" s="300" t="s">
        <v>685</v>
      </c>
      <c r="D290" s="595" t="s">
        <v>298</v>
      </c>
      <c r="E290" s="595" t="s">
        <v>860</v>
      </c>
      <c r="F290" s="296" t="s">
        <v>303</v>
      </c>
      <c r="G290" s="587" t="s">
        <v>688</v>
      </c>
      <c r="H290" s="953" t="s">
        <v>305</v>
      </c>
      <c r="I290" s="954"/>
      <c r="J290" s="597" t="s">
        <v>689</v>
      </c>
      <c r="L290" s="73"/>
      <c r="M290" s="73"/>
      <c r="N290" s="73"/>
      <c r="O290" s="73"/>
      <c r="P290" s="73"/>
      <c r="Q290" s="73"/>
    </row>
    <row r="291" spans="1:22">
      <c r="A291" s="927"/>
      <c r="B291" s="927"/>
      <c r="C291" s="879" t="s">
        <v>286</v>
      </c>
      <c r="D291" s="879" t="s">
        <v>286</v>
      </c>
      <c r="E291" s="561" t="s">
        <v>286</v>
      </c>
      <c r="F291" s="839" t="s">
        <v>286</v>
      </c>
      <c r="G291" s="866" t="s">
        <v>308</v>
      </c>
      <c r="H291" s="97" t="s">
        <v>309</v>
      </c>
      <c r="I291" s="561" t="s">
        <v>308</v>
      </c>
      <c r="J291" s="997"/>
      <c r="L291" s="73"/>
      <c r="M291" s="73"/>
      <c r="N291" s="73"/>
      <c r="O291" s="73"/>
      <c r="P291" s="73"/>
      <c r="Q291" s="73"/>
    </row>
    <row r="292" spans="1:22">
      <c r="A292" s="927"/>
      <c r="B292" s="927"/>
      <c r="C292" s="880"/>
      <c r="D292" s="880"/>
      <c r="E292" s="544"/>
      <c r="F292" s="839"/>
      <c r="G292" s="867"/>
      <c r="H292" s="97" t="s">
        <v>310</v>
      </c>
      <c r="I292" s="284"/>
      <c r="J292" s="998"/>
      <c r="L292" s="73"/>
      <c r="M292" s="73"/>
      <c r="N292" s="73"/>
      <c r="O292" s="73"/>
      <c r="P292" s="73"/>
      <c r="Q292" s="73"/>
    </row>
    <row r="293" spans="1:22" ht="39" customHeight="1">
      <c r="A293" s="869" t="s">
        <v>861</v>
      </c>
      <c r="B293" s="869"/>
      <c r="C293" s="869"/>
      <c r="D293" s="869"/>
      <c r="E293" s="869"/>
      <c r="F293" s="869"/>
      <c r="G293" s="919"/>
      <c r="H293" s="99" t="s">
        <v>287</v>
      </c>
      <c r="I293" s="40" t="s">
        <v>288</v>
      </c>
      <c r="J293" s="39" t="s">
        <v>289</v>
      </c>
      <c r="O293" s="73"/>
      <c r="P293" s="73"/>
      <c r="Q293" s="73"/>
      <c r="R293" s="73"/>
      <c r="S293" s="73"/>
      <c r="T293" s="73"/>
      <c r="U293" s="73"/>
      <c r="V293" s="73"/>
    </row>
    <row r="294" spans="1:22" ht="16.5" customHeight="1">
      <c r="A294" s="933" t="s">
        <v>862</v>
      </c>
      <c r="B294" s="933"/>
      <c r="C294" s="933"/>
      <c r="D294" s="933"/>
      <c r="E294" s="933"/>
      <c r="F294" s="933"/>
      <c r="G294" s="933"/>
      <c r="L294" s="635"/>
      <c r="O294" s="73"/>
      <c r="P294" s="73"/>
      <c r="Q294" s="73"/>
      <c r="R294" s="73"/>
      <c r="S294" s="73"/>
      <c r="T294" s="73"/>
      <c r="U294" s="73"/>
      <c r="V294" s="73"/>
    </row>
    <row r="295" spans="1:22" ht="16.5" customHeight="1">
      <c r="A295" s="933" t="s">
        <v>692</v>
      </c>
      <c r="B295" s="933"/>
      <c r="C295" s="559"/>
      <c r="D295" s="559"/>
      <c r="E295" s="559"/>
      <c r="F295" s="559"/>
      <c r="G295" s="559"/>
      <c r="L295" s="635"/>
      <c r="O295" s="73"/>
      <c r="P295" s="73"/>
      <c r="Q295" s="73"/>
      <c r="R295" s="73"/>
      <c r="S295" s="73"/>
      <c r="T295" s="73"/>
      <c r="U295" s="73"/>
      <c r="V295" s="73"/>
    </row>
    <row r="296" spans="1:22" ht="30.6" customHeight="1">
      <c r="A296" s="530" t="s">
        <v>292</v>
      </c>
      <c r="B296" s="961" t="s">
        <v>311</v>
      </c>
      <c r="C296" s="962"/>
      <c r="D296" s="937"/>
      <c r="E296" s="937"/>
      <c r="F296" s="937"/>
      <c r="G296" s="937"/>
      <c r="H296" s="937"/>
      <c r="I296" s="937"/>
      <c r="J296" s="937"/>
      <c r="M296" s="73"/>
      <c r="N296" s="73"/>
      <c r="O296" s="73"/>
      <c r="P296" s="73"/>
      <c r="Q296" s="73"/>
      <c r="R296" s="73"/>
      <c r="S296" s="73"/>
      <c r="T296" s="73"/>
      <c r="U296" s="73"/>
    </row>
    <row r="297" spans="1:22" ht="16.5" customHeight="1">
      <c r="A297" s="559"/>
      <c r="B297" s="635"/>
      <c r="C297" s="221" t="s">
        <v>685</v>
      </c>
      <c r="D297" s="222" t="s">
        <v>298</v>
      </c>
      <c r="E297" s="222" t="s">
        <v>860</v>
      </c>
      <c r="F297" s="220" t="s">
        <v>303</v>
      </c>
      <c r="L297" s="635"/>
      <c r="O297" s="73"/>
      <c r="P297" s="73"/>
      <c r="Q297" s="73"/>
      <c r="R297" s="73"/>
      <c r="S297" s="73"/>
      <c r="T297" s="73"/>
      <c r="U297" s="73"/>
      <c r="V297" s="73"/>
    </row>
    <row r="298" spans="1:22" ht="16.5" customHeight="1">
      <c r="A298" s="559"/>
      <c r="B298" s="635"/>
      <c r="C298" s="550" t="s">
        <v>694</v>
      </c>
      <c r="D298" s="613" t="s">
        <v>406</v>
      </c>
      <c r="E298" s="610" t="s">
        <v>366</v>
      </c>
      <c r="F298" s="613" t="s">
        <v>338</v>
      </c>
      <c r="L298" s="635"/>
      <c r="O298" s="73"/>
      <c r="P298" s="73"/>
      <c r="Q298" s="73"/>
      <c r="R298" s="73"/>
      <c r="S298" s="73"/>
      <c r="T298" s="73"/>
      <c r="U298" s="73"/>
      <c r="V298" s="73"/>
    </row>
    <row r="299" spans="1:22" ht="16.5" customHeight="1">
      <c r="A299" s="559"/>
      <c r="B299" s="635"/>
      <c r="C299" s="451" t="s">
        <v>697</v>
      </c>
      <c r="D299" s="613" t="s">
        <v>340</v>
      </c>
      <c r="F299" s="613" t="s">
        <v>344</v>
      </c>
      <c r="L299" s="635"/>
      <c r="O299" s="73"/>
      <c r="P299" s="73"/>
      <c r="Q299" s="73"/>
      <c r="R299" s="73"/>
      <c r="S299" s="73"/>
      <c r="T299" s="73"/>
      <c r="U299" s="73"/>
      <c r="V299" s="73"/>
    </row>
    <row r="300" spans="1:22" ht="16.5" customHeight="1">
      <c r="A300" s="559"/>
      <c r="B300" s="635"/>
      <c r="C300" s="550" t="s">
        <v>701</v>
      </c>
      <c r="D300" s="613" t="s">
        <v>345</v>
      </c>
      <c r="L300" s="635"/>
      <c r="O300" s="73"/>
      <c r="P300" s="73"/>
      <c r="Q300" s="73"/>
      <c r="R300" s="73"/>
      <c r="S300" s="73"/>
      <c r="T300" s="73"/>
      <c r="U300" s="73"/>
      <c r="V300" s="73"/>
    </row>
    <row r="301" spans="1:22" ht="16.5" customHeight="1">
      <c r="A301" s="559"/>
      <c r="B301" s="635"/>
      <c r="C301" s="550" t="s">
        <v>704</v>
      </c>
      <c r="K301" s="635"/>
      <c r="N301" s="73"/>
      <c r="O301" s="73"/>
      <c r="P301" s="73"/>
      <c r="Q301" s="73"/>
      <c r="R301" s="73"/>
      <c r="S301" s="73"/>
      <c r="T301" s="73"/>
      <c r="U301" s="73"/>
    </row>
    <row r="302" spans="1:22" ht="16.5" customHeight="1">
      <c r="A302" s="559"/>
      <c r="B302" s="635"/>
      <c r="C302" s="43"/>
      <c r="K302" s="635"/>
      <c r="N302" s="73"/>
      <c r="O302" s="73"/>
      <c r="P302" s="73"/>
      <c r="Q302" s="73"/>
      <c r="R302" s="73"/>
      <c r="S302" s="73"/>
      <c r="T302" s="73"/>
      <c r="U302" s="73"/>
    </row>
    <row r="303" spans="1:22" ht="16.5" customHeight="1">
      <c r="A303" s="559"/>
      <c r="B303" s="635"/>
      <c r="C303" s="43"/>
      <c r="K303" s="635"/>
      <c r="N303" s="73"/>
      <c r="O303" s="73"/>
      <c r="P303" s="73"/>
      <c r="Q303" s="73"/>
      <c r="R303" s="73"/>
      <c r="S303" s="73"/>
      <c r="T303" s="73"/>
      <c r="U303" s="73"/>
    </row>
    <row r="304" spans="1:22" ht="16.5" customHeight="1">
      <c r="A304" s="559"/>
      <c r="B304" s="635"/>
      <c r="C304" s="43"/>
      <c r="K304" s="635"/>
      <c r="N304" s="73"/>
      <c r="O304" s="73"/>
      <c r="P304" s="73"/>
      <c r="Q304" s="73"/>
      <c r="R304" s="73"/>
      <c r="S304" s="73"/>
      <c r="T304" s="73"/>
      <c r="U304" s="73"/>
    </row>
    <row r="305" spans="1:21" ht="16.5" customHeight="1">
      <c r="A305" s="559"/>
      <c r="B305" s="635"/>
      <c r="C305" s="43"/>
      <c r="K305" s="635"/>
      <c r="N305" s="73"/>
      <c r="O305" s="73"/>
      <c r="P305" s="73"/>
      <c r="Q305" s="73"/>
      <c r="R305" s="73"/>
      <c r="S305" s="73"/>
      <c r="T305" s="73"/>
      <c r="U305" s="73"/>
    </row>
    <row r="306" spans="1:21" ht="16.5" customHeight="1">
      <c r="A306" s="559"/>
      <c r="B306" s="635"/>
      <c r="C306" s="43"/>
      <c r="K306" s="635"/>
      <c r="N306" s="73"/>
      <c r="O306" s="73"/>
      <c r="P306" s="73"/>
      <c r="Q306" s="73"/>
      <c r="R306" s="73"/>
      <c r="S306" s="73"/>
      <c r="T306" s="73"/>
      <c r="U306" s="73"/>
    </row>
    <row r="307" spans="1:21" ht="16.5" customHeight="1">
      <c r="A307" s="559"/>
      <c r="B307" s="635"/>
      <c r="C307" s="43"/>
      <c r="K307" s="635"/>
      <c r="N307" s="73"/>
      <c r="O307" s="73"/>
      <c r="P307" s="73"/>
      <c r="Q307" s="73"/>
      <c r="R307" s="73"/>
      <c r="S307" s="73"/>
      <c r="T307" s="73"/>
      <c r="U307" s="73"/>
    </row>
    <row r="308" spans="1:21" ht="16.5" customHeight="1">
      <c r="A308" s="559"/>
      <c r="B308" s="635"/>
      <c r="C308" s="43"/>
      <c r="K308" s="635"/>
      <c r="N308" s="73"/>
      <c r="O308" s="73"/>
      <c r="P308" s="73"/>
      <c r="Q308" s="73"/>
      <c r="R308" s="73"/>
      <c r="S308" s="73"/>
      <c r="T308" s="73"/>
      <c r="U308" s="73"/>
    </row>
    <row r="309" spans="1:21">
      <c r="A309" s="968" t="s">
        <v>863</v>
      </c>
      <c r="B309" s="968"/>
      <c r="C309" s="968"/>
      <c r="D309" s="968"/>
      <c r="E309" s="968"/>
      <c r="F309" s="968"/>
      <c r="G309" s="968"/>
      <c r="H309" s="968"/>
      <c r="I309" s="968"/>
      <c r="J309" s="968"/>
      <c r="K309" s="968"/>
      <c r="L309" s="102"/>
      <c r="N309" s="107"/>
      <c r="O309" s="107"/>
      <c r="P309" s="107"/>
      <c r="Q309" s="107"/>
      <c r="R309" s="107"/>
      <c r="S309" s="107"/>
    </row>
    <row r="310" spans="1:21" ht="16.5">
      <c r="A310" s="600" t="s">
        <v>169</v>
      </c>
      <c r="B310" s="98" t="s">
        <v>185</v>
      </c>
      <c r="C310" s="1005" t="s">
        <v>864</v>
      </c>
      <c r="D310" s="1005"/>
      <c r="E310" s="1005"/>
      <c r="F310" s="1005"/>
      <c r="G310" s="1005"/>
      <c r="H310" s="1005"/>
      <c r="I310" s="1005"/>
      <c r="J310" s="1005"/>
      <c r="K310" s="1005"/>
      <c r="L310" s="129"/>
      <c r="N310" s="107"/>
      <c r="O310" s="107"/>
      <c r="P310" s="107"/>
      <c r="Q310" s="107"/>
      <c r="R310" s="107"/>
      <c r="S310" s="107"/>
    </row>
    <row r="311" spans="1:21" ht="15" customHeight="1">
      <c r="A311" s="600" t="s">
        <v>173</v>
      </c>
      <c r="B311" s="600" t="s">
        <v>177</v>
      </c>
      <c r="C311" s="600" t="s">
        <v>182</v>
      </c>
      <c r="D311" s="600" t="s">
        <v>171</v>
      </c>
      <c r="E311" s="600" t="s">
        <v>175</v>
      </c>
      <c r="F311" s="600" t="s">
        <v>180</v>
      </c>
      <c r="G311" s="548" t="s">
        <v>184</v>
      </c>
      <c r="H311" s="600" t="s">
        <v>290</v>
      </c>
      <c r="I311" s="1004" t="s">
        <v>291</v>
      </c>
      <c r="J311" s="1004"/>
      <c r="K311" s="94" t="s">
        <v>292</v>
      </c>
      <c r="L311" s="635"/>
      <c r="N311" s="107"/>
      <c r="O311" s="107"/>
      <c r="P311" s="107"/>
      <c r="Q311" s="107"/>
      <c r="R311" s="107"/>
      <c r="S311" s="107"/>
      <c r="T311" s="73"/>
      <c r="U311" s="73"/>
    </row>
    <row r="312" spans="1:21" ht="15" customHeight="1">
      <c r="A312" s="983" t="s">
        <v>281</v>
      </c>
      <c r="B312" s="1000" t="s">
        <v>285</v>
      </c>
      <c r="C312" s="821" t="s">
        <v>298</v>
      </c>
      <c r="D312" s="821" t="s">
        <v>865</v>
      </c>
      <c r="E312" s="821" t="s">
        <v>866</v>
      </c>
      <c r="F312" s="821" t="s">
        <v>867</v>
      </c>
      <c r="G312" s="1003" t="s">
        <v>868</v>
      </c>
      <c r="H312" s="821" t="s">
        <v>869</v>
      </c>
      <c r="I312" s="821" t="s">
        <v>305</v>
      </c>
      <c r="J312" s="821"/>
      <c r="K312" s="1002" t="s">
        <v>689</v>
      </c>
      <c r="L312" s="107"/>
      <c r="M312" s="107"/>
      <c r="N312" s="107"/>
      <c r="O312" s="107"/>
      <c r="P312" s="107"/>
      <c r="Q312" s="107"/>
      <c r="R312" s="73"/>
      <c r="S312" s="73"/>
    </row>
    <row r="313" spans="1:21" s="48" customFormat="1" ht="12">
      <c r="A313" s="983"/>
      <c r="B313" s="1001"/>
      <c r="C313" s="821"/>
      <c r="D313" s="821"/>
      <c r="E313" s="821"/>
      <c r="F313" s="821"/>
      <c r="G313" s="1003"/>
      <c r="H313" s="821"/>
      <c r="I313" s="821"/>
      <c r="J313" s="821"/>
      <c r="K313" s="1002"/>
      <c r="M313" s="107"/>
      <c r="N313" s="107"/>
      <c r="O313" s="107"/>
      <c r="P313" s="107"/>
      <c r="Q313" s="107"/>
      <c r="R313" s="107"/>
      <c r="S313" s="73"/>
      <c r="T313" s="73"/>
    </row>
    <row r="314" spans="1:21">
      <c r="A314" s="927"/>
      <c r="B314" s="879" t="s">
        <v>286</v>
      </c>
      <c r="C314" s="879" t="s">
        <v>286</v>
      </c>
      <c r="D314" s="879" t="s">
        <v>286</v>
      </c>
      <c r="E314" s="879" t="s">
        <v>286</v>
      </c>
      <c r="F314" s="879" t="s">
        <v>286</v>
      </c>
      <c r="G314" s="879" t="s">
        <v>286</v>
      </c>
      <c r="H314" s="866" t="s">
        <v>308</v>
      </c>
      <c r="I314" s="97" t="s">
        <v>309</v>
      </c>
      <c r="J314" s="561" t="s">
        <v>308</v>
      </c>
      <c r="K314" s="997"/>
      <c r="M314" s="107"/>
      <c r="N314" s="107"/>
      <c r="O314" s="107"/>
      <c r="P314" s="107"/>
      <c r="Q314" s="107"/>
      <c r="R314" s="107"/>
      <c r="S314" s="73"/>
      <c r="T314" s="73"/>
    </row>
    <row r="315" spans="1:21">
      <c r="A315" s="927"/>
      <c r="B315" s="880"/>
      <c r="C315" s="880"/>
      <c r="D315" s="880"/>
      <c r="E315" s="880"/>
      <c r="F315" s="880"/>
      <c r="G315" s="880"/>
      <c r="H315" s="867"/>
      <c r="I315" s="97" t="s">
        <v>310</v>
      </c>
      <c r="J315" s="284"/>
      <c r="K315" s="998"/>
      <c r="M315" s="107"/>
      <c r="N315" s="107"/>
      <c r="O315" s="107"/>
      <c r="P315" s="107"/>
      <c r="Q315" s="107"/>
      <c r="R315" s="107"/>
      <c r="S315" s="73"/>
      <c r="T315" s="73"/>
    </row>
    <row r="316" spans="1:21" ht="30.75" customHeight="1">
      <c r="A316" s="869" t="s">
        <v>870</v>
      </c>
      <c r="B316" s="869"/>
      <c r="C316" s="869"/>
      <c r="D316" s="869"/>
      <c r="E316" s="869"/>
      <c r="F316" s="869"/>
      <c r="G316" s="869"/>
      <c r="H316" s="869"/>
      <c r="I316" s="85" t="s">
        <v>287</v>
      </c>
      <c r="J316" s="40" t="s">
        <v>288</v>
      </c>
      <c r="K316" s="39" t="s">
        <v>289</v>
      </c>
      <c r="N316" s="107"/>
      <c r="O316" s="107"/>
      <c r="P316" s="107"/>
      <c r="Q316" s="107"/>
      <c r="R316" s="107"/>
      <c r="S316" s="107"/>
      <c r="T316" s="73"/>
      <c r="U316" s="73"/>
    </row>
    <row r="317" spans="1:21" ht="36" customHeight="1">
      <c r="A317" s="881" t="s">
        <v>871</v>
      </c>
      <c r="B317" s="881"/>
      <c r="C317" s="881"/>
      <c r="D317" s="881"/>
      <c r="E317" s="881"/>
      <c r="F317" s="881"/>
      <c r="G317" s="881"/>
      <c r="H317" s="881"/>
      <c r="I317" s="881"/>
      <c r="K317" s="635"/>
      <c r="N317" s="107"/>
      <c r="O317" s="107"/>
      <c r="P317" s="107"/>
      <c r="Q317" s="107"/>
      <c r="R317" s="107"/>
      <c r="S317" s="107"/>
      <c r="T317" s="73"/>
      <c r="U317" s="73"/>
    </row>
    <row r="318" spans="1:21" ht="36" customHeight="1">
      <c r="A318" s="933" t="s">
        <v>692</v>
      </c>
      <c r="B318" s="933"/>
      <c r="C318" s="553"/>
      <c r="D318" s="553"/>
      <c r="E318" s="553"/>
      <c r="F318" s="553"/>
      <c r="G318" s="553"/>
      <c r="H318" s="553"/>
      <c r="I318" s="553"/>
      <c r="K318" s="635"/>
      <c r="N318" s="107"/>
      <c r="O318" s="107"/>
      <c r="P318" s="107"/>
      <c r="Q318" s="107"/>
      <c r="R318" s="107"/>
      <c r="S318" s="107"/>
      <c r="T318" s="73"/>
      <c r="U318" s="73"/>
    </row>
    <row r="319" spans="1:21" ht="30.6" customHeight="1">
      <c r="A319" s="530" t="s">
        <v>293</v>
      </c>
      <c r="B319" s="961" t="s">
        <v>311</v>
      </c>
      <c r="C319" s="962"/>
      <c r="D319" s="937"/>
      <c r="E319" s="937"/>
      <c r="F319" s="937"/>
      <c r="G319" s="937"/>
      <c r="H319" s="937"/>
      <c r="I319" s="937"/>
      <c r="J319" s="937"/>
      <c r="K319" s="937"/>
      <c r="M319" s="73"/>
      <c r="N319" s="73"/>
      <c r="O319" s="73"/>
      <c r="P319" s="73"/>
      <c r="Q319" s="73"/>
      <c r="R319" s="73"/>
      <c r="S319" s="73"/>
      <c r="T319" s="73"/>
      <c r="U319" s="73"/>
    </row>
    <row r="320" spans="1:21" ht="33" customHeight="1">
      <c r="A320" s="559"/>
      <c r="B320" s="223" t="s">
        <v>591</v>
      </c>
      <c r="C320" s="224" t="s">
        <v>298</v>
      </c>
      <c r="D320" s="224" t="s">
        <v>865</v>
      </c>
      <c r="E320" s="224" t="s">
        <v>872</v>
      </c>
      <c r="F320" s="224" t="s">
        <v>873</v>
      </c>
      <c r="G320" s="224" t="s">
        <v>874</v>
      </c>
      <c r="K320" s="635"/>
      <c r="N320" s="73"/>
      <c r="O320" s="73"/>
      <c r="P320" s="73"/>
      <c r="Q320" s="73"/>
      <c r="R320" s="73"/>
      <c r="S320" s="73"/>
      <c r="T320" s="73"/>
      <c r="U320" s="73"/>
    </row>
    <row r="321" spans="1:22" ht="16.5" customHeight="1">
      <c r="A321" s="559"/>
      <c r="B321" s="119" t="s">
        <v>321</v>
      </c>
      <c r="C321" s="613" t="s">
        <v>406</v>
      </c>
      <c r="D321" s="613" t="s">
        <v>875</v>
      </c>
      <c r="E321" s="125" t="s">
        <v>738</v>
      </c>
      <c r="F321" s="613" t="s">
        <v>876</v>
      </c>
      <c r="G321" s="125" t="s">
        <v>738</v>
      </c>
      <c r="L321" s="635"/>
      <c r="O321" s="73"/>
      <c r="P321" s="73"/>
      <c r="Q321" s="73"/>
      <c r="R321" s="73"/>
      <c r="S321" s="73"/>
      <c r="T321" s="73"/>
      <c r="U321" s="73"/>
      <c r="V321" s="73"/>
    </row>
    <row r="322" spans="1:22" ht="16.5" customHeight="1">
      <c r="A322" s="559"/>
      <c r="B322" s="446" t="s">
        <v>192</v>
      </c>
      <c r="C322" s="613" t="s">
        <v>340</v>
      </c>
      <c r="D322" s="613" t="s">
        <v>877</v>
      </c>
      <c r="E322" s="613" t="s">
        <v>437</v>
      </c>
      <c r="F322" s="613" t="s">
        <v>878</v>
      </c>
      <c r="G322" s="613" t="s">
        <v>879</v>
      </c>
      <c r="L322" s="635"/>
      <c r="O322" s="73"/>
      <c r="P322" s="73"/>
      <c r="Q322" s="73"/>
      <c r="R322" s="73"/>
      <c r="S322" s="73"/>
      <c r="T322" s="73"/>
      <c r="U322" s="73"/>
      <c r="V322" s="73"/>
    </row>
    <row r="323" spans="1:22" ht="16.5" customHeight="1">
      <c r="A323" s="559"/>
      <c r="B323" s="446" t="s">
        <v>325</v>
      </c>
      <c r="C323" s="613" t="s">
        <v>345</v>
      </c>
      <c r="D323" s="613" t="s">
        <v>880</v>
      </c>
      <c r="E323" s="613" t="s">
        <v>439</v>
      </c>
      <c r="F323" s="613" t="s">
        <v>881</v>
      </c>
      <c r="G323" s="613" t="s">
        <v>882</v>
      </c>
      <c r="L323" s="635"/>
      <c r="O323" s="73"/>
      <c r="P323" s="73"/>
      <c r="Q323" s="73"/>
      <c r="R323" s="73"/>
      <c r="S323" s="73"/>
      <c r="T323" s="73"/>
      <c r="U323" s="73"/>
      <c r="V323" s="73"/>
    </row>
    <row r="324" spans="1:22" ht="16.5" customHeight="1">
      <c r="A324" s="559"/>
      <c r="B324" s="450" t="s">
        <v>747</v>
      </c>
      <c r="C324" s="635"/>
      <c r="E324" s="613" t="s">
        <v>759</v>
      </c>
      <c r="F324" s="301"/>
      <c r="G324" s="613" t="s">
        <v>883</v>
      </c>
      <c r="L324" s="635"/>
      <c r="O324" s="73"/>
      <c r="P324" s="73"/>
      <c r="Q324" s="73"/>
      <c r="R324" s="73"/>
      <c r="S324" s="73"/>
      <c r="T324" s="73"/>
      <c r="U324" s="73"/>
      <c r="V324" s="73"/>
    </row>
    <row r="325" spans="1:22" ht="16.5" customHeight="1">
      <c r="A325" s="559"/>
      <c r="B325" s="450" t="s">
        <v>751</v>
      </c>
      <c r="C325" s="635"/>
      <c r="E325" s="613" t="s">
        <v>767</v>
      </c>
      <c r="G325" s="613" t="s">
        <v>884</v>
      </c>
      <c r="L325" s="635"/>
      <c r="O325" s="73"/>
      <c r="P325" s="73"/>
      <c r="Q325" s="73"/>
      <c r="R325" s="73"/>
      <c r="S325" s="73"/>
      <c r="T325" s="73"/>
      <c r="U325" s="73"/>
      <c r="V325" s="73"/>
    </row>
    <row r="326" spans="1:22" ht="16.5" customHeight="1">
      <c r="A326" s="559"/>
      <c r="B326" s="559"/>
      <c r="C326" s="635"/>
      <c r="E326" s="613" t="s">
        <v>771</v>
      </c>
      <c r="F326" s="224" t="s">
        <v>885</v>
      </c>
      <c r="G326" s="613" t="s">
        <v>886</v>
      </c>
      <c r="L326" s="635"/>
      <c r="O326" s="73"/>
      <c r="P326" s="73"/>
      <c r="Q326" s="73"/>
      <c r="R326" s="73"/>
      <c r="S326" s="73"/>
      <c r="T326" s="73"/>
      <c r="U326" s="73"/>
      <c r="V326" s="73"/>
    </row>
    <row r="327" spans="1:22" ht="16.5" customHeight="1">
      <c r="A327" s="559"/>
      <c r="B327" s="559"/>
      <c r="C327" s="635"/>
      <c r="E327" s="125" t="s">
        <v>738</v>
      </c>
      <c r="F327" s="613" t="s">
        <v>876</v>
      </c>
      <c r="G327" s="613" t="s">
        <v>887</v>
      </c>
      <c r="L327" s="635"/>
      <c r="O327" s="73"/>
      <c r="P327" s="73"/>
      <c r="Q327" s="73"/>
      <c r="R327" s="73"/>
      <c r="S327" s="73"/>
      <c r="T327" s="73"/>
      <c r="U327" s="73"/>
      <c r="V327" s="73"/>
    </row>
    <row r="328" spans="1:22" ht="16.5" customHeight="1">
      <c r="A328" s="559"/>
      <c r="B328" s="559"/>
      <c r="C328" s="635"/>
      <c r="E328" s="613" t="s">
        <v>439</v>
      </c>
      <c r="F328" s="613" t="s">
        <v>888</v>
      </c>
      <c r="G328" s="613" t="s">
        <v>889</v>
      </c>
      <c r="L328" s="635"/>
      <c r="O328" s="73"/>
      <c r="P328" s="73"/>
      <c r="Q328" s="73"/>
      <c r="R328" s="73"/>
      <c r="S328" s="73"/>
      <c r="T328" s="73"/>
      <c r="U328" s="73"/>
      <c r="V328" s="73"/>
    </row>
    <row r="329" spans="1:22" ht="16.5" customHeight="1">
      <c r="A329" s="559"/>
      <c r="B329" s="559"/>
      <c r="C329" s="635"/>
      <c r="E329" s="613" t="s">
        <v>759</v>
      </c>
      <c r="F329" s="613"/>
      <c r="G329" s="613" t="s">
        <v>890</v>
      </c>
      <c r="L329" s="635"/>
      <c r="O329" s="73"/>
      <c r="P329" s="73"/>
      <c r="Q329" s="73"/>
      <c r="R329" s="73"/>
      <c r="S329" s="73"/>
      <c r="T329" s="73"/>
      <c r="U329" s="73"/>
      <c r="V329" s="73"/>
    </row>
    <row r="330" spans="1:22" ht="16.5" customHeight="1">
      <c r="A330" s="559"/>
      <c r="B330" s="559"/>
      <c r="C330" s="635"/>
      <c r="E330" s="125" t="s">
        <v>738</v>
      </c>
      <c r="F330" s="224" t="s">
        <v>891</v>
      </c>
      <c r="G330" s="125" t="s">
        <v>738</v>
      </c>
      <c r="L330" s="635"/>
      <c r="O330" s="73"/>
      <c r="P330" s="73"/>
      <c r="Q330" s="73"/>
      <c r="R330" s="73"/>
      <c r="S330" s="73"/>
      <c r="T330" s="73"/>
      <c r="U330" s="73"/>
      <c r="V330" s="73"/>
    </row>
    <row r="331" spans="1:22" ht="16.5" customHeight="1">
      <c r="A331" s="559"/>
      <c r="B331" s="559"/>
      <c r="C331" s="635"/>
      <c r="E331" s="613" t="s">
        <v>439</v>
      </c>
      <c r="F331" s="613" t="s">
        <v>876</v>
      </c>
      <c r="G331" s="613" t="s">
        <v>879</v>
      </c>
      <c r="L331" s="635"/>
      <c r="O331" s="73"/>
      <c r="P331" s="73"/>
      <c r="Q331" s="73"/>
      <c r="R331" s="73"/>
      <c r="S331" s="73"/>
      <c r="T331" s="73"/>
      <c r="U331" s="73"/>
      <c r="V331" s="73"/>
    </row>
    <row r="332" spans="1:22" ht="16.5" customHeight="1">
      <c r="A332" s="559"/>
      <c r="B332" s="559"/>
      <c r="C332" s="635"/>
      <c r="E332" s="43"/>
      <c r="F332" s="613" t="s">
        <v>888</v>
      </c>
      <c r="G332" s="613" t="s">
        <v>452</v>
      </c>
      <c r="L332" s="635"/>
      <c r="O332" s="73"/>
      <c r="P332" s="73"/>
      <c r="Q332" s="73"/>
      <c r="R332" s="73"/>
      <c r="S332" s="73"/>
      <c r="T332" s="73"/>
      <c r="U332" s="73"/>
      <c r="V332" s="73"/>
    </row>
    <row r="333" spans="1:22" ht="16.5" customHeight="1">
      <c r="A333" s="559"/>
      <c r="B333" s="559"/>
      <c r="C333" s="635"/>
      <c r="E333" s="43"/>
      <c r="G333" s="613" t="s">
        <v>892</v>
      </c>
      <c r="L333" s="635"/>
      <c r="O333" s="73"/>
      <c r="P333" s="73"/>
      <c r="Q333" s="73"/>
      <c r="R333" s="73"/>
      <c r="S333" s="73"/>
      <c r="T333" s="73"/>
      <c r="U333" s="73"/>
      <c r="V333" s="73"/>
    </row>
    <row r="334" spans="1:22" ht="16.5" customHeight="1">
      <c r="A334" s="559"/>
      <c r="B334" s="559"/>
      <c r="C334" s="635"/>
      <c r="E334" s="43"/>
      <c r="G334" s="613" t="s">
        <v>886</v>
      </c>
      <c r="L334" s="635"/>
      <c r="O334" s="73"/>
      <c r="P334" s="73"/>
      <c r="Q334" s="73"/>
      <c r="R334" s="73"/>
      <c r="S334" s="73"/>
      <c r="T334" s="73"/>
      <c r="U334" s="73"/>
      <c r="V334" s="73"/>
    </row>
    <row r="335" spans="1:22" ht="16.5" customHeight="1">
      <c r="A335" s="559"/>
      <c r="B335" s="559"/>
      <c r="C335" s="635"/>
      <c r="E335" s="43"/>
      <c r="G335" s="613" t="s">
        <v>887</v>
      </c>
      <c r="L335" s="635"/>
      <c r="O335" s="73"/>
      <c r="P335" s="73"/>
      <c r="Q335" s="73"/>
      <c r="R335" s="73"/>
      <c r="S335" s="73"/>
      <c r="T335" s="73"/>
      <c r="U335" s="73"/>
      <c r="V335" s="73"/>
    </row>
    <row r="336" spans="1:22" ht="16.5" customHeight="1">
      <c r="A336" s="559"/>
      <c r="B336" s="559"/>
      <c r="C336" s="635"/>
      <c r="E336" s="43"/>
      <c r="G336" s="613" t="s">
        <v>889</v>
      </c>
      <c r="L336" s="635"/>
      <c r="O336" s="73"/>
      <c r="P336" s="73"/>
      <c r="Q336" s="73"/>
      <c r="R336" s="73"/>
      <c r="S336" s="73"/>
      <c r="T336" s="73"/>
      <c r="U336" s="73"/>
      <c r="V336" s="73"/>
    </row>
    <row r="337" spans="1:22" ht="16.5" customHeight="1">
      <c r="A337" s="559"/>
      <c r="B337" s="559"/>
      <c r="C337" s="635"/>
      <c r="E337" s="43"/>
      <c r="G337" s="613" t="s">
        <v>890</v>
      </c>
      <c r="L337" s="635"/>
      <c r="O337" s="73"/>
      <c r="P337" s="73"/>
      <c r="Q337" s="73"/>
      <c r="R337" s="73"/>
      <c r="S337" s="73"/>
      <c r="T337" s="73"/>
      <c r="U337" s="73"/>
      <c r="V337" s="73"/>
    </row>
    <row r="338" spans="1:22" ht="16.5" customHeight="1">
      <c r="A338" s="559"/>
      <c r="B338" s="559"/>
      <c r="C338" s="635"/>
      <c r="E338" s="43"/>
      <c r="G338" s="125" t="s">
        <v>738</v>
      </c>
      <c r="L338" s="635"/>
      <c r="O338" s="73"/>
      <c r="P338" s="73"/>
      <c r="Q338" s="73"/>
      <c r="R338" s="73"/>
      <c r="S338" s="73"/>
      <c r="T338" s="73"/>
      <c r="U338" s="73"/>
      <c r="V338" s="73"/>
    </row>
    <row r="339" spans="1:22" ht="16.5" customHeight="1">
      <c r="A339" s="559"/>
      <c r="B339" s="559"/>
      <c r="C339" s="635"/>
      <c r="E339" s="43"/>
      <c r="G339" s="613" t="s">
        <v>893</v>
      </c>
      <c r="L339" s="635"/>
      <c r="O339" s="73"/>
      <c r="P339" s="73"/>
      <c r="Q339" s="73"/>
      <c r="R339" s="73"/>
      <c r="S339" s="73"/>
      <c r="T339" s="73"/>
      <c r="U339" s="73"/>
      <c r="V339" s="73"/>
    </row>
    <row r="340" spans="1:22" ht="16.5" customHeight="1">
      <c r="A340" s="559"/>
      <c r="B340" s="559"/>
      <c r="C340" s="635"/>
      <c r="E340" s="43"/>
      <c r="G340" s="613" t="s">
        <v>879</v>
      </c>
      <c r="L340" s="635"/>
      <c r="O340" s="73"/>
      <c r="P340" s="73"/>
      <c r="Q340" s="73"/>
      <c r="R340" s="73"/>
      <c r="S340" s="73"/>
      <c r="T340" s="73"/>
      <c r="U340" s="73"/>
      <c r="V340" s="73"/>
    </row>
    <row r="341" spans="1:22" ht="16.5" customHeight="1">
      <c r="A341" s="559"/>
      <c r="B341" s="559"/>
      <c r="C341" s="635"/>
      <c r="E341" s="43"/>
      <c r="G341" s="613" t="s">
        <v>894</v>
      </c>
      <c r="L341" s="635"/>
      <c r="O341" s="73"/>
      <c r="P341" s="73"/>
      <c r="Q341" s="73"/>
      <c r="R341" s="73"/>
      <c r="S341" s="73"/>
      <c r="T341" s="73"/>
      <c r="U341" s="73"/>
      <c r="V341" s="73"/>
    </row>
    <row r="342" spans="1:22" ht="16.5" customHeight="1">
      <c r="A342" s="559"/>
      <c r="B342" s="559"/>
      <c r="C342" s="635"/>
      <c r="E342" s="43"/>
      <c r="G342" s="125" t="s">
        <v>738</v>
      </c>
      <c r="L342" s="635"/>
      <c r="O342" s="73"/>
      <c r="P342" s="73"/>
      <c r="Q342" s="73"/>
      <c r="R342" s="73"/>
      <c r="S342" s="73"/>
      <c r="T342" s="73"/>
      <c r="U342" s="73"/>
      <c r="V342" s="73"/>
    </row>
    <row r="343" spans="1:22" ht="16.5" customHeight="1">
      <c r="A343" s="559"/>
      <c r="B343" s="559"/>
      <c r="C343" s="635"/>
      <c r="E343" s="43"/>
      <c r="G343" s="613" t="s">
        <v>879</v>
      </c>
      <c r="L343" s="635"/>
      <c r="O343" s="73"/>
      <c r="P343" s="73"/>
      <c r="Q343" s="73"/>
      <c r="R343" s="73"/>
      <c r="S343" s="73"/>
      <c r="T343" s="73"/>
      <c r="U343" s="73"/>
      <c r="V343" s="73"/>
    </row>
    <row r="344" spans="1:22" ht="16.5" customHeight="1">
      <c r="A344" s="559"/>
      <c r="B344" s="559"/>
      <c r="C344" s="635"/>
      <c r="E344" s="43"/>
      <c r="G344" s="613" t="s">
        <v>887</v>
      </c>
      <c r="L344" s="635"/>
      <c r="O344" s="73"/>
      <c r="P344" s="73"/>
      <c r="Q344" s="73"/>
      <c r="R344" s="73"/>
      <c r="S344" s="73"/>
      <c r="T344" s="73"/>
      <c r="U344" s="73"/>
      <c r="V344" s="73"/>
    </row>
    <row r="345" spans="1:22" ht="16.5" customHeight="1">
      <c r="A345" s="559"/>
      <c r="B345" s="559"/>
      <c r="C345" s="635"/>
      <c r="E345" s="43"/>
      <c r="G345" s="613" t="s">
        <v>890</v>
      </c>
      <c r="L345" s="635"/>
      <c r="O345" s="73"/>
      <c r="P345" s="73"/>
      <c r="Q345" s="73"/>
      <c r="R345" s="73"/>
      <c r="S345" s="73"/>
      <c r="T345" s="73"/>
      <c r="U345" s="73"/>
      <c r="V345" s="73"/>
    </row>
    <row r="346" spans="1:22" ht="16.5" customHeight="1">
      <c r="A346" s="559"/>
      <c r="B346" s="559"/>
      <c r="C346" s="635"/>
      <c r="E346" s="43"/>
      <c r="L346" s="635"/>
      <c r="O346" s="73"/>
      <c r="P346" s="73"/>
      <c r="Q346" s="73"/>
      <c r="R346" s="73"/>
      <c r="S346" s="73"/>
      <c r="T346" s="73"/>
      <c r="U346" s="73"/>
      <c r="V346" s="73"/>
    </row>
    <row r="347" spans="1:22" ht="16.5" customHeight="1">
      <c r="A347" s="559"/>
      <c r="B347" s="559"/>
      <c r="C347" s="635"/>
      <c r="E347" s="43"/>
      <c r="L347" s="635"/>
      <c r="O347" s="73"/>
      <c r="P347" s="73"/>
      <c r="Q347" s="73"/>
      <c r="R347" s="73"/>
      <c r="S347" s="73"/>
      <c r="T347" s="73"/>
      <c r="U347" s="73"/>
      <c r="V347" s="73"/>
    </row>
    <row r="348" spans="1:22" ht="16.5" customHeight="1">
      <c r="A348" s="287"/>
      <c r="B348" s="265"/>
      <c r="C348" s="128"/>
      <c r="D348" s="44"/>
      <c r="E348" s="128"/>
      <c r="F348" s="128"/>
      <c r="G348" s="128"/>
      <c r="K348" s="635"/>
      <c r="N348" s="73"/>
      <c r="O348" s="73"/>
      <c r="P348" s="73"/>
      <c r="Q348" s="73"/>
      <c r="R348" s="73"/>
      <c r="S348" s="73"/>
      <c r="T348" s="73"/>
      <c r="U348" s="73"/>
    </row>
    <row r="349" spans="1:22" ht="16.5" customHeight="1">
      <c r="A349" s="287" t="s">
        <v>895</v>
      </c>
      <c r="B349" s="265"/>
      <c r="C349" s="128"/>
      <c r="D349" s="128"/>
      <c r="E349" s="128"/>
      <c r="F349" s="128"/>
      <c r="G349" s="128"/>
      <c r="K349" s="635"/>
      <c r="N349" s="73"/>
      <c r="O349" s="73"/>
      <c r="P349" s="73"/>
      <c r="Q349" s="73"/>
      <c r="R349" s="73"/>
      <c r="S349" s="73"/>
      <c r="T349" s="73"/>
      <c r="U349" s="73"/>
    </row>
    <row r="350" spans="1:22">
      <c r="A350" s="128"/>
      <c r="B350" s="128"/>
      <c r="C350" s="128"/>
      <c r="D350" s="128"/>
      <c r="E350" s="128"/>
      <c r="F350" s="128"/>
      <c r="G350" s="128"/>
    </row>
    <row r="351" spans="1:22">
      <c r="A351" s="128"/>
      <c r="B351" s="128"/>
      <c r="C351" s="128"/>
      <c r="D351" s="128"/>
      <c r="E351" s="128"/>
      <c r="F351" s="128"/>
      <c r="G351" s="128"/>
    </row>
    <row r="352" spans="1:22">
      <c r="A352" s="990" t="s">
        <v>896</v>
      </c>
      <c r="B352" s="991"/>
      <c r="C352" s="991"/>
      <c r="D352" s="991"/>
      <c r="E352" s="992"/>
      <c r="F352" s="303"/>
      <c r="G352" s="303"/>
      <c r="H352" s="102"/>
      <c r="I352" s="102"/>
      <c r="J352" s="102"/>
      <c r="K352" s="102"/>
      <c r="L352" s="102"/>
      <c r="N352" s="107"/>
      <c r="O352" s="107"/>
      <c r="P352" s="107"/>
      <c r="Q352" s="107"/>
      <c r="R352" s="107"/>
      <c r="S352" s="107"/>
    </row>
    <row r="353" spans="1:20">
      <c r="A353" s="586" t="s">
        <v>169</v>
      </c>
      <c r="B353" s="586" t="s">
        <v>173</v>
      </c>
      <c r="C353" s="586" t="s">
        <v>177</v>
      </c>
      <c r="D353" s="586" t="s">
        <v>182</v>
      </c>
      <c r="E353" s="629" t="s">
        <v>171</v>
      </c>
      <c r="F353" s="304"/>
      <c r="G353" s="304"/>
      <c r="H353" s="604"/>
      <c r="I353" s="989"/>
      <c r="J353" s="989"/>
      <c r="K353" s="635"/>
      <c r="L353" s="604"/>
      <c r="N353" s="107"/>
      <c r="O353" s="107"/>
      <c r="P353" s="107"/>
      <c r="Q353" s="107"/>
      <c r="R353" s="107"/>
      <c r="S353" s="107"/>
    </row>
    <row r="354" spans="1:20" ht="15" customHeight="1">
      <c r="A354" s="983" t="s">
        <v>897</v>
      </c>
      <c r="B354" s="821" t="s">
        <v>898</v>
      </c>
      <c r="C354" s="821" t="s">
        <v>899</v>
      </c>
      <c r="D354" s="821"/>
      <c r="E354" s="984" t="s">
        <v>546</v>
      </c>
      <c r="F354" s="271"/>
      <c r="G354" s="271"/>
      <c r="H354" s="574"/>
      <c r="I354" s="810"/>
      <c r="J354" s="810"/>
      <c r="K354" s="574"/>
      <c r="N354" s="107"/>
      <c r="O354" s="107"/>
      <c r="P354" s="107"/>
      <c r="Q354" s="107"/>
      <c r="R354" s="107"/>
      <c r="S354" s="107"/>
    </row>
    <row r="355" spans="1:20">
      <c r="A355" s="983"/>
      <c r="B355" s="821"/>
      <c r="C355" s="587" t="s">
        <v>547</v>
      </c>
      <c r="D355" s="587" t="s">
        <v>548</v>
      </c>
      <c r="E355" s="985"/>
      <c r="F355" s="271"/>
      <c r="G355" s="271"/>
      <c r="H355" s="574"/>
      <c r="I355" s="574"/>
      <c r="J355" s="574"/>
      <c r="K355" s="574"/>
      <c r="N355" s="107"/>
      <c r="O355" s="107"/>
      <c r="P355" s="107"/>
      <c r="Q355" s="107"/>
      <c r="R355" s="107"/>
      <c r="S355" s="107"/>
    </row>
    <row r="356" spans="1:20" ht="48.75" customHeight="1">
      <c r="A356" s="112" t="s">
        <v>900</v>
      </c>
      <c r="B356" s="289" t="s">
        <v>551</v>
      </c>
      <c r="C356" s="290" t="s">
        <v>901</v>
      </c>
      <c r="D356" s="290" t="s">
        <v>902</v>
      </c>
      <c r="E356" s="291" t="s">
        <v>558</v>
      </c>
      <c r="F356" s="292"/>
      <c r="G356" s="128"/>
      <c r="I356" s="105"/>
      <c r="J356" s="45"/>
      <c r="N356" s="107"/>
      <c r="O356" s="107"/>
      <c r="P356" s="107"/>
      <c r="Q356" s="107"/>
      <c r="R356" s="107"/>
      <c r="S356" s="107"/>
    </row>
    <row r="357" spans="1:20">
      <c r="A357" s="128"/>
      <c r="B357" s="128"/>
      <c r="C357" s="128"/>
      <c r="D357" s="128"/>
      <c r="E357" s="128"/>
      <c r="F357" s="128"/>
      <c r="G357" s="128"/>
    </row>
    <row r="358" spans="1:20">
      <c r="A358" s="994" t="s">
        <v>903</v>
      </c>
      <c r="B358" s="995"/>
      <c r="C358" s="995"/>
      <c r="D358" s="995"/>
      <c r="E358" s="995"/>
      <c r="F358" s="996"/>
      <c r="G358" s="303"/>
      <c r="H358" s="102"/>
      <c r="I358" s="102"/>
      <c r="J358" s="102"/>
      <c r="K358" s="102"/>
      <c r="L358" s="102"/>
      <c r="N358" s="107"/>
      <c r="O358" s="107"/>
      <c r="P358" s="107"/>
      <c r="Q358" s="107"/>
      <c r="R358" s="107"/>
      <c r="S358" s="107"/>
    </row>
    <row r="359" spans="1:20">
      <c r="A359" s="586" t="s">
        <v>169</v>
      </c>
      <c r="B359" s="586" t="s">
        <v>173</v>
      </c>
      <c r="C359" s="586" t="s">
        <v>177</v>
      </c>
      <c r="D359" s="586" t="s">
        <v>182</v>
      </c>
      <c r="E359" s="586" t="s">
        <v>171</v>
      </c>
      <c r="F359" s="629" t="s">
        <v>175</v>
      </c>
      <c r="G359" s="304"/>
      <c r="H359" s="604"/>
      <c r="I359" s="604"/>
      <c r="J359" s="989"/>
      <c r="K359" s="989"/>
      <c r="L359" s="635"/>
      <c r="M359" s="604"/>
      <c r="O359" s="107"/>
      <c r="P359" s="107"/>
      <c r="Q359" s="107"/>
      <c r="R359" s="107"/>
      <c r="S359" s="107"/>
      <c r="T359" s="107"/>
    </row>
    <row r="360" spans="1:20" ht="15" customHeight="1">
      <c r="A360" s="983" t="s">
        <v>897</v>
      </c>
      <c r="B360" s="821" t="s">
        <v>898</v>
      </c>
      <c r="C360" s="587" t="s">
        <v>904</v>
      </c>
      <c r="D360" s="821" t="s">
        <v>899</v>
      </c>
      <c r="E360" s="821"/>
      <c r="F360" s="984" t="s">
        <v>546</v>
      </c>
      <c r="G360" s="271"/>
      <c r="H360" s="574"/>
      <c r="I360" s="574"/>
      <c r="J360" s="810"/>
      <c r="K360" s="810"/>
      <c r="L360" s="574"/>
      <c r="O360" s="107"/>
      <c r="P360" s="107"/>
      <c r="Q360" s="107"/>
      <c r="R360" s="107"/>
      <c r="S360" s="107"/>
      <c r="T360" s="107"/>
    </row>
    <row r="361" spans="1:20">
      <c r="A361" s="983"/>
      <c r="B361" s="821"/>
      <c r="C361" s="587" t="s">
        <v>547</v>
      </c>
      <c r="D361" s="587" t="s">
        <v>547</v>
      </c>
      <c r="E361" s="587" t="s">
        <v>548</v>
      </c>
      <c r="F361" s="985"/>
      <c r="G361" s="271"/>
      <c r="H361" s="574"/>
      <c r="I361" s="574"/>
      <c r="J361" s="574"/>
      <c r="K361" s="574"/>
      <c r="L361" s="574"/>
      <c r="O361" s="107"/>
      <c r="P361" s="107"/>
      <c r="Q361" s="107"/>
      <c r="R361" s="107"/>
      <c r="S361" s="107"/>
      <c r="T361" s="107"/>
    </row>
    <row r="362" spans="1:20" ht="48.75" customHeight="1">
      <c r="A362" s="112" t="s">
        <v>905</v>
      </c>
      <c r="B362" s="289" t="s">
        <v>551</v>
      </c>
      <c r="C362" s="290" t="s">
        <v>906</v>
      </c>
      <c r="D362" s="290" t="s">
        <v>901</v>
      </c>
      <c r="E362" s="290" t="s">
        <v>902</v>
      </c>
      <c r="F362" s="291" t="s">
        <v>558</v>
      </c>
      <c r="G362" s="292"/>
      <c r="J362" s="105"/>
      <c r="K362" s="45"/>
      <c r="O362" s="107"/>
      <c r="P362" s="107"/>
      <c r="Q362" s="107"/>
      <c r="R362" s="107"/>
      <c r="S362" s="107"/>
      <c r="T362" s="107"/>
    </row>
    <row r="363" spans="1:20" ht="63.95" customHeight="1">
      <c r="A363" s="112" t="s">
        <v>907</v>
      </c>
      <c r="B363" s="289" t="s">
        <v>551</v>
      </c>
      <c r="C363" s="518" t="s">
        <v>908</v>
      </c>
      <c r="D363" s="290" t="s">
        <v>901</v>
      </c>
      <c r="E363" s="290" t="s">
        <v>902</v>
      </c>
      <c r="F363" s="291" t="s">
        <v>558</v>
      </c>
      <c r="G363" s="292"/>
      <c r="J363" s="105"/>
      <c r="K363" s="45"/>
      <c r="O363" s="107"/>
      <c r="P363" s="107"/>
      <c r="Q363" s="107"/>
      <c r="R363" s="107"/>
      <c r="S363" s="107"/>
      <c r="T363" s="107"/>
    </row>
    <row r="364" spans="1:20">
      <c r="A364" s="128"/>
      <c r="B364" s="128"/>
      <c r="C364" s="128"/>
      <c r="D364" s="128"/>
      <c r="E364" s="128"/>
      <c r="F364" s="128"/>
      <c r="G364" s="128"/>
    </row>
    <row r="373" spans="1:19">
      <c r="A373" s="986" t="s">
        <v>909</v>
      </c>
      <c r="B373" s="987"/>
      <c r="C373" s="987"/>
      <c r="D373" s="987"/>
      <c r="E373" s="988"/>
      <c r="F373" s="102"/>
      <c r="G373" s="102"/>
      <c r="H373" s="102"/>
      <c r="I373" s="102"/>
      <c r="J373" s="102"/>
      <c r="K373" s="102"/>
      <c r="L373" s="102"/>
    </row>
    <row r="374" spans="1:19">
      <c r="A374" s="586" t="s">
        <v>169</v>
      </c>
      <c r="B374" s="586" t="s">
        <v>173</v>
      </c>
      <c r="C374" s="586" t="s">
        <v>177</v>
      </c>
      <c r="D374" s="586" t="s">
        <v>182</v>
      </c>
      <c r="E374" s="629" t="s">
        <v>171</v>
      </c>
      <c r="F374" s="604"/>
      <c r="G374" s="604"/>
      <c r="H374" s="604"/>
      <c r="I374" s="989"/>
      <c r="J374" s="989"/>
      <c r="K374" s="635"/>
      <c r="L374" s="604"/>
    </row>
    <row r="375" spans="1:19">
      <c r="A375" s="983" t="s">
        <v>897</v>
      </c>
      <c r="B375" s="821" t="s">
        <v>898</v>
      </c>
      <c r="C375" s="821" t="s">
        <v>899</v>
      </c>
      <c r="D375" s="821"/>
      <c r="E375" s="821" t="s">
        <v>546</v>
      </c>
      <c r="F375" s="574"/>
      <c r="G375" s="574"/>
      <c r="H375" s="574"/>
      <c r="I375" s="810"/>
      <c r="J375" s="810"/>
      <c r="K375" s="574"/>
    </row>
    <row r="376" spans="1:19">
      <c r="A376" s="983"/>
      <c r="B376" s="821"/>
      <c r="C376" s="587" t="s">
        <v>547</v>
      </c>
      <c r="D376" s="587" t="s">
        <v>548</v>
      </c>
      <c r="E376" s="821"/>
      <c r="F376" s="574"/>
      <c r="G376" s="574"/>
      <c r="H376" s="574"/>
      <c r="I376" s="574"/>
      <c r="J376" s="574"/>
      <c r="K376" s="574"/>
    </row>
    <row r="377" spans="1:19" ht="48.75" customHeight="1">
      <c r="A377" s="293" t="s">
        <v>910</v>
      </c>
      <c r="B377" s="289" t="s">
        <v>551</v>
      </c>
      <c r="C377" s="290" t="s">
        <v>901</v>
      </c>
      <c r="D377" s="290" t="s">
        <v>911</v>
      </c>
      <c r="E377" s="821"/>
      <c r="F377" s="45"/>
      <c r="I377" s="105"/>
      <c r="J377" s="45"/>
    </row>
    <row r="378" spans="1:19" ht="48.6">
      <c r="A378" s="305" t="s">
        <v>912</v>
      </c>
      <c r="B378" s="295" t="s">
        <v>555</v>
      </c>
      <c r="C378" s="290" t="s">
        <v>913</v>
      </c>
      <c r="D378" s="290" t="s">
        <v>914</v>
      </c>
      <c r="E378" s="291" t="s">
        <v>558</v>
      </c>
      <c r="F378" s="44"/>
      <c r="I378" s="577"/>
      <c r="J378" s="577"/>
    </row>
    <row r="379" spans="1:19">
      <c r="A379" s="128"/>
      <c r="B379" s="128"/>
      <c r="C379" s="128"/>
      <c r="D379" s="128"/>
      <c r="E379" s="128"/>
    </row>
    <row r="380" spans="1:19">
      <c r="A380" s="128"/>
      <c r="B380" s="128"/>
      <c r="C380" s="128"/>
      <c r="D380" s="128"/>
      <c r="E380" s="128"/>
    </row>
    <row r="381" spans="1:19">
      <c r="A381" s="990" t="s">
        <v>915</v>
      </c>
      <c r="B381" s="991"/>
      <c r="C381" s="991"/>
      <c r="D381" s="991"/>
      <c r="E381" s="992"/>
      <c r="F381" s="102"/>
      <c r="G381" s="102"/>
      <c r="H381" s="102"/>
      <c r="I381" s="102"/>
      <c r="J381" s="102"/>
      <c r="K381" s="102"/>
      <c r="L381" s="102"/>
      <c r="N381" s="107"/>
      <c r="O381" s="107"/>
      <c r="P381" s="107"/>
      <c r="Q381" s="107"/>
      <c r="R381" s="107"/>
      <c r="S381" s="107"/>
    </row>
    <row r="382" spans="1:19">
      <c r="A382" s="586" t="s">
        <v>169</v>
      </c>
      <c r="B382" s="586" t="s">
        <v>173</v>
      </c>
      <c r="C382" s="586" t="s">
        <v>177</v>
      </c>
      <c r="D382" s="586" t="s">
        <v>182</v>
      </c>
      <c r="E382" s="629" t="s">
        <v>171</v>
      </c>
      <c r="F382" s="604"/>
      <c r="G382" s="604"/>
      <c r="H382" s="604"/>
      <c r="I382" s="989"/>
      <c r="J382" s="989"/>
      <c r="K382" s="635"/>
      <c r="L382" s="604"/>
      <c r="N382" s="107"/>
      <c r="O382" s="107"/>
      <c r="P382" s="107"/>
      <c r="Q382" s="107"/>
      <c r="R382" s="107"/>
      <c r="S382" s="107"/>
    </row>
    <row r="383" spans="1:19" ht="15" customHeight="1">
      <c r="A383" s="983" t="s">
        <v>897</v>
      </c>
      <c r="B383" s="821" t="s">
        <v>898</v>
      </c>
      <c r="C383" s="821" t="s">
        <v>899</v>
      </c>
      <c r="D383" s="821"/>
      <c r="E383" s="984" t="s">
        <v>546</v>
      </c>
      <c r="F383" s="574"/>
      <c r="G383" s="574"/>
      <c r="H383" s="574"/>
      <c r="I383" s="810"/>
      <c r="J383" s="810"/>
      <c r="K383" s="574"/>
      <c r="N383" s="107"/>
      <c r="O383" s="107"/>
      <c r="P383" s="107"/>
      <c r="Q383" s="107"/>
      <c r="R383" s="107"/>
      <c r="S383" s="107"/>
    </row>
    <row r="384" spans="1:19">
      <c r="A384" s="983"/>
      <c r="B384" s="821"/>
      <c r="C384" s="587" t="s">
        <v>547</v>
      </c>
      <c r="D384" s="587" t="s">
        <v>548</v>
      </c>
      <c r="E384" s="985"/>
      <c r="F384" s="574"/>
      <c r="G384" s="574"/>
      <c r="H384" s="574"/>
      <c r="I384" s="574"/>
      <c r="J384" s="574"/>
      <c r="K384" s="574"/>
      <c r="N384" s="107"/>
      <c r="O384" s="107"/>
      <c r="P384" s="107"/>
      <c r="Q384" s="107"/>
      <c r="R384" s="107"/>
      <c r="S384" s="107"/>
    </row>
    <row r="385" spans="1:19" ht="48.75" customHeight="1">
      <c r="A385" s="112" t="s">
        <v>633</v>
      </c>
      <c r="B385" s="289" t="s">
        <v>551</v>
      </c>
      <c r="C385" s="290" t="s">
        <v>901</v>
      </c>
      <c r="D385" s="290" t="s">
        <v>902</v>
      </c>
      <c r="E385" s="291" t="s">
        <v>558</v>
      </c>
      <c r="F385" s="45"/>
      <c r="I385" s="105"/>
      <c r="J385" s="45"/>
      <c r="N385" s="107"/>
      <c r="O385" s="107"/>
      <c r="P385" s="107"/>
      <c r="Q385" s="107"/>
      <c r="R385" s="107"/>
      <c r="S385" s="107"/>
    </row>
  </sheetData>
  <mergeCells count="264">
    <mergeCell ref="F192:G192"/>
    <mergeCell ref="D189:E189"/>
    <mergeCell ref="B202:B203"/>
    <mergeCell ref="A16:I16"/>
    <mergeCell ref="J21:J27"/>
    <mergeCell ref="K21:K27"/>
    <mergeCell ref="B319:C319"/>
    <mergeCell ref="D319:K319"/>
    <mergeCell ref="B156:C156"/>
    <mergeCell ref="D156:L156"/>
    <mergeCell ref="B187:C187"/>
    <mergeCell ref="D187:M187"/>
    <mergeCell ref="B207:C207"/>
    <mergeCell ref="D207:L207"/>
    <mergeCell ref="B232:C232"/>
    <mergeCell ref="D232:I232"/>
    <mergeCell ref="M183:M184"/>
    <mergeCell ref="C199:L199"/>
    <mergeCell ref="J200:K200"/>
    <mergeCell ref="J201:K201"/>
    <mergeCell ref="D200:E200"/>
    <mergeCell ref="D201:E201"/>
    <mergeCell ref="D193:E193"/>
    <mergeCell ref="F193:G193"/>
    <mergeCell ref="F189:G189"/>
    <mergeCell ref="F190:G190"/>
    <mergeCell ref="F191:G191"/>
    <mergeCell ref="F73:F74"/>
    <mergeCell ref="G71:I71"/>
    <mergeCell ref="M71:M72"/>
    <mergeCell ref="C73:C74"/>
    <mergeCell ref="D73:D74"/>
    <mergeCell ref="J73:J74"/>
    <mergeCell ref="M73:M74"/>
    <mergeCell ref="D71:F71"/>
    <mergeCell ref="C71:C72"/>
    <mergeCell ref="A186:B186"/>
    <mergeCell ref="A153:I153"/>
    <mergeCell ref="A108:L108"/>
    <mergeCell ref="C109:L109"/>
    <mergeCell ref="J110:K110"/>
    <mergeCell ref="A111:A112"/>
    <mergeCell ref="C111:C112"/>
    <mergeCell ref="G111:H111"/>
    <mergeCell ref="I111:I112"/>
    <mergeCell ref="J111:K112"/>
    <mergeCell ref="L111:L112"/>
    <mergeCell ref="D111:E111"/>
    <mergeCell ref="F111:F112"/>
    <mergeCell ref="A116:I116"/>
    <mergeCell ref="I151:I152"/>
    <mergeCell ref="D183:E183"/>
    <mergeCell ref="I183:I184"/>
    <mergeCell ref="L151:L152"/>
    <mergeCell ref="D182:E182"/>
    <mergeCell ref="B118:C118"/>
    <mergeCell ref="D118:L118"/>
    <mergeCell ref="A117:B117"/>
    <mergeCell ref="B183:B184"/>
    <mergeCell ref="A14:A15"/>
    <mergeCell ref="B14:B15"/>
    <mergeCell ref="C14:C15"/>
    <mergeCell ref="H14:H15"/>
    <mergeCell ref="I14:I15"/>
    <mergeCell ref="L14:L15"/>
    <mergeCell ref="A9:L9"/>
    <mergeCell ref="C10:L10"/>
    <mergeCell ref="H151:H152"/>
    <mergeCell ref="D14:D15"/>
    <mergeCell ref="C11:L11"/>
    <mergeCell ref="J71:J72"/>
    <mergeCell ref="K71:L72"/>
    <mergeCell ref="A73:A74"/>
    <mergeCell ref="J12:K12"/>
    <mergeCell ref="J13:K13"/>
    <mergeCell ref="B19:C19"/>
    <mergeCell ref="D19:L19"/>
    <mergeCell ref="B78:C78"/>
    <mergeCell ref="D78:M78"/>
    <mergeCell ref="E14:E15"/>
    <mergeCell ref="A18:B18"/>
    <mergeCell ref="A77:B77"/>
    <mergeCell ref="A147:L147"/>
    <mergeCell ref="C148:L148"/>
    <mergeCell ref="J149:K149"/>
    <mergeCell ref="H70:I70"/>
    <mergeCell ref="A155:B155"/>
    <mergeCell ref="A3:L3"/>
    <mergeCell ref="A4:L4"/>
    <mergeCell ref="G5:H5"/>
    <mergeCell ref="I5:J5"/>
    <mergeCell ref="K5:L5"/>
    <mergeCell ref="G6:H6"/>
    <mergeCell ref="I6:J6"/>
    <mergeCell ref="K6:L6"/>
    <mergeCell ref="B5:D6"/>
    <mergeCell ref="A5:A6"/>
    <mergeCell ref="A7:L7"/>
    <mergeCell ref="B71:B72"/>
    <mergeCell ref="B73:B74"/>
    <mergeCell ref="A75:J75"/>
    <mergeCell ref="A76:J76"/>
    <mergeCell ref="B111:B112"/>
    <mergeCell ref="B113:B114"/>
    <mergeCell ref="A71:A72"/>
    <mergeCell ref="E73:E74"/>
    <mergeCell ref="A185:J185"/>
    <mergeCell ref="D190:E190"/>
    <mergeCell ref="D191:E191"/>
    <mergeCell ref="D192:E192"/>
    <mergeCell ref="D195:E195"/>
    <mergeCell ref="D196:E196"/>
    <mergeCell ref="D202:E202"/>
    <mergeCell ref="A202:A203"/>
    <mergeCell ref="K70:L70"/>
    <mergeCell ref="D181:E181"/>
    <mergeCell ref="A113:A114"/>
    <mergeCell ref="C113:C114"/>
    <mergeCell ref="A179:M179"/>
    <mergeCell ref="I113:I114"/>
    <mergeCell ref="C180:M180"/>
    <mergeCell ref="L113:L114"/>
    <mergeCell ref="A115:I115"/>
    <mergeCell ref="A151:A152"/>
    <mergeCell ref="B151:B152"/>
    <mergeCell ref="C151:C152"/>
    <mergeCell ref="K181:L181"/>
    <mergeCell ref="D113:D114"/>
    <mergeCell ref="E113:E114"/>
    <mergeCell ref="F113:F114"/>
    <mergeCell ref="H290:I290"/>
    <mergeCell ref="A250:A251"/>
    <mergeCell ref="C250:C251"/>
    <mergeCell ref="G250:G251"/>
    <mergeCell ref="D228:D229"/>
    <mergeCell ref="J226:K226"/>
    <mergeCell ref="G291:G292"/>
    <mergeCell ref="K289:L289"/>
    <mergeCell ref="C69:M69"/>
    <mergeCell ref="H72:I72"/>
    <mergeCell ref="A198:L198"/>
    <mergeCell ref="L202:L203"/>
    <mergeCell ref="D194:E194"/>
    <mergeCell ref="J150:K150"/>
    <mergeCell ref="F181:G181"/>
    <mergeCell ref="D184:E184"/>
    <mergeCell ref="D188:E188"/>
    <mergeCell ref="F188:G188"/>
    <mergeCell ref="K182:L182"/>
    <mergeCell ref="F182:G182"/>
    <mergeCell ref="C183:C184"/>
    <mergeCell ref="J183:J184"/>
    <mergeCell ref="F183:G183"/>
    <mergeCell ref="F184:G184"/>
    <mergeCell ref="C288:J288"/>
    <mergeCell ref="A287:J287"/>
    <mergeCell ref="D250:D251"/>
    <mergeCell ref="E250:F250"/>
    <mergeCell ref="A230:F230"/>
    <mergeCell ref="G226:H226"/>
    <mergeCell ref="F228:F229"/>
    <mergeCell ref="I228:I229"/>
    <mergeCell ref="C248:J248"/>
    <mergeCell ref="H249:I249"/>
    <mergeCell ref="A256:B256"/>
    <mergeCell ref="G227:H227"/>
    <mergeCell ref="A228:A229"/>
    <mergeCell ref="B228:B229"/>
    <mergeCell ref="H202:H203"/>
    <mergeCell ref="I202:I203"/>
    <mergeCell ref="D208:E208"/>
    <mergeCell ref="A231:B231"/>
    <mergeCell ref="A204:I204"/>
    <mergeCell ref="D209:E209"/>
    <mergeCell ref="D210:E210"/>
    <mergeCell ref="A224:I224"/>
    <mergeCell ref="C225:I225"/>
    <mergeCell ref="D203:E203"/>
    <mergeCell ref="C202:C203"/>
    <mergeCell ref="C228:C229"/>
    <mergeCell ref="A247:J247"/>
    <mergeCell ref="A206:B206"/>
    <mergeCell ref="A255:G255"/>
    <mergeCell ref="J250:J251"/>
    <mergeCell ref="A252:A253"/>
    <mergeCell ref="C252:C253"/>
    <mergeCell ref="D252:D253"/>
    <mergeCell ref="G252:G253"/>
    <mergeCell ref="J252:J253"/>
    <mergeCell ref="B250:B251"/>
    <mergeCell ref="B252:B253"/>
    <mergeCell ref="A254:G254"/>
    <mergeCell ref="B257:C257"/>
    <mergeCell ref="D257:J257"/>
    <mergeCell ref="H250:I251"/>
    <mergeCell ref="K314:K315"/>
    <mergeCell ref="A312:A313"/>
    <mergeCell ref="C312:C313"/>
    <mergeCell ref="H312:H313"/>
    <mergeCell ref="I312:J313"/>
    <mergeCell ref="G314:G315"/>
    <mergeCell ref="A294:G294"/>
    <mergeCell ref="B312:B313"/>
    <mergeCell ref="K312:K313"/>
    <mergeCell ref="D312:D313"/>
    <mergeCell ref="E312:E313"/>
    <mergeCell ref="F312:F313"/>
    <mergeCell ref="G312:G313"/>
    <mergeCell ref="I311:J311"/>
    <mergeCell ref="A309:K309"/>
    <mergeCell ref="C310:K310"/>
    <mergeCell ref="A295:B295"/>
    <mergeCell ref="B296:C296"/>
    <mergeCell ref="D296:J296"/>
    <mergeCell ref="C291:C292"/>
    <mergeCell ref="H289:I289"/>
    <mergeCell ref="Q18:V18"/>
    <mergeCell ref="J359:K359"/>
    <mergeCell ref="A360:A361"/>
    <mergeCell ref="B360:B361"/>
    <mergeCell ref="D360:E360"/>
    <mergeCell ref="F360:F361"/>
    <mergeCell ref="J360:K360"/>
    <mergeCell ref="A358:F358"/>
    <mergeCell ref="A317:I317"/>
    <mergeCell ref="J291:J292"/>
    <mergeCell ref="A352:E352"/>
    <mergeCell ref="I353:J353"/>
    <mergeCell ref="A354:A355"/>
    <mergeCell ref="B354:B355"/>
    <mergeCell ref="C354:D354"/>
    <mergeCell ref="E354:E355"/>
    <mergeCell ref="I354:J354"/>
    <mergeCell ref="A316:H316"/>
    <mergeCell ref="B314:B315"/>
    <mergeCell ref="A318:B318"/>
    <mergeCell ref="A314:A315"/>
    <mergeCell ref="C314:C315"/>
    <mergeCell ref="H74:I74"/>
    <mergeCell ref="D314:D315"/>
    <mergeCell ref="A68:M68"/>
    <mergeCell ref="A383:A384"/>
    <mergeCell ref="B383:B384"/>
    <mergeCell ref="C383:D383"/>
    <mergeCell ref="E383:E384"/>
    <mergeCell ref="I383:J383"/>
    <mergeCell ref="A373:E373"/>
    <mergeCell ref="I374:J374"/>
    <mergeCell ref="A375:A376"/>
    <mergeCell ref="B375:B376"/>
    <mergeCell ref="C375:D375"/>
    <mergeCell ref="E375:E377"/>
    <mergeCell ref="I375:J375"/>
    <mergeCell ref="A381:E381"/>
    <mergeCell ref="I382:J382"/>
    <mergeCell ref="A293:G293"/>
    <mergeCell ref="A291:A292"/>
    <mergeCell ref="B291:B292"/>
    <mergeCell ref="D291:D292"/>
    <mergeCell ref="F291:F292"/>
    <mergeCell ref="F314:F315"/>
    <mergeCell ref="H314:H315"/>
    <mergeCell ref="H73:I73"/>
    <mergeCell ref="E314:E315"/>
  </mergeCells>
  <pageMargins left="0.7" right="0.7" top="0.75" bottom="0.75" header="0.3" footer="0.3"/>
  <pageSetup paperSize="3" scale="93" orientation="landscape" cellComments="asDisplayed" errors="blank"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1:V141"/>
  <sheetViews>
    <sheetView topLeftCell="A32" zoomScale="60" zoomScaleNormal="60" workbookViewId="0">
      <selection activeCell="E12" sqref="E12"/>
    </sheetView>
  </sheetViews>
  <sheetFormatPr defaultColWidth="9.42578125" defaultRowHeight="14.45"/>
  <cols>
    <col min="1" max="1" width="15.42578125" customWidth="1"/>
    <col min="2" max="2" width="20.42578125" customWidth="1"/>
    <col min="3" max="3" width="15.42578125" customWidth="1"/>
    <col min="4" max="4" width="14.42578125" customWidth="1"/>
    <col min="5" max="5" width="19.42578125" customWidth="1"/>
    <col min="6" max="6" width="18.42578125" customWidth="1"/>
    <col min="7" max="7" width="15.42578125" customWidth="1"/>
    <col min="8" max="8" width="14" customWidth="1"/>
    <col min="9" max="9" width="13.42578125" customWidth="1"/>
    <col min="10" max="10" width="17.42578125" customWidth="1"/>
    <col min="11" max="11" width="13" customWidth="1"/>
    <col min="12" max="12" width="28.7109375" customWidth="1"/>
    <col min="14" max="14" width="15.85546875" customWidth="1"/>
  </cols>
  <sheetData>
    <row r="1" spans="1:21">
      <c r="A1" s="10"/>
      <c r="B1" t="s">
        <v>140</v>
      </c>
      <c r="C1" s="11"/>
      <c r="D1" t="s">
        <v>141</v>
      </c>
      <c r="F1" s="32"/>
      <c r="G1" t="s">
        <v>142</v>
      </c>
      <c r="K1" s="12"/>
      <c r="L1" t="s">
        <v>143</v>
      </c>
    </row>
    <row r="2" spans="1:21" ht="12.75" customHeight="1">
      <c r="N2" s="73"/>
      <c r="O2" s="73"/>
      <c r="P2" s="73"/>
      <c r="Q2" s="73"/>
      <c r="R2" s="73"/>
      <c r="S2" s="73"/>
    </row>
    <row r="3" spans="1:21" ht="15" customHeight="1">
      <c r="A3" s="640" t="s">
        <v>916</v>
      </c>
      <c r="B3" s="831"/>
      <c r="C3" s="831"/>
      <c r="D3" s="831"/>
      <c r="E3" s="831"/>
      <c r="F3" s="831"/>
      <c r="G3" s="831"/>
      <c r="H3" s="831"/>
      <c r="I3" s="831"/>
      <c r="J3" s="831"/>
      <c r="K3" s="831"/>
      <c r="L3" s="831"/>
      <c r="M3" s="831"/>
      <c r="N3" s="641"/>
      <c r="O3" s="73"/>
      <c r="P3" s="73"/>
      <c r="Q3" s="73"/>
      <c r="R3" s="73"/>
      <c r="S3" s="73"/>
    </row>
    <row r="4" spans="1:21" s="51" customFormat="1" ht="24.75" customHeight="1">
      <c r="A4" s="1065" t="s">
        <v>917</v>
      </c>
      <c r="B4" s="1065"/>
      <c r="C4" s="1065"/>
      <c r="D4" s="1065"/>
      <c r="E4" s="1065"/>
      <c r="F4" s="1065"/>
      <c r="G4" s="1065"/>
      <c r="H4" s="1065"/>
      <c r="I4" s="1065"/>
      <c r="J4" s="1065"/>
      <c r="K4" s="1065"/>
      <c r="L4" s="1065"/>
      <c r="M4" s="1065"/>
      <c r="N4" s="1065"/>
      <c r="O4" s="73"/>
      <c r="P4" s="73"/>
      <c r="Q4" s="73"/>
      <c r="R4" s="73"/>
      <c r="S4" s="73"/>
    </row>
    <row r="5" spans="1:21" ht="16.5">
      <c r="A5" s="539" t="s">
        <v>169</v>
      </c>
      <c r="B5" s="1053" t="s">
        <v>918</v>
      </c>
      <c r="C5" s="1053"/>
      <c r="D5" s="1053"/>
      <c r="E5" s="1053"/>
      <c r="F5" s="130" t="s">
        <v>273</v>
      </c>
      <c r="G5" s="521" t="s">
        <v>919</v>
      </c>
      <c r="H5" s="335" t="s">
        <v>920</v>
      </c>
      <c r="I5" s="927" t="s">
        <v>921</v>
      </c>
      <c r="J5" s="927"/>
      <c r="K5" s="1049" t="s">
        <v>922</v>
      </c>
      <c r="L5" s="1049"/>
      <c r="M5" s="73"/>
      <c r="N5" s="73"/>
      <c r="O5" s="73"/>
      <c r="P5" s="73"/>
      <c r="Q5" s="73"/>
      <c r="R5" s="73"/>
      <c r="S5" s="73"/>
    </row>
    <row r="6" spans="1:21">
      <c r="A6" s="1054" t="s">
        <v>923</v>
      </c>
      <c r="B6" s="1054"/>
      <c r="C6" s="1054"/>
      <c r="D6" s="1054"/>
      <c r="E6" s="1054"/>
      <c r="F6" s="1054"/>
      <c r="G6" s="1054"/>
      <c r="H6" s="1054"/>
      <c r="I6" s="1054"/>
      <c r="J6" s="1054"/>
      <c r="K6" s="1054"/>
      <c r="L6" s="1054"/>
      <c r="N6" s="73"/>
      <c r="O6" s="73"/>
      <c r="P6" s="73"/>
      <c r="Q6" s="73"/>
      <c r="R6" s="73"/>
      <c r="S6" s="73"/>
    </row>
    <row r="7" spans="1:21">
      <c r="A7" s="1066" t="s">
        <v>924</v>
      </c>
      <c r="B7" s="1066"/>
      <c r="C7" s="1066"/>
      <c r="D7" s="1066"/>
      <c r="E7" s="1066"/>
      <c r="F7" s="1066"/>
      <c r="G7" s="1066"/>
      <c r="H7" s="1066"/>
      <c r="I7" s="1066"/>
      <c r="J7" s="1066"/>
      <c r="K7" s="635"/>
      <c r="L7" s="635"/>
      <c r="N7" s="73"/>
      <c r="O7" s="73"/>
      <c r="P7" s="73"/>
      <c r="Q7" s="73"/>
      <c r="R7" s="73"/>
      <c r="S7" s="73"/>
    </row>
    <row r="8" spans="1:21">
      <c r="A8" s="193"/>
      <c r="B8" s="133"/>
      <c r="C8" s="133"/>
      <c r="D8" s="133"/>
      <c r="E8" s="135"/>
      <c r="F8" s="135"/>
      <c r="G8" s="635"/>
      <c r="H8" s="635"/>
      <c r="I8" s="635"/>
      <c r="J8" s="635"/>
      <c r="K8" s="635"/>
      <c r="L8" s="635"/>
      <c r="N8" s="73"/>
      <c r="O8" s="73"/>
      <c r="P8" s="73"/>
      <c r="Q8" s="73"/>
      <c r="R8" s="73"/>
      <c r="S8" s="73"/>
    </row>
    <row r="9" spans="1:21">
      <c r="A9" s="968" t="s">
        <v>925</v>
      </c>
      <c r="B9" s="968"/>
      <c r="C9" s="968"/>
      <c r="D9" s="968"/>
      <c r="E9" s="968"/>
      <c r="F9" s="968"/>
      <c r="G9" s="968"/>
      <c r="H9" s="968"/>
      <c r="I9" s="968"/>
      <c r="J9" s="968"/>
      <c r="K9" s="968"/>
      <c r="L9" s="968"/>
      <c r="N9" s="73"/>
      <c r="O9" s="73"/>
      <c r="P9" s="73"/>
      <c r="Q9" s="73"/>
      <c r="R9" s="73"/>
      <c r="S9" s="73"/>
    </row>
    <row r="10" spans="1:21" ht="16.5">
      <c r="A10" s="600" t="s">
        <v>169</v>
      </c>
      <c r="B10" s="98" t="s">
        <v>185</v>
      </c>
      <c r="C10" s="1050" t="s">
        <v>926</v>
      </c>
      <c r="D10" s="1051"/>
      <c r="E10" s="1051"/>
      <c r="F10" s="1051"/>
      <c r="G10" s="1051"/>
      <c r="H10" s="1051"/>
      <c r="I10" s="1051"/>
      <c r="J10" s="1051"/>
      <c r="K10" s="1051"/>
      <c r="L10" s="1052"/>
      <c r="N10" s="73"/>
      <c r="O10" s="73"/>
      <c r="P10" s="73"/>
      <c r="Q10" s="73"/>
      <c r="R10" s="73"/>
      <c r="S10" s="73"/>
    </row>
    <row r="11" spans="1:21" ht="15" customHeight="1">
      <c r="A11" s="91" t="s">
        <v>173</v>
      </c>
      <c r="B11" s="91" t="s">
        <v>177</v>
      </c>
      <c r="C11" s="92" t="s">
        <v>182</v>
      </c>
      <c r="D11" s="91" t="s">
        <v>171</v>
      </c>
      <c r="E11" s="92" t="s">
        <v>175</v>
      </c>
      <c r="F11" s="93" t="s">
        <v>180</v>
      </c>
      <c r="G11" s="600" t="s">
        <v>184</v>
      </c>
      <c r="H11" s="600" t="s">
        <v>290</v>
      </c>
      <c r="I11" s="600" t="s">
        <v>291</v>
      </c>
      <c r="J11" s="1010" t="s">
        <v>292</v>
      </c>
      <c r="K11" s="1011"/>
      <c r="L11" s="94">
        <v>12</v>
      </c>
      <c r="N11" s="73"/>
      <c r="O11" s="73"/>
      <c r="P11" s="73"/>
      <c r="Q11" s="73"/>
      <c r="R11" s="73"/>
      <c r="S11" s="73"/>
      <c r="T11" s="73"/>
      <c r="U11" s="73"/>
    </row>
    <row r="12" spans="1:21" s="48" customFormat="1" ht="25.5">
      <c r="A12" s="608" t="s">
        <v>281</v>
      </c>
      <c r="B12" s="95" t="s">
        <v>685</v>
      </c>
      <c r="C12" s="597" t="s">
        <v>298</v>
      </c>
      <c r="D12" s="597" t="s">
        <v>927</v>
      </c>
      <c r="E12" s="597" t="s">
        <v>687</v>
      </c>
      <c r="F12" s="597" t="s">
        <v>330</v>
      </c>
      <c r="G12" s="597" t="s">
        <v>331</v>
      </c>
      <c r="H12" s="96" t="s">
        <v>303</v>
      </c>
      <c r="I12" s="597" t="s">
        <v>928</v>
      </c>
      <c r="J12" s="1047" t="s">
        <v>305</v>
      </c>
      <c r="K12" s="1048"/>
      <c r="L12" s="597" t="s">
        <v>929</v>
      </c>
      <c r="N12" s="73"/>
      <c r="O12" s="73"/>
      <c r="P12" s="73"/>
      <c r="Q12" s="73"/>
      <c r="R12" s="73"/>
      <c r="S12" s="73"/>
      <c r="T12" s="73"/>
      <c r="U12" s="73"/>
    </row>
    <row r="13" spans="1:21">
      <c r="A13" s="842"/>
      <c r="B13" s="879" t="s">
        <v>286</v>
      </c>
      <c r="C13" s="879" t="s">
        <v>286</v>
      </c>
      <c r="D13" s="879" t="s">
        <v>286</v>
      </c>
      <c r="E13" s="561" t="s">
        <v>286</v>
      </c>
      <c r="F13" s="561" t="s">
        <v>286</v>
      </c>
      <c r="G13" s="561" t="s">
        <v>286</v>
      </c>
      <c r="H13" s="839" t="s">
        <v>286</v>
      </c>
      <c r="I13" s="879" t="s">
        <v>308</v>
      </c>
      <c r="J13" s="97" t="s">
        <v>309</v>
      </c>
      <c r="K13" s="561" t="s">
        <v>308</v>
      </c>
      <c r="L13" s="1039"/>
      <c r="N13" s="73"/>
      <c r="O13" s="73"/>
      <c r="P13" s="73"/>
      <c r="Q13" s="73"/>
      <c r="R13" s="73"/>
      <c r="S13" s="73"/>
      <c r="T13" s="73"/>
      <c r="U13" s="73"/>
    </row>
    <row r="14" spans="1:21">
      <c r="A14" s="842"/>
      <c r="B14" s="880"/>
      <c r="C14" s="880"/>
      <c r="D14" s="880"/>
      <c r="E14" s="544"/>
      <c r="F14" s="591"/>
      <c r="G14" s="544"/>
      <c r="H14" s="839"/>
      <c r="I14" s="880"/>
      <c r="J14" s="97" t="s">
        <v>310</v>
      </c>
      <c r="K14" s="284"/>
      <c r="L14" s="1040"/>
      <c r="N14" s="73"/>
      <c r="O14" s="73"/>
      <c r="P14" s="73"/>
      <c r="Q14" s="73"/>
      <c r="R14" s="73"/>
      <c r="S14" s="73"/>
      <c r="T14" s="73"/>
      <c r="U14" s="73"/>
    </row>
    <row r="15" spans="1:21">
      <c r="A15" s="91">
        <v>13</v>
      </c>
      <c r="B15" s="561" t="s">
        <v>930</v>
      </c>
      <c r="C15" s="524"/>
      <c r="D15" s="524"/>
      <c r="E15" s="523"/>
      <c r="F15" s="523"/>
      <c r="G15" s="523"/>
      <c r="H15" s="523"/>
      <c r="I15" s="525"/>
      <c r="J15" s="97"/>
      <c r="K15" s="284"/>
      <c r="L15" s="596"/>
      <c r="N15" s="73"/>
      <c r="O15" s="73"/>
      <c r="P15" s="73"/>
      <c r="Q15" s="73"/>
      <c r="R15" s="73"/>
      <c r="S15" s="73"/>
      <c r="T15" s="73"/>
      <c r="U15" s="73"/>
    </row>
    <row r="16" spans="1:21" ht="30.75" customHeight="1">
      <c r="A16" s="1056" t="s">
        <v>931</v>
      </c>
      <c r="B16" s="1056"/>
      <c r="C16" s="1056"/>
      <c r="D16" s="1056"/>
      <c r="E16" s="1056"/>
      <c r="F16" s="1056"/>
      <c r="G16" s="1056"/>
      <c r="H16" s="1056"/>
      <c r="I16" s="1057"/>
      <c r="J16" s="99" t="s">
        <v>287</v>
      </c>
      <c r="K16" s="40" t="s">
        <v>288</v>
      </c>
      <c r="L16" s="39" t="s">
        <v>289</v>
      </c>
      <c r="N16" s="73"/>
      <c r="O16" s="73"/>
      <c r="P16" s="73"/>
      <c r="Q16" s="73"/>
      <c r="R16" s="73"/>
      <c r="S16" s="73"/>
      <c r="T16" s="73"/>
      <c r="U16" s="73"/>
    </row>
    <row r="17" spans="1:21" ht="16.5" customHeight="1">
      <c r="A17" s="850" t="s">
        <v>932</v>
      </c>
      <c r="B17" s="850"/>
      <c r="C17" s="850"/>
      <c r="D17" s="850"/>
      <c r="E17" s="850"/>
      <c r="F17" s="850"/>
      <c r="G17" s="328"/>
      <c r="H17" s="328"/>
      <c r="I17" s="328"/>
      <c r="K17" s="635"/>
      <c r="N17" s="73"/>
      <c r="O17" s="73"/>
      <c r="P17" s="73"/>
      <c r="Q17" s="73"/>
      <c r="R17" s="73"/>
      <c r="S17" s="73"/>
      <c r="T17" s="73"/>
      <c r="U17" s="73"/>
    </row>
    <row r="18" spans="1:21" ht="30.6" customHeight="1">
      <c r="A18" s="530" t="s">
        <v>294</v>
      </c>
      <c r="B18" s="961" t="s">
        <v>311</v>
      </c>
      <c r="C18" s="962"/>
      <c r="D18" s="937"/>
      <c r="E18" s="937"/>
      <c r="F18" s="937"/>
      <c r="G18" s="937"/>
      <c r="H18" s="937"/>
      <c r="I18" s="937"/>
      <c r="J18" s="937"/>
      <c r="K18" s="937"/>
      <c r="L18" s="937"/>
      <c r="N18" s="73"/>
      <c r="O18" s="73"/>
      <c r="P18" s="73"/>
      <c r="Q18" s="73"/>
      <c r="R18" s="73"/>
      <c r="S18" s="73"/>
      <c r="T18" s="73"/>
      <c r="U18" s="73"/>
    </row>
    <row r="19" spans="1:21" ht="16.5" customHeight="1">
      <c r="A19" s="559"/>
      <c r="B19" s="635"/>
      <c r="E19" s="1058"/>
      <c r="F19" s="1058"/>
      <c r="G19" s="1058"/>
      <c r="H19" s="1058"/>
      <c r="I19" s="1058"/>
      <c r="J19" s="1058"/>
      <c r="K19" s="1058"/>
      <c r="L19" s="1058"/>
      <c r="N19" s="73"/>
      <c r="O19" s="73"/>
      <c r="P19" s="73"/>
      <c r="Q19" s="73"/>
      <c r="R19" s="73"/>
      <c r="S19" s="73"/>
      <c r="T19" s="73"/>
      <c r="U19" s="73"/>
    </row>
    <row r="20" spans="1:21" ht="23.25" customHeight="1">
      <c r="A20" s="559"/>
      <c r="B20" s="571" t="s">
        <v>694</v>
      </c>
      <c r="C20" s="613" t="s">
        <v>406</v>
      </c>
      <c r="D20" s="613" t="s">
        <v>434</v>
      </c>
      <c r="E20" s="613" t="s">
        <v>933</v>
      </c>
      <c r="F20" s="125" t="s">
        <v>934</v>
      </c>
      <c r="G20" s="613" t="s">
        <v>343</v>
      </c>
      <c r="H20" s="613" t="s">
        <v>338</v>
      </c>
      <c r="I20" s="80"/>
      <c r="J20" s="80"/>
      <c r="K20" s="80"/>
      <c r="L20" s="80"/>
      <c r="N20" s="73"/>
      <c r="O20" s="73"/>
      <c r="P20" s="73"/>
      <c r="Q20" s="73"/>
      <c r="R20" s="73"/>
      <c r="S20" s="73"/>
      <c r="T20" s="73"/>
      <c r="U20" s="73"/>
    </row>
    <row r="21" spans="1:21" ht="24.75" customHeight="1">
      <c r="A21" s="559"/>
      <c r="B21" s="454" t="s">
        <v>697</v>
      </c>
      <c r="C21" s="613" t="s">
        <v>340</v>
      </c>
      <c r="D21" s="613" t="s">
        <v>435</v>
      </c>
      <c r="E21" s="613" t="s">
        <v>699</v>
      </c>
      <c r="F21" s="558" t="s">
        <v>343</v>
      </c>
      <c r="G21" s="613" t="s">
        <v>349</v>
      </c>
      <c r="H21" s="613" t="s">
        <v>344</v>
      </c>
      <c r="I21" s="104"/>
      <c r="J21" s="104"/>
      <c r="K21" s="104"/>
      <c r="L21" s="104"/>
      <c r="N21" s="73"/>
      <c r="O21" s="73"/>
      <c r="P21" s="73"/>
      <c r="Q21" s="73"/>
      <c r="R21" s="73"/>
      <c r="S21" s="73"/>
      <c r="T21" s="73"/>
      <c r="U21" s="73"/>
    </row>
    <row r="22" spans="1:21" ht="19.5" customHeight="1">
      <c r="A22" s="559"/>
      <c r="B22" s="622" t="s">
        <v>701</v>
      </c>
      <c r="C22" s="613" t="s">
        <v>345</v>
      </c>
      <c r="D22" s="43"/>
      <c r="E22" s="613" t="s">
        <v>703</v>
      </c>
      <c r="F22" s="125" t="s">
        <v>934</v>
      </c>
      <c r="G22" s="613" t="s">
        <v>353</v>
      </c>
      <c r="H22" s="104"/>
      <c r="I22" s="104"/>
      <c r="J22" s="104"/>
      <c r="K22" s="104"/>
      <c r="L22" s="104"/>
      <c r="N22" s="73"/>
      <c r="O22" s="73"/>
      <c r="P22" s="73"/>
      <c r="Q22" s="73"/>
      <c r="R22" s="73"/>
      <c r="S22" s="73"/>
      <c r="T22" s="73"/>
      <c r="U22" s="73"/>
    </row>
    <row r="23" spans="1:21" ht="19.5" customHeight="1">
      <c r="A23" s="559"/>
      <c r="B23" s="547" t="s">
        <v>704</v>
      </c>
      <c r="C23" s="43"/>
      <c r="D23" s="43"/>
      <c r="E23" s="613" t="s">
        <v>935</v>
      </c>
      <c r="F23" s="610" t="s">
        <v>348</v>
      </c>
      <c r="G23" s="613" t="s">
        <v>355</v>
      </c>
      <c r="H23" s="104"/>
      <c r="I23" s="104"/>
      <c r="J23" s="104"/>
      <c r="K23" s="104"/>
      <c r="L23" s="104"/>
      <c r="N23" s="73"/>
      <c r="O23" s="73"/>
      <c r="P23" s="73"/>
      <c r="Q23" s="73"/>
      <c r="R23" s="73"/>
      <c r="S23" s="73"/>
      <c r="T23" s="73"/>
      <c r="U23" s="73"/>
    </row>
    <row r="24" spans="1:21" ht="19.5" customHeight="1">
      <c r="A24" s="559"/>
      <c r="B24" s="547" t="s">
        <v>936</v>
      </c>
      <c r="C24" s="43"/>
      <c r="D24" s="43"/>
      <c r="E24" s="613" t="s">
        <v>937</v>
      </c>
      <c r="F24" s="610" t="s">
        <v>352</v>
      </c>
      <c r="G24" s="613" t="s">
        <v>358</v>
      </c>
      <c r="H24" s="104"/>
      <c r="I24" s="104"/>
      <c r="J24" s="104"/>
      <c r="K24" s="104"/>
      <c r="L24" s="104"/>
      <c r="N24" s="73"/>
      <c r="O24" s="73"/>
      <c r="P24" s="73"/>
      <c r="Q24" s="73"/>
      <c r="R24" s="73"/>
      <c r="S24" s="73"/>
      <c r="T24" s="73"/>
      <c r="U24" s="73"/>
    </row>
    <row r="25" spans="1:21" ht="19.5" customHeight="1">
      <c r="A25" s="559"/>
      <c r="B25" s="635"/>
      <c r="C25" s="43"/>
      <c r="D25" s="43"/>
      <c r="E25" s="613" t="s">
        <v>938</v>
      </c>
      <c r="F25" s="610" t="s">
        <v>354</v>
      </c>
      <c r="G25" s="613" t="s">
        <v>361</v>
      </c>
      <c r="H25" s="104"/>
      <c r="I25" s="104"/>
      <c r="J25" s="104"/>
      <c r="K25" s="104"/>
      <c r="L25" s="104"/>
      <c r="N25" s="73"/>
      <c r="O25" s="73"/>
      <c r="P25" s="73"/>
      <c r="Q25" s="73"/>
      <c r="R25" s="73"/>
      <c r="S25" s="73"/>
      <c r="T25" s="73"/>
      <c r="U25" s="73"/>
    </row>
    <row r="26" spans="1:21" ht="19.5" customHeight="1">
      <c r="A26" s="559"/>
      <c r="B26" s="635"/>
      <c r="C26" s="43"/>
      <c r="D26" s="43"/>
      <c r="E26" s="613" t="s">
        <v>708</v>
      </c>
      <c r="F26" s="125" t="s">
        <v>934</v>
      </c>
      <c r="G26" s="613" t="s">
        <v>364</v>
      </c>
      <c r="H26" s="104"/>
      <c r="I26" s="104"/>
      <c r="J26" s="104"/>
      <c r="K26" s="104"/>
      <c r="L26" s="104"/>
      <c r="N26" s="73"/>
      <c r="O26" s="73"/>
      <c r="P26" s="73"/>
      <c r="Q26" s="73"/>
      <c r="R26" s="73"/>
      <c r="S26" s="73"/>
      <c r="T26" s="73"/>
      <c r="U26" s="73"/>
    </row>
    <row r="27" spans="1:21" ht="19.5" customHeight="1">
      <c r="A27" s="559"/>
      <c r="B27" s="635"/>
      <c r="C27" s="43"/>
      <c r="D27" s="43"/>
      <c r="E27" s="613" t="s">
        <v>711</v>
      </c>
      <c r="F27" s="610" t="s">
        <v>354</v>
      </c>
      <c r="G27" s="613" t="s">
        <v>367</v>
      </c>
      <c r="H27" s="104"/>
      <c r="I27" s="104"/>
      <c r="J27" s="104"/>
      <c r="K27" s="104"/>
      <c r="L27" s="104"/>
      <c r="N27" s="73"/>
      <c r="O27" s="73"/>
      <c r="P27" s="73"/>
      <c r="Q27" s="73"/>
      <c r="R27" s="73"/>
      <c r="S27" s="73"/>
      <c r="T27" s="73"/>
      <c r="U27" s="73"/>
    </row>
    <row r="28" spans="1:21" ht="19.5" customHeight="1">
      <c r="A28" s="559"/>
      <c r="B28" s="635"/>
      <c r="C28" s="43"/>
      <c r="D28" s="43"/>
      <c r="E28" s="613" t="s">
        <v>939</v>
      </c>
      <c r="F28" s="610" t="s">
        <v>360</v>
      </c>
      <c r="G28" s="104"/>
      <c r="H28" s="104"/>
      <c r="I28" s="104"/>
      <c r="J28" s="104"/>
      <c r="K28" s="104"/>
      <c r="L28" s="104"/>
      <c r="N28" s="73"/>
      <c r="O28" s="73"/>
      <c r="P28" s="73"/>
      <c r="Q28" s="73"/>
      <c r="R28" s="73"/>
      <c r="S28" s="73"/>
      <c r="T28" s="73"/>
      <c r="U28" s="73"/>
    </row>
    <row r="29" spans="1:21" ht="19.5" customHeight="1">
      <c r="A29" s="559"/>
      <c r="B29" s="635"/>
      <c r="C29" s="43"/>
      <c r="D29" s="43"/>
      <c r="E29" s="613" t="s">
        <v>940</v>
      </c>
      <c r="F29" s="125" t="s">
        <v>934</v>
      </c>
      <c r="G29" s="104"/>
      <c r="H29" s="104"/>
      <c r="I29" s="104"/>
      <c r="J29" s="104"/>
      <c r="K29" s="104"/>
      <c r="L29" s="104"/>
      <c r="N29" s="73"/>
      <c r="O29" s="73"/>
      <c r="P29" s="73"/>
      <c r="Q29" s="73"/>
      <c r="R29" s="73"/>
      <c r="S29" s="73"/>
      <c r="T29" s="73"/>
      <c r="U29" s="73"/>
    </row>
    <row r="30" spans="1:21" ht="19.5" customHeight="1">
      <c r="A30" s="559"/>
      <c r="B30" s="635"/>
      <c r="C30" s="43"/>
      <c r="D30" s="43"/>
      <c r="E30" s="613" t="s">
        <v>941</v>
      </c>
      <c r="F30" s="610" t="s">
        <v>363</v>
      </c>
      <c r="G30" s="104"/>
      <c r="H30" s="104"/>
      <c r="I30" s="104"/>
      <c r="J30" s="104"/>
      <c r="K30" s="104"/>
      <c r="L30" s="104"/>
      <c r="N30" s="73"/>
      <c r="O30" s="73"/>
      <c r="P30" s="73"/>
      <c r="Q30" s="73"/>
      <c r="R30" s="73"/>
      <c r="S30" s="73"/>
      <c r="T30" s="73"/>
      <c r="U30" s="73"/>
    </row>
    <row r="31" spans="1:21" ht="19.5" customHeight="1">
      <c r="A31" s="559"/>
      <c r="B31" s="635"/>
      <c r="C31" s="43"/>
      <c r="D31" s="43"/>
      <c r="E31" s="613" t="s">
        <v>942</v>
      </c>
      <c r="F31" s="610" t="s">
        <v>366</v>
      </c>
      <c r="G31" s="104"/>
      <c r="H31" s="104"/>
      <c r="I31" s="104"/>
      <c r="J31" s="104"/>
      <c r="K31" s="104"/>
      <c r="L31" s="104"/>
      <c r="N31" s="73"/>
      <c r="O31" s="73"/>
      <c r="P31" s="73"/>
      <c r="Q31" s="73"/>
      <c r="R31" s="73"/>
      <c r="S31" s="73"/>
      <c r="T31" s="73"/>
      <c r="U31" s="73"/>
    </row>
    <row r="32" spans="1:21" ht="19.5" customHeight="1">
      <c r="A32" s="559"/>
      <c r="B32" s="635"/>
      <c r="C32" s="43"/>
      <c r="D32" s="43"/>
      <c r="E32" s="613" t="s">
        <v>943</v>
      </c>
      <c r="F32" s="125" t="s">
        <v>934</v>
      </c>
      <c r="G32" s="104"/>
      <c r="H32" s="104"/>
      <c r="I32" s="104"/>
      <c r="J32" s="104"/>
      <c r="K32" s="104"/>
      <c r="L32" s="104"/>
      <c r="N32" s="73"/>
      <c r="O32" s="73"/>
      <c r="P32" s="73"/>
      <c r="Q32" s="73"/>
      <c r="R32" s="73"/>
      <c r="S32" s="73"/>
      <c r="T32" s="73"/>
      <c r="U32" s="73"/>
    </row>
    <row r="33" spans="1:21" ht="19.5" customHeight="1">
      <c r="A33" s="559"/>
      <c r="B33" s="635"/>
      <c r="C33" s="43"/>
      <c r="D33" s="43"/>
      <c r="E33" s="613" t="s">
        <v>944</v>
      </c>
      <c r="F33" s="610" t="s">
        <v>366</v>
      </c>
      <c r="G33" s="104"/>
      <c r="H33" s="104"/>
      <c r="I33" s="104"/>
      <c r="J33" s="104"/>
      <c r="K33" s="104"/>
      <c r="L33" s="104"/>
      <c r="N33" s="73"/>
      <c r="O33" s="73"/>
      <c r="P33" s="73"/>
      <c r="Q33" s="73"/>
      <c r="R33" s="73"/>
      <c r="S33" s="73"/>
      <c r="T33" s="73"/>
      <c r="U33" s="73"/>
    </row>
    <row r="34" spans="1:21" ht="19.5" customHeight="1">
      <c r="A34" s="559"/>
      <c r="B34" s="635"/>
      <c r="C34" s="43"/>
      <c r="D34" s="43"/>
      <c r="E34" s="613" t="s">
        <v>945</v>
      </c>
      <c r="F34" s="125" t="s">
        <v>934</v>
      </c>
      <c r="G34" s="104"/>
      <c r="H34" s="104"/>
      <c r="I34" s="104"/>
      <c r="J34" s="104"/>
      <c r="K34" s="104"/>
      <c r="L34" s="104"/>
      <c r="N34" s="73"/>
      <c r="O34" s="73"/>
      <c r="P34" s="73"/>
      <c r="Q34" s="73"/>
      <c r="R34" s="73"/>
      <c r="S34" s="73"/>
      <c r="T34" s="73"/>
      <c r="U34" s="73"/>
    </row>
    <row r="35" spans="1:21" ht="19.5" customHeight="1">
      <c r="A35" s="559"/>
      <c r="B35" s="635"/>
      <c r="C35" s="43"/>
      <c r="D35" s="43"/>
      <c r="E35" s="613" t="s">
        <v>946</v>
      </c>
      <c r="F35" s="610" t="s">
        <v>369</v>
      </c>
      <c r="G35" s="104"/>
      <c r="H35" s="104"/>
      <c r="I35" s="104"/>
      <c r="J35" s="104"/>
      <c r="K35" s="104"/>
      <c r="L35" s="104"/>
      <c r="N35" s="73"/>
      <c r="O35" s="73"/>
      <c r="P35" s="73"/>
      <c r="Q35" s="73"/>
      <c r="R35" s="73"/>
      <c r="S35" s="73"/>
      <c r="T35" s="73"/>
      <c r="U35" s="73"/>
    </row>
    <row r="36" spans="1:21" ht="19.5" customHeight="1">
      <c r="A36" s="559"/>
      <c r="B36" s="635"/>
      <c r="C36" s="43"/>
      <c r="D36" s="43"/>
      <c r="E36" s="613" t="s">
        <v>947</v>
      </c>
      <c r="F36" s="104"/>
      <c r="G36" s="104"/>
      <c r="H36" s="104"/>
      <c r="I36" s="104"/>
      <c r="J36" s="104"/>
      <c r="K36" s="104"/>
      <c r="L36" s="104"/>
      <c r="N36" s="73"/>
      <c r="O36" s="73"/>
      <c r="P36" s="73"/>
      <c r="Q36" s="73"/>
      <c r="R36" s="73"/>
      <c r="S36" s="73"/>
      <c r="T36" s="73"/>
      <c r="U36" s="73"/>
    </row>
    <row r="37" spans="1:21" ht="19.5" customHeight="1">
      <c r="A37" s="559"/>
      <c r="B37" s="635"/>
      <c r="C37" s="43"/>
      <c r="D37" s="43"/>
      <c r="E37" s="613" t="s">
        <v>948</v>
      </c>
      <c r="F37" s="104"/>
      <c r="G37" s="104"/>
      <c r="H37" s="104"/>
      <c r="I37" s="104"/>
      <c r="J37" s="104"/>
      <c r="K37" s="104"/>
      <c r="L37" s="104"/>
      <c r="N37" s="73"/>
      <c r="O37" s="73"/>
      <c r="P37" s="73"/>
      <c r="Q37" s="73"/>
      <c r="R37" s="73"/>
      <c r="S37" s="73"/>
      <c r="T37" s="73"/>
      <c r="U37" s="73"/>
    </row>
    <row r="38" spans="1:21" ht="19.5" customHeight="1">
      <c r="A38" s="559"/>
      <c r="B38" s="635"/>
      <c r="C38" s="43"/>
      <c r="D38" s="43"/>
      <c r="E38" s="613" t="s">
        <v>949</v>
      </c>
      <c r="F38" s="104"/>
      <c r="G38" s="104"/>
      <c r="H38" s="104"/>
      <c r="I38" s="104"/>
      <c r="J38" s="104"/>
      <c r="K38" s="104"/>
      <c r="L38" s="104"/>
      <c r="N38" s="73"/>
      <c r="O38" s="73"/>
      <c r="P38" s="73"/>
      <c r="Q38" s="73"/>
      <c r="R38" s="73"/>
      <c r="S38" s="73"/>
      <c r="T38" s="73"/>
      <c r="U38" s="73"/>
    </row>
    <row r="39" spans="1:21" ht="19.5" customHeight="1">
      <c r="A39" s="559"/>
      <c r="B39" s="635"/>
      <c r="C39" s="43"/>
      <c r="D39" s="43"/>
      <c r="E39" s="613" t="s">
        <v>950</v>
      </c>
      <c r="F39" s="104"/>
      <c r="G39" s="104"/>
      <c r="H39" s="104"/>
      <c r="I39" s="104"/>
      <c r="J39" s="104"/>
      <c r="K39" s="104"/>
      <c r="L39" s="104"/>
      <c r="N39" s="73"/>
      <c r="O39" s="73"/>
      <c r="P39" s="73"/>
      <c r="Q39" s="73"/>
      <c r="R39" s="73"/>
      <c r="S39" s="73"/>
      <c r="T39" s="73"/>
      <c r="U39" s="73"/>
    </row>
    <row r="40" spans="1:21" ht="19.5" customHeight="1">
      <c r="A40" s="559"/>
      <c r="B40" s="635"/>
      <c r="C40" s="43"/>
      <c r="D40" s="43"/>
      <c r="E40" s="104"/>
      <c r="F40" s="104"/>
      <c r="G40" s="104"/>
      <c r="H40" s="104"/>
      <c r="I40" s="104"/>
      <c r="J40" s="104"/>
      <c r="K40" s="104"/>
      <c r="L40" s="104"/>
      <c r="N40" s="73"/>
      <c r="O40" s="73"/>
      <c r="P40" s="73"/>
      <c r="Q40" s="73"/>
      <c r="R40" s="73"/>
      <c r="S40" s="73"/>
      <c r="T40" s="73"/>
      <c r="U40" s="73"/>
    </row>
    <row r="41" spans="1:21" ht="19.5" customHeight="1">
      <c r="A41" s="559"/>
      <c r="B41" s="635"/>
      <c r="C41" s="43"/>
      <c r="D41" s="43"/>
      <c r="E41" s="104"/>
      <c r="F41" s="104"/>
      <c r="G41" s="104"/>
      <c r="H41" s="104"/>
      <c r="I41" s="104"/>
      <c r="J41" s="104"/>
      <c r="K41" s="104"/>
      <c r="L41" s="104"/>
      <c r="N41" s="73"/>
      <c r="O41" s="73"/>
      <c r="P41" s="73"/>
      <c r="Q41" s="73"/>
      <c r="R41" s="73"/>
      <c r="S41" s="73"/>
      <c r="T41" s="73"/>
      <c r="U41" s="73"/>
    </row>
    <row r="42" spans="1:21" ht="26.25" customHeight="1">
      <c r="A42" s="559"/>
      <c r="B42" s="635"/>
      <c r="E42" s="104"/>
      <c r="F42" s="104"/>
      <c r="G42" s="104"/>
      <c r="H42" s="104"/>
      <c r="I42" s="104"/>
      <c r="J42" s="104"/>
      <c r="K42" s="104"/>
      <c r="L42" s="104"/>
      <c r="N42" s="73"/>
      <c r="O42" s="73"/>
      <c r="P42" s="73"/>
      <c r="Q42" s="73"/>
      <c r="R42" s="73"/>
      <c r="S42" s="73"/>
      <c r="T42" s="73"/>
      <c r="U42" s="73"/>
    </row>
    <row r="43" spans="1:21" ht="17.25" customHeight="1">
      <c r="A43" s="559"/>
      <c r="B43" s="635"/>
      <c r="E43" s="1055"/>
      <c r="F43" s="1055"/>
      <c r="G43" s="1055"/>
      <c r="H43" s="1055"/>
      <c r="I43" s="1055"/>
      <c r="J43" s="1055"/>
      <c r="K43" s="1055"/>
      <c r="L43" s="1055"/>
      <c r="N43" s="73"/>
      <c r="O43" s="73"/>
      <c r="P43" s="73"/>
      <c r="Q43" s="73"/>
      <c r="R43" s="73"/>
      <c r="S43" s="73"/>
      <c r="T43" s="73"/>
      <c r="U43" s="73"/>
    </row>
    <row r="44" spans="1:21" ht="16.5" customHeight="1">
      <c r="A44" s="559"/>
      <c r="B44" s="635"/>
      <c r="K44" s="635"/>
      <c r="N44" s="73"/>
      <c r="O44" s="73"/>
      <c r="P44" s="73"/>
      <c r="Q44" s="73"/>
      <c r="R44" s="73"/>
      <c r="S44" s="73"/>
      <c r="T44" s="73"/>
      <c r="U44" s="73"/>
    </row>
    <row r="45" spans="1:21" ht="16.5" customHeight="1">
      <c r="A45" s="559"/>
      <c r="B45" s="635"/>
      <c r="K45" s="635"/>
      <c r="N45" s="73"/>
      <c r="O45" s="73"/>
      <c r="P45" s="73"/>
      <c r="Q45" s="73"/>
      <c r="R45" s="73"/>
      <c r="S45" s="73"/>
      <c r="T45" s="73"/>
      <c r="U45" s="73"/>
    </row>
    <row r="46" spans="1:21">
      <c r="A46" s="1203" t="s">
        <v>951</v>
      </c>
      <c r="B46" s="1204"/>
      <c r="C46" s="1204"/>
      <c r="D46" s="1204"/>
      <c r="E46" s="1204"/>
      <c r="F46" s="1204"/>
      <c r="G46" s="1204"/>
      <c r="H46" s="1204"/>
      <c r="I46" s="1204"/>
      <c r="J46" s="1204"/>
      <c r="K46" s="1204"/>
      <c r="L46" s="1205"/>
      <c r="N46" s="73"/>
      <c r="O46" s="73"/>
      <c r="P46" s="73"/>
      <c r="Q46" s="73"/>
      <c r="R46" s="73"/>
      <c r="S46" s="73"/>
    </row>
    <row r="47" spans="1:21" ht="16.5">
      <c r="A47" s="600" t="s">
        <v>169</v>
      </c>
      <c r="B47" s="98" t="s">
        <v>185</v>
      </c>
      <c r="C47" s="895" t="s">
        <v>952</v>
      </c>
      <c r="D47" s="896"/>
      <c r="E47" s="896"/>
      <c r="F47" s="896"/>
      <c r="G47" s="896"/>
      <c r="H47" s="896"/>
      <c r="I47" s="896"/>
      <c r="J47" s="896"/>
      <c r="K47" s="896"/>
      <c r="L47" s="897"/>
      <c r="N47" s="73"/>
      <c r="O47" s="73"/>
      <c r="P47" s="73"/>
      <c r="Q47" s="73"/>
      <c r="R47" s="73"/>
      <c r="S47" s="73"/>
    </row>
    <row r="48" spans="1:21">
      <c r="A48" s="91" t="s">
        <v>173</v>
      </c>
      <c r="B48" s="92" t="s">
        <v>177</v>
      </c>
      <c r="C48" s="91" t="s">
        <v>182</v>
      </c>
      <c r="D48" s="91" t="s">
        <v>171</v>
      </c>
      <c r="E48" s="92" t="s">
        <v>175</v>
      </c>
      <c r="F48" s="93" t="s">
        <v>180</v>
      </c>
      <c r="G48" s="600" t="s">
        <v>184</v>
      </c>
      <c r="H48" s="600" t="s">
        <v>290</v>
      </c>
      <c r="I48" s="600" t="s">
        <v>291</v>
      </c>
      <c r="J48" s="1010" t="s">
        <v>292</v>
      </c>
      <c r="K48" s="1023"/>
      <c r="L48" s="94">
        <v>12</v>
      </c>
      <c r="N48" s="73"/>
      <c r="O48" s="73"/>
      <c r="P48" s="73"/>
      <c r="Q48" s="73"/>
      <c r="R48" s="73"/>
      <c r="S48" s="73"/>
    </row>
    <row r="49" spans="1:22" ht="48" customHeight="1">
      <c r="A49" s="593" t="s">
        <v>281</v>
      </c>
      <c r="B49" s="593" t="s">
        <v>285</v>
      </c>
      <c r="C49" s="612" t="s">
        <v>298</v>
      </c>
      <c r="D49" s="597" t="s">
        <v>927</v>
      </c>
      <c r="E49" s="597" t="s">
        <v>392</v>
      </c>
      <c r="F49" s="612" t="s">
        <v>393</v>
      </c>
      <c r="G49" s="612" t="s">
        <v>403</v>
      </c>
      <c r="H49" s="612" t="s">
        <v>331</v>
      </c>
      <c r="I49" s="597" t="s">
        <v>846</v>
      </c>
      <c r="J49" s="1047" t="s">
        <v>305</v>
      </c>
      <c r="K49" s="1048"/>
      <c r="L49" s="597" t="s">
        <v>929</v>
      </c>
      <c r="N49" s="73"/>
      <c r="O49" s="73"/>
      <c r="P49" s="73"/>
      <c r="Q49" s="73"/>
      <c r="R49" s="73"/>
      <c r="S49" s="73"/>
    </row>
    <row r="50" spans="1:22">
      <c r="A50" s="842"/>
      <c r="B50" s="879" t="s">
        <v>286</v>
      </c>
      <c r="C50" s="879" t="s">
        <v>286</v>
      </c>
      <c r="D50" s="879" t="s">
        <v>286</v>
      </c>
      <c r="E50" s="561" t="s">
        <v>286</v>
      </c>
      <c r="F50" s="561" t="s">
        <v>286</v>
      </c>
      <c r="G50" s="561" t="s">
        <v>286</v>
      </c>
      <c r="H50" s="561" t="s">
        <v>286</v>
      </c>
      <c r="I50" s="879" t="s">
        <v>308</v>
      </c>
      <c r="J50" s="97" t="s">
        <v>309</v>
      </c>
      <c r="K50" s="561" t="s">
        <v>308</v>
      </c>
      <c r="L50" s="1039"/>
      <c r="N50" s="73"/>
      <c r="O50" s="73"/>
      <c r="P50" s="73"/>
      <c r="Q50" s="73"/>
      <c r="R50" s="73"/>
      <c r="S50" s="73"/>
    </row>
    <row r="51" spans="1:22">
      <c r="A51" s="842"/>
      <c r="B51" s="880"/>
      <c r="C51" s="880"/>
      <c r="D51" s="880"/>
      <c r="E51" s="544"/>
      <c r="F51" s="591"/>
      <c r="G51" s="544"/>
      <c r="H51" s="544"/>
      <c r="I51" s="880"/>
      <c r="J51" s="97" t="s">
        <v>310</v>
      </c>
      <c r="K51" s="284"/>
      <c r="L51" s="1040"/>
      <c r="N51" s="73"/>
      <c r="O51" s="73"/>
      <c r="P51" s="73"/>
      <c r="Q51" s="73"/>
      <c r="R51" s="73"/>
      <c r="S51" s="73"/>
    </row>
    <row r="52" spans="1:22" ht="30.75" customHeight="1">
      <c r="A52" s="1016" t="s">
        <v>953</v>
      </c>
      <c r="B52" s="1016"/>
      <c r="C52" s="1016"/>
      <c r="D52" s="1016"/>
      <c r="E52" s="1016"/>
      <c r="F52" s="1016"/>
      <c r="G52" s="1016"/>
      <c r="H52" s="1016"/>
      <c r="I52" s="1017"/>
      <c r="J52" s="253" t="s">
        <v>287</v>
      </c>
      <c r="K52" s="625" t="s">
        <v>288</v>
      </c>
      <c r="L52" s="626" t="s">
        <v>289</v>
      </c>
      <c r="N52" s="73"/>
      <c r="O52" s="73"/>
      <c r="P52" s="73"/>
      <c r="Q52" s="73"/>
      <c r="R52" s="73"/>
      <c r="S52" s="73"/>
      <c r="T52" s="73"/>
      <c r="U52" s="73"/>
    </row>
    <row r="53" spans="1:22" ht="30.6" customHeight="1">
      <c r="A53" s="530" t="s">
        <v>294</v>
      </c>
      <c r="B53" s="961" t="s">
        <v>311</v>
      </c>
      <c r="C53" s="962"/>
      <c r="D53" s="937"/>
      <c r="E53" s="937"/>
      <c r="F53" s="937"/>
      <c r="G53" s="937"/>
      <c r="H53" s="937"/>
      <c r="I53" s="937"/>
      <c r="J53" s="937"/>
      <c r="K53" s="937"/>
      <c r="L53" s="937"/>
      <c r="N53" s="73"/>
      <c r="O53" s="73"/>
      <c r="P53" s="73"/>
      <c r="Q53" s="73"/>
      <c r="R53" s="73"/>
      <c r="S53" s="73"/>
      <c r="T53" s="73"/>
      <c r="U53" s="73"/>
    </row>
    <row r="54" spans="1:22" ht="16.5" customHeight="1">
      <c r="A54" s="287"/>
      <c r="B54" s="265"/>
      <c r="C54" s="128"/>
      <c r="D54" s="128"/>
      <c r="E54" s="128"/>
      <c r="F54" s="128"/>
      <c r="G54" s="128"/>
      <c r="H54" s="128"/>
      <c r="I54" s="128"/>
      <c r="J54" s="128"/>
      <c r="K54" s="265"/>
      <c r="L54" s="128"/>
      <c r="N54" s="73"/>
      <c r="O54" s="73"/>
      <c r="P54" s="73"/>
      <c r="Q54" s="73"/>
      <c r="R54" s="73"/>
      <c r="S54" s="73"/>
      <c r="T54" s="73"/>
      <c r="U54" s="73"/>
    </row>
    <row r="55" spans="1:22" ht="16.5" customHeight="1">
      <c r="A55" s="287"/>
      <c r="B55" s="265"/>
      <c r="C55" s="128"/>
      <c r="D55" s="128"/>
      <c r="E55" s="128"/>
      <c r="F55" s="128"/>
      <c r="G55" s="128"/>
      <c r="H55" s="128"/>
      <c r="I55" s="128"/>
      <c r="J55" s="128"/>
      <c r="K55" s="265"/>
      <c r="L55" s="128"/>
      <c r="N55" s="73"/>
      <c r="O55" s="73"/>
      <c r="P55" s="73"/>
      <c r="Q55" s="73"/>
      <c r="R55" s="73"/>
      <c r="S55" s="73"/>
      <c r="T55" s="73"/>
      <c r="U55" s="73"/>
    </row>
    <row r="56" spans="1:22" ht="16.5" customHeight="1">
      <c r="A56" s="559"/>
      <c r="B56" s="621" t="s">
        <v>591</v>
      </c>
      <c r="C56" s="613" t="s">
        <v>406</v>
      </c>
      <c r="D56" s="613" t="s">
        <v>434</v>
      </c>
      <c r="E56" s="575" t="s">
        <v>410</v>
      </c>
      <c r="F56" s="575" t="s">
        <v>408</v>
      </c>
      <c r="G56" s="125" t="s">
        <v>934</v>
      </c>
      <c r="H56" s="613" t="s">
        <v>343</v>
      </c>
      <c r="L56" s="635"/>
      <c r="O56" s="73"/>
      <c r="P56" s="73"/>
      <c r="Q56" s="73"/>
      <c r="R56" s="73"/>
      <c r="S56" s="73"/>
      <c r="T56" s="73"/>
      <c r="U56" s="73"/>
      <c r="V56" s="73"/>
    </row>
    <row r="57" spans="1:22" ht="16.5" customHeight="1">
      <c r="A57" s="559"/>
      <c r="B57" s="119" t="s">
        <v>321</v>
      </c>
      <c r="C57" s="613" t="s">
        <v>340</v>
      </c>
      <c r="D57" s="613" t="s">
        <v>435</v>
      </c>
      <c r="E57" s="575" t="s">
        <v>413</v>
      </c>
      <c r="F57" s="575" t="s">
        <v>411</v>
      </c>
      <c r="G57" s="558" t="s">
        <v>360</v>
      </c>
      <c r="H57" s="613" t="s">
        <v>349</v>
      </c>
      <c r="L57" s="635"/>
      <c r="O57" s="73"/>
      <c r="P57" s="73"/>
      <c r="Q57" s="73"/>
      <c r="R57" s="73"/>
      <c r="S57" s="73"/>
      <c r="T57" s="73"/>
      <c r="U57" s="73"/>
      <c r="V57" s="73"/>
    </row>
    <row r="58" spans="1:22" ht="16.5" customHeight="1">
      <c r="A58" s="559"/>
      <c r="B58" s="446" t="s">
        <v>192</v>
      </c>
      <c r="C58" s="613" t="s">
        <v>345</v>
      </c>
      <c r="E58" s="575" t="s">
        <v>416</v>
      </c>
      <c r="F58" s="575" t="s">
        <v>414</v>
      </c>
      <c r="G58" s="558" t="s">
        <v>954</v>
      </c>
      <c r="H58" s="613" t="s">
        <v>353</v>
      </c>
      <c r="L58" s="635"/>
      <c r="O58" s="73"/>
      <c r="P58" s="73"/>
      <c r="Q58" s="73"/>
      <c r="R58" s="73"/>
      <c r="S58" s="73"/>
      <c r="T58" s="73"/>
      <c r="U58" s="73"/>
      <c r="V58" s="73"/>
    </row>
    <row r="59" spans="1:22" ht="16.5" customHeight="1">
      <c r="A59" s="559"/>
      <c r="B59" s="446" t="s">
        <v>325</v>
      </c>
      <c r="C59" s="635"/>
      <c r="G59" s="125" t="s">
        <v>934</v>
      </c>
      <c r="H59" s="613" t="s">
        <v>355</v>
      </c>
      <c r="L59" s="635"/>
      <c r="O59" s="73"/>
      <c r="P59" s="73"/>
      <c r="Q59" s="73"/>
      <c r="R59" s="73"/>
      <c r="S59" s="73"/>
      <c r="T59" s="73"/>
      <c r="U59" s="73"/>
      <c r="V59" s="73"/>
    </row>
    <row r="60" spans="1:22" ht="16.5" customHeight="1">
      <c r="A60" s="559"/>
      <c r="B60" s="446" t="s">
        <v>400</v>
      </c>
      <c r="C60" s="635"/>
      <c r="G60" s="558" t="s">
        <v>955</v>
      </c>
      <c r="H60" s="613" t="s">
        <v>358</v>
      </c>
      <c r="L60" s="635"/>
      <c r="O60" s="73"/>
      <c r="P60" s="73"/>
      <c r="Q60" s="73"/>
      <c r="R60" s="73"/>
      <c r="S60" s="73"/>
      <c r="T60" s="73"/>
      <c r="U60" s="73"/>
      <c r="V60" s="73"/>
    </row>
    <row r="61" spans="1:22" ht="16.5" customHeight="1">
      <c r="A61" s="559"/>
      <c r="B61" s="559"/>
      <c r="C61" s="635"/>
      <c r="G61" s="125" t="s">
        <v>934</v>
      </c>
      <c r="H61" s="613" t="s">
        <v>361</v>
      </c>
      <c r="L61" s="635"/>
      <c r="O61" s="73"/>
      <c r="P61" s="73"/>
      <c r="Q61" s="73"/>
      <c r="R61" s="73"/>
      <c r="S61" s="73"/>
      <c r="T61" s="73"/>
      <c r="U61" s="73"/>
      <c r="V61" s="73"/>
    </row>
    <row r="62" spans="1:22" ht="16.5" customHeight="1">
      <c r="A62" s="559"/>
      <c r="B62" s="559"/>
      <c r="C62" s="635"/>
      <c r="G62" s="558" t="s">
        <v>956</v>
      </c>
      <c r="H62" s="613" t="s">
        <v>364</v>
      </c>
      <c r="L62" s="635"/>
      <c r="O62" s="73"/>
      <c r="P62" s="73"/>
      <c r="Q62" s="73"/>
      <c r="R62" s="73"/>
      <c r="S62" s="73"/>
      <c r="T62" s="73"/>
      <c r="U62" s="73"/>
      <c r="V62" s="73"/>
    </row>
    <row r="63" spans="1:22" ht="16.5" customHeight="1">
      <c r="A63" s="559"/>
      <c r="B63" s="559"/>
      <c r="C63" s="635"/>
      <c r="L63" s="635"/>
      <c r="O63" s="73"/>
      <c r="P63" s="73"/>
      <c r="Q63" s="73"/>
      <c r="R63" s="73"/>
      <c r="S63" s="73"/>
      <c r="T63" s="73"/>
      <c r="U63" s="73"/>
      <c r="V63" s="73"/>
    </row>
    <row r="64" spans="1:22" ht="16.5" customHeight="1">
      <c r="A64" s="559"/>
      <c r="B64" s="559"/>
      <c r="C64" s="635"/>
      <c r="L64" s="635"/>
      <c r="O64" s="73"/>
      <c r="P64" s="73"/>
      <c r="Q64" s="73"/>
      <c r="R64" s="73"/>
      <c r="S64" s="73"/>
      <c r="T64" s="73"/>
      <c r="U64" s="73"/>
      <c r="V64" s="73"/>
    </row>
    <row r="65" spans="1:22" ht="16.5" customHeight="1">
      <c r="A65" s="559"/>
      <c r="B65" s="559"/>
      <c r="C65" s="635"/>
      <c r="L65" s="635"/>
      <c r="O65" s="73"/>
      <c r="P65" s="73"/>
      <c r="Q65" s="73"/>
      <c r="R65" s="73"/>
      <c r="S65" s="73"/>
      <c r="T65" s="73"/>
      <c r="U65" s="73"/>
      <c r="V65" s="73"/>
    </row>
    <row r="66" spans="1:22" ht="16.5" customHeight="1">
      <c r="A66" s="559"/>
      <c r="B66" s="559"/>
      <c r="C66" s="635"/>
      <c r="L66" s="635"/>
      <c r="O66" s="73"/>
      <c r="P66" s="73"/>
      <c r="Q66" s="73"/>
      <c r="R66" s="73"/>
      <c r="S66" s="73"/>
      <c r="T66" s="73"/>
      <c r="U66" s="73"/>
      <c r="V66" s="73"/>
    </row>
    <row r="67" spans="1:22" ht="16.5" customHeight="1">
      <c r="A67" s="559"/>
      <c r="B67" s="635"/>
      <c r="K67" s="635"/>
      <c r="N67" s="73"/>
      <c r="O67" s="73"/>
      <c r="P67" s="73"/>
      <c r="Q67" s="73"/>
      <c r="R67" s="73"/>
      <c r="S67" s="73"/>
      <c r="T67" s="73"/>
      <c r="U67" s="73"/>
    </row>
    <row r="68" spans="1:22" ht="16.5" customHeight="1">
      <c r="A68" s="559"/>
      <c r="B68" s="635"/>
      <c r="K68" s="635"/>
      <c r="N68" s="73"/>
      <c r="O68" s="73"/>
      <c r="P68" s="73"/>
      <c r="Q68" s="73"/>
      <c r="R68" s="73"/>
      <c r="S68" s="73"/>
      <c r="T68" s="73"/>
      <c r="U68" s="73"/>
    </row>
    <row r="69" spans="1:22">
      <c r="G69" s="43"/>
      <c r="J69" s="577"/>
    </row>
    <row r="70" spans="1:22">
      <c r="A70" s="968" t="s">
        <v>957</v>
      </c>
      <c r="B70" s="968"/>
      <c r="C70" s="968"/>
      <c r="D70" s="968"/>
      <c r="E70" s="968"/>
      <c r="F70" s="968"/>
      <c r="G70" s="968"/>
      <c r="H70" s="968"/>
      <c r="I70" s="968"/>
      <c r="J70" s="968"/>
      <c r="K70" s="968"/>
      <c r="L70" s="968"/>
      <c r="N70" s="73"/>
      <c r="O70" s="73"/>
      <c r="P70" s="73"/>
      <c r="Q70" s="73"/>
      <c r="R70" s="73"/>
      <c r="S70" s="73"/>
    </row>
    <row r="71" spans="1:22" ht="16.5">
      <c r="A71" s="600" t="s">
        <v>169</v>
      </c>
      <c r="B71" s="98" t="s">
        <v>185</v>
      </c>
      <c r="C71" s="1060" t="s">
        <v>958</v>
      </c>
      <c r="D71" s="1060"/>
      <c r="E71" s="1060"/>
      <c r="F71" s="1060"/>
      <c r="G71" s="1060"/>
      <c r="H71" s="1060"/>
      <c r="I71" s="1060"/>
      <c r="J71" s="1060"/>
      <c r="K71" s="1060"/>
      <c r="L71" s="1060"/>
      <c r="N71" s="73"/>
      <c r="O71" s="73"/>
      <c r="P71" s="73"/>
      <c r="Q71" s="73"/>
      <c r="R71" s="73"/>
      <c r="S71" s="73"/>
    </row>
    <row r="72" spans="1:22" ht="15" customHeight="1">
      <c r="A72" s="600" t="s">
        <v>173</v>
      </c>
      <c r="B72" s="600" t="s">
        <v>177</v>
      </c>
      <c r="C72" s="600" t="s">
        <v>182</v>
      </c>
      <c r="D72" s="600" t="s">
        <v>171</v>
      </c>
      <c r="E72" s="1004" t="s">
        <v>175</v>
      </c>
      <c r="F72" s="1004"/>
      <c r="G72" s="548" t="s">
        <v>180</v>
      </c>
      <c r="H72" s="600" t="s">
        <v>184</v>
      </c>
      <c r="I72" s="600" t="s">
        <v>290</v>
      </c>
      <c r="J72" s="1004" t="s">
        <v>291</v>
      </c>
      <c r="K72" s="1004"/>
      <c r="L72" s="548" t="s">
        <v>292</v>
      </c>
      <c r="M72" s="635"/>
      <c r="O72" s="73"/>
      <c r="P72" s="73"/>
      <c r="Q72" s="73"/>
      <c r="R72" s="73"/>
      <c r="S72" s="73"/>
      <c r="T72" s="73"/>
      <c r="U72" s="73"/>
      <c r="V72" s="73"/>
    </row>
    <row r="73" spans="1:22" s="48" customFormat="1" ht="36">
      <c r="A73" s="608" t="s">
        <v>281</v>
      </c>
      <c r="B73" s="564" t="s">
        <v>282</v>
      </c>
      <c r="C73" s="564" t="s">
        <v>685</v>
      </c>
      <c r="D73" s="587" t="s">
        <v>298</v>
      </c>
      <c r="E73" s="821" t="s">
        <v>959</v>
      </c>
      <c r="F73" s="821"/>
      <c r="G73" s="587" t="s">
        <v>331</v>
      </c>
      <c r="H73" s="587" t="s">
        <v>303</v>
      </c>
      <c r="I73" s="587" t="s">
        <v>688</v>
      </c>
      <c r="J73" s="821" t="s">
        <v>305</v>
      </c>
      <c r="K73" s="821"/>
      <c r="L73" s="587" t="s">
        <v>960</v>
      </c>
      <c r="N73" s="73"/>
      <c r="O73" s="73"/>
      <c r="P73" s="73"/>
      <c r="Q73" s="73"/>
      <c r="R73" s="73"/>
      <c r="S73" s="73"/>
      <c r="T73" s="73"/>
      <c r="U73" s="73"/>
    </row>
    <row r="74" spans="1:22">
      <c r="A74" s="927"/>
      <c r="B74" s="842"/>
      <c r="C74" s="879" t="s">
        <v>286</v>
      </c>
      <c r="D74" s="879" t="s">
        <v>286</v>
      </c>
      <c r="E74" s="839" t="s">
        <v>286</v>
      </c>
      <c r="F74" s="839"/>
      <c r="G74" s="561" t="s">
        <v>286</v>
      </c>
      <c r="H74" s="839" t="s">
        <v>286</v>
      </c>
      <c r="I74" s="879" t="s">
        <v>308</v>
      </c>
      <c r="J74" s="97" t="s">
        <v>309</v>
      </c>
      <c r="K74" s="561" t="s">
        <v>308</v>
      </c>
      <c r="L74" s="1059"/>
      <c r="N74" s="73"/>
      <c r="O74" s="73"/>
      <c r="P74" s="73"/>
      <c r="Q74" s="73"/>
      <c r="R74" s="73"/>
      <c r="S74" s="73"/>
      <c r="T74" s="73"/>
      <c r="U74" s="73"/>
    </row>
    <row r="75" spans="1:22">
      <c r="A75" s="927"/>
      <c r="B75" s="842"/>
      <c r="C75" s="880"/>
      <c r="D75" s="880"/>
      <c r="E75" s="937"/>
      <c r="F75" s="937"/>
      <c r="G75" s="544"/>
      <c r="H75" s="839"/>
      <c r="I75" s="880"/>
      <c r="J75" s="97" t="s">
        <v>310</v>
      </c>
      <c r="K75" s="284"/>
      <c r="L75" s="1040"/>
      <c r="N75" s="73"/>
      <c r="O75" s="73"/>
      <c r="P75" s="73"/>
      <c r="Q75" s="73"/>
      <c r="R75" s="73"/>
      <c r="S75" s="73"/>
      <c r="T75" s="73"/>
      <c r="U75" s="73"/>
    </row>
    <row r="76" spans="1:22" ht="45" customHeight="1">
      <c r="A76" s="1056" t="s">
        <v>961</v>
      </c>
      <c r="B76" s="1056"/>
      <c r="C76" s="1056"/>
      <c r="D76" s="1056"/>
      <c r="E76" s="1056"/>
      <c r="F76" s="1056"/>
      <c r="G76" s="1056"/>
      <c r="H76" s="1056"/>
      <c r="I76" s="1057"/>
      <c r="J76" s="99" t="s">
        <v>287</v>
      </c>
      <c r="K76" s="40" t="s">
        <v>288</v>
      </c>
      <c r="L76" s="39" t="s">
        <v>289</v>
      </c>
      <c r="O76" s="73"/>
      <c r="P76" s="73"/>
      <c r="Q76" s="73"/>
      <c r="R76" s="73"/>
      <c r="S76" s="73"/>
      <c r="T76" s="73"/>
      <c r="U76" s="73"/>
      <c r="V76" s="73"/>
    </row>
    <row r="77" spans="1:22" ht="16.5" customHeight="1">
      <c r="A77" s="850" t="s">
        <v>962</v>
      </c>
      <c r="B77" s="850"/>
      <c r="C77" s="850"/>
      <c r="D77" s="850"/>
      <c r="E77" s="850"/>
      <c r="F77" s="850"/>
      <c r="G77" s="328"/>
      <c r="H77" s="328"/>
      <c r="I77" s="328"/>
      <c r="L77" s="635"/>
      <c r="O77" s="73"/>
      <c r="P77" s="73"/>
      <c r="Q77" s="73"/>
      <c r="R77" s="73"/>
      <c r="S77" s="73"/>
      <c r="T77" s="73"/>
      <c r="U77" s="73"/>
      <c r="V77" s="73"/>
    </row>
    <row r="78" spans="1:22" ht="16.5" customHeight="1">
      <c r="A78" s="559"/>
      <c r="B78" s="635"/>
      <c r="C78" s="635"/>
      <c r="L78" s="635"/>
      <c r="O78" s="73"/>
      <c r="P78" s="73"/>
      <c r="Q78" s="73"/>
      <c r="R78" s="73"/>
      <c r="S78" s="73"/>
      <c r="T78" s="73"/>
      <c r="U78" s="73"/>
      <c r="V78" s="73"/>
    </row>
    <row r="79" spans="1:22" ht="30.6" customHeight="1">
      <c r="A79" s="530" t="s">
        <v>293</v>
      </c>
      <c r="B79" s="961" t="s">
        <v>311</v>
      </c>
      <c r="C79" s="962"/>
      <c r="D79" s="937"/>
      <c r="E79" s="937"/>
      <c r="F79" s="937"/>
      <c r="G79" s="937"/>
      <c r="H79" s="937"/>
      <c r="I79" s="937"/>
      <c r="J79" s="937"/>
      <c r="K79" s="937"/>
      <c r="L79" s="937"/>
      <c r="N79" s="73"/>
      <c r="O79" s="73"/>
      <c r="P79" s="73"/>
      <c r="Q79" s="73"/>
      <c r="R79" s="73"/>
      <c r="S79" s="73"/>
      <c r="T79" s="73"/>
      <c r="U79" s="73"/>
    </row>
    <row r="80" spans="1:22" ht="25.35" customHeight="1">
      <c r="A80" s="559"/>
      <c r="B80" s="635"/>
      <c r="C80" s="558" t="s">
        <v>694</v>
      </c>
      <c r="D80" s="552" t="s">
        <v>406</v>
      </c>
      <c r="E80" s="1071" t="s">
        <v>963</v>
      </c>
      <c r="F80" s="1072"/>
      <c r="G80" s="613" t="s">
        <v>343</v>
      </c>
      <c r="H80" s="613" t="s">
        <v>338</v>
      </c>
      <c r="L80" s="635"/>
      <c r="O80" s="73"/>
      <c r="P80" s="73"/>
      <c r="Q80" s="73"/>
      <c r="R80" s="73"/>
      <c r="S80" s="73"/>
      <c r="T80" s="73"/>
      <c r="U80" s="73"/>
      <c r="V80" s="73"/>
    </row>
    <row r="81" spans="1:22" ht="27" customHeight="1">
      <c r="A81" s="559"/>
      <c r="B81" s="635"/>
      <c r="C81" s="549" t="s">
        <v>697</v>
      </c>
      <c r="D81" s="552" t="s">
        <v>340</v>
      </c>
      <c r="E81" s="1071" t="s">
        <v>964</v>
      </c>
      <c r="F81" s="1072"/>
      <c r="G81" s="613" t="s">
        <v>349</v>
      </c>
      <c r="H81" s="613" t="s">
        <v>344</v>
      </c>
      <c r="L81" s="635"/>
      <c r="O81" s="73"/>
      <c r="P81" s="73"/>
      <c r="Q81" s="73"/>
      <c r="R81" s="73"/>
      <c r="S81" s="73"/>
      <c r="T81" s="73"/>
      <c r="U81" s="73"/>
      <c r="V81" s="73"/>
    </row>
    <row r="82" spans="1:22" ht="25.5" customHeight="1">
      <c r="A82" s="559"/>
      <c r="B82" s="635"/>
      <c r="C82" s="549" t="s">
        <v>701</v>
      </c>
      <c r="D82" s="551" t="s">
        <v>345</v>
      </c>
      <c r="E82" s="1071" t="s">
        <v>965</v>
      </c>
      <c r="F82" s="1072"/>
      <c r="G82" s="613" t="s">
        <v>353</v>
      </c>
      <c r="L82" s="635"/>
      <c r="O82" s="73"/>
      <c r="P82" s="73"/>
      <c r="Q82" s="73"/>
      <c r="R82" s="73"/>
      <c r="S82" s="73"/>
      <c r="T82" s="73"/>
      <c r="U82" s="73"/>
      <c r="V82" s="73"/>
    </row>
    <row r="83" spans="1:22" ht="21.75" customHeight="1">
      <c r="A83" s="559"/>
      <c r="B83" s="635"/>
      <c r="C83" s="549" t="s">
        <v>706</v>
      </c>
      <c r="E83" s="617"/>
      <c r="F83" s="620"/>
      <c r="G83" s="613" t="s">
        <v>355</v>
      </c>
      <c r="L83" s="635"/>
      <c r="O83" s="73"/>
      <c r="P83" s="73"/>
      <c r="Q83" s="73"/>
      <c r="R83" s="73"/>
      <c r="S83" s="73"/>
      <c r="T83" s="73"/>
      <c r="U83" s="73"/>
      <c r="V83" s="73"/>
    </row>
    <row r="84" spans="1:22" ht="36.75" customHeight="1">
      <c r="A84" s="559"/>
      <c r="B84" s="635"/>
      <c r="C84" s="549" t="s">
        <v>966</v>
      </c>
      <c r="E84" s="617"/>
      <c r="F84" s="620"/>
      <c r="G84" s="613" t="s">
        <v>361</v>
      </c>
      <c r="L84" s="635"/>
      <c r="O84" s="73"/>
      <c r="P84" s="73"/>
      <c r="Q84" s="73"/>
      <c r="R84" s="73"/>
      <c r="S84" s="73"/>
      <c r="T84" s="73"/>
      <c r="U84" s="73"/>
      <c r="V84" s="73"/>
    </row>
    <row r="85" spans="1:22" ht="16.5" customHeight="1">
      <c r="A85" s="559"/>
      <c r="B85" s="635"/>
      <c r="C85" s="635"/>
      <c r="E85" s="617"/>
      <c r="F85" s="620"/>
      <c r="G85" s="613" t="s">
        <v>364</v>
      </c>
      <c r="L85" s="635"/>
      <c r="O85" s="73"/>
      <c r="P85" s="73"/>
      <c r="Q85" s="73"/>
      <c r="R85" s="73"/>
      <c r="S85" s="73"/>
      <c r="T85" s="73"/>
      <c r="U85" s="73"/>
      <c r="V85" s="73"/>
    </row>
    <row r="86" spans="1:22" ht="16.5" customHeight="1">
      <c r="A86" s="559"/>
      <c r="B86" s="635"/>
      <c r="C86" s="635"/>
      <c r="E86" s="617"/>
      <c r="F86" s="620"/>
      <c r="G86" s="613" t="s">
        <v>777</v>
      </c>
      <c r="L86" s="635"/>
      <c r="O86" s="73"/>
      <c r="P86" s="73"/>
      <c r="Q86" s="73"/>
      <c r="R86" s="73"/>
      <c r="S86" s="73"/>
      <c r="T86" s="73"/>
      <c r="U86" s="73"/>
      <c r="V86" s="73"/>
    </row>
    <row r="87" spans="1:22" ht="16.5" customHeight="1">
      <c r="A87" s="559"/>
      <c r="B87" s="635"/>
      <c r="C87" s="635"/>
      <c r="E87" s="617"/>
      <c r="F87" s="620"/>
      <c r="G87" s="613" t="s">
        <v>379</v>
      </c>
      <c r="L87" s="635"/>
      <c r="O87" s="73"/>
      <c r="P87" s="73"/>
      <c r="Q87" s="73"/>
      <c r="R87" s="73"/>
      <c r="S87" s="73"/>
      <c r="T87" s="73"/>
      <c r="U87" s="73"/>
      <c r="V87" s="73"/>
    </row>
    <row r="88" spans="1:22" ht="16.5" customHeight="1">
      <c r="A88" s="559"/>
      <c r="B88" s="635"/>
      <c r="C88" s="635"/>
      <c r="E88" s="617"/>
      <c r="F88" s="620"/>
      <c r="G88" s="613" t="s">
        <v>384</v>
      </c>
      <c r="L88" s="635"/>
      <c r="O88" s="73"/>
      <c r="P88" s="73"/>
      <c r="Q88" s="73"/>
      <c r="R88" s="73"/>
      <c r="S88" s="73"/>
      <c r="T88" s="73"/>
      <c r="U88" s="73"/>
      <c r="V88" s="73"/>
    </row>
    <row r="89" spans="1:22" ht="16.5" customHeight="1">
      <c r="A89" s="559"/>
      <c r="B89" s="635"/>
      <c r="C89" s="635"/>
      <c r="E89" s="617"/>
      <c r="F89" s="620"/>
      <c r="G89" s="613" t="s">
        <v>363</v>
      </c>
      <c r="L89" s="635"/>
      <c r="O89" s="73"/>
      <c r="P89" s="73"/>
      <c r="Q89" s="73"/>
      <c r="R89" s="73"/>
      <c r="S89" s="73"/>
      <c r="T89" s="73"/>
      <c r="U89" s="73"/>
      <c r="V89" s="73"/>
    </row>
    <row r="90" spans="1:22" ht="16.5" customHeight="1">
      <c r="A90" s="559"/>
      <c r="B90" s="635"/>
      <c r="C90" s="635"/>
      <c r="E90" s="617"/>
      <c r="F90" s="620"/>
      <c r="G90" s="613" t="s">
        <v>366</v>
      </c>
      <c r="L90" s="635"/>
      <c r="O90" s="73"/>
      <c r="P90" s="73"/>
      <c r="Q90" s="73"/>
      <c r="R90" s="73"/>
      <c r="S90" s="73"/>
      <c r="T90" s="73"/>
      <c r="U90" s="73"/>
      <c r="V90" s="73"/>
    </row>
    <row r="91" spans="1:22" ht="16.5" customHeight="1">
      <c r="A91" s="559"/>
      <c r="B91" s="635"/>
      <c r="D91" s="617"/>
      <c r="E91" s="620"/>
      <c r="K91" s="635"/>
      <c r="N91" s="73"/>
      <c r="O91" s="73"/>
      <c r="P91" s="73"/>
      <c r="Q91" s="73"/>
      <c r="R91" s="73"/>
      <c r="S91" s="73"/>
      <c r="T91" s="73"/>
      <c r="U91" s="73"/>
    </row>
    <row r="92" spans="1:22" ht="16.5" customHeight="1">
      <c r="A92" s="559"/>
      <c r="B92" s="635"/>
      <c r="K92" s="635"/>
      <c r="N92" s="73"/>
      <c r="O92" s="73"/>
      <c r="P92" s="73"/>
      <c r="Q92" s="73"/>
      <c r="R92" s="73"/>
      <c r="S92" s="73"/>
      <c r="T92" s="73"/>
      <c r="U92" s="73"/>
    </row>
    <row r="93" spans="1:22" ht="16.5" customHeight="1">
      <c r="A93" s="559"/>
      <c r="B93" s="635"/>
      <c r="K93" s="635"/>
      <c r="N93" s="73"/>
      <c r="O93" s="73"/>
      <c r="P93" s="73"/>
      <c r="Q93" s="73"/>
      <c r="R93" s="73"/>
      <c r="S93" s="73"/>
      <c r="T93" s="73"/>
      <c r="U93" s="73"/>
    </row>
    <row r="94" spans="1:22" ht="16.5" customHeight="1">
      <c r="A94" s="559"/>
      <c r="B94" s="635"/>
      <c r="K94" s="635"/>
      <c r="N94" s="73"/>
      <c r="O94" s="73"/>
      <c r="P94" s="73"/>
      <c r="Q94" s="73"/>
      <c r="R94" s="73"/>
      <c r="S94" s="73"/>
      <c r="T94" s="73"/>
      <c r="U94" s="73"/>
    </row>
    <row r="95" spans="1:22">
      <c r="A95" s="1206" t="s">
        <v>967</v>
      </c>
      <c r="B95" s="1204"/>
      <c r="C95" s="1204"/>
      <c r="D95" s="1204"/>
      <c r="E95" s="1204"/>
      <c r="F95" s="1204"/>
      <c r="G95" s="1204"/>
      <c r="H95" s="1204"/>
      <c r="I95" s="1204"/>
      <c r="J95" s="1204"/>
      <c r="K95" s="1204"/>
      <c r="L95" s="1205"/>
      <c r="N95" s="73"/>
      <c r="O95" s="73"/>
      <c r="P95" s="73"/>
      <c r="Q95" s="73"/>
      <c r="R95" s="73"/>
      <c r="S95" s="73"/>
    </row>
    <row r="96" spans="1:22">
      <c r="A96" s="600" t="s">
        <v>169</v>
      </c>
      <c r="B96" s="600" t="s">
        <v>173</v>
      </c>
      <c r="C96" s="1004" t="s">
        <v>177</v>
      </c>
      <c r="D96" s="1004"/>
      <c r="E96" s="600" t="s">
        <v>182</v>
      </c>
      <c r="F96" s="600" t="s">
        <v>171</v>
      </c>
      <c r="G96" s="1004" t="s">
        <v>175</v>
      </c>
      <c r="H96" s="1004"/>
      <c r="I96" s="1004" t="s">
        <v>180</v>
      </c>
      <c r="J96" s="1004"/>
      <c r="K96" s="1004" t="s">
        <v>184</v>
      </c>
      <c r="L96" s="1004"/>
      <c r="N96" s="73"/>
      <c r="O96" s="73"/>
      <c r="P96" s="73"/>
      <c r="Q96" s="73"/>
      <c r="R96" s="73"/>
      <c r="S96" s="73"/>
    </row>
    <row r="97" spans="1:21">
      <c r="A97" s="608" t="s">
        <v>281</v>
      </c>
      <c r="B97" s="564" t="s">
        <v>282</v>
      </c>
      <c r="C97" s="822" t="s">
        <v>959</v>
      </c>
      <c r="D97" s="822"/>
      <c r="E97" s="587" t="s">
        <v>968</v>
      </c>
      <c r="F97" s="587" t="s">
        <v>969</v>
      </c>
      <c r="G97" s="821" t="s">
        <v>502</v>
      </c>
      <c r="H97" s="821"/>
      <c r="I97" s="1002" t="s">
        <v>970</v>
      </c>
      <c r="J97" s="1002"/>
      <c r="K97" s="1002" t="s">
        <v>971</v>
      </c>
      <c r="L97" s="1002"/>
      <c r="M97" s="113"/>
      <c r="N97" s="635"/>
      <c r="P97" s="73"/>
      <c r="Q97" s="73"/>
      <c r="R97" s="73"/>
      <c r="S97" s="73"/>
      <c r="T97" s="73"/>
      <c r="U97" s="73"/>
    </row>
    <row r="98" spans="1:21" ht="17.25" customHeight="1">
      <c r="A98" s="1043"/>
      <c r="B98" s="1046"/>
      <c r="C98" s="839" t="s">
        <v>286</v>
      </c>
      <c r="D98" s="839"/>
      <c r="E98" s="575" t="s">
        <v>972</v>
      </c>
      <c r="F98" s="561" t="s">
        <v>308</v>
      </c>
      <c r="G98" s="575" t="s">
        <v>973</v>
      </c>
      <c r="H98" s="288"/>
      <c r="I98" s="1044" t="s">
        <v>974</v>
      </c>
      <c r="J98" s="1044"/>
      <c r="K98" s="1045"/>
      <c r="L98" s="1045"/>
      <c r="N98" s="73"/>
      <c r="O98" s="73"/>
      <c r="P98" s="73"/>
      <c r="Q98" s="73"/>
      <c r="R98" s="73"/>
      <c r="S98" s="73"/>
    </row>
    <row r="99" spans="1:21" ht="18.75" customHeight="1">
      <c r="A99" s="1043"/>
      <c r="B99" s="1046"/>
      <c r="C99" s="839"/>
      <c r="D99" s="839"/>
      <c r="E99" s="575" t="s">
        <v>975</v>
      </c>
      <c r="F99" s="561" t="s">
        <v>308</v>
      </c>
      <c r="G99" s="575" t="s">
        <v>973</v>
      </c>
      <c r="H99" s="288"/>
      <c r="I99" s="1044"/>
      <c r="J99" s="1044"/>
      <c r="K99" s="1045"/>
      <c r="L99" s="1045"/>
      <c r="N99" s="73"/>
      <c r="O99" s="73"/>
      <c r="P99" s="73"/>
      <c r="Q99" s="73"/>
      <c r="R99" s="73"/>
      <c r="S99" s="73"/>
    </row>
    <row r="100" spans="1:21" ht="30.75" customHeight="1">
      <c r="A100" s="881"/>
      <c r="B100" s="869"/>
      <c r="C100" s="869"/>
      <c r="D100" s="869"/>
      <c r="E100" s="869"/>
      <c r="F100" s="869"/>
      <c r="G100" s="869"/>
      <c r="H100" s="869"/>
      <c r="I100" s="919"/>
      <c r="J100" s="99" t="s">
        <v>287</v>
      </c>
      <c r="K100" s="40" t="s">
        <v>288</v>
      </c>
      <c r="L100" s="39" t="s">
        <v>289</v>
      </c>
      <c r="N100" s="73"/>
      <c r="O100" s="73"/>
      <c r="P100" s="73"/>
      <c r="Q100" s="73"/>
      <c r="R100" s="73"/>
      <c r="S100" s="73"/>
      <c r="T100" s="73"/>
      <c r="U100" s="73"/>
    </row>
    <row r="102" spans="1:21">
      <c r="B102" s="68"/>
      <c r="C102" s="1064" t="s">
        <v>959</v>
      </c>
      <c r="D102" s="1064"/>
      <c r="E102" s="48"/>
      <c r="F102" s="48"/>
      <c r="G102" s="43"/>
      <c r="H102" s="231"/>
    </row>
    <row r="103" spans="1:21">
      <c r="B103" s="195"/>
      <c r="C103" s="1063" t="s">
        <v>976</v>
      </c>
      <c r="D103" s="1063"/>
      <c r="E103" s="43"/>
      <c r="F103" s="47"/>
      <c r="G103" s="43"/>
      <c r="H103" s="43"/>
    </row>
    <row r="104" spans="1:21">
      <c r="B104" s="195"/>
      <c r="C104" s="1063" t="s">
        <v>977</v>
      </c>
      <c r="D104" s="1063"/>
      <c r="E104" s="43"/>
      <c r="F104" s="47"/>
      <c r="G104" s="43"/>
      <c r="H104" s="231"/>
    </row>
    <row r="105" spans="1:21">
      <c r="A105" s="195"/>
      <c r="B105" s="195"/>
      <c r="C105" s="43"/>
      <c r="E105" s="47"/>
      <c r="F105" s="47"/>
      <c r="G105" s="43"/>
      <c r="H105" s="43"/>
    </row>
    <row r="106" spans="1:21">
      <c r="A106" s="195"/>
      <c r="B106" s="195"/>
      <c r="C106" s="43"/>
      <c r="H106" s="43"/>
    </row>
    <row r="107" spans="1:21">
      <c r="A107" s="1207" t="s">
        <v>978</v>
      </c>
      <c r="B107" s="1208"/>
      <c r="C107" s="1208"/>
      <c r="D107" s="1208"/>
      <c r="E107" s="1208"/>
      <c r="F107" s="1208"/>
      <c r="G107" s="1208"/>
      <c r="H107" s="1208"/>
      <c r="I107" s="1208"/>
      <c r="J107" s="1208"/>
      <c r="K107" s="1208"/>
      <c r="L107" s="1209"/>
      <c r="N107" s="73"/>
      <c r="O107" s="73"/>
      <c r="P107" s="73"/>
      <c r="Q107" s="73"/>
      <c r="R107" s="73"/>
      <c r="S107" s="73"/>
    </row>
    <row r="108" spans="1:21">
      <c r="A108" s="600" t="s">
        <v>169</v>
      </c>
      <c r="B108" s="600" t="s">
        <v>173</v>
      </c>
      <c r="C108" s="1004" t="s">
        <v>177</v>
      </c>
      <c r="D108" s="1004"/>
      <c r="E108" s="600" t="s">
        <v>182</v>
      </c>
      <c r="F108" s="600" t="s">
        <v>171</v>
      </c>
      <c r="G108" s="600" t="s">
        <v>175</v>
      </c>
      <c r="H108" s="1010" t="s">
        <v>180</v>
      </c>
      <c r="I108" s="1023"/>
      <c r="J108" s="1011"/>
      <c r="K108" s="1004" t="s">
        <v>184</v>
      </c>
      <c r="L108" s="1004"/>
      <c r="N108" s="73"/>
      <c r="O108" s="73"/>
      <c r="P108" s="73"/>
      <c r="Q108" s="73"/>
      <c r="R108" s="73"/>
      <c r="S108" s="73"/>
    </row>
    <row r="109" spans="1:21" ht="27.75" customHeight="1">
      <c r="A109" s="608" t="s">
        <v>281</v>
      </c>
      <c r="B109" s="564" t="s">
        <v>282</v>
      </c>
      <c r="C109" s="822" t="s">
        <v>959</v>
      </c>
      <c r="D109" s="822"/>
      <c r="E109" s="587" t="s">
        <v>303</v>
      </c>
      <c r="F109" s="587" t="s">
        <v>449</v>
      </c>
      <c r="G109" s="587" t="s">
        <v>979</v>
      </c>
      <c r="H109" s="1047" t="s">
        <v>980</v>
      </c>
      <c r="I109" s="1067"/>
      <c r="J109" s="1048"/>
      <c r="K109" s="1002" t="s">
        <v>971</v>
      </c>
      <c r="L109" s="1002"/>
      <c r="M109" s="113"/>
      <c r="N109" s="635"/>
      <c r="P109" s="73"/>
      <c r="Q109" s="73"/>
      <c r="R109" s="73"/>
      <c r="S109" s="73"/>
      <c r="T109" s="73"/>
      <c r="U109" s="73"/>
    </row>
    <row r="110" spans="1:21" ht="41.85" customHeight="1">
      <c r="A110" s="618"/>
      <c r="B110" s="619"/>
      <c r="C110" s="1070" t="s">
        <v>981</v>
      </c>
      <c r="D110" s="1070"/>
      <c r="E110" s="561" t="s">
        <v>582</v>
      </c>
      <c r="F110" s="561" t="s">
        <v>308</v>
      </c>
      <c r="G110" s="619"/>
      <c r="H110" s="865" t="s">
        <v>982</v>
      </c>
      <c r="I110" s="1068"/>
      <c r="J110" s="1069"/>
      <c r="K110" s="1045"/>
      <c r="L110" s="1045"/>
      <c r="N110" s="73"/>
      <c r="O110" s="73"/>
      <c r="P110" s="73"/>
      <c r="Q110" s="73"/>
      <c r="R110" s="73"/>
      <c r="S110" s="73"/>
    </row>
    <row r="112" spans="1:21">
      <c r="E112" s="561" t="s">
        <v>983</v>
      </c>
    </row>
    <row r="113" spans="1:19">
      <c r="E113" s="613" t="s">
        <v>338</v>
      </c>
    </row>
    <row r="114" spans="1:19">
      <c r="E114" s="613" t="s">
        <v>344</v>
      </c>
    </row>
    <row r="115" spans="1:19">
      <c r="C115" s="43"/>
      <c r="H115" s="43"/>
    </row>
    <row r="116" spans="1:19">
      <c r="A116" s="287" t="s">
        <v>984</v>
      </c>
      <c r="C116" s="43"/>
      <c r="H116" s="43"/>
    </row>
    <row r="117" spans="1:19">
      <c r="C117" s="43"/>
      <c r="H117" s="43"/>
    </row>
    <row r="118" spans="1:19">
      <c r="B118" s="43"/>
      <c r="G118" s="43"/>
    </row>
    <row r="119" spans="1:19">
      <c r="A119" s="986" t="s">
        <v>985</v>
      </c>
      <c r="B119" s="987"/>
      <c r="C119" s="987"/>
      <c r="D119" s="987"/>
      <c r="E119" s="988"/>
      <c r="F119" s="102"/>
      <c r="G119" s="102"/>
      <c r="H119" s="102"/>
      <c r="I119" s="102"/>
      <c r="J119" s="102"/>
      <c r="K119" s="102"/>
      <c r="L119" s="102"/>
      <c r="N119" s="107"/>
      <c r="O119" s="107"/>
      <c r="P119" s="107"/>
      <c r="Q119" s="107"/>
      <c r="R119" s="107"/>
      <c r="S119" s="107"/>
    </row>
    <row r="120" spans="1:19">
      <c r="A120" s="600" t="s">
        <v>169</v>
      </c>
      <c r="B120" s="600" t="s">
        <v>173</v>
      </c>
      <c r="C120" s="600" t="s">
        <v>177</v>
      </c>
      <c r="D120" s="600" t="s">
        <v>182</v>
      </c>
      <c r="E120" s="548" t="s">
        <v>171</v>
      </c>
      <c r="F120" s="604"/>
      <c r="G120" s="604"/>
      <c r="H120" s="604"/>
      <c r="I120" s="989"/>
      <c r="J120" s="989"/>
      <c r="K120" s="635"/>
      <c r="L120" s="604"/>
      <c r="N120" s="107"/>
      <c r="O120" s="107"/>
      <c r="P120" s="107"/>
      <c r="Q120" s="107"/>
      <c r="R120" s="107"/>
      <c r="S120" s="107"/>
    </row>
    <row r="121" spans="1:19" ht="15" customHeight="1">
      <c r="A121" s="983" t="s">
        <v>986</v>
      </c>
      <c r="B121" s="1002" t="s">
        <v>987</v>
      </c>
      <c r="C121" s="1002" t="s">
        <v>988</v>
      </c>
      <c r="D121" s="1002"/>
      <c r="E121" s="1061" t="s">
        <v>546</v>
      </c>
      <c r="F121" s="574"/>
      <c r="G121" s="574"/>
      <c r="H121" s="574"/>
      <c r="I121" s="810"/>
      <c r="J121" s="810"/>
      <c r="K121" s="574"/>
      <c r="N121" s="107"/>
      <c r="O121" s="107"/>
      <c r="P121" s="107"/>
      <c r="Q121" s="107"/>
      <c r="R121" s="107"/>
      <c r="S121" s="107"/>
    </row>
    <row r="122" spans="1:19" ht="27.75" customHeight="1">
      <c r="A122" s="983"/>
      <c r="B122" s="1002"/>
      <c r="C122" s="597" t="s">
        <v>547</v>
      </c>
      <c r="D122" s="597" t="s">
        <v>548</v>
      </c>
      <c r="E122" s="1062"/>
      <c r="F122" s="574"/>
      <c r="G122" s="574"/>
      <c r="H122" s="574"/>
      <c r="I122" s="574"/>
      <c r="J122" s="574"/>
      <c r="K122" s="574"/>
      <c r="N122" s="107"/>
      <c r="O122" s="107"/>
      <c r="P122" s="107"/>
      <c r="Q122" s="107"/>
      <c r="R122" s="107"/>
      <c r="S122" s="107"/>
    </row>
    <row r="123" spans="1:19" ht="68.25" customHeight="1">
      <c r="A123" s="112" t="s">
        <v>989</v>
      </c>
      <c r="B123" s="289" t="s">
        <v>551</v>
      </c>
      <c r="C123" s="290" t="s">
        <v>990</v>
      </c>
      <c r="D123" s="290" t="s">
        <v>991</v>
      </c>
      <c r="E123" s="291" t="s">
        <v>558</v>
      </c>
      <c r="F123" s="292"/>
      <c r="I123" s="105"/>
      <c r="J123" s="45"/>
      <c r="N123" s="107"/>
      <c r="O123" s="107"/>
      <c r="P123" s="107"/>
      <c r="Q123" s="107"/>
      <c r="R123" s="107"/>
      <c r="S123" s="107"/>
    </row>
    <row r="124" spans="1:19">
      <c r="B124" s="43"/>
      <c r="G124" s="43"/>
    </row>
    <row r="125" spans="1:19">
      <c r="B125" s="43"/>
      <c r="G125" s="43"/>
    </row>
    <row r="126" spans="1:19">
      <c r="A126" s="990" t="s">
        <v>992</v>
      </c>
      <c r="B126" s="991"/>
      <c r="C126" s="991"/>
      <c r="D126" s="991"/>
      <c r="E126" s="992"/>
      <c r="F126" s="102"/>
      <c r="G126" s="102"/>
      <c r="H126" s="102"/>
      <c r="I126" s="102"/>
      <c r="J126" s="102"/>
      <c r="K126" s="102"/>
      <c r="L126" s="102"/>
    </row>
    <row r="127" spans="1:19">
      <c r="A127" s="600" t="s">
        <v>169</v>
      </c>
      <c r="B127" s="600" t="s">
        <v>173</v>
      </c>
      <c r="C127" s="600" t="s">
        <v>177</v>
      </c>
      <c r="D127" s="600" t="s">
        <v>182</v>
      </c>
      <c r="E127" s="548" t="s">
        <v>171</v>
      </c>
      <c r="F127" s="604"/>
      <c r="G127" s="604"/>
      <c r="H127" s="604"/>
      <c r="I127" s="989"/>
      <c r="J127" s="989"/>
      <c r="K127" s="635"/>
      <c r="L127" s="604"/>
    </row>
    <row r="128" spans="1:19">
      <c r="A128" s="983" t="s">
        <v>986</v>
      </c>
      <c r="B128" s="821" t="s">
        <v>993</v>
      </c>
      <c r="C128" s="821" t="s">
        <v>988</v>
      </c>
      <c r="D128" s="821"/>
      <c r="E128" s="821" t="s">
        <v>546</v>
      </c>
      <c r="F128" s="574"/>
      <c r="G128" s="574"/>
      <c r="H128" s="574"/>
      <c r="I128" s="810"/>
      <c r="J128" s="810"/>
      <c r="K128" s="574"/>
    </row>
    <row r="129" spans="1:11">
      <c r="A129" s="983"/>
      <c r="B129" s="821"/>
      <c r="C129" s="587" t="s">
        <v>547</v>
      </c>
      <c r="D129" s="587" t="s">
        <v>548</v>
      </c>
      <c r="E129" s="821"/>
      <c r="F129" s="574"/>
      <c r="G129" s="574"/>
      <c r="H129" s="574"/>
      <c r="I129" s="574"/>
      <c r="J129" s="574"/>
      <c r="K129" s="574"/>
    </row>
    <row r="130" spans="1:11" ht="48.75" customHeight="1">
      <c r="A130" s="293" t="s">
        <v>994</v>
      </c>
      <c r="B130" s="289" t="s">
        <v>551</v>
      </c>
      <c r="C130" s="290" t="s">
        <v>990</v>
      </c>
      <c r="D130" s="290" t="s">
        <v>995</v>
      </c>
      <c r="E130" s="821"/>
      <c r="F130" s="45"/>
      <c r="I130" s="105"/>
      <c r="J130" s="45"/>
    </row>
    <row r="131" spans="1:11" ht="60.6">
      <c r="A131" s="294" t="s">
        <v>996</v>
      </c>
      <c r="B131" s="295" t="s">
        <v>555</v>
      </c>
      <c r="C131" s="290" t="s">
        <v>997</v>
      </c>
      <c r="D131" s="290" t="s">
        <v>998</v>
      </c>
      <c r="E131" s="291" t="s">
        <v>558</v>
      </c>
      <c r="F131" s="44"/>
      <c r="I131" s="577"/>
      <c r="J131" s="577"/>
    </row>
    <row r="132" spans="1:11">
      <c r="B132" s="43"/>
    </row>
    <row r="133" spans="1:11">
      <c r="B133" s="43"/>
    </row>
    <row r="141" spans="1:11">
      <c r="I141" s="41"/>
    </row>
  </sheetData>
  <mergeCells count="101">
    <mergeCell ref="A4:N4"/>
    <mergeCell ref="A3:N3"/>
    <mergeCell ref="A7:J7"/>
    <mergeCell ref="I127:J127"/>
    <mergeCell ref="A126:E126"/>
    <mergeCell ref="A119:E119"/>
    <mergeCell ref="H108:J108"/>
    <mergeCell ref="H109:J109"/>
    <mergeCell ref="H110:J110"/>
    <mergeCell ref="C110:D110"/>
    <mergeCell ref="I74:I75"/>
    <mergeCell ref="J72:K72"/>
    <mergeCell ref="E73:F73"/>
    <mergeCell ref="E72:F72"/>
    <mergeCell ref="E74:F74"/>
    <mergeCell ref="E75:F75"/>
    <mergeCell ref="J73:K73"/>
    <mergeCell ref="E80:F80"/>
    <mergeCell ref="E81:F81"/>
    <mergeCell ref="E82:F82"/>
    <mergeCell ref="A74:A75"/>
    <mergeCell ref="B74:B75"/>
    <mergeCell ref="D74:D75"/>
    <mergeCell ref="A77:F77"/>
    <mergeCell ref="A128:A129"/>
    <mergeCell ref="B128:B129"/>
    <mergeCell ref="C128:D128"/>
    <mergeCell ref="E128:E130"/>
    <mergeCell ref="I128:J128"/>
    <mergeCell ref="A100:I100"/>
    <mergeCell ref="I120:J120"/>
    <mergeCell ref="A121:A122"/>
    <mergeCell ref="B121:B122"/>
    <mergeCell ref="C121:D121"/>
    <mergeCell ref="E121:E122"/>
    <mergeCell ref="I121:J121"/>
    <mergeCell ref="C103:D103"/>
    <mergeCell ref="C104:D104"/>
    <mergeCell ref="C102:D102"/>
    <mergeCell ref="A107:L107"/>
    <mergeCell ref="C108:D108"/>
    <mergeCell ref="K110:L110"/>
    <mergeCell ref="K108:L108"/>
    <mergeCell ref="C109:D109"/>
    <mergeCell ref="K109:L109"/>
    <mergeCell ref="B79:C79"/>
    <mergeCell ref="D79:L79"/>
    <mergeCell ref="L74:L75"/>
    <mergeCell ref="C74:C75"/>
    <mergeCell ref="A76:I76"/>
    <mergeCell ref="A46:L46"/>
    <mergeCell ref="C47:L47"/>
    <mergeCell ref="J48:K48"/>
    <mergeCell ref="J49:K49"/>
    <mergeCell ref="A50:A51"/>
    <mergeCell ref="C50:C51"/>
    <mergeCell ref="I50:I51"/>
    <mergeCell ref="L50:L51"/>
    <mergeCell ref="B50:B51"/>
    <mergeCell ref="C71:L71"/>
    <mergeCell ref="A52:I52"/>
    <mergeCell ref="D50:D51"/>
    <mergeCell ref="H74:H75"/>
    <mergeCell ref="A70:L70"/>
    <mergeCell ref="B53:C53"/>
    <mergeCell ref="D53:L53"/>
    <mergeCell ref="J12:K12"/>
    <mergeCell ref="K5:L5"/>
    <mergeCell ref="I5:J5"/>
    <mergeCell ref="A9:L9"/>
    <mergeCell ref="C10:L10"/>
    <mergeCell ref="J11:K11"/>
    <mergeCell ref="B5:E5"/>
    <mergeCell ref="A6:L6"/>
    <mergeCell ref="E43:L43"/>
    <mergeCell ref="A13:A14"/>
    <mergeCell ref="B13:B14"/>
    <mergeCell ref="C13:C14"/>
    <mergeCell ref="H13:H14"/>
    <mergeCell ref="I13:I14"/>
    <mergeCell ref="L13:L14"/>
    <mergeCell ref="A16:I16"/>
    <mergeCell ref="E19:L19"/>
    <mergeCell ref="D13:D14"/>
    <mergeCell ref="A17:F17"/>
    <mergeCell ref="B18:C18"/>
    <mergeCell ref="D18:L18"/>
    <mergeCell ref="A95:L95"/>
    <mergeCell ref="A98:A99"/>
    <mergeCell ref="I96:J96"/>
    <mergeCell ref="K96:L96"/>
    <mergeCell ref="I97:J97"/>
    <mergeCell ref="I98:J99"/>
    <mergeCell ref="K97:L97"/>
    <mergeCell ref="K98:L99"/>
    <mergeCell ref="G96:H96"/>
    <mergeCell ref="G97:H97"/>
    <mergeCell ref="C98:D99"/>
    <mergeCell ref="B98:B99"/>
    <mergeCell ref="C96:D96"/>
    <mergeCell ref="C97:D97"/>
  </mergeCells>
  <pageMargins left="0.7" right="0.7" top="0.75" bottom="0.75" header="0.3" footer="0.3"/>
  <pageSetup paperSize="3" scale="93" orientation="landscape" cellComments="asDisplayed" errors="blank"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0"/>
  <dimension ref="A1:V37"/>
  <sheetViews>
    <sheetView topLeftCell="A24" zoomScale="70" zoomScaleNormal="70" workbookViewId="0">
      <selection activeCell="B38" sqref="B38"/>
    </sheetView>
  </sheetViews>
  <sheetFormatPr defaultColWidth="9.42578125" defaultRowHeight="14.45"/>
  <cols>
    <col min="1" max="1" width="15.42578125" customWidth="1"/>
    <col min="2" max="2" width="20.42578125" customWidth="1"/>
    <col min="3" max="3" width="15.42578125" customWidth="1"/>
    <col min="4" max="4" width="24.42578125" customWidth="1"/>
    <col min="5" max="5" width="28.42578125" customWidth="1"/>
    <col min="6" max="6" width="14.42578125" customWidth="1"/>
    <col min="7" max="7" width="17.42578125" customWidth="1"/>
    <col min="8" max="8" width="12" customWidth="1"/>
    <col min="9" max="9" width="11.42578125" customWidth="1"/>
    <col min="10" max="12" width="10.42578125" customWidth="1"/>
  </cols>
  <sheetData>
    <row r="1" spans="1:22">
      <c r="A1" s="10"/>
      <c r="B1" t="s">
        <v>140</v>
      </c>
      <c r="C1" s="11"/>
      <c r="D1" t="s">
        <v>141</v>
      </c>
      <c r="F1" s="32"/>
      <c r="G1" t="s">
        <v>142</v>
      </c>
      <c r="K1" s="12"/>
      <c r="L1" t="s">
        <v>143</v>
      </c>
    </row>
    <row r="2" spans="1:22" ht="18" customHeight="1">
      <c r="N2" s="73"/>
      <c r="O2" s="73"/>
      <c r="P2" s="73"/>
      <c r="Q2" s="73"/>
      <c r="R2" s="73"/>
      <c r="S2" s="73"/>
    </row>
    <row r="3" spans="1:22" ht="15" customHeight="1">
      <c r="A3" s="1073" t="s">
        <v>999</v>
      </c>
      <c r="B3" s="1073"/>
      <c r="C3" s="1073"/>
      <c r="D3" s="1073"/>
      <c r="E3" s="1073"/>
      <c r="F3" s="1073"/>
      <c r="G3" s="1073"/>
      <c r="H3" s="1073"/>
      <c r="I3" s="1073"/>
      <c r="J3" s="102"/>
      <c r="K3" s="102"/>
      <c r="L3" s="102"/>
      <c r="N3" s="73"/>
      <c r="O3" s="73"/>
      <c r="P3" s="73"/>
      <c r="Q3" s="73"/>
      <c r="R3" s="73"/>
      <c r="S3" s="73"/>
    </row>
    <row r="4" spans="1:22" s="51" customFormat="1" ht="46.5" customHeight="1">
      <c r="A4" s="1065" t="s">
        <v>1000</v>
      </c>
      <c r="B4" s="1065"/>
      <c r="C4" s="1065"/>
      <c r="D4" s="1065"/>
      <c r="E4" s="1065"/>
      <c r="F4" s="1065"/>
      <c r="G4" s="1065"/>
      <c r="H4" s="1065"/>
      <c r="I4" s="1065"/>
      <c r="J4" s="132"/>
      <c r="K4" s="132"/>
      <c r="L4" s="132"/>
      <c r="N4" s="73"/>
      <c r="O4" s="73"/>
      <c r="P4" s="73"/>
      <c r="Q4" s="73"/>
      <c r="R4" s="73"/>
      <c r="S4" s="73"/>
    </row>
    <row r="5" spans="1:22" s="51" customFormat="1" ht="15.6" customHeight="1">
      <c r="A5" s="132"/>
      <c r="B5" s="132"/>
      <c r="C5" s="132"/>
      <c r="D5" s="132"/>
      <c r="E5" s="132"/>
      <c r="F5" s="132"/>
      <c r="G5" s="132"/>
      <c r="H5" s="132"/>
      <c r="I5" s="132"/>
      <c r="J5" s="132"/>
      <c r="K5" s="132"/>
      <c r="L5" s="132"/>
      <c r="N5" s="73"/>
      <c r="O5" s="73"/>
      <c r="P5" s="73"/>
      <c r="Q5" s="73"/>
      <c r="R5" s="73"/>
      <c r="S5" s="73"/>
    </row>
    <row r="6" spans="1:22" s="51" customFormat="1" ht="15" customHeight="1">
      <c r="A6" s="1075" t="s">
        <v>1001</v>
      </c>
      <c r="B6" s="1075"/>
      <c r="C6" s="1075"/>
      <c r="D6" s="1075"/>
      <c r="E6" s="1075"/>
      <c r="F6" s="1075"/>
      <c r="G6" s="1075"/>
      <c r="H6" s="1075"/>
      <c r="I6" s="1075"/>
      <c r="J6" s="132"/>
      <c r="K6" s="132"/>
      <c r="L6" s="132"/>
      <c r="N6" s="73"/>
      <c r="O6" s="73"/>
      <c r="P6" s="73"/>
      <c r="Q6" s="73"/>
      <c r="R6" s="73"/>
      <c r="S6" s="73"/>
    </row>
    <row r="7" spans="1:22" ht="15" customHeight="1">
      <c r="A7" s="600" t="s">
        <v>169</v>
      </c>
      <c r="B7" s="600" t="s">
        <v>173</v>
      </c>
      <c r="C7" s="600" t="s">
        <v>177</v>
      </c>
      <c r="D7" s="592" t="s">
        <v>182</v>
      </c>
      <c r="E7" s="1004" t="s">
        <v>171</v>
      </c>
      <c r="F7" s="1004"/>
      <c r="G7" s="600" t="s">
        <v>175</v>
      </c>
      <c r="H7" s="1004" t="s">
        <v>180</v>
      </c>
      <c r="I7" s="1004"/>
      <c r="K7" s="73"/>
      <c r="L7" s="73"/>
      <c r="M7" s="73"/>
      <c r="N7" s="73"/>
      <c r="O7" s="73"/>
      <c r="P7" s="73"/>
      <c r="Q7" s="73"/>
      <c r="R7" s="73"/>
    </row>
    <row r="8" spans="1:22" s="48" customFormat="1" ht="38.25" customHeight="1">
      <c r="A8" s="608" t="s">
        <v>281</v>
      </c>
      <c r="B8" s="95" t="s">
        <v>282</v>
      </c>
      <c r="C8" s="196" t="s">
        <v>285</v>
      </c>
      <c r="D8" s="95" t="s">
        <v>1002</v>
      </c>
      <c r="E8" s="1047" t="s">
        <v>1003</v>
      </c>
      <c r="F8" s="1048"/>
      <c r="G8" s="597" t="s">
        <v>1004</v>
      </c>
      <c r="H8" s="1002" t="s">
        <v>305</v>
      </c>
      <c r="I8" s="1002"/>
      <c r="K8" s="73"/>
      <c r="L8" s="73"/>
      <c r="M8" s="73"/>
      <c r="N8" s="73"/>
      <c r="O8" s="73"/>
      <c r="P8" s="73"/>
      <c r="Q8" s="73"/>
      <c r="R8" s="73"/>
    </row>
    <row r="9" spans="1:22">
      <c r="A9" s="927"/>
      <c r="B9" s="842"/>
      <c r="C9" s="1074" t="s">
        <v>286</v>
      </c>
      <c r="D9" s="1074" t="s">
        <v>286</v>
      </c>
      <c r="E9" s="1074" t="s">
        <v>286</v>
      </c>
      <c r="F9" s="1074"/>
      <c r="G9" s="1074" t="s">
        <v>308</v>
      </c>
      <c r="H9" s="822" t="s">
        <v>309</v>
      </c>
      <c r="I9" s="1074" t="s">
        <v>308</v>
      </c>
      <c r="K9" s="73"/>
      <c r="L9" s="73"/>
      <c r="M9" s="73"/>
      <c r="N9" s="73"/>
      <c r="O9" s="73"/>
      <c r="P9" s="73"/>
      <c r="Q9" s="73"/>
      <c r="R9" s="73"/>
    </row>
    <row r="10" spans="1:22">
      <c r="A10" s="927"/>
      <c r="B10" s="842"/>
      <c r="C10" s="1074"/>
      <c r="D10" s="1074"/>
      <c r="E10" s="1074"/>
      <c r="F10" s="1074"/>
      <c r="G10" s="1074"/>
      <c r="H10" s="822"/>
      <c r="I10" s="1074"/>
      <c r="K10" s="73"/>
      <c r="L10" s="73"/>
      <c r="M10" s="73"/>
      <c r="N10" s="73"/>
      <c r="O10" s="73"/>
      <c r="P10" s="73"/>
      <c r="Q10" s="73"/>
      <c r="R10" s="73"/>
    </row>
    <row r="11" spans="1:22">
      <c r="A11" s="115"/>
      <c r="B11" s="285"/>
      <c r="C11" s="285"/>
      <c r="D11" s="285"/>
      <c r="E11" s="285"/>
      <c r="F11" s="285"/>
      <c r="G11" s="253" t="s">
        <v>287</v>
      </c>
      <c r="H11" s="625" t="s">
        <v>288</v>
      </c>
      <c r="I11" s="626" t="s">
        <v>289</v>
      </c>
      <c r="N11" s="73"/>
      <c r="O11" s="73"/>
      <c r="P11" s="73"/>
      <c r="Q11" s="73"/>
      <c r="R11" s="73"/>
      <c r="S11" s="73"/>
      <c r="T11" s="73"/>
      <c r="U11" s="73"/>
    </row>
    <row r="12" spans="1:22" ht="16.5" customHeight="1">
      <c r="A12" s="559"/>
      <c r="B12" s="265"/>
      <c r="C12" s="621" t="s">
        <v>591</v>
      </c>
      <c r="D12" s="286" t="s">
        <v>1005</v>
      </c>
      <c r="E12" s="907" t="s">
        <v>1006</v>
      </c>
      <c r="F12" s="909"/>
      <c r="G12" s="128"/>
      <c r="H12" s="128"/>
      <c r="I12" s="128"/>
      <c r="L12" s="635"/>
      <c r="O12" s="73"/>
      <c r="P12" s="73"/>
      <c r="Q12" s="73"/>
      <c r="R12" s="73"/>
      <c r="S12" s="73"/>
      <c r="T12" s="73"/>
      <c r="U12" s="73"/>
      <c r="V12" s="73"/>
    </row>
    <row r="13" spans="1:22" ht="16.5" customHeight="1">
      <c r="A13" s="559"/>
      <c r="B13" s="265"/>
      <c r="C13" s="119" t="s">
        <v>321</v>
      </c>
      <c r="D13" s="455" t="s">
        <v>1007</v>
      </c>
      <c r="E13" s="1076" t="s">
        <v>1008</v>
      </c>
      <c r="F13" s="827"/>
      <c r="G13" s="279"/>
      <c r="H13" s="279"/>
      <c r="I13" s="279"/>
      <c r="J13" s="80"/>
      <c r="K13" s="80"/>
      <c r="L13" s="80"/>
      <c r="M13" s="80"/>
      <c r="O13" s="73"/>
      <c r="P13" s="73"/>
      <c r="Q13" s="73"/>
      <c r="R13" s="73"/>
      <c r="S13" s="73"/>
      <c r="T13" s="73"/>
      <c r="U13" s="73"/>
      <c r="V13" s="73"/>
    </row>
    <row r="14" spans="1:22" ht="28.35" customHeight="1">
      <c r="A14" s="559"/>
      <c r="B14" s="635"/>
      <c r="C14" s="446" t="s">
        <v>192</v>
      </c>
      <c r="D14" s="456" t="s">
        <v>1009</v>
      </c>
      <c r="E14" s="1076" t="s">
        <v>1010</v>
      </c>
      <c r="F14" s="827"/>
      <c r="G14" s="80"/>
      <c r="H14" s="80"/>
      <c r="I14" s="80"/>
      <c r="J14" s="80"/>
      <c r="K14" s="80"/>
      <c r="L14" s="80"/>
      <c r="M14" s="80"/>
      <c r="O14" s="73"/>
      <c r="P14" s="73"/>
      <c r="Q14" s="73"/>
      <c r="R14" s="73"/>
      <c r="S14" s="73"/>
      <c r="T14" s="73"/>
      <c r="U14" s="73"/>
      <c r="V14" s="73"/>
    </row>
    <row r="15" spans="1:22">
      <c r="A15" s="559"/>
      <c r="B15" s="635"/>
      <c r="C15" s="446" t="s">
        <v>325</v>
      </c>
      <c r="D15" s="456" t="s">
        <v>1011</v>
      </c>
      <c r="E15" s="1076" t="s">
        <v>1012</v>
      </c>
      <c r="F15" s="827"/>
      <c r="G15" s="80"/>
      <c r="H15" s="80"/>
      <c r="I15" s="80"/>
      <c r="J15" s="80"/>
      <c r="K15" s="80"/>
      <c r="L15" s="80"/>
      <c r="M15" s="80"/>
      <c r="O15" s="73"/>
      <c r="P15" s="73"/>
      <c r="Q15" s="73"/>
      <c r="R15" s="73"/>
      <c r="S15" s="73"/>
      <c r="T15" s="73"/>
      <c r="U15" s="73"/>
      <c r="V15" s="73"/>
    </row>
    <row r="16" spans="1:22" ht="26.1">
      <c r="A16" s="559"/>
      <c r="B16" s="635"/>
      <c r="C16" s="455" t="s">
        <v>1013</v>
      </c>
      <c r="D16" s="456" t="s">
        <v>1014</v>
      </c>
      <c r="E16" s="1076" t="s">
        <v>1015</v>
      </c>
      <c r="F16" s="827"/>
      <c r="G16" s="80"/>
      <c r="H16" s="80"/>
      <c r="I16" s="80"/>
      <c r="J16" s="80"/>
      <c r="K16" s="80"/>
      <c r="L16" s="80"/>
      <c r="M16" s="80"/>
      <c r="O16" s="73"/>
      <c r="P16" s="73"/>
      <c r="Q16" s="73"/>
      <c r="R16" s="73"/>
      <c r="S16" s="73"/>
      <c r="T16" s="73"/>
      <c r="U16" s="73"/>
      <c r="V16" s="73"/>
    </row>
    <row r="17" spans="1:22" ht="27" customHeight="1">
      <c r="A17" s="559"/>
      <c r="B17" s="635"/>
      <c r="C17" s="635"/>
      <c r="D17" s="456" t="s">
        <v>1016</v>
      </c>
      <c r="E17" s="1076" t="s">
        <v>1017</v>
      </c>
      <c r="F17" s="827"/>
      <c r="G17" s="80"/>
      <c r="H17" s="80"/>
      <c r="I17" s="80"/>
      <c r="J17" s="80"/>
      <c r="K17" s="80"/>
      <c r="L17" s="80"/>
      <c r="M17" s="80"/>
      <c r="O17" s="73"/>
      <c r="P17" s="73"/>
      <c r="Q17" s="73"/>
      <c r="R17" s="73"/>
      <c r="S17" s="73"/>
      <c r="T17" s="73"/>
      <c r="U17" s="73"/>
      <c r="V17" s="73"/>
    </row>
    <row r="18" spans="1:22" ht="16.5" customHeight="1">
      <c r="A18" s="559"/>
      <c r="B18" s="635"/>
      <c r="C18" s="635"/>
      <c r="D18" s="328"/>
      <c r="E18" s="1076" t="s">
        <v>1018</v>
      </c>
      <c r="F18" s="827"/>
      <c r="L18" s="635"/>
      <c r="O18" s="73"/>
      <c r="P18" s="73"/>
      <c r="Q18" s="73"/>
      <c r="R18" s="73"/>
      <c r="S18" s="73"/>
      <c r="T18" s="73"/>
      <c r="U18" s="73"/>
      <c r="V18" s="73"/>
    </row>
    <row r="19" spans="1:22">
      <c r="D19" s="328"/>
      <c r="E19" s="1076" t="s">
        <v>1019</v>
      </c>
      <c r="F19" s="827"/>
      <c r="J19" s="41"/>
    </row>
    <row r="20" spans="1:22">
      <c r="I20" s="41"/>
    </row>
    <row r="21" spans="1:22">
      <c r="I21" s="41"/>
    </row>
    <row r="22" spans="1:22">
      <c r="A22" s="1075" t="s">
        <v>1020</v>
      </c>
      <c r="B22" s="1075"/>
      <c r="C22" s="1075"/>
      <c r="I22" s="41"/>
    </row>
    <row r="23" spans="1:22">
      <c r="A23" s="526"/>
      <c r="B23" s="527"/>
      <c r="C23" s="528"/>
      <c r="I23" s="41"/>
    </row>
    <row r="24" spans="1:22">
      <c r="A24" s="1078" t="s">
        <v>1021</v>
      </c>
      <c r="B24" s="1079"/>
      <c r="C24" s="1080"/>
    </row>
    <row r="25" spans="1:22">
      <c r="A25" s="600" t="s">
        <v>169</v>
      </c>
      <c r="B25" s="1010" t="s">
        <v>173</v>
      </c>
      <c r="C25" s="1011"/>
    </row>
    <row r="26" spans="1:22" ht="37.5" customHeight="1">
      <c r="A26" s="95" t="s">
        <v>281</v>
      </c>
      <c r="B26" s="1087" t="s">
        <v>1022</v>
      </c>
      <c r="C26" s="1088"/>
    </row>
    <row r="27" spans="1:22">
      <c r="A27" s="927"/>
      <c r="B27" s="1083" t="s">
        <v>286</v>
      </c>
      <c r="C27" s="1084"/>
    </row>
    <row r="28" spans="1:22">
      <c r="A28" s="927"/>
      <c r="B28" s="1085"/>
      <c r="C28" s="1086"/>
    </row>
    <row r="31" spans="1:22">
      <c r="B31" s="1089" t="s">
        <v>1023</v>
      </c>
      <c r="C31" s="1089"/>
    </row>
    <row r="32" spans="1:22">
      <c r="B32" s="1081" t="s">
        <v>434</v>
      </c>
      <c r="C32" s="1090"/>
    </row>
    <row r="33" spans="2:5">
      <c r="B33" s="1072" t="s">
        <v>1024</v>
      </c>
      <c r="C33" s="1072"/>
    </row>
    <row r="34" spans="2:5">
      <c r="B34" s="1072" t="s">
        <v>1025</v>
      </c>
      <c r="C34" s="1072"/>
    </row>
    <row r="35" spans="2:5" ht="30.95" customHeight="1">
      <c r="B35" s="1072" t="s">
        <v>1026</v>
      </c>
      <c r="C35" s="1072"/>
    </row>
    <row r="36" spans="2:5">
      <c r="B36" s="1072" t="s">
        <v>1027</v>
      </c>
      <c r="C36" s="1072"/>
      <c r="D36" s="1081"/>
      <c r="E36" s="1082"/>
    </row>
    <row r="37" spans="2:5">
      <c r="B37" s="1077" t="s">
        <v>1028</v>
      </c>
      <c r="C37" s="1077"/>
    </row>
  </sheetData>
  <mergeCells count="37">
    <mergeCell ref="B36:C36"/>
    <mergeCell ref="B37:C37"/>
    <mergeCell ref="A24:C24"/>
    <mergeCell ref="D36:E36"/>
    <mergeCell ref="A27:A28"/>
    <mergeCell ref="B27:C28"/>
    <mergeCell ref="B26:C26"/>
    <mergeCell ref="B31:C31"/>
    <mergeCell ref="B32:C32"/>
    <mergeCell ref="B33:C33"/>
    <mergeCell ref="B34:C34"/>
    <mergeCell ref="B35:C35"/>
    <mergeCell ref="B25:C25"/>
    <mergeCell ref="A22:C22"/>
    <mergeCell ref="E19:F19"/>
    <mergeCell ref="A4:I4"/>
    <mergeCell ref="E17:F17"/>
    <mergeCell ref="E18:F18"/>
    <mergeCell ref="E16:F16"/>
    <mergeCell ref="E12:F12"/>
    <mergeCell ref="E13:F13"/>
    <mergeCell ref="E14:F14"/>
    <mergeCell ref="E15:F15"/>
    <mergeCell ref="A3:I3"/>
    <mergeCell ref="E8:F8"/>
    <mergeCell ref="E9:F10"/>
    <mergeCell ref="G9:G10"/>
    <mergeCell ref="H9:H10"/>
    <mergeCell ref="I9:I10"/>
    <mergeCell ref="H8:I8"/>
    <mergeCell ref="H7:I7"/>
    <mergeCell ref="C9:C10"/>
    <mergeCell ref="E7:F7"/>
    <mergeCell ref="A9:A10"/>
    <mergeCell ref="B9:B10"/>
    <mergeCell ref="D9:D10"/>
    <mergeCell ref="A6:I6"/>
  </mergeCells>
  <pageMargins left="0.7" right="0.7" top="0.75" bottom="0.75" header="0.3" footer="0.3"/>
  <pageSetup paperSize="3" scale="93" orientation="landscape" cellComments="asDisplayed" errors="blank"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1"/>
  <dimension ref="A1:AH193"/>
  <sheetViews>
    <sheetView zoomScale="50" zoomScaleNormal="50" workbookViewId="0">
      <selection activeCell="C18" sqref="C18"/>
    </sheetView>
  </sheetViews>
  <sheetFormatPr defaultColWidth="9.42578125" defaultRowHeight="14.45"/>
  <cols>
    <col min="1" max="1" width="21.42578125" customWidth="1"/>
    <col min="2" max="2" width="25.42578125" customWidth="1"/>
    <col min="3" max="3" width="47.42578125" customWidth="1"/>
    <col min="4" max="4" width="27" customWidth="1"/>
    <col min="5" max="6" width="21.42578125" customWidth="1"/>
    <col min="7" max="7" width="23.42578125" customWidth="1"/>
    <col min="8" max="8" width="15.42578125" customWidth="1"/>
    <col min="9" max="9" width="16.42578125" customWidth="1"/>
    <col min="10" max="10" width="29.42578125" customWidth="1"/>
    <col min="11" max="11" width="14.42578125" customWidth="1"/>
    <col min="13" max="13" width="13" customWidth="1"/>
    <col min="14" max="14" width="11.42578125" customWidth="1"/>
    <col min="15" max="15" width="8.42578125" customWidth="1"/>
    <col min="16" max="16" width="26.42578125" customWidth="1"/>
  </cols>
  <sheetData>
    <row r="1" spans="1:19">
      <c r="A1" s="10"/>
      <c r="B1" t="s">
        <v>140</v>
      </c>
      <c r="C1" s="11"/>
      <c r="D1" t="s">
        <v>141</v>
      </c>
      <c r="E1" s="32"/>
      <c r="F1" t="s">
        <v>142</v>
      </c>
      <c r="G1" s="12"/>
      <c r="H1" t="s">
        <v>143</v>
      </c>
    </row>
    <row r="3" spans="1:19">
      <c r="A3" s="1073" t="s">
        <v>1029</v>
      </c>
      <c r="B3" s="1073"/>
      <c r="C3" s="1073"/>
      <c r="D3" s="1073"/>
      <c r="E3" s="1073"/>
      <c r="F3" s="1073"/>
      <c r="G3" s="1073"/>
      <c r="H3" s="1073"/>
      <c r="I3" s="1073"/>
      <c r="J3" s="1073"/>
    </row>
    <row r="4" spans="1:19" ht="27" customHeight="1">
      <c r="A4" s="1105" t="s">
        <v>1030</v>
      </c>
      <c r="B4" s="1105"/>
      <c r="C4" s="1105"/>
      <c r="D4" s="1105"/>
      <c r="E4" s="1105"/>
      <c r="F4" s="1105"/>
      <c r="G4" s="1105"/>
      <c r="H4" s="1105"/>
      <c r="I4" s="1105"/>
      <c r="J4" s="1105"/>
    </row>
    <row r="5" spans="1:19" ht="16.5">
      <c r="A5" s="539" t="s">
        <v>169</v>
      </c>
      <c r="B5" s="884" t="s">
        <v>1031</v>
      </c>
      <c r="C5" s="885"/>
      <c r="D5" s="886"/>
      <c r="E5" s="131" t="s">
        <v>1032</v>
      </c>
      <c r="F5" s="131" t="s">
        <v>1033</v>
      </c>
      <c r="G5" s="1106" t="s">
        <v>1034</v>
      </c>
      <c r="H5" s="1106"/>
      <c r="I5" s="130" t="s">
        <v>1035</v>
      </c>
      <c r="J5" s="335" t="s">
        <v>1036</v>
      </c>
      <c r="K5" s="1110"/>
      <c r="L5" s="1110"/>
      <c r="N5" s="73"/>
      <c r="O5" s="73"/>
      <c r="P5" s="73"/>
      <c r="Q5" s="73"/>
      <c r="R5" s="73"/>
      <c r="S5" s="73"/>
    </row>
    <row r="6" spans="1:19">
      <c r="A6" s="1054" t="s">
        <v>1037</v>
      </c>
      <c r="B6" s="1054"/>
      <c r="C6" s="1054"/>
      <c r="D6" s="1054"/>
      <c r="E6" s="1054"/>
      <c r="F6" s="1054"/>
      <c r="G6" s="1054"/>
      <c r="H6" s="1054"/>
      <c r="I6" s="1054"/>
      <c r="J6" s="1054"/>
      <c r="K6" s="201"/>
      <c r="L6" s="201"/>
      <c r="N6" s="73"/>
      <c r="O6" s="73"/>
      <c r="P6" s="73"/>
      <c r="Q6" s="73"/>
      <c r="R6" s="73"/>
      <c r="S6" s="73"/>
    </row>
    <row r="7" spans="1:19" s="53" customFormat="1" ht="18" customHeight="1">
      <c r="A7" s="30"/>
      <c r="B7" s="133"/>
      <c r="C7" s="133"/>
      <c r="D7" s="133"/>
      <c r="E7" s="133"/>
      <c r="F7" s="134"/>
      <c r="G7" s="135"/>
      <c r="H7" s="135"/>
      <c r="I7" s="635"/>
      <c r="J7" s="635"/>
      <c r="K7" s="635"/>
      <c r="L7" s="635"/>
      <c r="M7"/>
    </row>
    <row r="8" spans="1:19" s="51" customFormat="1">
      <c r="A8" s="1111" t="s">
        <v>1038</v>
      </c>
      <c r="B8" s="1111"/>
      <c r="C8" s="1111"/>
      <c r="D8" s="1111"/>
      <c r="E8" s="1111"/>
      <c r="F8" s="1111"/>
      <c r="G8" s="1111"/>
      <c r="H8" s="1111"/>
      <c r="I8" s="160"/>
      <c r="J8" s="160"/>
      <c r="K8"/>
      <c r="L8"/>
      <c r="M8"/>
    </row>
    <row r="9" spans="1:19" s="51" customFormat="1">
      <c r="A9" s="823" t="s">
        <v>169</v>
      </c>
      <c r="B9" s="823"/>
      <c r="C9" s="548" t="s">
        <v>173</v>
      </c>
      <c r="D9" s="548" t="s">
        <v>177</v>
      </c>
      <c r="E9" s="823" t="s">
        <v>182</v>
      </c>
      <c r="F9" s="823"/>
      <c r="G9" s="823" t="s">
        <v>171</v>
      </c>
      <c r="H9" s="823"/>
      <c r="I9" s="67"/>
      <c r="J9" s="67"/>
      <c r="K9"/>
      <c r="L9"/>
      <c r="P9" s="251" t="s">
        <v>1039</v>
      </c>
    </row>
    <row r="10" spans="1:19" s="51" customFormat="1" ht="30" customHeight="1">
      <c r="A10" s="983" t="s">
        <v>1040</v>
      </c>
      <c r="B10" s="983"/>
      <c r="C10" s="608" t="s">
        <v>1041</v>
      </c>
      <c r="D10" s="608" t="s">
        <v>1042</v>
      </c>
      <c r="E10" s="983" t="s">
        <v>1043</v>
      </c>
      <c r="F10" s="983"/>
      <c r="G10" s="1002" t="s">
        <v>1044</v>
      </c>
      <c r="H10" s="1002"/>
      <c r="I10" s="67"/>
      <c r="J10" s="67"/>
      <c r="K10"/>
      <c r="L10"/>
      <c r="P10" s="29"/>
    </row>
    <row r="11" spans="1:19" s="51" customFormat="1">
      <c r="A11" s="1124"/>
      <c r="B11" s="1124"/>
      <c r="C11" s="561" t="s">
        <v>286</v>
      </c>
      <c r="D11" s="252">
        <v>550</v>
      </c>
      <c r="E11" s="1124">
        <v>0</v>
      </c>
      <c r="F11" s="1124"/>
      <c r="G11" s="1124">
        <v>250</v>
      </c>
      <c r="H11" s="1124"/>
      <c r="I11" s="67"/>
      <c r="J11" s="67"/>
      <c r="K11"/>
      <c r="L11"/>
      <c r="P11" s="29"/>
    </row>
    <row r="12" spans="1:19" s="51" customFormat="1">
      <c r="A12" s="836"/>
      <c r="B12" s="837"/>
      <c r="C12" s="838"/>
      <c r="D12" s="253" t="s">
        <v>287</v>
      </c>
      <c r="E12" s="1126" t="s">
        <v>1045</v>
      </c>
      <c r="F12" s="1126"/>
      <c r="G12" s="1125" t="s">
        <v>289</v>
      </c>
      <c r="H12" s="1125"/>
      <c r="I12" s="67"/>
      <c r="J12" s="67"/>
      <c r="K12"/>
      <c r="L12"/>
      <c r="P12" s="29"/>
    </row>
    <row r="13" spans="1:19" s="51" customFormat="1" ht="32.25" customHeight="1">
      <c r="A13" s="548" t="s">
        <v>175</v>
      </c>
      <c r="B13" s="1127" t="s">
        <v>1046</v>
      </c>
      <c r="C13" s="1127"/>
      <c r="D13" s="236">
        <f>0.4*D11</f>
        <v>220</v>
      </c>
      <c r="E13" s="548" t="s">
        <v>180</v>
      </c>
      <c r="F13" s="1127" t="s">
        <v>1047</v>
      </c>
      <c r="G13" s="1127"/>
      <c r="H13" s="202"/>
      <c r="I13" s="67"/>
      <c r="J13" s="67"/>
      <c r="K13"/>
      <c r="L13"/>
      <c r="P13" s="29"/>
    </row>
    <row r="14" spans="1:19" s="51" customFormat="1" ht="32.25" customHeight="1">
      <c r="A14" s="548" t="s">
        <v>184</v>
      </c>
      <c r="B14" s="1127" t="s">
        <v>1048</v>
      </c>
      <c r="C14" s="1127"/>
      <c r="D14" s="202"/>
      <c r="E14" s="548" t="s">
        <v>290</v>
      </c>
      <c r="F14" s="1127" t="s">
        <v>1049</v>
      </c>
      <c r="G14" s="1127"/>
      <c r="H14" s="202"/>
      <c r="I14" s="67"/>
      <c r="J14" s="67"/>
      <c r="K14"/>
      <c r="L14"/>
      <c r="P14" s="29"/>
    </row>
    <row r="15" spans="1:19" s="51" customFormat="1" ht="15" customHeight="1">
      <c r="A15" s="1109" t="s">
        <v>1050</v>
      </c>
      <c r="B15" s="1109"/>
      <c r="C15" s="1109"/>
      <c r="D15" s="1109"/>
      <c r="E15" s="1109"/>
      <c r="F15" s="1109"/>
      <c r="G15" s="67"/>
      <c r="H15" s="67"/>
      <c r="I15" s="67"/>
      <c r="J15" s="67"/>
      <c r="K15"/>
      <c r="L15"/>
      <c r="P15" s="29"/>
    </row>
    <row r="16" spans="1:19" s="51" customFormat="1" ht="14.85" customHeight="1">
      <c r="A16" s="1135" t="s">
        <v>1051</v>
      </c>
      <c r="B16" s="1109"/>
      <c r="C16" s="339" t="s">
        <v>1052</v>
      </c>
      <c r="D16" s="337"/>
      <c r="E16" s="337"/>
      <c r="F16" s="337"/>
      <c r="G16" s="67"/>
      <c r="H16" s="67"/>
      <c r="I16" s="67"/>
      <c r="J16" s="67"/>
      <c r="K16"/>
      <c r="L16"/>
      <c r="P16" s="29"/>
    </row>
    <row r="17" spans="1:28" s="51" customFormat="1" ht="14.85" customHeight="1">
      <c r="A17" s="1135" t="s">
        <v>1053</v>
      </c>
      <c r="B17" s="1109"/>
      <c r="C17" s="338" t="s">
        <v>1054</v>
      </c>
      <c r="D17" s="337"/>
      <c r="E17" s="337"/>
      <c r="F17" s="337"/>
      <c r="G17" s="67"/>
      <c r="H17" s="67"/>
      <c r="I17" s="67"/>
      <c r="J17" s="67"/>
      <c r="K17"/>
      <c r="L17"/>
      <c r="P17" s="29"/>
    </row>
    <row r="18" spans="1:28" s="51" customFormat="1">
      <c r="A18" s="623"/>
      <c r="B18" s="623"/>
      <c r="C18" s="338" t="s">
        <v>1055</v>
      </c>
      <c r="D18" s="623"/>
      <c r="E18" s="623"/>
      <c r="F18" s="623"/>
      <c r="G18" s="67"/>
      <c r="H18" s="67"/>
      <c r="I18" s="67"/>
      <c r="J18" s="67"/>
      <c r="K18"/>
      <c r="L18"/>
      <c r="P18" s="29"/>
    </row>
    <row r="19" spans="1:28" s="51" customFormat="1">
      <c r="A19" s="623"/>
      <c r="B19" s="623"/>
      <c r="C19" s="338" t="s">
        <v>1056</v>
      </c>
      <c r="D19" s="623"/>
      <c r="E19" s="623"/>
      <c r="F19" s="623"/>
      <c r="G19" s="67"/>
      <c r="H19" s="67"/>
      <c r="I19" s="67"/>
      <c r="J19" s="67"/>
      <c r="K19"/>
      <c r="L19"/>
      <c r="P19" s="29"/>
    </row>
    <row r="20" spans="1:28" s="51" customFormat="1">
      <c r="A20" s="623"/>
      <c r="B20" s="623"/>
      <c r="C20" s="85" t="s">
        <v>1057</v>
      </c>
      <c r="D20" s="623"/>
      <c r="E20" s="623"/>
      <c r="F20" s="623"/>
      <c r="G20" s="67"/>
      <c r="H20" s="67"/>
      <c r="I20" s="67"/>
      <c r="J20" s="67"/>
      <c r="K20"/>
      <c r="L20"/>
      <c r="P20" s="29"/>
    </row>
    <row r="21" spans="1:28" s="51" customFormat="1">
      <c r="A21" s="1128" t="s">
        <v>1058</v>
      </c>
      <c r="B21" s="1128"/>
      <c r="C21" s="1128"/>
      <c r="D21" s="1128"/>
      <c r="E21" s="1128"/>
      <c r="F21" s="1128"/>
      <c r="G21" s="1128"/>
      <c r="H21" s="1128"/>
      <c r="I21" s="160"/>
      <c r="J21" s="160"/>
      <c r="K21"/>
      <c r="L21"/>
      <c r="M21"/>
    </row>
    <row r="22" spans="1:28" s="51" customFormat="1">
      <c r="A22" s="1102" t="s">
        <v>169</v>
      </c>
      <c r="B22" s="1102"/>
      <c r="C22" s="629" t="s">
        <v>173</v>
      </c>
      <c r="D22" s="629" t="s">
        <v>177</v>
      </c>
      <c r="E22" s="1102" t="s">
        <v>182</v>
      </c>
      <c r="F22" s="1102"/>
      <c r="G22" s="1102" t="s">
        <v>171</v>
      </c>
      <c r="H22" s="1102"/>
      <c r="I22" s="67"/>
      <c r="J22" s="67"/>
      <c r="K22"/>
      <c r="L22"/>
      <c r="P22" s="251"/>
    </row>
    <row r="23" spans="1:28" s="51" customFormat="1" ht="30" customHeight="1">
      <c r="A23" s="983" t="s">
        <v>1040</v>
      </c>
      <c r="B23" s="983"/>
      <c r="C23" s="608" t="s">
        <v>1059</v>
      </c>
      <c r="D23" s="608" t="s">
        <v>1042</v>
      </c>
      <c r="E23" s="983" t="s">
        <v>1060</v>
      </c>
      <c r="F23" s="983"/>
      <c r="G23" s="821" t="s">
        <v>1061</v>
      </c>
      <c r="H23" s="821"/>
      <c r="I23" s="67"/>
      <c r="J23" s="67"/>
      <c r="K23"/>
      <c r="L23"/>
      <c r="P23" s="29"/>
    </row>
    <row r="24" spans="1:28" s="51" customFormat="1">
      <c r="A24" s="1124"/>
      <c r="B24" s="1124"/>
      <c r="C24" s="561" t="s">
        <v>286</v>
      </c>
      <c r="D24" s="252"/>
      <c r="E24" s="1124">
        <v>0</v>
      </c>
      <c r="F24" s="1124"/>
      <c r="G24" s="1124"/>
      <c r="H24" s="1124"/>
      <c r="I24" s="67"/>
      <c r="J24" s="67"/>
      <c r="K24"/>
      <c r="L24"/>
      <c r="P24" s="29"/>
    </row>
    <row r="25" spans="1:28" s="51" customFormat="1">
      <c r="A25" s="1136"/>
      <c r="B25" s="1137"/>
      <c r="C25" s="1138"/>
      <c r="D25" s="253" t="s">
        <v>287</v>
      </c>
      <c r="E25" s="1126" t="s">
        <v>1045</v>
      </c>
      <c r="F25" s="1126"/>
      <c r="G25" s="1125" t="s">
        <v>289</v>
      </c>
      <c r="H25" s="1125"/>
      <c r="I25" s="67"/>
      <c r="J25" s="67"/>
      <c r="K25"/>
      <c r="L25"/>
      <c r="P25" s="29"/>
    </row>
    <row r="26" spans="1:28" s="51" customFormat="1" ht="32.25" customHeight="1">
      <c r="A26" s="629" t="s">
        <v>175</v>
      </c>
      <c r="B26" s="1129" t="s">
        <v>1062</v>
      </c>
      <c r="C26" s="1129"/>
      <c r="D26" s="465">
        <f>0.4*D24</f>
        <v>0</v>
      </c>
      <c r="E26" s="629" t="s">
        <v>180</v>
      </c>
      <c r="F26" s="1129" t="s">
        <v>1063</v>
      </c>
      <c r="G26" s="1129"/>
      <c r="H26" s="629"/>
      <c r="I26" s="67"/>
      <c r="J26" s="67"/>
      <c r="K26"/>
      <c r="L26"/>
      <c r="P26" s="29"/>
    </row>
    <row r="27" spans="1:28" s="51" customFormat="1" ht="15" customHeight="1">
      <c r="A27" s="1130" t="s">
        <v>1050</v>
      </c>
      <c r="B27" s="1130"/>
      <c r="C27" s="1130"/>
      <c r="D27" s="1130"/>
      <c r="E27" s="1130"/>
      <c r="F27" s="1130"/>
      <c r="G27" s="67"/>
      <c r="H27" s="67"/>
      <c r="I27" s="67"/>
      <c r="J27" s="67"/>
      <c r="K27"/>
      <c r="L27"/>
      <c r="P27" s="29"/>
    </row>
    <row r="28" spans="1:28" s="51" customFormat="1">
      <c r="A28" s="1140" t="s">
        <v>1064</v>
      </c>
      <c r="B28" s="1130"/>
      <c r="C28" s="1130"/>
      <c r="D28" s="1130"/>
      <c r="E28" s="1130"/>
      <c r="F28" s="1130"/>
      <c r="G28" s="67"/>
      <c r="H28" s="67"/>
      <c r="I28" s="67"/>
      <c r="J28" s="67"/>
      <c r="K28"/>
      <c r="L28"/>
      <c r="P28" s="29"/>
    </row>
    <row r="29" spans="1:28" s="51" customFormat="1">
      <c r="A29" s="1140" t="s">
        <v>1065</v>
      </c>
      <c r="B29" s="1130"/>
      <c r="C29" s="1130"/>
      <c r="D29" s="1130"/>
      <c r="E29" s="1130"/>
      <c r="F29" s="1130"/>
      <c r="G29" s="67"/>
      <c r="H29" s="67"/>
      <c r="I29" s="67"/>
      <c r="J29" s="67"/>
      <c r="K29"/>
      <c r="L29"/>
      <c r="P29" s="29"/>
    </row>
    <row r="30" spans="1:28" s="51" customFormat="1">
      <c r="A30" s="623"/>
      <c r="B30" s="623"/>
      <c r="C30" s="339" t="s">
        <v>1052</v>
      </c>
      <c r="D30" s="623"/>
      <c r="E30" s="623"/>
      <c r="F30" s="623"/>
      <c r="G30" s="67"/>
      <c r="H30" s="67"/>
      <c r="I30" s="67"/>
      <c r="J30" s="67"/>
      <c r="K30"/>
      <c r="L30"/>
      <c r="P30" s="29"/>
    </row>
    <row r="31" spans="1:28" s="51" customFormat="1">
      <c r="A31" s="623"/>
      <c r="B31" s="623"/>
      <c r="C31" s="456" t="s">
        <v>1054</v>
      </c>
      <c r="D31" s="623"/>
      <c r="E31" s="623"/>
      <c r="F31" s="623"/>
      <c r="G31" s="67"/>
      <c r="H31" s="67"/>
      <c r="I31" s="67"/>
      <c r="J31" s="67"/>
      <c r="K31"/>
      <c r="L31"/>
      <c r="P31" s="29"/>
    </row>
    <row r="32" spans="1:28" s="51" customFormat="1">
      <c r="A32" s="623"/>
      <c r="B32" s="623"/>
      <c r="C32" s="456" t="s">
        <v>1055</v>
      </c>
      <c r="D32" s="623"/>
      <c r="E32" s="623"/>
      <c r="F32" s="623"/>
      <c r="G32" s="67"/>
      <c r="H32" s="67"/>
      <c r="I32" s="67"/>
      <c r="J32" s="67"/>
      <c r="K32"/>
      <c r="L32"/>
      <c r="P32" s="467"/>
      <c r="Q32" s="468"/>
      <c r="R32" s="468"/>
      <c r="S32" s="468"/>
      <c r="T32" s="468"/>
      <c r="U32" s="469"/>
      <c r="V32" s="469"/>
      <c r="W32" s="469"/>
      <c r="X32" s="469"/>
      <c r="Y32" s="469"/>
      <c r="Z32" s="469"/>
      <c r="AA32" s="469"/>
      <c r="AB32" s="469"/>
    </row>
    <row r="33" spans="1:34" s="51" customFormat="1">
      <c r="A33" s="67"/>
      <c r="B33" s="67"/>
      <c r="C33" s="456" t="s">
        <v>1056</v>
      </c>
      <c r="D33" s="67"/>
      <c r="E33" s="519"/>
      <c r="F33" s="67"/>
      <c r="G33" s="67"/>
      <c r="H33" s="67"/>
      <c r="I33" s="67"/>
      <c r="J33" s="67"/>
      <c r="K33"/>
      <c r="L33"/>
    </row>
    <row r="34" spans="1:34" ht="15.6">
      <c r="A34" s="140"/>
      <c r="B34" s="577"/>
      <c r="C34" s="455" t="s">
        <v>1057</v>
      </c>
      <c r="D34" s="577"/>
      <c r="E34" s="577"/>
      <c r="F34" s="60"/>
      <c r="G34" s="60"/>
      <c r="H34" s="60"/>
      <c r="I34" s="60"/>
      <c r="J34" s="74"/>
      <c r="K34" s="74"/>
      <c r="N34" s="73"/>
      <c r="O34" s="73"/>
      <c r="P34" s="1131" t="s">
        <v>1066</v>
      </c>
      <c r="Q34" s="1131"/>
      <c r="R34" s="73"/>
      <c r="S34" s="73"/>
    </row>
    <row r="35" spans="1:34">
      <c r="A35" s="968" t="s">
        <v>1067</v>
      </c>
      <c r="B35" s="968"/>
      <c r="C35" s="968"/>
      <c r="D35" s="968"/>
      <c r="E35" s="968"/>
      <c r="F35" s="968"/>
      <c r="G35" s="968"/>
      <c r="H35" s="968"/>
      <c r="I35" s="968"/>
      <c r="J35" s="968"/>
      <c r="K35" s="968"/>
      <c r="L35" s="102"/>
      <c r="N35" s="73"/>
      <c r="O35" s="73"/>
      <c r="P35" s="73"/>
      <c r="Q35" s="73"/>
      <c r="R35" s="73"/>
      <c r="S35" s="73"/>
      <c r="AF35" s="1091"/>
      <c r="AG35" s="1091"/>
      <c r="AH35" s="1091"/>
    </row>
    <row r="36" spans="1:34" ht="16.5">
      <c r="A36" s="600" t="s">
        <v>169</v>
      </c>
      <c r="B36" s="98" t="s">
        <v>185</v>
      </c>
      <c r="C36" s="1029" t="s">
        <v>1068</v>
      </c>
      <c r="D36" s="1029"/>
      <c r="E36" s="1029"/>
      <c r="F36" s="1029"/>
      <c r="G36" s="1029"/>
      <c r="H36" s="1029"/>
      <c r="I36" s="1029"/>
      <c r="J36" s="1029"/>
      <c r="K36" s="1029"/>
      <c r="L36" s="51"/>
      <c r="N36" s="73"/>
      <c r="O36" s="73"/>
      <c r="P36" s="73"/>
      <c r="Q36" s="73"/>
      <c r="R36" s="73"/>
      <c r="S36" s="73"/>
    </row>
    <row r="37" spans="1:34" ht="16.5">
      <c r="A37" s="600" t="s">
        <v>173</v>
      </c>
      <c r="B37" s="98" t="s">
        <v>185</v>
      </c>
      <c r="C37" s="1029" t="s">
        <v>1069</v>
      </c>
      <c r="D37" s="1029"/>
      <c r="E37" s="1029"/>
      <c r="F37" s="1029"/>
      <c r="G37" s="1029"/>
      <c r="H37" s="1029"/>
      <c r="I37" s="1029"/>
      <c r="J37" s="1029"/>
      <c r="K37" s="1029"/>
      <c r="L37" s="51"/>
      <c r="N37" s="73"/>
      <c r="O37" s="73"/>
      <c r="P37" s="73"/>
      <c r="Q37" s="73"/>
      <c r="R37" s="73"/>
      <c r="S37" s="73"/>
    </row>
    <row r="38" spans="1:34" ht="16.5">
      <c r="A38" s="600" t="s">
        <v>177</v>
      </c>
      <c r="B38" s="98" t="s">
        <v>185</v>
      </c>
      <c r="C38" s="1029" t="s">
        <v>1070</v>
      </c>
      <c r="D38" s="1029"/>
      <c r="E38" s="1029"/>
      <c r="F38" s="1029"/>
      <c r="G38" s="1029"/>
      <c r="H38" s="1029"/>
      <c r="I38" s="1029"/>
      <c r="J38" s="1029"/>
      <c r="K38" s="1029"/>
      <c r="L38" s="51"/>
      <c r="M38" s="1107"/>
      <c r="N38" s="1107"/>
      <c r="O38" s="1107"/>
      <c r="P38" s="1107"/>
      <c r="Q38" s="49"/>
      <c r="R38" s="49"/>
    </row>
    <row r="39" spans="1:34" ht="15" customHeight="1">
      <c r="A39" s="600" t="s">
        <v>182</v>
      </c>
      <c r="B39" s="600" t="s">
        <v>171</v>
      </c>
      <c r="C39" s="600" t="s">
        <v>175</v>
      </c>
      <c r="D39" s="548" t="s">
        <v>180</v>
      </c>
      <c r="E39" s="548" t="s">
        <v>184</v>
      </c>
      <c r="F39" s="823" t="s">
        <v>290</v>
      </c>
      <c r="G39" s="823"/>
      <c r="H39" s="548" t="s">
        <v>291</v>
      </c>
      <c r="I39" s="548" t="s">
        <v>292</v>
      </c>
      <c r="J39" s="548" t="s">
        <v>293</v>
      </c>
      <c r="K39" s="94">
        <v>13</v>
      </c>
    </row>
    <row r="40" spans="1:34" ht="21" customHeight="1">
      <c r="A40" s="983" t="s">
        <v>1071</v>
      </c>
      <c r="B40" s="1002" t="s">
        <v>1072</v>
      </c>
      <c r="C40" s="1002" t="s">
        <v>685</v>
      </c>
      <c r="D40" s="1038" t="s">
        <v>1073</v>
      </c>
      <c r="E40" s="1108" t="s">
        <v>1074</v>
      </c>
      <c r="F40" s="1108" t="s">
        <v>1075</v>
      </c>
      <c r="G40" s="1108"/>
      <c r="H40" s="1108" t="s">
        <v>1076</v>
      </c>
      <c r="I40" s="1108" t="s">
        <v>1077</v>
      </c>
      <c r="J40" s="1002" t="s">
        <v>1078</v>
      </c>
      <c r="K40" s="1108" t="s">
        <v>1079</v>
      </c>
    </row>
    <row r="41" spans="1:34" ht="20.25" customHeight="1">
      <c r="A41" s="983"/>
      <c r="B41" s="1002"/>
      <c r="C41" s="1002"/>
      <c r="D41" s="1038"/>
      <c r="E41" s="1108"/>
      <c r="F41" s="1108"/>
      <c r="G41" s="1108"/>
      <c r="H41" s="1108"/>
      <c r="I41" s="1108"/>
      <c r="J41" s="1002"/>
      <c r="K41" s="1108"/>
      <c r="M41" s="74"/>
      <c r="N41" s="74"/>
      <c r="O41" s="74"/>
    </row>
    <row r="42" spans="1:34" ht="20.25" customHeight="1">
      <c r="A42" s="842"/>
      <c r="B42" s="839" t="s">
        <v>286</v>
      </c>
      <c r="C42" s="839" t="s">
        <v>286</v>
      </c>
      <c r="D42" s="839" t="s">
        <v>286</v>
      </c>
      <c r="E42" s="839" t="s">
        <v>286</v>
      </c>
      <c r="F42" s="839" t="s">
        <v>286</v>
      </c>
      <c r="G42" s="839"/>
      <c r="H42" s="145" t="s">
        <v>1080</v>
      </c>
      <c r="I42" s="562" t="s">
        <v>1081</v>
      </c>
      <c r="J42" s="609"/>
      <c r="K42" s="999"/>
      <c r="M42" s="74"/>
      <c r="N42" s="74"/>
      <c r="O42" s="74"/>
    </row>
    <row r="43" spans="1:34" ht="20.25" customHeight="1">
      <c r="A43" s="842"/>
      <c r="B43" s="839"/>
      <c r="C43" s="839"/>
      <c r="D43" s="839"/>
      <c r="E43" s="839"/>
      <c r="F43" s="839"/>
      <c r="G43" s="839"/>
      <c r="H43" s="145" t="s">
        <v>1082</v>
      </c>
      <c r="I43" s="562" t="s">
        <v>1081</v>
      </c>
      <c r="J43" s="609"/>
      <c r="K43" s="999"/>
      <c r="M43" s="74"/>
      <c r="N43" s="74"/>
      <c r="O43" s="74"/>
    </row>
    <row r="44" spans="1:34" ht="20.25" customHeight="1">
      <c r="A44" s="842"/>
      <c r="B44" s="839"/>
      <c r="C44" s="839"/>
      <c r="D44" s="839"/>
      <c r="E44" s="839"/>
      <c r="F44" s="254" t="s">
        <v>185</v>
      </c>
      <c r="G44" s="464" t="s">
        <v>1083</v>
      </c>
      <c r="H44" s="145" t="s">
        <v>1084</v>
      </c>
      <c r="I44" s="562" t="s">
        <v>1081</v>
      </c>
      <c r="J44" s="78"/>
      <c r="K44" s="999"/>
      <c r="M44" s="74"/>
      <c r="N44" s="74"/>
      <c r="O44" s="74"/>
    </row>
    <row r="45" spans="1:34" ht="20.25" customHeight="1">
      <c r="A45" s="128"/>
      <c r="B45" s="628">
        <v>14</v>
      </c>
      <c r="C45" s="601">
        <v>15</v>
      </c>
      <c r="D45" s="601">
        <v>16</v>
      </c>
      <c r="E45" s="601">
        <v>17</v>
      </c>
      <c r="F45" s="601" t="s">
        <v>495</v>
      </c>
      <c r="G45" s="601" t="s">
        <v>496</v>
      </c>
      <c r="H45" s="256"/>
      <c r="I45" s="256"/>
      <c r="J45" s="154"/>
      <c r="K45" s="155"/>
      <c r="M45" s="74"/>
      <c r="N45" s="74"/>
      <c r="O45" s="74"/>
      <c r="AC45" t="s">
        <v>1085</v>
      </c>
      <c r="AD45">
        <f>AD46+(AD47*AD48)</f>
        <v>0.9900500000000001</v>
      </c>
    </row>
    <row r="46" spans="1:34" ht="22.5" customHeight="1">
      <c r="A46" s="128"/>
      <c r="B46" s="1092" t="s">
        <v>1086</v>
      </c>
      <c r="C46" s="1092"/>
      <c r="D46" s="1092"/>
      <c r="E46" s="1092"/>
      <c r="F46" s="1092"/>
      <c r="G46" s="1092"/>
      <c r="H46" s="257"/>
      <c r="I46" s="257"/>
      <c r="J46" s="113"/>
      <c r="K46" s="156"/>
      <c r="M46" s="74"/>
      <c r="N46" s="74"/>
      <c r="O46" s="74"/>
      <c r="AC46" t="s">
        <v>1087</v>
      </c>
      <c r="AD46">
        <v>0.437</v>
      </c>
    </row>
    <row r="47" spans="1:34" ht="24">
      <c r="A47" s="128"/>
      <c r="B47" s="594" t="s">
        <v>1088</v>
      </c>
      <c r="C47" s="594" t="s">
        <v>1089</v>
      </c>
      <c r="D47" s="594" t="s">
        <v>1090</v>
      </c>
      <c r="E47" s="340" t="s">
        <v>1076</v>
      </c>
      <c r="F47" s="341" t="s">
        <v>1091</v>
      </c>
      <c r="G47" s="594" t="s">
        <v>1092</v>
      </c>
      <c r="H47" s="257"/>
      <c r="I47" s="257"/>
      <c r="J47" s="113"/>
      <c r="K47" s="156"/>
      <c r="M47" s="74"/>
      <c r="N47" s="74"/>
      <c r="O47" s="74"/>
      <c r="AC47" t="s">
        <v>1093</v>
      </c>
      <c r="AD47">
        <v>1.2290000000000001</v>
      </c>
    </row>
    <row r="48" spans="1:34">
      <c r="A48" s="128"/>
      <c r="B48" s="1099" t="s">
        <v>286</v>
      </c>
      <c r="C48" s="1093" t="s">
        <v>286</v>
      </c>
      <c r="D48" s="1093" t="s">
        <v>286</v>
      </c>
      <c r="E48" s="97" t="s">
        <v>338</v>
      </c>
      <c r="F48" s="147"/>
      <c r="G48" s="342" t="s">
        <v>1094</v>
      </c>
      <c r="H48" s="257"/>
      <c r="I48" s="257"/>
      <c r="J48" s="113"/>
      <c r="K48" s="156"/>
      <c r="M48" s="74"/>
      <c r="N48" s="74"/>
      <c r="O48" s="74"/>
      <c r="AC48" t="s">
        <v>1095</v>
      </c>
      <c r="AD48">
        <v>0.45</v>
      </c>
    </row>
    <row r="49" spans="1:29">
      <c r="A49" s="128"/>
      <c r="B49" s="1099"/>
      <c r="C49" s="1094"/>
      <c r="D49" s="1094"/>
      <c r="E49" s="97" t="s">
        <v>1096</v>
      </c>
      <c r="F49" s="147"/>
      <c r="G49" s="342" t="s">
        <v>1097</v>
      </c>
      <c r="H49" s="257"/>
      <c r="I49" s="257"/>
      <c r="J49" s="113"/>
      <c r="K49" s="156"/>
      <c r="M49" s="74"/>
      <c r="N49" s="74"/>
      <c r="O49" s="74"/>
    </row>
    <row r="50" spans="1:29" ht="20.25" customHeight="1">
      <c r="A50" s="128"/>
      <c r="B50" s="1099"/>
      <c r="C50" s="1095"/>
      <c r="D50" s="1095"/>
      <c r="E50" s="97" t="s">
        <v>1098</v>
      </c>
      <c r="F50" s="147"/>
      <c r="G50" s="342" t="s">
        <v>1099</v>
      </c>
      <c r="H50" s="259"/>
      <c r="I50" s="259"/>
      <c r="J50" s="141"/>
      <c r="K50" s="142"/>
      <c r="M50" s="74"/>
      <c r="N50" s="74"/>
      <c r="O50" s="74"/>
    </row>
    <row r="51" spans="1:29" ht="20.25" customHeight="1">
      <c r="A51" s="128"/>
      <c r="B51" s="255">
        <v>20</v>
      </c>
      <c r="C51" s="629" t="s">
        <v>498</v>
      </c>
      <c r="D51" s="629" t="s">
        <v>499</v>
      </c>
      <c r="E51" s="629" t="s">
        <v>1100</v>
      </c>
      <c r="F51" s="629" t="s">
        <v>1101</v>
      </c>
      <c r="G51" s="1102" t="s">
        <v>1102</v>
      </c>
      <c r="H51" s="1102"/>
      <c r="I51" s="260"/>
      <c r="J51" s="151"/>
      <c r="K51" s="152"/>
      <c r="M51" s="74"/>
      <c r="N51" s="74"/>
      <c r="O51" s="74"/>
    </row>
    <row r="52" spans="1:29" ht="22.5" customHeight="1">
      <c r="A52" s="128"/>
      <c r="B52" s="1092" t="s">
        <v>1103</v>
      </c>
      <c r="C52" s="1092"/>
      <c r="D52" s="1092"/>
      <c r="E52" s="1092"/>
      <c r="F52" s="1092"/>
      <c r="G52" s="1092"/>
      <c r="H52" s="1092"/>
      <c r="I52" s="261"/>
      <c r="J52" s="67"/>
      <c r="K52" s="153"/>
      <c r="M52" s="74"/>
      <c r="N52" s="74"/>
      <c r="O52" s="74"/>
    </row>
    <row r="53" spans="1:29" ht="30.75" customHeight="1">
      <c r="A53" s="128"/>
      <c r="B53" s="608" t="s">
        <v>1104</v>
      </c>
      <c r="C53" s="594" t="s">
        <v>1088</v>
      </c>
      <c r="D53" s="608" t="s">
        <v>1089</v>
      </c>
      <c r="E53" s="608" t="s">
        <v>1090</v>
      </c>
      <c r="F53" s="608" t="s">
        <v>1105</v>
      </c>
      <c r="G53" s="1087" t="s">
        <v>1106</v>
      </c>
      <c r="H53" s="1088"/>
      <c r="I53" s="261"/>
      <c r="J53" s="67"/>
      <c r="K53" s="153"/>
      <c r="M53" s="74"/>
      <c r="N53" s="74"/>
      <c r="O53" s="74"/>
    </row>
    <row r="54" spans="1:29" ht="24">
      <c r="A54" s="128"/>
      <c r="B54" s="1100" t="s">
        <v>286</v>
      </c>
      <c r="C54" s="1100" t="s">
        <v>286</v>
      </c>
      <c r="D54" s="1096" t="s">
        <v>286</v>
      </c>
      <c r="E54" s="1096" t="s">
        <v>286</v>
      </c>
      <c r="F54" s="1096" t="s">
        <v>286</v>
      </c>
      <c r="G54" s="145" t="s">
        <v>338</v>
      </c>
      <c r="H54" s="627" t="s">
        <v>1107</v>
      </c>
      <c r="I54" s="261"/>
      <c r="J54" s="67"/>
      <c r="K54" s="153"/>
      <c r="M54" s="74"/>
      <c r="N54" s="74"/>
      <c r="O54" s="74"/>
    </row>
    <row r="55" spans="1:29" ht="24">
      <c r="A55" s="128"/>
      <c r="B55" s="1100"/>
      <c r="C55" s="1100"/>
      <c r="D55" s="1097"/>
      <c r="E55" s="1097"/>
      <c r="F55" s="1097"/>
      <c r="G55" s="145" t="s">
        <v>1096</v>
      </c>
      <c r="H55" s="627" t="s">
        <v>1107</v>
      </c>
      <c r="I55" s="261"/>
      <c r="J55" s="67"/>
      <c r="K55" s="153"/>
      <c r="M55" s="74"/>
      <c r="N55" s="74"/>
      <c r="O55" s="74"/>
    </row>
    <row r="56" spans="1:29" ht="20.25" customHeight="1">
      <c r="A56" s="128"/>
      <c r="B56" s="1100"/>
      <c r="C56" s="1100"/>
      <c r="D56" s="1098"/>
      <c r="E56" s="1098"/>
      <c r="F56" s="1098"/>
      <c r="G56" s="145" t="s">
        <v>1098</v>
      </c>
      <c r="H56" s="627" t="s">
        <v>1108</v>
      </c>
      <c r="I56" s="262"/>
      <c r="J56" s="143"/>
      <c r="K56" s="144"/>
      <c r="M56" s="74"/>
      <c r="N56" s="74"/>
      <c r="O56" s="74"/>
    </row>
    <row r="57" spans="1:29" ht="20.25" customHeight="1">
      <c r="B57" s="94">
        <v>26</v>
      </c>
      <c r="C57" s="548" t="s">
        <v>1109</v>
      </c>
      <c r="D57" s="548" t="s">
        <v>1110</v>
      </c>
      <c r="E57" s="548" t="s">
        <v>1111</v>
      </c>
      <c r="F57" s="548" t="s">
        <v>1112</v>
      </c>
      <c r="G57" s="548" t="s">
        <v>1113</v>
      </c>
      <c r="H57" s="548" t="s">
        <v>1114</v>
      </c>
      <c r="I57" s="151"/>
      <c r="J57" s="151"/>
      <c r="K57" s="152"/>
      <c r="M57" s="74"/>
      <c r="N57" s="74"/>
      <c r="O57" s="74"/>
    </row>
    <row r="58" spans="1:29" ht="43.5" customHeight="1">
      <c r="B58" s="1092" t="s">
        <v>1115</v>
      </c>
      <c r="C58" s="1092"/>
      <c r="D58" s="1092"/>
      <c r="E58" s="1092"/>
      <c r="F58" s="1092"/>
      <c r="G58" s="1092"/>
      <c r="H58" s="1092"/>
      <c r="I58" s="67"/>
      <c r="J58" s="67"/>
      <c r="K58" s="153"/>
      <c r="M58" s="74"/>
      <c r="N58" s="74"/>
      <c r="O58" s="74"/>
      <c r="AB58" t="s">
        <v>1116</v>
      </c>
      <c r="AC58">
        <f>0.08+(0.86*AC59)</f>
        <v>0.35520000000000002</v>
      </c>
    </row>
    <row r="59" spans="1:29" ht="40.5" customHeight="1">
      <c r="B59" s="608" t="s">
        <v>1117</v>
      </c>
      <c r="C59" s="594" t="s">
        <v>1118</v>
      </c>
      <c r="D59" s="608" t="s">
        <v>1119</v>
      </c>
      <c r="E59" s="608" t="s">
        <v>1120</v>
      </c>
      <c r="F59" s="608" t="s">
        <v>1121</v>
      </c>
      <c r="G59" s="608" t="s">
        <v>1122</v>
      </c>
      <c r="H59" s="608" t="s">
        <v>1123</v>
      </c>
      <c r="I59" s="67"/>
      <c r="J59" s="67"/>
      <c r="K59" s="153"/>
      <c r="M59" s="74"/>
      <c r="N59" s="74"/>
      <c r="O59" s="74"/>
      <c r="AB59" t="s">
        <v>1124</v>
      </c>
      <c r="AC59">
        <v>0.32</v>
      </c>
    </row>
    <row r="60" spans="1:29" ht="25.5" customHeight="1">
      <c r="A60" s="128"/>
      <c r="B60" s="263"/>
      <c r="C60" s="544" t="s">
        <v>286</v>
      </c>
      <c r="D60" s="264"/>
      <c r="E60" s="264"/>
      <c r="F60" s="264"/>
      <c r="G60" s="273" t="s">
        <v>1125</v>
      </c>
      <c r="H60" s="463" t="s">
        <v>1126</v>
      </c>
      <c r="I60" s="67"/>
      <c r="J60" s="67"/>
      <c r="K60" s="153"/>
    </row>
    <row r="61" spans="1:29" ht="29.25" customHeight="1">
      <c r="A61" s="1103" t="s">
        <v>1127</v>
      </c>
      <c r="B61" s="1103"/>
      <c r="C61" s="1103"/>
      <c r="D61" s="1103"/>
      <c r="E61" s="1103"/>
      <c r="F61" s="1103"/>
      <c r="G61" s="1103"/>
      <c r="H61" s="1104"/>
      <c r="I61" s="99" t="s">
        <v>287</v>
      </c>
      <c r="J61" s="40" t="s">
        <v>288</v>
      </c>
      <c r="K61" s="39" t="s">
        <v>289</v>
      </c>
      <c r="M61" s="100"/>
      <c r="N61" s="79"/>
      <c r="O61" s="79"/>
    </row>
    <row r="62" spans="1:29" ht="29.25" customHeight="1">
      <c r="A62" s="1118" t="s">
        <v>1128</v>
      </c>
      <c r="B62" s="1118"/>
      <c r="C62" s="1118"/>
      <c r="D62" s="1118"/>
      <c r="E62" s="1118"/>
      <c r="F62" s="1118"/>
      <c r="G62" s="1118"/>
      <c r="H62" s="1118"/>
      <c r="I62" s="1113"/>
      <c r="J62" s="1113"/>
      <c r="K62" s="1113"/>
      <c r="L62">
        <v>0.22</v>
      </c>
      <c r="M62" s="337" t="s">
        <v>1096</v>
      </c>
      <c r="N62" s="79"/>
      <c r="O62" s="79"/>
    </row>
    <row r="63" spans="1:29" ht="29.25" customHeight="1">
      <c r="A63" s="1101" t="s">
        <v>1129</v>
      </c>
      <c r="B63" s="1101"/>
      <c r="C63" s="1101"/>
      <c r="D63" s="1101"/>
      <c r="E63" s="1101"/>
      <c r="F63" s="1101"/>
      <c r="G63" s="1101"/>
      <c r="H63" s="1101"/>
      <c r="I63" s="2"/>
      <c r="J63" s="2"/>
      <c r="M63" s="128"/>
      <c r="N63" s="79"/>
      <c r="O63" s="79"/>
    </row>
    <row r="64" spans="1:29" ht="29.25" customHeight="1">
      <c r="A64" s="1101" t="s">
        <v>1130</v>
      </c>
      <c r="B64" s="1101"/>
      <c r="C64" s="1101"/>
      <c r="D64" s="1101"/>
      <c r="E64" s="1101"/>
      <c r="F64" s="1101"/>
      <c r="G64" s="1101"/>
      <c r="H64" s="1101"/>
      <c r="I64" s="2"/>
      <c r="J64" s="2"/>
      <c r="M64" s="128"/>
      <c r="N64" s="79"/>
      <c r="O64" s="79"/>
    </row>
    <row r="65" spans="1:18" ht="29.25" customHeight="1">
      <c r="A65" s="633"/>
      <c r="B65" s="266" t="s">
        <v>1131</v>
      </c>
      <c r="C65" s="266" t="s">
        <v>1132</v>
      </c>
      <c r="D65" s="266" t="s">
        <v>1133</v>
      </c>
      <c r="E65" s="266" t="s">
        <v>1134</v>
      </c>
      <c r="F65" s="1116" t="s">
        <v>1135</v>
      </c>
      <c r="G65" s="1117"/>
      <c r="H65" s="633"/>
      <c r="I65" s="2"/>
      <c r="J65" s="2"/>
      <c r="M65" s="128"/>
      <c r="N65" s="79"/>
      <c r="O65" s="79"/>
    </row>
    <row r="66" spans="1:18">
      <c r="A66" s="633"/>
      <c r="B66" s="575" t="s">
        <v>1136</v>
      </c>
      <c r="C66" s="622" t="s">
        <v>694</v>
      </c>
      <c r="D66" s="570" t="s">
        <v>1137</v>
      </c>
      <c r="E66" s="575" t="s">
        <v>1137</v>
      </c>
      <c r="F66" s="907" t="s">
        <v>1138</v>
      </c>
      <c r="G66" s="909"/>
      <c r="H66" s="633"/>
      <c r="I66" s="2"/>
      <c r="J66" s="2"/>
      <c r="L66">
        <v>2.5</v>
      </c>
      <c r="M66" s="358" t="s">
        <v>110</v>
      </c>
      <c r="N66" s="79"/>
      <c r="O66" s="79"/>
    </row>
    <row r="67" spans="1:18" ht="15" customHeight="1">
      <c r="A67" s="265"/>
      <c r="B67" s="575" t="s">
        <v>1139</v>
      </c>
      <c r="C67" s="622" t="s">
        <v>697</v>
      </c>
      <c r="D67" s="570" t="s">
        <v>1140</v>
      </c>
      <c r="E67" s="575" t="s">
        <v>1141</v>
      </c>
      <c r="F67" s="907" t="s">
        <v>1142</v>
      </c>
      <c r="G67" s="909"/>
      <c r="H67" s="44"/>
      <c r="I67" s="576"/>
      <c r="J67" s="635"/>
      <c r="L67">
        <v>6</v>
      </c>
      <c r="M67" s="128" t="s">
        <v>1143</v>
      </c>
    </row>
    <row r="68" spans="1:18">
      <c r="A68" s="128"/>
      <c r="B68" s="575" t="s">
        <v>1144</v>
      </c>
      <c r="C68" s="622" t="s">
        <v>701</v>
      </c>
      <c r="D68" s="266" t="s">
        <v>1133</v>
      </c>
      <c r="E68" s="575" t="s">
        <v>1145</v>
      </c>
      <c r="F68" s="907" t="s">
        <v>1146</v>
      </c>
      <c r="G68" s="909"/>
      <c r="H68" s="267"/>
      <c r="I68" s="139"/>
      <c r="J68" s="139"/>
    </row>
    <row r="69" spans="1:18">
      <c r="A69" s="128"/>
      <c r="B69" s="575" t="s">
        <v>1147</v>
      </c>
      <c r="C69" s="547" t="s">
        <v>1148</v>
      </c>
      <c r="D69" s="575" t="s">
        <v>1137</v>
      </c>
      <c r="E69" s="266" t="s">
        <v>1134</v>
      </c>
      <c r="F69" s="336"/>
      <c r="G69" s="336"/>
      <c r="H69" s="267"/>
      <c r="I69" s="139"/>
      <c r="J69" s="139"/>
    </row>
    <row r="70" spans="1:18">
      <c r="A70" s="128"/>
      <c r="B70" s="575" t="s">
        <v>1149</v>
      </c>
      <c r="C70" s="547" t="s">
        <v>1150</v>
      </c>
      <c r="D70" s="266" t="s">
        <v>1133</v>
      </c>
      <c r="E70" s="575" t="s">
        <v>1137</v>
      </c>
      <c r="F70" s="1116" t="s">
        <v>1135</v>
      </c>
      <c r="G70" s="1117"/>
      <c r="H70" s="267"/>
      <c r="I70" s="139"/>
      <c r="J70" s="139"/>
    </row>
    <row r="71" spans="1:18">
      <c r="A71" s="128"/>
      <c r="B71" s="269" t="s">
        <v>1151</v>
      </c>
      <c r="C71" s="547" t="s">
        <v>1152</v>
      </c>
      <c r="D71" s="575" t="s">
        <v>1153</v>
      </c>
      <c r="E71" s="270"/>
      <c r="F71" s="1076" t="s">
        <v>1138</v>
      </c>
      <c r="G71" s="827"/>
      <c r="H71" s="267"/>
      <c r="I71" s="139"/>
    </row>
    <row r="72" spans="1:18">
      <c r="A72" s="128"/>
      <c r="B72" s="575" t="s">
        <v>1154</v>
      </c>
      <c r="C72" s="547" t="s">
        <v>1155</v>
      </c>
      <c r="D72" s="128"/>
      <c r="E72" s="266" t="s">
        <v>1134</v>
      </c>
      <c r="F72" s="1076" t="s">
        <v>1146</v>
      </c>
      <c r="G72" s="827"/>
      <c r="H72" s="267"/>
      <c r="I72" s="139"/>
    </row>
    <row r="73" spans="1:18" ht="24">
      <c r="A73" s="128"/>
      <c r="B73" s="549" t="s">
        <v>1156</v>
      </c>
      <c r="C73" s="547" t="s">
        <v>1157</v>
      </c>
      <c r="D73" s="266" t="s">
        <v>1133</v>
      </c>
      <c r="E73" s="547" t="s">
        <v>1158</v>
      </c>
      <c r="H73" s="267"/>
      <c r="I73" s="139"/>
    </row>
    <row r="74" spans="1:18" ht="24">
      <c r="A74" s="128"/>
      <c r="B74" s="549" t="s">
        <v>1159</v>
      </c>
      <c r="C74" s="547" t="s">
        <v>1160</v>
      </c>
      <c r="D74" s="584" t="s">
        <v>1158</v>
      </c>
      <c r="E74" s="547" t="s">
        <v>1161</v>
      </c>
      <c r="F74" s="268"/>
      <c r="G74" s="267"/>
      <c r="H74" s="267"/>
      <c r="I74" s="139"/>
    </row>
    <row r="75" spans="1:18" ht="24">
      <c r="A75" s="128"/>
      <c r="B75" s="549" t="s">
        <v>1162</v>
      </c>
      <c r="C75" s="547" t="s">
        <v>1163</v>
      </c>
      <c r="D75" s="584" t="s">
        <v>1140</v>
      </c>
      <c r="E75" s="549" t="s">
        <v>1145</v>
      </c>
      <c r="F75" s="268"/>
      <c r="G75" s="267"/>
      <c r="H75" s="267"/>
      <c r="I75" s="139"/>
    </row>
    <row r="76" spans="1:18">
      <c r="A76" s="128"/>
      <c r="B76" s="128"/>
      <c r="C76" s="547" t="s">
        <v>1164</v>
      </c>
      <c r="D76" s="266" t="s">
        <v>1133</v>
      </c>
      <c r="E76" s="266" t="s">
        <v>1134</v>
      </c>
      <c r="F76" s="268"/>
      <c r="G76" s="267"/>
      <c r="H76" s="267"/>
      <c r="I76" s="139"/>
      <c r="Q76" t="s">
        <v>1098</v>
      </c>
      <c r="R76">
        <f>R77*R78</f>
        <v>0.78</v>
      </c>
    </row>
    <row r="77" spans="1:18">
      <c r="A77" s="128"/>
      <c r="B77" s="128"/>
      <c r="C77" s="547" t="s">
        <v>1165</v>
      </c>
      <c r="D77" s="547" t="s">
        <v>1158</v>
      </c>
      <c r="E77" s="547" t="s">
        <v>1166</v>
      </c>
      <c r="F77" s="268"/>
      <c r="G77" s="267"/>
      <c r="H77" s="267"/>
      <c r="I77" s="139"/>
      <c r="Q77" t="s">
        <v>1167</v>
      </c>
      <c r="R77">
        <v>1</v>
      </c>
    </row>
    <row r="78" spans="1:18" ht="15" customHeight="1">
      <c r="A78" s="128"/>
      <c r="B78" s="128"/>
      <c r="C78" s="547" t="s">
        <v>1168</v>
      </c>
      <c r="D78" s="547" t="s">
        <v>1166</v>
      </c>
      <c r="E78" s="128"/>
      <c r="F78" s="268"/>
      <c r="G78" s="267"/>
      <c r="H78" s="267"/>
      <c r="I78" s="139"/>
      <c r="Q78" t="s">
        <v>1169</v>
      </c>
      <c r="R78">
        <v>0.78</v>
      </c>
    </row>
    <row r="79" spans="1:18" ht="15" customHeight="1">
      <c r="A79" s="128"/>
      <c r="C79" s="547" t="s">
        <v>1170</v>
      </c>
      <c r="D79" s="266" t="s">
        <v>1133</v>
      </c>
      <c r="F79" s="73"/>
      <c r="G79" s="139"/>
      <c r="H79" s="267"/>
      <c r="I79" s="139"/>
    </row>
    <row r="80" spans="1:18" ht="15" customHeight="1">
      <c r="A80" s="128"/>
      <c r="C80" s="547" t="s">
        <v>1171</v>
      </c>
      <c r="D80" s="547" t="s">
        <v>1166</v>
      </c>
      <c r="F80" s="73"/>
      <c r="G80" s="139"/>
      <c r="H80" s="267"/>
      <c r="I80" s="139"/>
    </row>
    <row r="81" spans="1:16" ht="15" customHeight="1">
      <c r="A81" s="128"/>
      <c r="C81" s="547" t="s">
        <v>1172</v>
      </c>
      <c r="F81" s="73"/>
      <c r="G81" s="139"/>
      <c r="H81" s="267"/>
      <c r="I81" s="139"/>
    </row>
    <row r="82" spans="1:16" ht="15" customHeight="1">
      <c r="A82" s="128"/>
      <c r="C82" s="547" t="s">
        <v>1173</v>
      </c>
      <c r="F82" s="73"/>
      <c r="G82" s="139"/>
      <c r="H82" s="267"/>
      <c r="I82" s="139"/>
      <c r="M82" s="1131" t="s">
        <v>1174</v>
      </c>
      <c r="N82" s="1131"/>
      <c r="O82" s="1131"/>
      <c r="P82" s="1131"/>
    </row>
    <row r="83" spans="1:16" ht="15" customHeight="1">
      <c r="A83" s="128"/>
      <c r="F83" s="73"/>
      <c r="G83" s="139"/>
      <c r="H83" s="267"/>
      <c r="I83" s="139"/>
    </row>
    <row r="84" spans="1:16" ht="15" customHeight="1">
      <c r="F84" s="73"/>
      <c r="G84" s="139"/>
      <c r="H84" s="139"/>
      <c r="I84" s="139"/>
    </row>
    <row r="85" spans="1:16" ht="15" customHeight="1">
      <c r="F85" s="73"/>
      <c r="G85" s="139"/>
      <c r="H85" s="139"/>
      <c r="I85" s="139"/>
    </row>
    <row r="86" spans="1:16" ht="15" customHeight="1">
      <c r="F86" s="73"/>
      <c r="G86" s="139"/>
      <c r="H86" s="139"/>
      <c r="I86" s="139"/>
    </row>
    <row r="87" spans="1:16" ht="15" customHeight="1">
      <c r="H87" s="139"/>
      <c r="I87" s="139"/>
    </row>
    <row r="88" spans="1:16" ht="37.5" customHeight="1">
      <c r="F88" s="73"/>
      <c r="G88" s="73"/>
      <c r="H88" s="73"/>
      <c r="I88" s="73"/>
    </row>
    <row r="89" spans="1:16">
      <c r="B89" s="266" t="s">
        <v>1175</v>
      </c>
      <c r="C89" s="266" t="s">
        <v>1176</v>
      </c>
      <c r="D89" s="266" t="s">
        <v>1177</v>
      </c>
      <c r="I89" s="73"/>
      <c r="J89" s="73"/>
    </row>
    <row r="90" spans="1:16">
      <c r="B90" s="343" t="s">
        <v>434</v>
      </c>
      <c r="C90" s="344" t="s">
        <v>1178</v>
      </c>
      <c r="D90" s="344" t="s">
        <v>1179</v>
      </c>
      <c r="I90" s="73"/>
      <c r="J90" s="73"/>
    </row>
    <row r="91" spans="1:16">
      <c r="B91" s="343" t="s">
        <v>435</v>
      </c>
      <c r="C91" s="344" t="s">
        <v>531</v>
      </c>
      <c r="D91" s="344" t="s">
        <v>1180</v>
      </c>
      <c r="I91" s="73"/>
      <c r="J91" s="73"/>
    </row>
    <row r="92" spans="1:16">
      <c r="B92" s="128"/>
      <c r="C92" s="344" t="s">
        <v>1181</v>
      </c>
      <c r="D92" s="128"/>
      <c r="I92" s="73"/>
      <c r="J92" s="73"/>
    </row>
    <row r="93" spans="1:16">
      <c r="E93" s="146" t="s">
        <v>1182</v>
      </c>
      <c r="I93" s="73"/>
      <c r="J93" s="73"/>
    </row>
    <row r="94" spans="1:16">
      <c r="B94" s="146" t="s">
        <v>1183</v>
      </c>
      <c r="C94" s="146" t="s">
        <v>1184</v>
      </c>
      <c r="D94" s="146" t="s">
        <v>1185</v>
      </c>
      <c r="E94" s="554" t="s">
        <v>1179</v>
      </c>
      <c r="F94" s="146" t="s">
        <v>1186</v>
      </c>
      <c r="I94" s="73"/>
      <c r="J94" s="73"/>
    </row>
    <row r="95" spans="1:16">
      <c r="B95" s="148" t="s">
        <v>434</v>
      </c>
      <c r="C95" s="148" t="s">
        <v>434</v>
      </c>
      <c r="D95" s="554" t="s">
        <v>1178</v>
      </c>
      <c r="E95" s="554" t="s">
        <v>1180</v>
      </c>
      <c r="F95" s="611" t="s">
        <v>434</v>
      </c>
      <c r="I95" s="73"/>
      <c r="J95" s="73"/>
    </row>
    <row r="96" spans="1:16">
      <c r="B96" s="148" t="s">
        <v>435</v>
      </c>
      <c r="C96" s="148" t="s">
        <v>435</v>
      </c>
      <c r="D96" s="554" t="s">
        <v>531</v>
      </c>
      <c r="E96" s="554" t="s">
        <v>1187</v>
      </c>
      <c r="F96" s="611" t="s">
        <v>435</v>
      </c>
      <c r="I96" s="73"/>
      <c r="J96" s="73"/>
    </row>
    <row r="97" spans="1:21">
      <c r="D97" s="554" t="s">
        <v>1181</v>
      </c>
      <c r="E97" s="554" t="s">
        <v>1188</v>
      </c>
      <c r="I97" s="73"/>
      <c r="J97" s="73"/>
    </row>
    <row r="98" spans="1:21">
      <c r="E98" s="554" t="s">
        <v>1189</v>
      </c>
      <c r="F98" s="146" t="s">
        <v>1186</v>
      </c>
      <c r="I98" s="73"/>
      <c r="J98" s="73"/>
    </row>
    <row r="99" spans="1:21">
      <c r="C99" s="266" t="s">
        <v>1190</v>
      </c>
      <c r="E99" s="146" t="s">
        <v>1182</v>
      </c>
      <c r="F99" s="611" t="s">
        <v>435</v>
      </c>
      <c r="I99" s="73"/>
      <c r="J99" s="73"/>
    </row>
    <row r="100" spans="1:21" ht="14.25" customHeight="1">
      <c r="C100" s="449" t="s">
        <v>1191</v>
      </c>
      <c r="E100" s="554" t="s">
        <v>1180</v>
      </c>
      <c r="I100" s="73"/>
      <c r="J100" s="73"/>
    </row>
    <row r="101" spans="1:21">
      <c r="C101" s="449" t="s">
        <v>1192</v>
      </c>
      <c r="E101" s="554" t="s">
        <v>1187</v>
      </c>
      <c r="G101" s="461"/>
      <c r="I101" s="73"/>
      <c r="J101" s="73"/>
    </row>
    <row r="102" spans="1:21">
      <c r="C102" s="444"/>
      <c r="E102" s="554" t="s">
        <v>1188</v>
      </c>
      <c r="F102" s="45"/>
      <c r="G102" s="462"/>
      <c r="H102" s="45"/>
      <c r="I102" s="73"/>
      <c r="J102" s="73"/>
    </row>
    <row r="103" spans="1:21">
      <c r="E103" s="146" t="s">
        <v>1182</v>
      </c>
      <c r="F103" s="43"/>
      <c r="G103" s="462"/>
      <c r="H103" s="43"/>
      <c r="I103" s="73"/>
      <c r="J103" s="73"/>
    </row>
    <row r="104" spans="1:21">
      <c r="E104" s="554" t="s">
        <v>1179</v>
      </c>
      <c r="F104" s="45"/>
      <c r="G104" s="462"/>
      <c r="H104" s="45"/>
      <c r="I104" s="73"/>
      <c r="J104" s="73"/>
    </row>
    <row r="105" spans="1:21">
      <c r="D105" s="149"/>
      <c r="E105" s="554" t="s">
        <v>1180</v>
      </c>
      <c r="F105" s="150"/>
      <c r="G105" s="616"/>
      <c r="H105" s="73"/>
      <c r="I105" s="73"/>
      <c r="J105" s="73"/>
    </row>
    <row r="106" spans="1:21" ht="29.1">
      <c r="D106" s="80"/>
      <c r="E106" s="345" t="s">
        <v>1187</v>
      </c>
      <c r="F106" s="43"/>
      <c r="G106" s="81"/>
      <c r="H106" s="73"/>
      <c r="I106" s="73"/>
      <c r="J106" s="73"/>
    </row>
    <row r="107" spans="1:21" s="53" customFormat="1" ht="18" customHeight="1">
      <c r="A107"/>
      <c r="B107"/>
      <c r="C107"/>
      <c r="D107" s="79"/>
      <c r="E107" s="112" t="s">
        <v>1188</v>
      </c>
      <c r="F107" s="79"/>
      <c r="G107" s="79"/>
      <c r="H107" s="73"/>
      <c r="I107" s="73"/>
      <c r="J107" s="73"/>
      <c r="K107"/>
      <c r="L107"/>
      <c r="M107"/>
    </row>
    <row r="108" spans="1:21" s="51" customFormat="1">
      <c r="A108" s="1141" t="s">
        <v>1193</v>
      </c>
      <c r="B108" s="1142"/>
      <c r="C108" s="1142"/>
      <c r="D108" s="1143"/>
      <c r="E108" s="79"/>
      <c r="F108" s="160"/>
      <c r="G108" s="160"/>
      <c r="H108" s="160"/>
      <c r="I108" s="160"/>
      <c r="J108" s="160"/>
      <c r="K108"/>
      <c r="L108"/>
      <c r="M108"/>
    </row>
    <row r="109" spans="1:21" s="51" customFormat="1" ht="21.75" customHeight="1">
      <c r="A109" s="371" t="s">
        <v>1194</v>
      </c>
      <c r="B109" s="1141" t="s">
        <v>1195</v>
      </c>
      <c r="C109" s="1142"/>
      <c r="D109" s="1143"/>
      <c r="E109" s="79"/>
      <c r="F109" s="160"/>
      <c r="G109" s="160"/>
      <c r="H109" s="160"/>
      <c r="I109" s="160"/>
      <c r="J109" s="160"/>
      <c r="K109"/>
      <c r="L109"/>
      <c r="M109" s="501" t="s">
        <v>1196</v>
      </c>
      <c r="N109" s="503"/>
      <c r="O109" s="503"/>
      <c r="P109" s="503"/>
      <c r="Q109" s="503"/>
      <c r="R109" s="503"/>
      <c r="S109" s="503"/>
      <c r="T109" s="503"/>
      <c r="U109" s="503"/>
    </row>
    <row r="110" spans="1:21">
      <c r="A110" s="556" t="s">
        <v>169</v>
      </c>
      <c r="B110" s="548" t="s">
        <v>173</v>
      </c>
      <c r="C110" s="548" t="s">
        <v>177</v>
      </c>
      <c r="D110" s="548" t="s">
        <v>182</v>
      </c>
      <c r="E110" s="67"/>
      <c r="F110" s="67"/>
      <c r="G110" s="67"/>
      <c r="H110" s="67"/>
      <c r="I110" s="67"/>
    </row>
    <row r="111" spans="1:21" ht="39.75" customHeight="1">
      <c r="A111" s="608" t="s">
        <v>1197</v>
      </c>
      <c r="B111" s="608" t="s">
        <v>1198</v>
      </c>
      <c r="C111" s="587" t="s">
        <v>1199</v>
      </c>
      <c r="D111" s="587" t="s">
        <v>1200</v>
      </c>
      <c r="E111" s="108"/>
      <c r="F111" s="108"/>
      <c r="G111" s="108"/>
      <c r="H111" s="271"/>
      <c r="I111" s="574"/>
    </row>
    <row r="112" spans="1:21" ht="27.75" customHeight="1">
      <c r="A112" s="272" t="s">
        <v>286</v>
      </c>
      <c r="B112" s="624">
        <v>50000</v>
      </c>
      <c r="C112" s="273">
        <f>B112*0.1</f>
        <v>5000</v>
      </c>
      <c r="D112" s="624"/>
      <c r="E112" s="274"/>
      <c r="F112" s="274"/>
      <c r="G112" s="274"/>
      <c r="H112" s="274"/>
      <c r="I112" s="577"/>
    </row>
    <row r="113" spans="1:19">
      <c r="A113" s="1114" t="s">
        <v>1201</v>
      </c>
      <c r="B113" s="1115"/>
      <c r="C113" s="1115"/>
      <c r="D113" s="1115"/>
      <c r="E113" s="1109"/>
      <c r="F113" s="1109"/>
      <c r="G113" s="128"/>
      <c r="H113" s="128"/>
      <c r="I113" s="128"/>
    </row>
    <row r="114" spans="1:19">
      <c r="A114" s="128"/>
      <c r="B114" s="128"/>
      <c r="C114" s="128"/>
      <c r="D114" s="275"/>
      <c r="E114" s="276"/>
      <c r="F114" s="277"/>
      <c r="G114" s="278"/>
      <c r="H114" s="268"/>
      <c r="I114" s="268"/>
      <c r="J114" s="73"/>
    </row>
    <row r="115" spans="1:19">
      <c r="A115" s="266" t="s">
        <v>1202</v>
      </c>
      <c r="C115" s="128"/>
      <c r="D115" s="279"/>
      <c r="F115" s="277"/>
      <c r="G115" s="280"/>
      <c r="H115" s="128"/>
      <c r="I115" s="128"/>
    </row>
    <row r="116" spans="1:19">
      <c r="A116" s="281" t="s">
        <v>434</v>
      </c>
      <c r="C116" s="128"/>
      <c r="D116" s="279"/>
      <c r="F116" s="277"/>
      <c r="G116" s="282"/>
      <c r="H116" s="128"/>
      <c r="I116" s="128"/>
    </row>
    <row r="117" spans="1:19">
      <c r="A117" s="281" t="s">
        <v>435</v>
      </c>
      <c r="C117" s="128"/>
      <c r="D117" s="279"/>
      <c r="F117" s="277"/>
      <c r="G117" s="282"/>
      <c r="H117" s="128"/>
      <c r="I117" s="128"/>
    </row>
    <row r="118" spans="1:19" ht="15.6">
      <c r="A118" s="128"/>
      <c r="B118" s="128"/>
      <c r="C118" s="128"/>
      <c r="D118" s="128"/>
      <c r="E118" s="128"/>
      <c r="F118" s="128"/>
      <c r="G118" s="128"/>
      <c r="H118" s="128"/>
      <c r="I118" s="128"/>
      <c r="N118" s="73"/>
      <c r="O118" s="73"/>
      <c r="P118" s="161"/>
      <c r="Q118" s="73"/>
      <c r="R118" s="73"/>
      <c r="S118" s="73"/>
    </row>
    <row r="119" spans="1:19">
      <c r="A119" s="1112" t="s">
        <v>1203</v>
      </c>
      <c r="B119" s="1112"/>
      <c r="C119" s="1112"/>
      <c r="D119" s="1112"/>
      <c r="E119" s="1112"/>
      <c r="F119" s="1112"/>
      <c r="G119" s="1112"/>
      <c r="H119" s="1112"/>
      <c r="I119" s="1112"/>
      <c r="J119" s="102"/>
      <c r="K119" s="102"/>
      <c r="L119" s="102"/>
      <c r="N119" s="73"/>
      <c r="O119" s="73"/>
      <c r="P119" s="73"/>
      <c r="Q119" s="73"/>
      <c r="R119" s="73"/>
      <c r="S119" s="73"/>
    </row>
    <row r="120" spans="1:19" ht="16.5">
      <c r="A120" s="586" t="s">
        <v>169</v>
      </c>
      <c r="B120" s="254" t="s">
        <v>185</v>
      </c>
      <c r="C120" s="1005" t="s">
        <v>1204</v>
      </c>
      <c r="D120" s="1005"/>
      <c r="E120" s="1005"/>
      <c r="F120" s="1005"/>
      <c r="G120" s="1005"/>
      <c r="H120" s="1005"/>
      <c r="I120" s="1005"/>
      <c r="J120" s="51"/>
      <c r="K120" s="51"/>
      <c r="L120" s="51"/>
      <c r="N120" s="73"/>
      <c r="O120" s="73"/>
      <c r="P120" s="73"/>
      <c r="Q120" s="73"/>
      <c r="R120" s="73"/>
      <c r="S120" s="73"/>
    </row>
    <row r="121" spans="1:19" ht="16.5">
      <c r="A121" s="586" t="s">
        <v>173</v>
      </c>
      <c r="B121" s="254" t="s">
        <v>185</v>
      </c>
      <c r="C121" s="1005" t="s">
        <v>1205</v>
      </c>
      <c r="D121" s="1005"/>
      <c r="E121" s="1005"/>
      <c r="F121" s="1005"/>
      <c r="G121" s="1005"/>
      <c r="H121" s="1005"/>
      <c r="I121" s="1005"/>
      <c r="J121" s="51"/>
      <c r="K121" s="51"/>
      <c r="L121" s="51"/>
      <c r="N121" s="73"/>
      <c r="O121" s="73"/>
      <c r="P121" s="73"/>
      <c r="Q121" s="73"/>
      <c r="R121" s="73"/>
      <c r="S121" s="73"/>
    </row>
    <row r="122" spans="1:19" ht="16.5">
      <c r="A122" s="600" t="s">
        <v>177</v>
      </c>
      <c r="B122" s="98" t="s">
        <v>185</v>
      </c>
      <c r="C122" s="1060" t="s">
        <v>1206</v>
      </c>
      <c r="D122" s="1060"/>
      <c r="E122" s="1060"/>
      <c r="F122" s="1060"/>
      <c r="G122" s="1060"/>
      <c r="H122" s="1060"/>
      <c r="I122" s="1060"/>
      <c r="J122" s="51"/>
      <c r="K122" s="51"/>
      <c r="L122" s="51"/>
      <c r="M122" s="1107"/>
      <c r="N122" s="1107"/>
      <c r="O122" s="1107"/>
      <c r="P122" s="1107"/>
      <c r="Q122" s="49"/>
      <c r="R122" s="49"/>
    </row>
    <row r="123" spans="1:19" ht="15" customHeight="1">
      <c r="A123" s="600" t="s">
        <v>182</v>
      </c>
      <c r="B123" s="600" t="s">
        <v>171</v>
      </c>
      <c r="C123" s="600" t="s">
        <v>175</v>
      </c>
      <c r="D123" s="599" t="s">
        <v>180</v>
      </c>
      <c r="E123" s="601" t="s">
        <v>1207</v>
      </c>
      <c r="F123" s="370" t="s">
        <v>290</v>
      </c>
      <c r="G123" s="1122" t="s">
        <v>291</v>
      </c>
      <c r="H123" s="1123"/>
      <c r="I123" s="601" t="s">
        <v>292</v>
      </c>
      <c r="J123" s="601" t="s">
        <v>293</v>
      </c>
      <c r="K123" s="67"/>
      <c r="L123" s="635"/>
    </row>
    <row r="124" spans="1:19" ht="21" customHeight="1">
      <c r="A124" s="983" t="s">
        <v>1071</v>
      </c>
      <c r="B124" s="1002" t="s">
        <v>1072</v>
      </c>
      <c r="C124" s="1002" t="s">
        <v>685</v>
      </c>
      <c r="D124" s="1108" t="s">
        <v>1075</v>
      </c>
      <c r="E124" s="1108" t="s">
        <v>1208</v>
      </c>
      <c r="F124" s="984" t="s">
        <v>1209</v>
      </c>
      <c r="G124" s="1108" t="s">
        <v>1076</v>
      </c>
      <c r="H124" s="1121" t="s">
        <v>1077</v>
      </c>
      <c r="I124" s="1002" t="s">
        <v>1078</v>
      </c>
      <c r="J124" s="1108" t="s">
        <v>1079</v>
      </c>
    </row>
    <row r="125" spans="1:19" ht="20.25" customHeight="1">
      <c r="A125" s="983"/>
      <c r="B125" s="1002"/>
      <c r="C125" s="1002"/>
      <c r="D125" s="1108"/>
      <c r="E125" s="1108"/>
      <c r="F125" s="1019"/>
      <c r="G125" s="1108"/>
      <c r="H125" s="1121"/>
      <c r="I125" s="1002"/>
      <c r="J125" s="1108"/>
      <c r="N125" s="74"/>
    </row>
    <row r="126" spans="1:19" ht="20.25" customHeight="1">
      <c r="A126" s="842"/>
      <c r="B126" s="839" t="s">
        <v>286</v>
      </c>
      <c r="C126" s="839" t="s">
        <v>286</v>
      </c>
      <c r="D126" s="839" t="s">
        <v>286</v>
      </c>
      <c r="E126" s="839" t="s">
        <v>286</v>
      </c>
      <c r="F126" s="879" t="s">
        <v>1210</v>
      </c>
      <c r="G126" s="145" t="s">
        <v>1080</v>
      </c>
      <c r="H126" s="561" t="s">
        <v>1081</v>
      </c>
      <c r="I126" s="283"/>
      <c r="J126" s="999"/>
      <c r="L126" s="74"/>
      <c r="M126" s="74"/>
      <c r="N126" s="74"/>
    </row>
    <row r="127" spans="1:19" ht="20.25" customHeight="1">
      <c r="A127" s="842"/>
      <c r="B127" s="839"/>
      <c r="C127" s="839"/>
      <c r="D127" s="839"/>
      <c r="E127" s="839"/>
      <c r="F127" s="1139"/>
      <c r="G127" s="145" t="s">
        <v>1211</v>
      </c>
      <c r="H127" s="561" t="s">
        <v>1081</v>
      </c>
      <c r="I127" s="283"/>
      <c r="J127" s="999"/>
      <c r="L127" s="74"/>
      <c r="M127" s="74"/>
      <c r="N127" s="74"/>
    </row>
    <row r="128" spans="1:19" ht="20.25" customHeight="1">
      <c r="A128" s="842"/>
      <c r="B128" s="839"/>
      <c r="C128" s="839"/>
      <c r="D128" s="839"/>
      <c r="E128" s="879"/>
      <c r="F128" s="880"/>
      <c r="G128" s="145" t="s">
        <v>1084</v>
      </c>
      <c r="H128" s="561" t="s">
        <v>1081</v>
      </c>
      <c r="I128" s="284"/>
      <c r="J128" s="999"/>
      <c r="L128" s="74"/>
      <c r="M128" s="74"/>
      <c r="N128" s="74"/>
      <c r="O128" s="74"/>
      <c r="P128" s="74"/>
    </row>
    <row r="129" spans="1:15" ht="20.25" customHeight="1">
      <c r="A129" s="128"/>
      <c r="B129" s="628">
        <v>13</v>
      </c>
      <c r="C129" s="601" t="s">
        <v>295</v>
      </c>
      <c r="D129" s="601" t="s">
        <v>296</v>
      </c>
      <c r="E129" s="601" t="s">
        <v>297</v>
      </c>
      <c r="F129" s="261"/>
      <c r="G129" s="261"/>
      <c r="H129" s="256"/>
      <c r="I129" s="155"/>
      <c r="J129" s="113"/>
      <c r="K129" s="113"/>
      <c r="M129" s="74"/>
      <c r="N129" s="74"/>
      <c r="O129" s="74"/>
    </row>
    <row r="130" spans="1:15" ht="22.5" customHeight="1">
      <c r="A130" s="128"/>
      <c r="B130" s="1092" t="s">
        <v>1086</v>
      </c>
      <c r="C130" s="1092"/>
      <c r="D130" s="1092"/>
      <c r="E130" s="1092"/>
      <c r="F130" s="251"/>
      <c r="G130" s="251"/>
      <c r="H130" s="257"/>
      <c r="I130" s="156"/>
      <c r="J130" s="113"/>
      <c r="K130" s="113"/>
      <c r="M130" s="74"/>
      <c r="N130" s="74"/>
      <c r="O130" s="74"/>
    </row>
    <row r="131" spans="1:15" ht="33" customHeight="1">
      <c r="A131" s="128"/>
      <c r="B131" s="608" t="s">
        <v>1089</v>
      </c>
      <c r="C131" s="608" t="s">
        <v>1076</v>
      </c>
      <c r="D131" s="608" t="s">
        <v>1091</v>
      </c>
      <c r="E131" s="608" t="s">
        <v>1092</v>
      </c>
      <c r="F131" s="128"/>
      <c r="G131" s="128"/>
      <c r="H131" s="257"/>
      <c r="I131" s="156"/>
      <c r="J131" s="113"/>
      <c r="K131" s="113"/>
      <c r="M131" s="74"/>
      <c r="N131" s="74"/>
      <c r="O131" s="74"/>
    </row>
    <row r="132" spans="1:15">
      <c r="A132" s="128"/>
      <c r="B132" s="1100" t="s">
        <v>286</v>
      </c>
      <c r="C132" s="145" t="s">
        <v>338</v>
      </c>
      <c r="D132" s="147"/>
      <c r="E132" s="258" t="s">
        <v>1094</v>
      </c>
      <c r="F132" s="128"/>
      <c r="G132" s="128"/>
      <c r="H132" s="257"/>
      <c r="I132" s="156"/>
      <c r="J132" s="113"/>
      <c r="K132" s="113"/>
      <c r="M132" s="74"/>
      <c r="N132" s="74"/>
      <c r="O132" s="74"/>
    </row>
    <row r="133" spans="1:15">
      <c r="A133" s="128"/>
      <c r="B133" s="1100"/>
      <c r="C133" s="145" t="s">
        <v>1096</v>
      </c>
      <c r="D133" s="147"/>
      <c r="E133" s="258" t="s">
        <v>1097</v>
      </c>
      <c r="F133" s="128"/>
      <c r="G133" s="128"/>
      <c r="H133" s="257"/>
      <c r="I133" s="156"/>
      <c r="J133" s="113"/>
      <c r="K133" s="113"/>
      <c r="M133" s="74"/>
      <c r="N133" s="74"/>
      <c r="O133" s="74"/>
    </row>
    <row r="134" spans="1:15" ht="20.25" customHeight="1">
      <c r="A134" s="128"/>
      <c r="B134" s="1100"/>
      <c r="C134" s="145" t="s">
        <v>1098</v>
      </c>
      <c r="D134" s="147"/>
      <c r="E134" s="258" t="s">
        <v>1099</v>
      </c>
      <c r="F134" s="128"/>
      <c r="G134" s="128"/>
      <c r="H134" s="257"/>
      <c r="I134" s="156"/>
      <c r="J134" s="113"/>
      <c r="K134" s="113"/>
      <c r="M134" s="74"/>
      <c r="N134" s="74"/>
      <c r="O134" s="74"/>
    </row>
    <row r="135" spans="1:15" ht="20.25" customHeight="1">
      <c r="A135" s="128"/>
      <c r="B135" s="628">
        <v>17</v>
      </c>
      <c r="C135" s="601" t="s">
        <v>495</v>
      </c>
      <c r="D135" s="601" t="s">
        <v>496</v>
      </c>
      <c r="E135" s="601" t="s">
        <v>497</v>
      </c>
      <c r="F135" s="1122" t="s">
        <v>498</v>
      </c>
      <c r="G135" s="1123"/>
      <c r="H135" s="257"/>
      <c r="I135" s="153"/>
      <c r="J135" s="67"/>
      <c r="K135" s="67"/>
      <c r="M135" s="74"/>
      <c r="N135" s="74"/>
      <c r="O135" s="74"/>
    </row>
    <row r="136" spans="1:15" ht="22.5" customHeight="1">
      <c r="A136" s="128"/>
      <c r="B136" s="1132" t="s">
        <v>1103</v>
      </c>
      <c r="C136" s="1133"/>
      <c r="D136" s="1133"/>
      <c r="E136" s="1133"/>
      <c r="F136" s="1133"/>
      <c r="G136" s="1134"/>
      <c r="H136" s="251"/>
      <c r="I136" s="153"/>
      <c r="J136" s="67"/>
      <c r="K136" s="67"/>
      <c r="M136" s="74"/>
      <c r="N136" s="74"/>
      <c r="O136" s="74"/>
    </row>
    <row r="137" spans="1:15" ht="23.25" customHeight="1">
      <c r="A137" s="128"/>
      <c r="B137" s="608" t="s">
        <v>1212</v>
      </c>
      <c r="C137" s="608" t="s">
        <v>1089</v>
      </c>
      <c r="D137" s="608" t="s">
        <v>1090</v>
      </c>
      <c r="E137" s="608" t="s">
        <v>1105</v>
      </c>
      <c r="F137" s="1087" t="s">
        <v>1106</v>
      </c>
      <c r="G137" s="1088"/>
      <c r="H137" s="128"/>
      <c r="I137" s="153"/>
      <c r="J137" s="67"/>
      <c r="K137" s="67"/>
      <c r="M137" s="74"/>
      <c r="N137" s="74"/>
      <c r="O137" s="74"/>
    </row>
    <row r="138" spans="1:15" ht="26.25" customHeight="1">
      <c r="A138" s="128"/>
      <c r="B138" s="1100" t="s">
        <v>286</v>
      </c>
      <c r="C138" s="1100" t="s">
        <v>286</v>
      </c>
      <c r="D138" s="1096" t="s">
        <v>286</v>
      </c>
      <c r="E138" s="1100" t="s">
        <v>286</v>
      </c>
      <c r="F138" s="145" t="s">
        <v>338</v>
      </c>
      <c r="G138" s="627" t="s">
        <v>1107</v>
      </c>
      <c r="H138" s="128"/>
      <c r="I138" s="153"/>
      <c r="J138" s="67"/>
      <c r="K138" s="67"/>
      <c r="M138" s="74"/>
      <c r="N138" s="74"/>
      <c r="O138" s="74"/>
    </row>
    <row r="139" spans="1:15" ht="26.25" customHeight="1">
      <c r="A139" s="128"/>
      <c r="B139" s="1100"/>
      <c r="C139" s="1100"/>
      <c r="D139" s="1097"/>
      <c r="E139" s="1100"/>
      <c r="F139" s="145" t="s">
        <v>1096</v>
      </c>
      <c r="G139" s="627" t="s">
        <v>1107</v>
      </c>
      <c r="H139" s="128"/>
      <c r="I139" s="153"/>
      <c r="J139" s="67"/>
      <c r="K139" s="67"/>
      <c r="M139" s="74"/>
      <c r="N139" s="74"/>
      <c r="O139" s="74"/>
    </row>
    <row r="140" spans="1:15" ht="25.5" customHeight="1">
      <c r="A140" s="128"/>
      <c r="B140" s="1100"/>
      <c r="C140" s="1100"/>
      <c r="D140" s="1098"/>
      <c r="E140" s="1100"/>
      <c r="F140" s="145" t="s">
        <v>1098</v>
      </c>
      <c r="G140" s="627" t="s">
        <v>1108</v>
      </c>
      <c r="H140" s="128"/>
      <c r="I140" s="144"/>
      <c r="J140" s="67"/>
      <c r="K140" s="67"/>
    </row>
    <row r="141" spans="1:15" ht="29.25" customHeight="1">
      <c r="A141" s="1119" t="s">
        <v>1213</v>
      </c>
      <c r="B141" s="1119"/>
      <c r="C141" s="1119"/>
      <c r="D141" s="1119"/>
      <c r="E141" s="1119"/>
      <c r="F141" s="1120"/>
      <c r="G141" s="99" t="s">
        <v>287</v>
      </c>
      <c r="H141" s="40" t="s">
        <v>288</v>
      </c>
      <c r="I141" s="39" t="s">
        <v>289</v>
      </c>
      <c r="M141" s="100"/>
      <c r="N141" s="79"/>
      <c r="O141" s="79"/>
    </row>
    <row r="142" spans="1:15" ht="37.5" customHeight="1">
      <c r="A142" s="1118" t="s">
        <v>1214</v>
      </c>
      <c r="B142" s="1118"/>
      <c r="C142" s="1118"/>
      <c r="D142" s="1118"/>
      <c r="E142" s="1118"/>
      <c r="F142" s="1118"/>
      <c r="G142" s="162"/>
      <c r="H142" s="162"/>
      <c r="I142" s="2"/>
      <c r="J142" s="2"/>
      <c r="M142" s="74"/>
      <c r="N142" s="74"/>
      <c r="O142" s="74"/>
    </row>
    <row r="143" spans="1:15" ht="20.25" customHeight="1">
      <c r="B143" s="635"/>
      <c r="C143" s="146" t="s">
        <v>1132</v>
      </c>
      <c r="D143" s="67"/>
      <c r="E143" s="67"/>
      <c r="F143" s="67"/>
      <c r="G143" s="67"/>
      <c r="H143" s="67"/>
      <c r="I143" s="67"/>
      <c r="J143" s="67"/>
      <c r="K143" s="67"/>
      <c r="M143" s="74"/>
      <c r="N143" s="74"/>
      <c r="O143" s="74"/>
    </row>
    <row r="144" spans="1:15" ht="20.25" customHeight="1">
      <c r="B144" s="635"/>
      <c r="C144" s="613" t="s">
        <v>694</v>
      </c>
      <c r="D144" s="67"/>
      <c r="E144" s="67"/>
      <c r="F144" s="67"/>
      <c r="G144" s="67"/>
      <c r="H144" s="67"/>
      <c r="I144" s="67"/>
      <c r="J144" s="67"/>
      <c r="K144" s="67"/>
      <c r="M144" s="74"/>
      <c r="N144" s="74"/>
      <c r="O144" s="74"/>
    </row>
    <row r="145" spans="2:15" ht="20.25" customHeight="1">
      <c r="B145" s="635"/>
      <c r="C145" s="613" t="s">
        <v>1215</v>
      </c>
      <c r="D145" s="67"/>
      <c r="E145" s="67"/>
      <c r="F145" s="67"/>
      <c r="G145" s="67"/>
      <c r="H145" s="67"/>
      <c r="I145" s="67"/>
      <c r="J145" s="67"/>
      <c r="K145" s="67"/>
      <c r="M145" s="74"/>
      <c r="N145" s="74"/>
      <c r="O145" s="74"/>
    </row>
    <row r="146" spans="2:15" ht="20.25" customHeight="1">
      <c r="B146" s="635"/>
      <c r="C146" s="613" t="s">
        <v>1216</v>
      </c>
      <c r="D146" s="67"/>
      <c r="E146" s="67"/>
      <c r="F146" s="67"/>
      <c r="G146" s="67"/>
      <c r="H146" s="67"/>
      <c r="I146" s="67"/>
      <c r="J146" s="67"/>
      <c r="K146" s="67"/>
      <c r="M146" s="74"/>
      <c r="N146" s="74"/>
      <c r="O146" s="74"/>
    </row>
    <row r="147" spans="2:15" ht="20.25" customHeight="1">
      <c r="B147" s="146" t="s">
        <v>1131</v>
      </c>
      <c r="C147" s="146" t="s">
        <v>1132</v>
      </c>
      <c r="D147" s="459" t="s">
        <v>1133</v>
      </c>
      <c r="E147" s="460" t="s">
        <v>1217</v>
      </c>
      <c r="F147" s="266" t="s">
        <v>1135</v>
      </c>
      <c r="G147" s="67"/>
      <c r="H147" s="67"/>
      <c r="I147" s="67"/>
      <c r="J147" s="67"/>
      <c r="K147" s="67"/>
      <c r="M147" s="74"/>
      <c r="N147" s="74"/>
      <c r="O147" s="74"/>
    </row>
    <row r="148" spans="2:15" ht="20.25" customHeight="1">
      <c r="B148" s="613" t="s">
        <v>1218</v>
      </c>
      <c r="C148" s="550" t="s">
        <v>694</v>
      </c>
      <c r="D148" s="575" t="s">
        <v>1138</v>
      </c>
      <c r="E148" s="570" t="s">
        <v>434</v>
      </c>
      <c r="F148" s="547" t="s">
        <v>1158</v>
      </c>
      <c r="G148" s="67"/>
      <c r="H148" s="67"/>
      <c r="I148" s="67"/>
      <c r="J148" s="67"/>
      <c r="K148" s="67"/>
      <c r="M148" s="74"/>
      <c r="N148" s="74"/>
      <c r="O148" s="74"/>
    </row>
    <row r="149" spans="2:15" ht="20.25" customHeight="1">
      <c r="B149" s="613" t="s">
        <v>1219</v>
      </c>
      <c r="C149" s="451" t="s">
        <v>697</v>
      </c>
      <c r="D149" s="575" t="s">
        <v>1142</v>
      </c>
      <c r="E149" s="570" t="s">
        <v>1220</v>
      </c>
      <c r="F149" s="547" t="s">
        <v>1166</v>
      </c>
      <c r="G149" s="67"/>
      <c r="H149" s="67"/>
      <c r="I149" s="67"/>
      <c r="J149" s="67"/>
      <c r="K149" s="67"/>
      <c r="M149" s="74"/>
      <c r="N149" s="74"/>
      <c r="O149" s="74"/>
    </row>
    <row r="150" spans="2:15">
      <c r="B150" s="613" t="s">
        <v>1221</v>
      </c>
      <c r="C150" s="451" t="s">
        <v>701</v>
      </c>
      <c r="D150" s="575" t="s">
        <v>1146</v>
      </c>
      <c r="F150" s="266" t="s">
        <v>1135</v>
      </c>
      <c r="G150" s="67"/>
      <c r="H150" s="67"/>
      <c r="I150" s="67"/>
      <c r="J150" s="67"/>
      <c r="K150" s="67"/>
      <c r="M150" s="74"/>
      <c r="N150" s="74"/>
      <c r="O150" s="74"/>
    </row>
    <row r="151" spans="2:15">
      <c r="B151" s="613" t="s">
        <v>1149</v>
      </c>
      <c r="C151" s="453" t="s">
        <v>1215</v>
      </c>
      <c r="F151" s="547" t="s">
        <v>1166</v>
      </c>
      <c r="M151" s="74"/>
      <c r="N151" s="74"/>
      <c r="O151" s="74"/>
    </row>
    <row r="152" spans="2:15">
      <c r="B152" s="613" t="s">
        <v>1222</v>
      </c>
      <c r="C152" s="453" t="s">
        <v>1223</v>
      </c>
      <c r="M152" s="74"/>
      <c r="N152" s="74"/>
      <c r="O152" s="74"/>
    </row>
    <row r="153" spans="2:15">
      <c r="C153" s="453" t="s">
        <v>1224</v>
      </c>
      <c r="M153" s="74"/>
      <c r="N153" s="74"/>
      <c r="O153" s="74"/>
    </row>
    <row r="154" spans="2:15">
      <c r="B154" s="146" t="s">
        <v>1225</v>
      </c>
      <c r="C154" s="453" t="s">
        <v>1216</v>
      </c>
      <c r="M154" s="74"/>
      <c r="N154" s="74"/>
      <c r="O154" s="74"/>
    </row>
    <row r="155" spans="2:15">
      <c r="B155" s="554" t="s">
        <v>1178</v>
      </c>
      <c r="C155" s="453" t="s">
        <v>1226</v>
      </c>
      <c r="M155" s="74"/>
      <c r="N155" s="74"/>
      <c r="O155" s="74"/>
    </row>
    <row r="156" spans="2:15">
      <c r="B156" s="554" t="s">
        <v>531</v>
      </c>
      <c r="C156" s="453" t="s">
        <v>1227</v>
      </c>
      <c r="M156" s="74"/>
      <c r="N156" s="74"/>
      <c r="O156" s="74"/>
    </row>
    <row r="157" spans="2:15">
      <c r="B157" s="554" t="s">
        <v>1181</v>
      </c>
      <c r="C157" s="547" t="s">
        <v>1228</v>
      </c>
      <c r="M157" s="74"/>
      <c r="N157" s="74"/>
      <c r="O157" s="74"/>
    </row>
    <row r="158" spans="2:15">
      <c r="C158" s="547" t="s">
        <v>1229</v>
      </c>
      <c r="M158" s="74"/>
      <c r="N158" s="74"/>
      <c r="O158" s="74"/>
    </row>
    <row r="159" spans="2:15">
      <c r="C159" s="547" t="s">
        <v>1230</v>
      </c>
      <c r="M159" s="74"/>
      <c r="N159" s="74"/>
      <c r="O159" s="74"/>
    </row>
    <row r="160" spans="2:15">
      <c r="C160" s="547" t="s">
        <v>1231</v>
      </c>
      <c r="M160" s="74"/>
      <c r="N160" s="74"/>
      <c r="O160" s="74"/>
    </row>
    <row r="162" spans="1:15">
      <c r="B162" s="146" t="s">
        <v>1232</v>
      </c>
      <c r="C162" s="146" t="s">
        <v>1233</v>
      </c>
      <c r="D162" s="146" t="s">
        <v>1234</v>
      </c>
      <c r="E162" s="146" t="s">
        <v>1183</v>
      </c>
      <c r="M162" s="100"/>
      <c r="N162" s="79"/>
      <c r="O162" s="79"/>
    </row>
    <row r="163" spans="1:15">
      <c r="B163" s="554" t="s">
        <v>1235</v>
      </c>
      <c r="C163" s="554" t="s">
        <v>1178</v>
      </c>
      <c r="D163" s="554" t="s">
        <v>1179</v>
      </c>
      <c r="E163" s="611" t="s">
        <v>434</v>
      </c>
      <c r="M163" s="74"/>
      <c r="N163" s="74"/>
      <c r="O163" s="74"/>
    </row>
    <row r="164" spans="1:15">
      <c r="B164" s="554" t="s">
        <v>1236</v>
      </c>
      <c r="C164" s="554" t="s">
        <v>531</v>
      </c>
      <c r="D164" s="554" t="s">
        <v>1180</v>
      </c>
      <c r="E164" s="611" t="s">
        <v>435</v>
      </c>
      <c r="M164" s="74"/>
      <c r="N164" s="74"/>
      <c r="O164" s="74"/>
    </row>
    <row r="165" spans="1:15">
      <c r="C165" s="554" t="s">
        <v>1181</v>
      </c>
      <c r="M165" s="74"/>
      <c r="N165" s="74"/>
      <c r="O165" s="74"/>
    </row>
    <row r="166" spans="1:15">
      <c r="C166" s="635"/>
      <c r="D166" s="146" t="s">
        <v>1234</v>
      </c>
      <c r="M166" s="74"/>
      <c r="N166" s="74"/>
      <c r="O166" s="74"/>
    </row>
    <row r="167" spans="1:15" ht="20.25" customHeight="1">
      <c r="A167" s="128"/>
      <c r="C167" s="635"/>
      <c r="D167" s="554" t="s">
        <v>1180</v>
      </c>
      <c r="F167" s="261"/>
      <c r="G167" s="261"/>
      <c r="H167" s="261"/>
      <c r="I167" s="261"/>
      <c r="J167" s="67"/>
      <c r="K167" s="67"/>
    </row>
    <row r="169" spans="1:15">
      <c r="A169" s="986" t="s">
        <v>1237</v>
      </c>
      <c r="B169" s="987"/>
      <c r="C169" s="987"/>
      <c r="D169" s="987"/>
      <c r="E169" s="988"/>
    </row>
    <row r="170" spans="1:15">
      <c r="A170" s="600" t="s">
        <v>169</v>
      </c>
      <c r="B170" s="600" t="s">
        <v>173</v>
      </c>
      <c r="C170" s="600" t="s">
        <v>177</v>
      </c>
      <c r="D170" s="600" t="s">
        <v>182</v>
      </c>
      <c r="E170" s="548" t="s">
        <v>171</v>
      </c>
    </row>
    <row r="171" spans="1:15">
      <c r="A171" s="983" t="s">
        <v>1076</v>
      </c>
      <c r="B171" s="1002" t="s">
        <v>1238</v>
      </c>
      <c r="C171" s="1002" t="s">
        <v>1239</v>
      </c>
      <c r="D171" s="1002"/>
      <c r="E171" s="1061" t="s">
        <v>546</v>
      </c>
    </row>
    <row r="172" spans="1:15">
      <c r="A172" s="983"/>
      <c r="B172" s="1002"/>
      <c r="C172" s="597" t="s">
        <v>547</v>
      </c>
      <c r="D172" s="597" t="s">
        <v>548</v>
      </c>
      <c r="E172" s="1062"/>
    </row>
    <row r="173" spans="1:15" ht="29.1">
      <c r="A173" s="112" t="s">
        <v>1240</v>
      </c>
      <c r="B173" s="457" t="s">
        <v>1241</v>
      </c>
      <c r="C173" s="458" t="s">
        <v>1242</v>
      </c>
      <c r="D173" s="458" t="s">
        <v>1243</v>
      </c>
      <c r="E173" s="106" t="s">
        <v>558</v>
      </c>
    </row>
    <row r="174" spans="1:15" ht="29.1">
      <c r="A174" s="112" t="s">
        <v>1244</v>
      </c>
      <c r="B174" s="457" t="s">
        <v>1241</v>
      </c>
      <c r="C174" s="458" t="s">
        <v>1242</v>
      </c>
      <c r="D174" s="458" t="s">
        <v>1245</v>
      </c>
      <c r="E174" s="106" t="s">
        <v>558</v>
      </c>
    </row>
    <row r="175" spans="1:15" ht="29.1">
      <c r="A175" s="112" t="s">
        <v>1098</v>
      </c>
      <c r="B175" s="457" t="s">
        <v>1241</v>
      </c>
      <c r="C175" s="458" t="s">
        <v>1242</v>
      </c>
      <c r="D175" s="458" t="s">
        <v>1246</v>
      </c>
      <c r="E175" s="106" t="s">
        <v>558</v>
      </c>
    </row>
    <row r="176" spans="1:15">
      <c r="H176" s="102"/>
      <c r="I176" s="102"/>
      <c r="J176" s="102"/>
      <c r="K176" s="102"/>
      <c r="L176" s="102"/>
    </row>
    <row r="177" spans="1:12" ht="15" customHeight="1">
      <c r="H177" s="604"/>
      <c r="I177" s="989"/>
      <c r="J177" s="989"/>
      <c r="K177" s="635"/>
      <c r="L177" s="604"/>
    </row>
    <row r="178" spans="1:12" ht="27.75" customHeight="1">
      <c r="H178" s="574"/>
      <c r="I178" s="810"/>
      <c r="J178" s="810"/>
      <c r="K178" s="574"/>
    </row>
    <row r="179" spans="1:12" ht="51.75" customHeight="1">
      <c r="H179" s="574"/>
      <c r="I179" s="574"/>
      <c r="J179" s="574"/>
      <c r="K179" s="574"/>
    </row>
    <row r="180" spans="1:12" ht="51.75" customHeight="1">
      <c r="A180" s="986" t="s">
        <v>1247</v>
      </c>
      <c r="B180" s="987"/>
      <c r="C180" s="987"/>
      <c r="D180" s="987"/>
      <c r="E180" s="988"/>
      <c r="F180" s="102"/>
      <c r="G180" s="102"/>
      <c r="I180" s="105"/>
      <c r="J180" s="45"/>
    </row>
    <row r="181" spans="1:12" ht="51.75" customHeight="1">
      <c r="A181" s="600" t="s">
        <v>169</v>
      </c>
      <c r="B181" s="600" t="s">
        <v>173</v>
      </c>
      <c r="C181" s="600" t="s">
        <v>177</v>
      </c>
      <c r="D181" s="600" t="s">
        <v>182</v>
      </c>
      <c r="E181" s="548" t="s">
        <v>171</v>
      </c>
      <c r="F181" s="604"/>
      <c r="G181" s="604"/>
      <c r="I181" s="105"/>
      <c r="J181" s="45"/>
    </row>
    <row r="182" spans="1:12">
      <c r="A182" s="983" t="s">
        <v>1076</v>
      </c>
      <c r="B182" s="1002" t="s">
        <v>1248</v>
      </c>
      <c r="C182" s="1002" t="s">
        <v>1249</v>
      </c>
      <c r="D182" s="1002"/>
      <c r="E182" s="1061" t="s">
        <v>546</v>
      </c>
      <c r="F182" s="574"/>
      <c r="G182" s="574"/>
      <c r="I182" s="105"/>
      <c r="J182" s="45"/>
    </row>
    <row r="183" spans="1:12">
      <c r="A183" s="983"/>
      <c r="B183" s="1002"/>
      <c r="C183" s="597" t="s">
        <v>547</v>
      </c>
      <c r="D183" s="597" t="s">
        <v>548</v>
      </c>
      <c r="E183" s="1062"/>
      <c r="F183" s="574"/>
      <c r="G183" s="574"/>
    </row>
    <row r="184" spans="1:12" ht="29.1">
      <c r="A184" s="112" t="s">
        <v>1240</v>
      </c>
      <c r="B184" s="457" t="s">
        <v>551</v>
      </c>
      <c r="C184" s="458" t="s">
        <v>1250</v>
      </c>
      <c r="D184" s="458" t="s">
        <v>1251</v>
      </c>
      <c r="E184" s="106" t="s">
        <v>558</v>
      </c>
      <c r="F184" s="45"/>
    </row>
    <row r="185" spans="1:12" ht="29.1">
      <c r="A185" s="112" t="s">
        <v>1244</v>
      </c>
      <c r="B185" s="457" t="s">
        <v>551</v>
      </c>
      <c r="C185" s="458" t="s">
        <v>1250</v>
      </c>
      <c r="D185" s="458" t="s">
        <v>1252</v>
      </c>
      <c r="E185" s="106" t="s">
        <v>558</v>
      </c>
      <c r="F185" s="45"/>
    </row>
    <row r="186" spans="1:12" ht="29.1">
      <c r="A186" s="112" t="s">
        <v>1098</v>
      </c>
      <c r="B186" s="457" t="s">
        <v>551</v>
      </c>
      <c r="C186" s="458" t="s">
        <v>1250</v>
      </c>
      <c r="D186" s="458" t="s">
        <v>1253</v>
      </c>
      <c r="E186" s="106" t="s">
        <v>558</v>
      </c>
      <c r="F186" s="45"/>
    </row>
    <row r="190" spans="1:12">
      <c r="C190" s="43"/>
    </row>
    <row r="191" spans="1:12">
      <c r="C191" s="43"/>
    </row>
    <row r="192" spans="1:12">
      <c r="C192" s="43"/>
    </row>
    <row r="193" spans="3:3">
      <c r="C193" s="43"/>
    </row>
  </sheetData>
  <mergeCells count="144">
    <mergeCell ref="P34:Q34"/>
    <mergeCell ref="M82:P82"/>
    <mergeCell ref="F137:G137"/>
    <mergeCell ref="F135:G135"/>
    <mergeCell ref="B136:G136"/>
    <mergeCell ref="D138:D140"/>
    <mergeCell ref="A17:B17"/>
    <mergeCell ref="A16:B16"/>
    <mergeCell ref="G24:H24"/>
    <mergeCell ref="A25:C25"/>
    <mergeCell ref="E25:F25"/>
    <mergeCell ref="G25:H25"/>
    <mergeCell ref="F126:F128"/>
    <mergeCell ref="A126:A128"/>
    <mergeCell ref="A42:A44"/>
    <mergeCell ref="A28:F28"/>
    <mergeCell ref="A29:F29"/>
    <mergeCell ref="A23:B23"/>
    <mergeCell ref="E23:F23"/>
    <mergeCell ref="G23:H23"/>
    <mergeCell ref="A24:B24"/>
    <mergeCell ref="E24:F24"/>
    <mergeCell ref="B109:D109"/>
    <mergeCell ref="A108:D108"/>
    <mergeCell ref="B13:C13"/>
    <mergeCell ref="F13:G13"/>
    <mergeCell ref="B14:C14"/>
    <mergeCell ref="F14:G14"/>
    <mergeCell ref="C121:I121"/>
    <mergeCell ref="C120:I120"/>
    <mergeCell ref="J126:J128"/>
    <mergeCell ref="B132:B134"/>
    <mergeCell ref="B130:E130"/>
    <mergeCell ref="B126:B128"/>
    <mergeCell ref="C126:C128"/>
    <mergeCell ref="D126:D128"/>
    <mergeCell ref="E126:E128"/>
    <mergeCell ref="B42:B44"/>
    <mergeCell ref="A21:H21"/>
    <mergeCell ref="A22:B22"/>
    <mergeCell ref="E22:F22"/>
    <mergeCell ref="G22:H22"/>
    <mergeCell ref="F72:G72"/>
    <mergeCell ref="B26:C26"/>
    <mergeCell ref="F26:G26"/>
    <mergeCell ref="A27:F27"/>
    <mergeCell ref="G9:H9"/>
    <mergeCell ref="G10:H10"/>
    <mergeCell ref="G11:H11"/>
    <mergeCell ref="G12:H12"/>
    <mergeCell ref="E9:F9"/>
    <mergeCell ref="E10:F10"/>
    <mergeCell ref="E11:F11"/>
    <mergeCell ref="E12:F12"/>
    <mergeCell ref="A9:B9"/>
    <mergeCell ref="A10:B10"/>
    <mergeCell ref="A11:B11"/>
    <mergeCell ref="M122:P122"/>
    <mergeCell ref="A124:A125"/>
    <mergeCell ref="B124:B125"/>
    <mergeCell ref="C124:C125"/>
    <mergeCell ref="D124:D125"/>
    <mergeCell ref="E124:E125"/>
    <mergeCell ref="G124:G125"/>
    <mergeCell ref="H124:H125"/>
    <mergeCell ref="I124:I125"/>
    <mergeCell ref="J124:J125"/>
    <mergeCell ref="C122:I122"/>
    <mergeCell ref="F124:F125"/>
    <mergeCell ref="G123:H123"/>
    <mergeCell ref="A141:F141"/>
    <mergeCell ref="A142:F142"/>
    <mergeCell ref="B138:B140"/>
    <mergeCell ref="A169:E169"/>
    <mergeCell ref="A171:A172"/>
    <mergeCell ref="B171:B172"/>
    <mergeCell ref="C171:D171"/>
    <mergeCell ref="E171:E172"/>
    <mergeCell ref="C138:C140"/>
    <mergeCell ref="E138:E140"/>
    <mergeCell ref="K42:K44"/>
    <mergeCell ref="H40:H41"/>
    <mergeCell ref="F42:G43"/>
    <mergeCell ref="C42:C44"/>
    <mergeCell ref="D42:D44"/>
    <mergeCell ref="E42:E44"/>
    <mergeCell ref="A119:I119"/>
    <mergeCell ref="F71:G71"/>
    <mergeCell ref="I62:K62"/>
    <mergeCell ref="A113:F113"/>
    <mergeCell ref="F70:G70"/>
    <mergeCell ref="F67:G67"/>
    <mergeCell ref="A64:H64"/>
    <mergeCell ref="A62:H62"/>
    <mergeCell ref="F65:G65"/>
    <mergeCell ref="F66:G66"/>
    <mergeCell ref="A3:J3"/>
    <mergeCell ref="A4:J4"/>
    <mergeCell ref="G5:H5"/>
    <mergeCell ref="M38:P38"/>
    <mergeCell ref="A40:A41"/>
    <mergeCell ref="B40:B41"/>
    <mergeCell ref="C40:C41"/>
    <mergeCell ref="K40:K41"/>
    <mergeCell ref="A15:F15"/>
    <mergeCell ref="C36:K36"/>
    <mergeCell ref="C37:K37"/>
    <mergeCell ref="C38:K38"/>
    <mergeCell ref="I40:I41"/>
    <mergeCell ref="J40:J41"/>
    <mergeCell ref="K5:L5"/>
    <mergeCell ref="D40:D41"/>
    <mergeCell ref="A6:J6"/>
    <mergeCell ref="B5:D5"/>
    <mergeCell ref="E40:E41"/>
    <mergeCell ref="F40:G41"/>
    <mergeCell ref="F39:G39"/>
    <mergeCell ref="A35:K35"/>
    <mergeCell ref="A8:H8"/>
    <mergeCell ref="A12:C12"/>
    <mergeCell ref="AF35:AH35"/>
    <mergeCell ref="A180:E180"/>
    <mergeCell ref="I177:J177"/>
    <mergeCell ref="A182:A183"/>
    <mergeCell ref="B182:B183"/>
    <mergeCell ref="C182:D182"/>
    <mergeCell ref="E182:E183"/>
    <mergeCell ref="I178:J178"/>
    <mergeCell ref="B46:G46"/>
    <mergeCell ref="C48:C50"/>
    <mergeCell ref="D48:D50"/>
    <mergeCell ref="D54:D56"/>
    <mergeCell ref="E54:E56"/>
    <mergeCell ref="B58:H58"/>
    <mergeCell ref="B48:B50"/>
    <mergeCell ref="B54:B56"/>
    <mergeCell ref="F68:G68"/>
    <mergeCell ref="A63:H63"/>
    <mergeCell ref="C54:C56"/>
    <mergeCell ref="F54:F56"/>
    <mergeCell ref="B52:H52"/>
    <mergeCell ref="G53:H53"/>
    <mergeCell ref="G51:H51"/>
    <mergeCell ref="A61:H61"/>
  </mergeCells>
  <pageMargins left="0.7" right="0.7" top="0.75" bottom="0.75" header="0.3" footer="0.3"/>
  <pageSetup paperSize="3" orientation="landscape"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767A-7444-444D-B042-353BF648F386}">
  <sheetPr codeName="Sheet22"/>
  <dimension ref="A1:AH195"/>
  <sheetViews>
    <sheetView topLeftCell="A182" zoomScale="70" zoomScaleNormal="70" workbookViewId="0">
      <selection activeCell="K119" sqref="K119"/>
    </sheetView>
  </sheetViews>
  <sheetFormatPr defaultColWidth="9.42578125" defaultRowHeight="14.45"/>
  <cols>
    <col min="1" max="1" width="21.42578125" customWidth="1"/>
    <col min="2" max="2" width="25.42578125" customWidth="1"/>
    <col min="3" max="3" width="47.42578125" customWidth="1"/>
    <col min="4" max="4" width="27" customWidth="1"/>
    <col min="5" max="6" width="21.42578125" customWidth="1"/>
    <col min="7" max="7" width="23.42578125" customWidth="1"/>
    <col min="8" max="8" width="15.42578125" customWidth="1"/>
    <col min="9" max="9" width="16.42578125" customWidth="1"/>
    <col min="10" max="10" width="29.42578125" customWidth="1"/>
    <col min="11" max="11" width="14.42578125" customWidth="1"/>
    <col min="13" max="13" width="13" customWidth="1"/>
    <col min="14" max="14" width="11.42578125" customWidth="1"/>
    <col min="15" max="15" width="8.42578125" customWidth="1"/>
    <col min="16" max="16" width="26.42578125" customWidth="1"/>
  </cols>
  <sheetData>
    <row r="1" spans="1:19">
      <c r="A1" s="10"/>
      <c r="B1" t="s">
        <v>140</v>
      </c>
      <c r="C1" s="11"/>
      <c r="D1" t="s">
        <v>141</v>
      </c>
      <c r="E1" s="32"/>
      <c r="F1" t="s">
        <v>142</v>
      </c>
      <c r="G1" s="12"/>
      <c r="H1" t="s">
        <v>143</v>
      </c>
    </row>
    <row r="3" spans="1:19">
      <c r="A3" s="1073" t="s">
        <v>1029</v>
      </c>
      <c r="B3" s="1073"/>
      <c r="C3" s="1073"/>
      <c r="D3" s="1073"/>
      <c r="E3" s="1073"/>
      <c r="F3" s="1073"/>
      <c r="G3" s="1073"/>
      <c r="H3" s="1073"/>
      <c r="I3" s="1073"/>
      <c r="J3" s="1073"/>
    </row>
    <row r="4" spans="1:19" ht="27" customHeight="1">
      <c r="A4" s="1105" t="s">
        <v>1030</v>
      </c>
      <c r="B4" s="1105"/>
      <c r="C4" s="1105"/>
      <c r="D4" s="1105"/>
      <c r="E4" s="1105"/>
      <c r="F4" s="1105"/>
      <c r="G4" s="1105"/>
      <c r="H4" s="1105"/>
      <c r="I4" s="1105"/>
      <c r="J4" s="1105"/>
    </row>
    <row r="5" spans="1:19" ht="16.5">
      <c r="A5" s="539" t="s">
        <v>169</v>
      </c>
      <c r="B5" s="884" t="s">
        <v>1031</v>
      </c>
      <c r="C5" s="885"/>
      <c r="D5" s="886"/>
      <c r="E5" s="131" t="s">
        <v>1032</v>
      </c>
      <c r="F5" s="131" t="s">
        <v>1033</v>
      </c>
      <c r="G5" s="1106" t="s">
        <v>1034</v>
      </c>
      <c r="H5" s="1106"/>
      <c r="I5" s="130" t="s">
        <v>1035</v>
      </c>
      <c r="J5" s="335" t="s">
        <v>1036</v>
      </c>
      <c r="K5" s="1110"/>
      <c r="L5" s="1110"/>
      <c r="N5" s="73"/>
      <c r="O5" s="73"/>
      <c r="P5" s="73"/>
      <c r="Q5" s="73"/>
      <c r="R5" s="73"/>
      <c r="S5" s="73"/>
    </row>
    <row r="6" spans="1:19">
      <c r="A6" s="1054" t="s">
        <v>1037</v>
      </c>
      <c r="B6" s="1054"/>
      <c r="C6" s="1054"/>
      <c r="D6" s="1054"/>
      <c r="E6" s="1054"/>
      <c r="F6" s="1054"/>
      <c r="G6" s="1054"/>
      <c r="H6" s="1054"/>
      <c r="I6" s="1054"/>
      <c r="J6" s="1054"/>
      <c r="K6" s="201"/>
      <c r="L6" s="201"/>
      <c r="N6" s="73"/>
      <c r="O6" s="73"/>
      <c r="P6" s="73"/>
      <c r="Q6" s="73"/>
      <c r="R6" s="73"/>
      <c r="S6" s="73"/>
    </row>
    <row r="7" spans="1:19" s="53" customFormat="1" ht="18" customHeight="1">
      <c r="A7" s="30"/>
      <c r="B7" s="133"/>
      <c r="C7" s="133"/>
      <c r="D7" s="133"/>
      <c r="E7" s="133"/>
      <c r="F7" s="134"/>
      <c r="G7" s="135"/>
      <c r="H7" s="135"/>
      <c r="I7" s="635"/>
      <c r="J7" s="635"/>
      <c r="K7" s="635"/>
      <c r="L7" s="635"/>
      <c r="M7"/>
    </row>
    <row r="8" spans="1:19" s="51" customFormat="1">
      <c r="A8" s="1111" t="s">
        <v>1038</v>
      </c>
      <c r="B8" s="1111"/>
      <c r="C8" s="1111"/>
      <c r="D8" s="1111"/>
      <c r="E8" s="1111"/>
      <c r="F8" s="1111"/>
      <c r="G8" s="1111"/>
      <c r="H8" s="1111"/>
      <c r="I8" s="160"/>
      <c r="J8" s="160"/>
      <c r="K8"/>
      <c r="L8"/>
      <c r="M8"/>
    </row>
    <row r="9" spans="1:19" s="51" customFormat="1">
      <c r="A9" s="823" t="s">
        <v>169</v>
      </c>
      <c r="B9" s="823"/>
      <c r="C9" s="548" t="s">
        <v>173</v>
      </c>
      <c r="D9" s="548" t="s">
        <v>177</v>
      </c>
      <c r="E9" s="823" t="s">
        <v>182</v>
      </c>
      <c r="F9" s="823"/>
      <c r="G9" s="823" t="s">
        <v>171</v>
      </c>
      <c r="H9" s="823"/>
      <c r="I9" s="67"/>
      <c r="J9" s="67"/>
      <c r="K9"/>
      <c r="L9"/>
      <c r="P9" s="251" t="s">
        <v>1039</v>
      </c>
    </row>
    <row r="10" spans="1:19" s="51" customFormat="1" ht="30" customHeight="1">
      <c r="A10" s="983" t="s">
        <v>1040</v>
      </c>
      <c r="B10" s="983"/>
      <c r="C10" s="608" t="s">
        <v>1041</v>
      </c>
      <c r="D10" s="608" t="s">
        <v>1042</v>
      </c>
      <c r="E10" s="983" t="s">
        <v>1043</v>
      </c>
      <c r="F10" s="983"/>
      <c r="G10" s="1002" t="s">
        <v>1044</v>
      </c>
      <c r="H10" s="1002"/>
      <c r="I10" s="67"/>
      <c r="J10" s="67"/>
      <c r="K10"/>
      <c r="L10"/>
      <c r="P10" s="29"/>
    </row>
    <row r="11" spans="1:19" s="51" customFormat="1">
      <c r="A11" s="1124"/>
      <c r="B11" s="1124"/>
      <c r="C11" s="561" t="s">
        <v>286</v>
      </c>
      <c r="D11" s="252">
        <v>550</v>
      </c>
      <c r="E11" s="1124">
        <v>0</v>
      </c>
      <c r="F11" s="1124"/>
      <c r="G11" s="1124">
        <v>250</v>
      </c>
      <c r="H11" s="1124"/>
      <c r="I11" s="67"/>
      <c r="J11" s="67"/>
      <c r="K11"/>
      <c r="L11"/>
      <c r="P11" s="29"/>
    </row>
    <row r="12" spans="1:19" s="51" customFormat="1">
      <c r="A12" s="836"/>
      <c r="B12" s="837"/>
      <c r="C12" s="838"/>
      <c r="D12" s="253" t="s">
        <v>287</v>
      </c>
      <c r="E12" s="1126" t="s">
        <v>1045</v>
      </c>
      <c r="F12" s="1126"/>
      <c r="G12" s="1125" t="s">
        <v>289</v>
      </c>
      <c r="H12" s="1125"/>
      <c r="I12" s="67"/>
      <c r="J12" s="67"/>
      <c r="K12"/>
      <c r="L12"/>
      <c r="P12" s="29"/>
    </row>
    <row r="13" spans="1:19" s="51" customFormat="1" ht="32.25" customHeight="1">
      <c r="A13" s="548" t="s">
        <v>175</v>
      </c>
      <c r="B13" s="1127" t="s">
        <v>1046</v>
      </c>
      <c r="C13" s="1127"/>
      <c r="D13" s="236">
        <f>0.4*D11</f>
        <v>220</v>
      </c>
      <c r="E13" s="548" t="s">
        <v>180</v>
      </c>
      <c r="F13" s="1127" t="s">
        <v>1047</v>
      </c>
      <c r="G13" s="1127"/>
      <c r="H13" s="202"/>
      <c r="I13" s="67"/>
      <c r="J13" s="67"/>
      <c r="K13"/>
      <c r="L13"/>
      <c r="P13" s="29"/>
    </row>
    <row r="14" spans="1:19" s="51" customFormat="1" ht="32.25" customHeight="1">
      <c r="A14" s="548" t="s">
        <v>184</v>
      </c>
      <c r="B14" s="1127" t="s">
        <v>1048</v>
      </c>
      <c r="C14" s="1127"/>
      <c r="D14" s="202"/>
      <c r="E14" s="548" t="s">
        <v>290</v>
      </c>
      <c r="F14" s="1127" t="s">
        <v>1049</v>
      </c>
      <c r="G14" s="1127"/>
      <c r="H14" s="202"/>
      <c r="I14" s="67"/>
      <c r="J14" s="67"/>
      <c r="K14"/>
      <c r="L14"/>
      <c r="P14" s="29"/>
    </row>
    <row r="15" spans="1:19" s="51" customFormat="1" ht="15" customHeight="1">
      <c r="A15" s="1109" t="s">
        <v>1050</v>
      </c>
      <c r="B15" s="1109"/>
      <c r="C15" s="1109"/>
      <c r="D15" s="1109"/>
      <c r="E15" s="1109"/>
      <c r="F15" s="1109"/>
      <c r="G15" s="67"/>
      <c r="H15" s="67"/>
      <c r="I15" s="67"/>
      <c r="J15" s="67"/>
      <c r="K15"/>
      <c r="L15"/>
      <c r="P15" s="29"/>
    </row>
    <row r="16" spans="1:19" s="51" customFormat="1" ht="14.85" customHeight="1">
      <c r="A16" s="1135" t="s">
        <v>1051</v>
      </c>
      <c r="B16" s="1109"/>
      <c r="C16" s="339" t="s">
        <v>1052</v>
      </c>
      <c r="D16" s="337"/>
      <c r="E16" s="337"/>
      <c r="F16" s="337"/>
      <c r="G16" s="67"/>
      <c r="H16" s="67"/>
      <c r="I16" s="67"/>
      <c r="J16" s="67"/>
      <c r="K16"/>
      <c r="L16"/>
      <c r="P16" s="29"/>
    </row>
    <row r="17" spans="1:28" s="51" customFormat="1" ht="14.85" customHeight="1">
      <c r="A17" s="1135" t="s">
        <v>1053</v>
      </c>
      <c r="B17" s="1109"/>
      <c r="C17" s="338" t="s">
        <v>1054</v>
      </c>
      <c r="D17" s="337"/>
      <c r="E17" s="337"/>
      <c r="F17" s="337"/>
      <c r="G17" s="67"/>
      <c r="H17" s="67"/>
      <c r="I17" s="67"/>
      <c r="J17" s="67"/>
      <c r="K17"/>
      <c r="L17"/>
      <c r="P17" s="29"/>
    </row>
    <row r="18" spans="1:28" s="51" customFormat="1">
      <c r="A18" s="623"/>
      <c r="B18" s="623"/>
      <c r="C18" s="338" t="s">
        <v>1055</v>
      </c>
      <c r="D18" s="623"/>
      <c r="E18" s="623"/>
      <c r="F18" s="623"/>
      <c r="G18" s="67"/>
      <c r="H18" s="67"/>
      <c r="I18" s="67"/>
      <c r="J18" s="67"/>
      <c r="K18"/>
      <c r="L18"/>
      <c r="P18" s="29"/>
    </row>
    <row r="19" spans="1:28" s="51" customFormat="1">
      <c r="A19" s="623"/>
      <c r="B19" s="623"/>
      <c r="C19" s="338" t="s">
        <v>1056</v>
      </c>
      <c r="D19" s="623"/>
      <c r="E19" s="623"/>
      <c r="F19" s="623"/>
      <c r="G19" s="67"/>
      <c r="H19" s="67"/>
      <c r="I19" s="67"/>
      <c r="J19" s="67"/>
      <c r="K19"/>
      <c r="L19"/>
      <c r="P19" s="29"/>
    </row>
    <row r="20" spans="1:28" s="51" customFormat="1">
      <c r="A20" s="623"/>
      <c r="B20" s="623"/>
      <c r="C20" s="85" t="s">
        <v>1057</v>
      </c>
      <c r="D20" s="623"/>
      <c r="E20" s="623"/>
      <c r="F20" s="623"/>
      <c r="G20" s="67"/>
      <c r="H20" s="67"/>
      <c r="I20" s="67"/>
      <c r="J20" s="67"/>
      <c r="K20"/>
      <c r="L20"/>
      <c r="P20" s="29"/>
    </row>
    <row r="21" spans="1:28" s="51" customFormat="1">
      <c r="A21" s="1146" t="s">
        <v>1058</v>
      </c>
      <c r="B21" s="1146"/>
      <c r="C21" s="1146"/>
      <c r="D21" s="1146"/>
      <c r="E21" s="1146"/>
      <c r="F21" s="1146"/>
      <c r="G21" s="1146"/>
      <c r="H21" s="1146"/>
      <c r="I21" s="160"/>
      <c r="J21" s="160"/>
      <c r="K21"/>
      <c r="L21"/>
      <c r="M21"/>
    </row>
    <row r="22" spans="1:28" s="51" customFormat="1">
      <c r="A22" s="1102" t="s">
        <v>169</v>
      </c>
      <c r="B22" s="1102"/>
      <c r="C22" s="629" t="s">
        <v>173</v>
      </c>
      <c r="D22" s="629" t="s">
        <v>177</v>
      </c>
      <c r="E22" s="1102" t="s">
        <v>182</v>
      </c>
      <c r="F22" s="1102"/>
      <c r="G22" s="1102" t="s">
        <v>171</v>
      </c>
      <c r="H22" s="1102"/>
      <c r="I22" s="67"/>
      <c r="J22" s="67"/>
      <c r="K22"/>
      <c r="L22"/>
      <c r="P22" s="251"/>
    </row>
    <row r="23" spans="1:28" s="51" customFormat="1" ht="30" customHeight="1">
      <c r="A23" s="983" t="s">
        <v>1040</v>
      </c>
      <c r="B23" s="983"/>
      <c r="C23" s="608" t="s">
        <v>1254</v>
      </c>
      <c r="D23" s="608" t="s">
        <v>1042</v>
      </c>
      <c r="E23" s="983" t="s">
        <v>1060</v>
      </c>
      <c r="F23" s="983"/>
      <c r="G23" s="821" t="s">
        <v>1061</v>
      </c>
      <c r="H23" s="821"/>
      <c r="I23" s="67"/>
      <c r="J23" s="67"/>
      <c r="K23"/>
      <c r="L23"/>
      <c r="P23" s="29"/>
    </row>
    <row r="24" spans="1:28" s="51" customFormat="1">
      <c r="A24" s="1124"/>
      <c r="B24" s="1124"/>
      <c r="C24" s="561" t="s">
        <v>286</v>
      </c>
      <c r="D24" s="252"/>
      <c r="E24" s="1124">
        <v>0</v>
      </c>
      <c r="F24" s="1124"/>
      <c r="G24" s="1124"/>
      <c r="H24" s="1124"/>
      <c r="I24" s="67"/>
      <c r="J24" s="67"/>
      <c r="K24"/>
      <c r="L24"/>
      <c r="P24" s="29"/>
    </row>
    <row r="25" spans="1:28" s="51" customFormat="1">
      <c r="A25" s="836"/>
      <c r="B25" s="837"/>
      <c r="C25" s="838"/>
      <c r="D25" s="455"/>
      <c r="E25" s="1126" t="s">
        <v>1045</v>
      </c>
      <c r="F25" s="1126"/>
      <c r="G25" s="1125" t="s">
        <v>289</v>
      </c>
      <c r="H25" s="1125"/>
      <c r="I25" s="67"/>
      <c r="J25" s="67"/>
      <c r="K25"/>
      <c r="L25"/>
      <c r="P25" s="29"/>
    </row>
    <row r="26" spans="1:28" s="51" customFormat="1" ht="32.25" customHeight="1">
      <c r="A26" s="548" t="s">
        <v>175</v>
      </c>
      <c r="B26" s="1127" t="s">
        <v>1046</v>
      </c>
      <c r="C26" s="1127"/>
      <c r="D26" s="475">
        <f>0.4*D24</f>
        <v>0</v>
      </c>
      <c r="E26" s="548" t="s">
        <v>180</v>
      </c>
      <c r="F26" s="1127" t="s">
        <v>1047</v>
      </c>
      <c r="G26" s="1127"/>
      <c r="H26" s="474"/>
      <c r="I26" s="67"/>
      <c r="J26" s="67"/>
      <c r="K26"/>
      <c r="L26"/>
      <c r="P26" s="29"/>
    </row>
    <row r="27" spans="1:28" s="51" customFormat="1" ht="15" customHeight="1">
      <c r="A27" s="1145" t="s">
        <v>1050</v>
      </c>
      <c r="B27" s="1145"/>
      <c r="C27" s="1145"/>
      <c r="D27" s="1145"/>
      <c r="E27" s="1145"/>
      <c r="F27" s="1145"/>
      <c r="G27" s="67"/>
      <c r="H27" s="67"/>
      <c r="I27" s="67"/>
      <c r="J27" s="67"/>
      <c r="K27"/>
      <c r="L27"/>
      <c r="P27" s="29"/>
    </row>
    <row r="28" spans="1:28" s="51" customFormat="1">
      <c r="A28" s="1144" t="s">
        <v>1064</v>
      </c>
      <c r="B28" s="1145"/>
      <c r="C28" s="1145"/>
      <c r="D28" s="1145"/>
      <c r="E28" s="1145"/>
      <c r="F28" s="1145"/>
      <c r="G28" s="67"/>
      <c r="H28" s="67"/>
      <c r="I28" s="67"/>
      <c r="J28" s="67"/>
      <c r="K28"/>
      <c r="L28"/>
      <c r="P28" s="29"/>
    </row>
    <row r="29" spans="1:28" s="51" customFormat="1">
      <c r="A29" s="1144" t="s">
        <v>1065</v>
      </c>
      <c r="B29" s="1145"/>
      <c r="C29" s="1145"/>
      <c r="D29" s="1145"/>
      <c r="E29" s="1145"/>
      <c r="F29" s="1145"/>
      <c r="G29" s="67"/>
      <c r="H29" s="67"/>
      <c r="I29" s="67"/>
      <c r="J29" s="67"/>
      <c r="K29"/>
      <c r="L29"/>
      <c r="P29" s="29"/>
    </row>
    <row r="30" spans="1:28" s="51" customFormat="1">
      <c r="A30" s="636"/>
      <c r="B30" s="636"/>
      <c r="C30" s="339" t="s">
        <v>1052</v>
      </c>
      <c r="D30" s="636"/>
      <c r="E30" s="636"/>
      <c r="F30" s="636"/>
      <c r="G30" s="67"/>
      <c r="H30" s="67"/>
      <c r="I30" s="67"/>
      <c r="J30" s="67"/>
      <c r="K30"/>
      <c r="L30"/>
      <c r="P30" s="29"/>
    </row>
    <row r="31" spans="1:28" s="51" customFormat="1">
      <c r="A31" s="636"/>
      <c r="B31" s="636"/>
      <c r="C31" s="456" t="s">
        <v>1054</v>
      </c>
      <c r="D31" s="636"/>
      <c r="E31" s="636"/>
      <c r="F31" s="636"/>
      <c r="G31" s="67"/>
      <c r="H31" s="67"/>
      <c r="I31" s="67"/>
      <c r="J31" s="67"/>
      <c r="K31"/>
      <c r="L31"/>
      <c r="P31" s="29"/>
    </row>
    <row r="32" spans="1:28" s="51" customFormat="1">
      <c r="A32" s="636"/>
      <c r="B32" s="636"/>
      <c r="C32" s="456" t="s">
        <v>1055</v>
      </c>
      <c r="D32" s="636"/>
      <c r="E32" s="636"/>
      <c r="F32" s="636"/>
      <c r="G32" s="67"/>
      <c r="H32" s="67"/>
      <c r="I32" s="67"/>
      <c r="J32" s="67"/>
      <c r="K32"/>
      <c r="L32"/>
      <c r="P32" s="467"/>
      <c r="Q32" s="484"/>
      <c r="R32" s="484"/>
      <c r="S32" s="484"/>
      <c r="T32" s="484"/>
      <c r="U32" s="484"/>
      <c r="V32" s="484"/>
      <c r="W32" s="484"/>
      <c r="X32" s="484"/>
      <c r="Y32" s="484"/>
      <c r="Z32" s="484"/>
      <c r="AA32" s="484"/>
      <c r="AB32" s="484"/>
    </row>
    <row r="33" spans="1:34" s="51" customFormat="1">
      <c r="A33" s="476"/>
      <c r="B33" s="476"/>
      <c r="C33" s="456" t="s">
        <v>1056</v>
      </c>
      <c r="D33" s="476"/>
      <c r="E33" s="476"/>
      <c r="F33" s="476"/>
      <c r="G33" s="67"/>
      <c r="H33" s="67"/>
      <c r="I33" s="67"/>
      <c r="J33" s="67"/>
      <c r="K33"/>
      <c r="L33"/>
    </row>
    <row r="34" spans="1:34" ht="15.6">
      <c r="A34" s="477"/>
      <c r="B34" s="478"/>
      <c r="C34" s="466" t="s">
        <v>1057</v>
      </c>
      <c r="D34" s="478"/>
      <c r="E34" s="478"/>
      <c r="F34" s="479"/>
      <c r="G34" s="60"/>
      <c r="H34" s="60"/>
      <c r="I34" s="60"/>
      <c r="J34" s="74"/>
      <c r="K34" s="74"/>
      <c r="N34" s="73"/>
      <c r="O34" s="73"/>
      <c r="P34" s="161" t="s">
        <v>1066</v>
      </c>
      <c r="Q34" s="73"/>
      <c r="R34" s="73"/>
      <c r="S34" s="73"/>
    </row>
    <row r="35" spans="1:34">
      <c r="A35" s="968" t="s">
        <v>1067</v>
      </c>
      <c r="B35" s="968"/>
      <c r="C35" s="968"/>
      <c r="D35" s="968"/>
      <c r="E35" s="968"/>
      <c r="F35" s="968"/>
      <c r="G35" s="968"/>
      <c r="H35" s="968"/>
      <c r="I35" s="968"/>
      <c r="J35" s="968"/>
      <c r="K35" s="968"/>
      <c r="L35" s="102"/>
      <c r="N35" s="73"/>
      <c r="O35" s="73"/>
      <c r="P35" s="73"/>
      <c r="Q35" s="73"/>
      <c r="R35" s="73"/>
      <c r="S35" s="73"/>
      <c r="AF35" s="1091"/>
      <c r="AG35" s="1091"/>
      <c r="AH35" s="1091"/>
    </row>
    <row r="36" spans="1:34" ht="16.5">
      <c r="A36" s="600" t="s">
        <v>169</v>
      </c>
      <c r="B36" s="98" t="s">
        <v>185</v>
      </c>
      <c r="C36" s="1029" t="s">
        <v>1068</v>
      </c>
      <c r="D36" s="1029"/>
      <c r="E36" s="1029"/>
      <c r="F36" s="1029"/>
      <c r="G36" s="1029"/>
      <c r="H36" s="1029"/>
      <c r="I36" s="1029"/>
      <c r="J36" s="1029"/>
      <c r="K36" s="1029"/>
      <c r="L36" s="51"/>
      <c r="N36" s="73"/>
      <c r="O36" s="73"/>
      <c r="P36" s="73"/>
      <c r="Q36" s="73"/>
      <c r="R36" s="73"/>
      <c r="S36" s="73"/>
    </row>
    <row r="37" spans="1:34" ht="16.5">
      <c r="A37" s="600" t="s">
        <v>173</v>
      </c>
      <c r="B37" s="98" t="s">
        <v>185</v>
      </c>
      <c r="C37" s="1029" t="s">
        <v>1069</v>
      </c>
      <c r="D37" s="1029"/>
      <c r="E37" s="1029"/>
      <c r="F37" s="1029"/>
      <c r="G37" s="1029"/>
      <c r="H37" s="1029"/>
      <c r="I37" s="1029"/>
      <c r="J37" s="1029"/>
      <c r="K37" s="1029"/>
      <c r="L37" s="51"/>
      <c r="N37" s="73"/>
      <c r="O37" s="73"/>
      <c r="P37" s="73"/>
      <c r="Q37" s="73"/>
      <c r="R37" s="73"/>
      <c r="S37" s="73"/>
    </row>
    <row r="38" spans="1:34" ht="16.5">
      <c r="A38" s="600" t="s">
        <v>177</v>
      </c>
      <c r="B38" s="98" t="s">
        <v>185</v>
      </c>
      <c r="C38" s="1029" t="s">
        <v>1070</v>
      </c>
      <c r="D38" s="1029"/>
      <c r="E38" s="1029"/>
      <c r="F38" s="1029"/>
      <c r="G38" s="1029"/>
      <c r="H38" s="1029"/>
      <c r="I38" s="1029"/>
      <c r="J38" s="1029"/>
      <c r="K38" s="1029"/>
      <c r="L38" s="51"/>
      <c r="M38" s="1107"/>
      <c r="N38" s="1107"/>
      <c r="O38" s="1107"/>
      <c r="P38" s="1107"/>
      <c r="Q38" s="49"/>
      <c r="R38" s="49"/>
    </row>
    <row r="39" spans="1:34" ht="15" customHeight="1">
      <c r="A39" s="600" t="s">
        <v>182</v>
      </c>
      <c r="B39" s="600" t="s">
        <v>171</v>
      </c>
      <c r="C39" s="600" t="s">
        <v>175</v>
      </c>
      <c r="D39" s="548" t="s">
        <v>180</v>
      </c>
      <c r="E39" s="548" t="s">
        <v>184</v>
      </c>
      <c r="F39" s="823" t="s">
        <v>290</v>
      </c>
      <c r="G39" s="823"/>
      <c r="H39" s="548" t="s">
        <v>291</v>
      </c>
      <c r="I39" s="548" t="s">
        <v>292</v>
      </c>
      <c r="J39" s="548" t="s">
        <v>293</v>
      </c>
      <c r="K39" s="94">
        <v>13</v>
      </c>
    </row>
    <row r="40" spans="1:34" ht="21" customHeight="1">
      <c r="A40" s="983" t="s">
        <v>1071</v>
      </c>
      <c r="B40" s="1002" t="s">
        <v>1072</v>
      </c>
      <c r="C40" s="1002" t="s">
        <v>685</v>
      </c>
      <c r="D40" s="1038" t="s">
        <v>1073</v>
      </c>
      <c r="E40" s="1108" t="s">
        <v>1074</v>
      </c>
      <c r="F40" s="1108" t="s">
        <v>1075</v>
      </c>
      <c r="G40" s="1108"/>
      <c r="H40" s="1108" t="s">
        <v>1076</v>
      </c>
      <c r="I40" s="1108" t="s">
        <v>1077</v>
      </c>
      <c r="J40" s="1002" t="s">
        <v>1078</v>
      </c>
      <c r="K40" s="1108" t="s">
        <v>1079</v>
      </c>
    </row>
    <row r="41" spans="1:34" ht="20.25" customHeight="1">
      <c r="A41" s="983"/>
      <c r="B41" s="1002"/>
      <c r="C41" s="1002"/>
      <c r="D41" s="1038"/>
      <c r="E41" s="1108"/>
      <c r="F41" s="1108"/>
      <c r="G41" s="1108"/>
      <c r="H41" s="1108"/>
      <c r="I41" s="1108"/>
      <c r="J41" s="1002"/>
      <c r="K41" s="1108"/>
      <c r="M41" s="74"/>
      <c r="N41" s="74"/>
      <c r="O41" s="74"/>
    </row>
    <row r="42" spans="1:34" ht="20.25" customHeight="1">
      <c r="A42" s="842"/>
      <c r="B42" s="839" t="s">
        <v>286</v>
      </c>
      <c r="C42" s="839" t="s">
        <v>286</v>
      </c>
      <c r="D42" s="839" t="s">
        <v>286</v>
      </c>
      <c r="E42" s="839" t="s">
        <v>286</v>
      </c>
      <c r="F42" s="839" t="s">
        <v>286</v>
      </c>
      <c r="G42" s="839"/>
      <c r="H42" s="145" t="s">
        <v>1080</v>
      </c>
      <c r="I42" s="562" t="s">
        <v>1081</v>
      </c>
      <c r="J42" s="609"/>
      <c r="K42" s="999"/>
      <c r="M42" s="74"/>
      <c r="N42" s="74"/>
      <c r="O42" s="74"/>
    </row>
    <row r="43" spans="1:34" ht="20.25" customHeight="1">
      <c r="A43" s="842"/>
      <c r="B43" s="839"/>
      <c r="C43" s="839"/>
      <c r="D43" s="839"/>
      <c r="E43" s="839"/>
      <c r="F43" s="839"/>
      <c r="G43" s="839"/>
      <c r="H43" s="145" t="s">
        <v>1082</v>
      </c>
      <c r="I43" s="562" t="s">
        <v>1081</v>
      </c>
      <c r="J43" s="609"/>
      <c r="K43" s="999"/>
      <c r="M43" s="74"/>
      <c r="N43" s="74"/>
      <c r="O43" s="74"/>
    </row>
    <row r="44" spans="1:34" ht="20.25" customHeight="1">
      <c r="A44" s="842"/>
      <c r="B44" s="839"/>
      <c r="C44" s="839"/>
      <c r="D44" s="839"/>
      <c r="E44" s="839"/>
      <c r="F44" s="254" t="s">
        <v>185</v>
      </c>
      <c r="G44" s="480" t="s">
        <v>1083</v>
      </c>
      <c r="H44" s="145" t="s">
        <v>1084</v>
      </c>
      <c r="I44" s="562" t="s">
        <v>1081</v>
      </c>
      <c r="J44" s="78"/>
      <c r="K44" s="999"/>
      <c r="M44" s="74"/>
      <c r="N44" s="74"/>
      <c r="O44" s="74"/>
    </row>
    <row r="45" spans="1:34" ht="20.25" customHeight="1">
      <c r="A45" s="128"/>
      <c r="B45" s="628">
        <v>14</v>
      </c>
      <c r="C45" s="601">
        <v>15</v>
      </c>
      <c r="D45" s="601">
        <v>16</v>
      </c>
      <c r="E45" s="601">
        <v>17</v>
      </c>
      <c r="F45" s="601" t="s">
        <v>495</v>
      </c>
      <c r="G45" s="601" t="s">
        <v>496</v>
      </c>
      <c r="H45" s="256"/>
      <c r="I45" s="256"/>
      <c r="J45" s="154"/>
      <c r="K45" s="155"/>
      <c r="M45" s="74"/>
      <c r="N45" s="74"/>
      <c r="O45" s="74"/>
      <c r="AB45" t="s">
        <v>1085</v>
      </c>
      <c r="AC45">
        <f>AC46+(AC47*AC48)</f>
        <v>0.9900500000000001</v>
      </c>
    </row>
    <row r="46" spans="1:34" ht="22.5" customHeight="1">
      <c r="A46" s="128"/>
      <c r="B46" s="1092" t="s">
        <v>1086</v>
      </c>
      <c r="C46" s="1092"/>
      <c r="D46" s="1092"/>
      <c r="E46" s="1092"/>
      <c r="F46" s="1092"/>
      <c r="G46" s="1092"/>
      <c r="H46" s="257"/>
      <c r="I46" s="257"/>
      <c r="J46" s="113"/>
      <c r="K46" s="156"/>
      <c r="M46" s="74"/>
      <c r="N46" s="74"/>
      <c r="O46" s="74"/>
      <c r="AB46" t="s">
        <v>1087</v>
      </c>
      <c r="AC46">
        <v>0.437</v>
      </c>
    </row>
    <row r="47" spans="1:34" ht="24">
      <c r="A47" s="128"/>
      <c r="B47" s="594" t="s">
        <v>1088</v>
      </c>
      <c r="C47" s="594" t="s">
        <v>1089</v>
      </c>
      <c r="D47" s="594" t="s">
        <v>1090</v>
      </c>
      <c r="E47" s="340" t="s">
        <v>1076</v>
      </c>
      <c r="F47" s="341" t="s">
        <v>1091</v>
      </c>
      <c r="G47" s="594" t="s">
        <v>1092</v>
      </c>
      <c r="H47" s="257"/>
      <c r="I47" s="257"/>
      <c r="J47" s="113"/>
      <c r="K47" s="156"/>
      <c r="M47" s="74"/>
      <c r="N47" s="74"/>
      <c r="O47" s="74"/>
      <c r="AB47" t="s">
        <v>1093</v>
      </c>
      <c r="AC47">
        <v>1.2290000000000001</v>
      </c>
    </row>
    <row r="48" spans="1:34">
      <c r="A48" s="128"/>
      <c r="B48" s="1099" t="s">
        <v>286</v>
      </c>
      <c r="C48" s="1093" t="s">
        <v>286</v>
      </c>
      <c r="D48" s="1093" t="s">
        <v>286</v>
      </c>
      <c r="E48" s="97" t="s">
        <v>338</v>
      </c>
      <c r="F48" s="147"/>
      <c r="G48" s="342" t="s">
        <v>1094</v>
      </c>
      <c r="H48" s="257"/>
      <c r="I48" s="257"/>
      <c r="J48" s="113"/>
      <c r="K48" s="156"/>
      <c r="M48" s="74"/>
      <c r="N48" s="74"/>
      <c r="O48" s="74"/>
      <c r="AB48" t="s">
        <v>1095</v>
      </c>
      <c r="AC48">
        <v>0.45</v>
      </c>
    </row>
    <row r="49" spans="1:29">
      <c r="A49" s="128"/>
      <c r="B49" s="1099"/>
      <c r="C49" s="1094"/>
      <c r="D49" s="1094"/>
      <c r="E49" s="97" t="s">
        <v>1096</v>
      </c>
      <c r="F49" s="147"/>
      <c r="G49" s="342" t="s">
        <v>1097</v>
      </c>
      <c r="H49" s="257"/>
      <c r="I49" s="257"/>
      <c r="J49" s="113"/>
      <c r="K49" s="156"/>
      <c r="M49" s="74"/>
      <c r="N49" s="74"/>
      <c r="O49" s="74"/>
    </row>
    <row r="50" spans="1:29" ht="20.25" customHeight="1">
      <c r="A50" s="128"/>
      <c r="B50" s="1099"/>
      <c r="C50" s="1095"/>
      <c r="D50" s="1095"/>
      <c r="E50" s="97" t="s">
        <v>1098</v>
      </c>
      <c r="F50" s="147"/>
      <c r="G50" s="342" t="s">
        <v>1099</v>
      </c>
      <c r="H50" s="259"/>
      <c r="I50" s="259"/>
      <c r="J50" s="141"/>
      <c r="K50" s="142"/>
      <c r="M50" s="74"/>
      <c r="N50" s="74"/>
      <c r="O50" s="74"/>
    </row>
    <row r="51" spans="1:29" ht="20.25" customHeight="1">
      <c r="A51" s="128"/>
      <c r="B51" s="255">
        <v>20</v>
      </c>
      <c r="C51" s="629" t="s">
        <v>498</v>
      </c>
      <c r="D51" s="629" t="s">
        <v>499</v>
      </c>
      <c r="E51" s="629" t="s">
        <v>1100</v>
      </c>
      <c r="F51" s="629" t="s">
        <v>1101</v>
      </c>
      <c r="G51" s="1102" t="s">
        <v>1102</v>
      </c>
      <c r="H51" s="1102"/>
      <c r="I51" s="260"/>
      <c r="J51" s="151"/>
      <c r="K51" s="152"/>
      <c r="M51" s="74"/>
      <c r="N51" s="74"/>
      <c r="O51" s="74"/>
    </row>
    <row r="52" spans="1:29" ht="22.5" customHeight="1">
      <c r="A52" s="128"/>
      <c r="B52" s="1092" t="s">
        <v>1103</v>
      </c>
      <c r="C52" s="1092"/>
      <c r="D52" s="1092"/>
      <c r="E52" s="1092"/>
      <c r="F52" s="1092"/>
      <c r="G52" s="1092"/>
      <c r="H52" s="1092"/>
      <c r="I52" s="261"/>
      <c r="J52" s="67"/>
      <c r="K52" s="153"/>
      <c r="M52" s="74"/>
      <c r="N52" s="74"/>
      <c r="O52" s="74"/>
    </row>
    <row r="53" spans="1:29" ht="30.75" customHeight="1">
      <c r="A53" s="128"/>
      <c r="B53" s="608" t="s">
        <v>1104</v>
      </c>
      <c r="C53" s="594" t="s">
        <v>1088</v>
      </c>
      <c r="D53" s="608" t="s">
        <v>1089</v>
      </c>
      <c r="E53" s="608" t="s">
        <v>1090</v>
      </c>
      <c r="F53" s="608" t="s">
        <v>1105</v>
      </c>
      <c r="G53" s="1087" t="s">
        <v>1106</v>
      </c>
      <c r="H53" s="1088"/>
      <c r="I53" s="261"/>
      <c r="J53" s="67"/>
      <c r="K53" s="153"/>
      <c r="M53" s="74"/>
      <c r="N53" s="74"/>
      <c r="O53" s="74"/>
    </row>
    <row r="54" spans="1:29" ht="24">
      <c r="A54" s="128"/>
      <c r="B54" s="1100" t="s">
        <v>286</v>
      </c>
      <c r="C54" s="1100" t="s">
        <v>286</v>
      </c>
      <c r="D54" s="1096" t="s">
        <v>286</v>
      </c>
      <c r="E54" s="1096" t="s">
        <v>286</v>
      </c>
      <c r="F54" s="1096" t="s">
        <v>286</v>
      </c>
      <c r="G54" s="145" t="s">
        <v>338</v>
      </c>
      <c r="H54" s="627" t="s">
        <v>1107</v>
      </c>
      <c r="I54" s="261"/>
      <c r="J54" s="67"/>
      <c r="K54" s="153"/>
      <c r="M54" s="74"/>
      <c r="N54" s="74"/>
      <c r="O54" s="74"/>
    </row>
    <row r="55" spans="1:29" ht="24">
      <c r="A55" s="128"/>
      <c r="B55" s="1100"/>
      <c r="C55" s="1100"/>
      <c r="D55" s="1097"/>
      <c r="E55" s="1097"/>
      <c r="F55" s="1097"/>
      <c r="G55" s="145" t="s">
        <v>1096</v>
      </c>
      <c r="H55" s="627" t="s">
        <v>1107</v>
      </c>
      <c r="I55" s="261"/>
      <c r="J55" s="67"/>
      <c r="K55" s="153"/>
      <c r="M55" s="74"/>
      <c r="N55" s="74"/>
      <c r="O55" s="74"/>
    </row>
    <row r="56" spans="1:29" ht="20.25" customHeight="1">
      <c r="A56" s="128"/>
      <c r="B56" s="1100"/>
      <c r="C56" s="1100"/>
      <c r="D56" s="1098"/>
      <c r="E56" s="1098"/>
      <c r="F56" s="1098"/>
      <c r="G56" s="145" t="s">
        <v>1098</v>
      </c>
      <c r="H56" s="627" t="s">
        <v>1108</v>
      </c>
      <c r="I56" s="262"/>
      <c r="J56" s="143"/>
      <c r="K56" s="144"/>
      <c r="M56" s="74"/>
      <c r="N56" s="74"/>
      <c r="O56" s="74"/>
    </row>
    <row r="57" spans="1:29" ht="20.25" customHeight="1">
      <c r="B57" s="94">
        <v>26</v>
      </c>
      <c r="C57" s="548" t="s">
        <v>1109</v>
      </c>
      <c r="D57" s="548" t="s">
        <v>1110</v>
      </c>
      <c r="E57" s="548" t="s">
        <v>1111</v>
      </c>
      <c r="F57" s="548" t="s">
        <v>1112</v>
      </c>
      <c r="G57" s="548" t="s">
        <v>1113</v>
      </c>
      <c r="H57" s="548" t="s">
        <v>1114</v>
      </c>
      <c r="I57" s="151"/>
      <c r="J57" s="151"/>
      <c r="K57" s="152"/>
      <c r="M57" s="74"/>
      <c r="N57" s="74"/>
      <c r="O57" s="74"/>
    </row>
    <row r="58" spans="1:29" ht="43.5" customHeight="1">
      <c r="B58" s="1092" t="s">
        <v>1115</v>
      </c>
      <c r="C58" s="1092"/>
      <c r="D58" s="1092"/>
      <c r="E58" s="1092"/>
      <c r="F58" s="1092"/>
      <c r="G58" s="1092"/>
      <c r="H58" s="1092"/>
      <c r="I58" s="67"/>
      <c r="J58" s="67"/>
      <c r="K58" s="153"/>
      <c r="M58" s="74"/>
      <c r="N58" s="74"/>
      <c r="O58" s="74"/>
      <c r="AB58" t="s">
        <v>1116</v>
      </c>
      <c r="AC58">
        <f>0.08+(0.86*AC59)</f>
        <v>0.35520000000000002</v>
      </c>
    </row>
    <row r="59" spans="1:29" ht="40.5" customHeight="1">
      <c r="B59" s="608" t="s">
        <v>1117</v>
      </c>
      <c r="C59" s="594" t="s">
        <v>1118</v>
      </c>
      <c r="D59" s="608" t="s">
        <v>1119</v>
      </c>
      <c r="E59" s="608" t="s">
        <v>1120</v>
      </c>
      <c r="F59" s="608" t="s">
        <v>1121</v>
      </c>
      <c r="G59" s="608" t="s">
        <v>1122</v>
      </c>
      <c r="H59" s="608" t="s">
        <v>1123</v>
      </c>
      <c r="I59" s="67"/>
      <c r="J59" s="67"/>
      <c r="K59" s="153"/>
      <c r="M59" s="74"/>
      <c r="N59" s="74"/>
      <c r="O59" s="74"/>
      <c r="AB59" t="s">
        <v>1124</v>
      </c>
      <c r="AC59">
        <v>0.32</v>
      </c>
    </row>
    <row r="60" spans="1:29" ht="25.5" customHeight="1">
      <c r="A60" s="128"/>
      <c r="B60" s="263"/>
      <c r="C60" s="544" t="s">
        <v>286</v>
      </c>
      <c r="D60" s="264"/>
      <c r="E60" s="264"/>
      <c r="F60" s="264"/>
      <c r="G60" s="273" t="s">
        <v>1255</v>
      </c>
      <c r="H60" s="627" t="s">
        <v>1126</v>
      </c>
      <c r="I60" s="67"/>
      <c r="J60" s="67"/>
      <c r="K60" s="153"/>
    </row>
    <row r="61" spans="1:29" ht="29.25" customHeight="1">
      <c r="A61" s="1103" t="s">
        <v>1127</v>
      </c>
      <c r="B61" s="1103"/>
      <c r="C61" s="1103"/>
      <c r="D61" s="1103"/>
      <c r="E61" s="1103"/>
      <c r="F61" s="1103"/>
      <c r="G61" s="1103"/>
      <c r="H61" s="1104"/>
      <c r="I61" s="99" t="s">
        <v>287</v>
      </c>
      <c r="J61" s="40" t="s">
        <v>288</v>
      </c>
      <c r="K61" s="39" t="s">
        <v>289</v>
      </c>
      <c r="M61" s="100"/>
      <c r="N61" s="79"/>
      <c r="O61" s="79"/>
    </row>
    <row r="62" spans="1:29" ht="29.25" customHeight="1">
      <c r="A62" s="1118" t="s">
        <v>1256</v>
      </c>
      <c r="B62" s="1118"/>
      <c r="C62" s="1118"/>
      <c r="D62" s="1118"/>
      <c r="E62" s="1118"/>
      <c r="F62" s="1118"/>
      <c r="G62" s="1118"/>
      <c r="H62" s="1118"/>
      <c r="I62" s="1113"/>
      <c r="J62" s="1113"/>
      <c r="K62" s="1113"/>
      <c r="L62">
        <v>0.22</v>
      </c>
      <c r="M62" s="337" t="s">
        <v>1096</v>
      </c>
      <c r="N62" s="79"/>
      <c r="O62" s="79"/>
    </row>
    <row r="63" spans="1:29" ht="29.25" customHeight="1">
      <c r="A63" s="1101" t="s">
        <v>1129</v>
      </c>
      <c r="B63" s="1101"/>
      <c r="C63" s="1101"/>
      <c r="D63" s="1101"/>
      <c r="E63" s="1101"/>
      <c r="F63" s="1101"/>
      <c r="G63" s="1101"/>
      <c r="H63" s="1101"/>
      <c r="I63" s="2"/>
      <c r="J63" s="2"/>
      <c r="M63" s="128"/>
      <c r="N63" s="79"/>
      <c r="O63" s="79"/>
    </row>
    <row r="64" spans="1:29" ht="29.25" customHeight="1">
      <c r="A64" s="1101" t="s">
        <v>1130</v>
      </c>
      <c r="B64" s="1101"/>
      <c r="C64" s="1101"/>
      <c r="D64" s="1101"/>
      <c r="E64" s="1101"/>
      <c r="F64" s="1101"/>
      <c r="G64" s="1101"/>
      <c r="H64" s="1101"/>
      <c r="I64" s="2"/>
      <c r="J64" s="2"/>
      <c r="M64" s="128"/>
      <c r="N64" s="79"/>
      <c r="O64" s="79"/>
    </row>
    <row r="65" spans="1:18" ht="29.25" customHeight="1">
      <c r="A65" s="633"/>
      <c r="B65" s="266" t="s">
        <v>1131</v>
      </c>
      <c r="C65" s="266" t="s">
        <v>1132</v>
      </c>
      <c r="D65" s="266" t="s">
        <v>1133</v>
      </c>
      <c r="E65" s="266" t="s">
        <v>1134</v>
      </c>
      <c r="F65" s="1116" t="s">
        <v>1135</v>
      </c>
      <c r="G65" s="1117"/>
      <c r="H65" s="633"/>
      <c r="I65" s="2"/>
      <c r="J65" s="2"/>
      <c r="M65" s="128"/>
      <c r="N65" s="79"/>
      <c r="O65" s="79"/>
    </row>
    <row r="66" spans="1:18">
      <c r="A66" s="633"/>
      <c r="B66" s="575" t="s">
        <v>1136</v>
      </c>
      <c r="C66" s="547" t="s">
        <v>1257</v>
      </c>
      <c r="D66" s="570" t="s">
        <v>1137</v>
      </c>
      <c r="E66" s="575" t="s">
        <v>1137</v>
      </c>
      <c r="F66" s="907" t="s">
        <v>1138</v>
      </c>
      <c r="G66" s="909"/>
      <c r="H66" s="633"/>
      <c r="I66" s="2"/>
      <c r="J66" s="2"/>
      <c r="L66">
        <v>2.5</v>
      </c>
      <c r="M66" s="358" t="s">
        <v>110</v>
      </c>
      <c r="N66" s="79"/>
      <c r="O66" s="79"/>
    </row>
    <row r="67" spans="1:18" ht="15" customHeight="1">
      <c r="A67" s="265"/>
      <c r="B67" s="575" t="s">
        <v>1139</v>
      </c>
      <c r="C67" s="547" t="s">
        <v>697</v>
      </c>
      <c r="D67" s="570" t="s">
        <v>1140</v>
      </c>
      <c r="E67" s="575" t="s">
        <v>1141</v>
      </c>
      <c r="F67" s="907" t="s">
        <v>1142</v>
      </c>
      <c r="G67" s="909"/>
      <c r="H67" s="44"/>
      <c r="I67" s="576"/>
      <c r="J67" s="635"/>
      <c r="L67">
        <v>6</v>
      </c>
      <c r="M67" t="s">
        <v>1143</v>
      </c>
    </row>
    <row r="68" spans="1:18">
      <c r="A68" s="128"/>
      <c r="B68" s="575" t="s">
        <v>1144</v>
      </c>
      <c r="C68" s="547" t="s">
        <v>1258</v>
      </c>
      <c r="D68" s="266" t="s">
        <v>1133</v>
      </c>
      <c r="E68" s="575" t="s">
        <v>1145</v>
      </c>
      <c r="F68" s="907" t="s">
        <v>1146</v>
      </c>
      <c r="G68" s="909"/>
      <c r="H68" s="267"/>
      <c r="I68" s="139"/>
      <c r="J68" s="139"/>
    </row>
    <row r="69" spans="1:18">
      <c r="A69" s="128"/>
      <c r="B69" s="575" t="s">
        <v>1147</v>
      </c>
      <c r="C69" s="547" t="s">
        <v>1150</v>
      </c>
      <c r="D69" s="575" t="s">
        <v>1137</v>
      </c>
      <c r="E69" s="266" t="s">
        <v>1134</v>
      </c>
      <c r="F69" s="336"/>
      <c r="G69" s="336"/>
      <c r="H69" s="267"/>
      <c r="I69" s="139"/>
      <c r="J69" s="139"/>
    </row>
    <row r="70" spans="1:18">
      <c r="A70" s="128"/>
      <c r="B70" s="575" t="s">
        <v>1149</v>
      </c>
      <c r="C70" s="547" t="s">
        <v>1155</v>
      </c>
      <c r="D70" s="266" t="s">
        <v>1133</v>
      </c>
      <c r="E70" s="575" t="s">
        <v>1137</v>
      </c>
      <c r="F70" s="1116" t="s">
        <v>1135</v>
      </c>
      <c r="G70" s="1117"/>
      <c r="H70" s="267"/>
      <c r="I70" s="139"/>
      <c r="J70" s="139"/>
    </row>
    <row r="71" spans="1:18">
      <c r="A71" s="128"/>
      <c r="B71" s="269" t="s">
        <v>1151</v>
      </c>
      <c r="C71" s="547" t="s">
        <v>1259</v>
      </c>
      <c r="D71" s="575" t="s">
        <v>1153</v>
      </c>
      <c r="E71" s="270"/>
      <c r="F71" s="1076" t="s">
        <v>1138</v>
      </c>
      <c r="G71" s="827"/>
      <c r="H71" s="267"/>
      <c r="I71" s="139"/>
    </row>
    <row r="72" spans="1:18">
      <c r="A72" s="128"/>
      <c r="B72" s="575" t="s">
        <v>1154</v>
      </c>
      <c r="C72" s="547" t="s">
        <v>1160</v>
      </c>
      <c r="D72" s="128"/>
      <c r="E72" s="266" t="s">
        <v>1134</v>
      </c>
      <c r="F72" s="1076" t="s">
        <v>1146</v>
      </c>
      <c r="G72" s="827"/>
      <c r="H72" s="267"/>
      <c r="I72" s="139"/>
    </row>
    <row r="73" spans="1:18" ht="24">
      <c r="A73" s="128"/>
      <c r="B73" s="549" t="s">
        <v>1156</v>
      </c>
      <c r="C73" s="547" t="s">
        <v>1260</v>
      </c>
      <c r="D73" s="266" t="s">
        <v>1133</v>
      </c>
      <c r="E73" s="547" t="s">
        <v>1158</v>
      </c>
      <c r="H73" s="267"/>
      <c r="I73" s="139"/>
    </row>
    <row r="74" spans="1:18" ht="24">
      <c r="A74" s="128"/>
      <c r="B74" s="549" t="s">
        <v>1159</v>
      </c>
      <c r="C74" s="547" t="s">
        <v>1165</v>
      </c>
      <c r="D74" s="584" t="s">
        <v>1158</v>
      </c>
      <c r="E74" s="547" t="s">
        <v>1161</v>
      </c>
      <c r="F74" s="268"/>
      <c r="G74" s="267"/>
      <c r="H74" s="267"/>
      <c r="I74" s="139"/>
    </row>
    <row r="75" spans="1:18" ht="24">
      <c r="A75" s="128"/>
      <c r="B75" s="549" t="s">
        <v>1162</v>
      </c>
      <c r="C75" s="547" t="s">
        <v>1261</v>
      </c>
      <c r="D75" s="584" t="s">
        <v>1140</v>
      </c>
      <c r="E75" s="549" t="s">
        <v>1145</v>
      </c>
      <c r="F75" s="268"/>
      <c r="G75" s="267"/>
      <c r="H75" s="267"/>
      <c r="I75" s="139"/>
    </row>
    <row r="76" spans="1:18">
      <c r="A76" s="128"/>
      <c r="B76" s="128"/>
      <c r="C76" s="547" t="s">
        <v>1262</v>
      </c>
      <c r="D76" s="266" t="s">
        <v>1133</v>
      </c>
      <c r="E76" s="266" t="s">
        <v>1134</v>
      </c>
      <c r="F76" s="268"/>
      <c r="G76" s="267"/>
      <c r="H76" s="267"/>
      <c r="I76" s="139"/>
      <c r="Q76" t="s">
        <v>1098</v>
      </c>
      <c r="R76">
        <f>R77*R78</f>
        <v>0.78</v>
      </c>
    </row>
    <row r="77" spans="1:18">
      <c r="A77" s="128"/>
      <c r="B77" s="128"/>
      <c r="C77" s="547" t="s">
        <v>1263</v>
      </c>
      <c r="D77" s="547" t="s">
        <v>1158</v>
      </c>
      <c r="E77" s="547" t="s">
        <v>1166</v>
      </c>
      <c r="F77" s="268"/>
      <c r="G77" s="267"/>
      <c r="H77" s="267"/>
      <c r="I77" s="139"/>
      <c r="Q77" t="s">
        <v>1167</v>
      </c>
      <c r="R77">
        <v>1</v>
      </c>
    </row>
    <row r="78" spans="1:18" ht="15" customHeight="1">
      <c r="A78" s="128"/>
      <c r="B78" s="128"/>
      <c r="C78" s="547" t="s">
        <v>1264</v>
      </c>
      <c r="D78" s="547" t="s">
        <v>1166</v>
      </c>
      <c r="E78" s="128"/>
      <c r="F78" s="268"/>
      <c r="G78" s="267"/>
      <c r="H78" s="267"/>
      <c r="I78" s="139"/>
      <c r="Q78" t="s">
        <v>1169</v>
      </c>
      <c r="R78">
        <v>0.78</v>
      </c>
    </row>
    <row r="79" spans="1:18" ht="15" customHeight="1">
      <c r="A79" s="128"/>
      <c r="D79" s="266" t="s">
        <v>1133</v>
      </c>
      <c r="F79" s="73"/>
      <c r="G79" s="139"/>
      <c r="H79" s="267"/>
      <c r="I79" s="139"/>
    </row>
    <row r="80" spans="1:18" ht="15" customHeight="1">
      <c r="A80" s="128"/>
      <c r="C80" s="481"/>
      <c r="D80" s="547" t="s">
        <v>1166</v>
      </c>
      <c r="F80" s="73"/>
      <c r="G80" s="139"/>
      <c r="H80" s="267"/>
      <c r="I80" s="139"/>
    </row>
    <row r="81" spans="1:16" ht="15" customHeight="1">
      <c r="A81" s="128"/>
      <c r="C81" s="481"/>
      <c r="F81" s="73"/>
      <c r="G81" s="139"/>
      <c r="H81" s="267"/>
      <c r="I81" s="139"/>
      <c r="P81" s="161" t="s">
        <v>1174</v>
      </c>
    </row>
    <row r="82" spans="1:16" ht="15" customHeight="1">
      <c r="A82" s="128"/>
      <c r="C82" s="481"/>
      <c r="F82" s="73"/>
      <c r="G82" s="139"/>
      <c r="H82" s="267"/>
      <c r="I82" s="139"/>
    </row>
    <row r="83" spans="1:16" ht="15" customHeight="1">
      <c r="C83" s="481"/>
      <c r="H83" s="139"/>
      <c r="I83" s="139"/>
    </row>
    <row r="84" spans="1:16" ht="15" customHeight="1">
      <c r="C84" s="481"/>
      <c r="H84" s="139"/>
      <c r="I84" s="139"/>
    </row>
    <row r="85" spans="1:16" ht="15" customHeight="1">
      <c r="C85" s="482"/>
      <c r="F85" s="73"/>
      <c r="G85" s="139"/>
      <c r="H85" s="139"/>
      <c r="I85" s="139"/>
    </row>
    <row r="86" spans="1:16" ht="15" customHeight="1">
      <c r="C86" s="482"/>
      <c r="F86" s="73"/>
      <c r="G86" s="139"/>
      <c r="H86" s="139"/>
      <c r="I86" s="139"/>
    </row>
    <row r="87" spans="1:16" ht="15" customHeight="1">
      <c r="C87" s="482"/>
      <c r="F87" s="73"/>
      <c r="G87" s="139"/>
      <c r="H87" s="139"/>
      <c r="I87" s="139"/>
    </row>
    <row r="88" spans="1:16">
      <c r="F88" s="73"/>
      <c r="G88" s="73"/>
      <c r="H88" s="73"/>
      <c r="I88" s="73"/>
    </row>
    <row r="89" spans="1:16">
      <c r="B89" s="266" t="s">
        <v>1175</v>
      </c>
      <c r="C89" s="266" t="s">
        <v>1176</v>
      </c>
      <c r="D89" s="266" t="s">
        <v>1177</v>
      </c>
      <c r="I89" s="73"/>
      <c r="J89" s="73"/>
    </row>
    <row r="90" spans="1:16">
      <c r="B90" s="343" t="s">
        <v>434</v>
      </c>
      <c r="C90" s="344" t="s">
        <v>1178</v>
      </c>
      <c r="D90" s="344" t="s">
        <v>1179</v>
      </c>
      <c r="I90" s="73"/>
      <c r="J90" s="73"/>
    </row>
    <row r="91" spans="1:16">
      <c r="B91" s="343" t="s">
        <v>435</v>
      </c>
      <c r="C91" s="344" t="s">
        <v>531</v>
      </c>
      <c r="D91" s="344" t="s">
        <v>1180</v>
      </c>
      <c r="I91" s="73"/>
      <c r="J91" s="73"/>
    </row>
    <row r="92" spans="1:16">
      <c r="B92" s="128"/>
      <c r="C92" s="344" t="s">
        <v>1181</v>
      </c>
      <c r="D92" s="128"/>
      <c r="I92" s="73"/>
      <c r="J92" s="73"/>
    </row>
    <row r="93" spans="1:16">
      <c r="E93" s="146" t="s">
        <v>1182</v>
      </c>
      <c r="I93" s="73"/>
      <c r="J93" s="73"/>
    </row>
    <row r="94" spans="1:16">
      <c r="B94" s="146" t="s">
        <v>1183</v>
      </c>
      <c r="C94" s="146" t="s">
        <v>1184</v>
      </c>
      <c r="D94" s="146" t="s">
        <v>1185</v>
      </c>
      <c r="E94" s="554" t="s">
        <v>1179</v>
      </c>
      <c r="F94" s="146" t="s">
        <v>1186</v>
      </c>
      <c r="I94" s="73"/>
      <c r="J94" s="73"/>
    </row>
    <row r="95" spans="1:16">
      <c r="B95" s="148" t="s">
        <v>434</v>
      </c>
      <c r="C95" s="148" t="s">
        <v>434</v>
      </c>
      <c r="D95" s="554" t="s">
        <v>1178</v>
      </c>
      <c r="E95" s="554" t="s">
        <v>1180</v>
      </c>
      <c r="F95" s="611" t="s">
        <v>434</v>
      </c>
      <c r="I95" s="73"/>
      <c r="J95" s="73"/>
    </row>
    <row r="96" spans="1:16">
      <c r="B96" s="148" t="s">
        <v>435</v>
      </c>
      <c r="C96" s="148" t="s">
        <v>435</v>
      </c>
      <c r="D96" s="554" t="s">
        <v>531</v>
      </c>
      <c r="E96" s="554" t="s">
        <v>1187</v>
      </c>
      <c r="F96" s="611" t="s">
        <v>435</v>
      </c>
      <c r="I96" s="73"/>
      <c r="J96" s="73"/>
    </row>
    <row r="97" spans="1:28">
      <c r="D97" s="554" t="s">
        <v>1181</v>
      </c>
      <c r="E97" s="554" t="s">
        <v>1188</v>
      </c>
      <c r="I97" s="73"/>
      <c r="J97" s="73"/>
    </row>
    <row r="98" spans="1:28">
      <c r="E98" s="554" t="s">
        <v>1189</v>
      </c>
      <c r="F98" s="146" t="s">
        <v>1186</v>
      </c>
      <c r="I98" s="73"/>
      <c r="J98" s="73"/>
    </row>
    <row r="99" spans="1:28">
      <c r="C99" s="266" t="s">
        <v>1190</v>
      </c>
      <c r="E99" s="146" t="s">
        <v>1182</v>
      </c>
      <c r="F99" s="611" t="s">
        <v>435</v>
      </c>
      <c r="I99" s="73"/>
      <c r="J99" s="73"/>
    </row>
    <row r="100" spans="1:28" ht="14.25" customHeight="1">
      <c r="C100" s="450" t="s">
        <v>1191</v>
      </c>
      <c r="E100" s="554" t="s">
        <v>1180</v>
      </c>
      <c r="I100" s="73"/>
      <c r="J100" s="73"/>
    </row>
    <row r="101" spans="1:28">
      <c r="C101" s="450" t="s">
        <v>1192</v>
      </c>
      <c r="E101" s="554" t="s">
        <v>1187</v>
      </c>
      <c r="G101" s="461"/>
      <c r="I101" s="73"/>
      <c r="J101" s="73"/>
    </row>
    <row r="102" spans="1:28">
      <c r="E102" s="554" t="s">
        <v>1188</v>
      </c>
      <c r="F102" s="45"/>
      <c r="G102" s="462"/>
      <c r="H102" s="45"/>
      <c r="I102" s="73"/>
      <c r="J102" s="73"/>
    </row>
    <row r="103" spans="1:28">
      <c r="E103" s="146" t="s">
        <v>1182</v>
      </c>
      <c r="F103" s="43"/>
      <c r="G103" s="462"/>
      <c r="H103" s="43"/>
      <c r="I103" s="73"/>
      <c r="J103" s="73"/>
    </row>
    <row r="104" spans="1:28">
      <c r="E104" s="554" t="s">
        <v>1179</v>
      </c>
      <c r="F104" s="45"/>
      <c r="G104" s="462"/>
      <c r="H104" s="45"/>
      <c r="I104" s="73"/>
      <c r="J104" s="73"/>
    </row>
    <row r="105" spans="1:28">
      <c r="D105" s="149"/>
      <c r="E105" s="554" t="s">
        <v>1180</v>
      </c>
      <c r="F105" s="150"/>
      <c r="G105" s="616"/>
      <c r="H105" s="73"/>
      <c r="I105" s="73"/>
      <c r="J105" s="73"/>
    </row>
    <row r="106" spans="1:28" ht="29.1">
      <c r="D106" s="80"/>
      <c r="E106" s="345" t="s">
        <v>1187</v>
      </c>
      <c r="F106" s="43"/>
      <c r="G106" s="81"/>
      <c r="H106" s="73"/>
      <c r="I106" s="73"/>
      <c r="J106" s="73"/>
    </row>
    <row r="107" spans="1:28" s="53" customFormat="1" ht="18" customHeight="1">
      <c r="A107"/>
      <c r="B107"/>
      <c r="C107"/>
      <c r="D107" s="79"/>
      <c r="E107" s="112" t="s">
        <v>1188</v>
      </c>
      <c r="F107" s="79"/>
      <c r="G107" s="79"/>
      <c r="H107" s="73"/>
      <c r="I107" s="73"/>
      <c r="J107" s="73"/>
      <c r="K107"/>
      <c r="L107"/>
      <c r="M107"/>
    </row>
    <row r="108" spans="1:28" s="51" customFormat="1">
      <c r="A108" s="374" t="s">
        <v>1193</v>
      </c>
      <c r="B108" s="374"/>
      <c r="C108" s="374"/>
      <c r="D108" s="374"/>
      <c r="E108" s="374"/>
      <c r="F108" s="160"/>
      <c r="G108" s="160"/>
      <c r="H108" s="160"/>
      <c r="I108" s="160"/>
      <c r="J108" s="160"/>
      <c r="K108"/>
      <c r="L108"/>
      <c r="M108"/>
    </row>
    <row r="109" spans="1:28">
      <c r="A109" s="629" t="s">
        <v>1265</v>
      </c>
      <c r="B109" s="629" t="s">
        <v>1266</v>
      </c>
      <c r="C109" s="548" t="s">
        <v>173</v>
      </c>
      <c r="D109" s="548" t="s">
        <v>177</v>
      </c>
      <c r="E109" s="548" t="s">
        <v>182</v>
      </c>
      <c r="F109" s="67"/>
      <c r="G109" s="67"/>
      <c r="H109" s="67"/>
      <c r="I109" s="67"/>
      <c r="J109" s="67"/>
    </row>
    <row r="110" spans="1:28" ht="39.75" customHeight="1">
      <c r="A110" s="587" t="s">
        <v>1267</v>
      </c>
      <c r="B110" s="608" t="s">
        <v>1197</v>
      </c>
      <c r="C110" s="608" t="s">
        <v>1198</v>
      </c>
      <c r="D110" s="587" t="s">
        <v>1199</v>
      </c>
      <c r="E110" s="587" t="s">
        <v>1200</v>
      </c>
      <c r="F110" s="108"/>
      <c r="G110" s="108"/>
      <c r="H110" s="108"/>
      <c r="I110" s="271"/>
      <c r="J110" s="574"/>
      <c r="Q110" s="501" t="s">
        <v>1268</v>
      </c>
      <c r="R110" s="502"/>
      <c r="S110" s="502"/>
      <c r="T110" s="502"/>
      <c r="U110" s="502"/>
      <c r="V110" s="502"/>
      <c r="W110" s="502"/>
      <c r="X110" s="502"/>
      <c r="Y110" s="502"/>
      <c r="Z110" s="502"/>
      <c r="AA110" s="502"/>
      <c r="AB110" s="502"/>
    </row>
    <row r="111" spans="1:28" ht="27.75" customHeight="1">
      <c r="A111" s="272" t="s">
        <v>286</v>
      </c>
      <c r="B111" s="272" t="s">
        <v>286</v>
      </c>
      <c r="C111" s="624">
        <v>50000</v>
      </c>
      <c r="D111" s="273">
        <f>C111*0.1</f>
        <v>5000</v>
      </c>
      <c r="E111" s="624"/>
      <c r="F111" s="274"/>
      <c r="G111" s="274"/>
      <c r="H111" s="274"/>
      <c r="I111" s="274"/>
      <c r="J111" s="577"/>
    </row>
    <row r="112" spans="1:28" ht="14.45" customHeight="1">
      <c r="A112" s="1114" t="s">
        <v>1201</v>
      </c>
      <c r="B112" s="1115"/>
      <c r="C112" s="1115"/>
      <c r="D112" s="632"/>
      <c r="E112" s="623"/>
      <c r="F112" s="623"/>
      <c r="G112" s="128"/>
      <c r="H112" s="128"/>
      <c r="I112" s="128"/>
    </row>
    <row r="113" spans="1:19">
      <c r="A113" s="128"/>
      <c r="B113" s="128"/>
      <c r="C113" s="128"/>
      <c r="D113" s="275"/>
      <c r="E113" s="276"/>
      <c r="F113" s="277"/>
      <c r="G113" s="278"/>
      <c r="H113" s="268"/>
      <c r="I113" s="268"/>
      <c r="J113" s="73"/>
    </row>
    <row r="114" spans="1:19">
      <c r="A114" s="266" t="s">
        <v>1269</v>
      </c>
      <c r="B114" s="266" t="s">
        <v>1270</v>
      </c>
      <c r="C114" s="128"/>
      <c r="D114" s="279"/>
      <c r="F114" s="277"/>
      <c r="G114" s="280"/>
      <c r="H114" s="128"/>
      <c r="I114" s="128"/>
    </row>
    <row r="115" spans="1:19">
      <c r="A115" s="450" t="s">
        <v>434</v>
      </c>
      <c r="B115" s="281" t="s">
        <v>434</v>
      </c>
      <c r="C115" s="128"/>
      <c r="D115" s="279"/>
      <c r="F115" s="277"/>
      <c r="G115" s="282"/>
      <c r="H115" s="128"/>
      <c r="I115" s="128"/>
    </row>
    <row r="116" spans="1:19">
      <c r="A116" s="450" t="s">
        <v>435</v>
      </c>
      <c r="B116" s="281" t="s">
        <v>435</v>
      </c>
      <c r="C116" s="274"/>
      <c r="D116" s="279"/>
      <c r="F116" s="277"/>
      <c r="G116" s="282"/>
      <c r="H116" s="128"/>
      <c r="I116" s="128"/>
    </row>
    <row r="117" spans="1:19" ht="15.6">
      <c r="A117" s="128"/>
      <c r="B117" s="128"/>
      <c r="C117" s="128"/>
      <c r="D117" s="128"/>
      <c r="E117" s="128"/>
      <c r="F117" s="128"/>
      <c r="G117" s="128"/>
      <c r="H117" s="128"/>
      <c r="I117" s="128"/>
      <c r="N117" s="73"/>
      <c r="O117" s="73"/>
      <c r="P117" s="161"/>
      <c r="Q117" s="73"/>
      <c r="R117" s="73"/>
      <c r="S117" s="73"/>
    </row>
    <row r="118" spans="1:19">
      <c r="A118" s="631" t="s">
        <v>1203</v>
      </c>
      <c r="B118" s="631"/>
      <c r="C118" s="631"/>
      <c r="D118" s="631"/>
      <c r="E118" s="631"/>
      <c r="F118" s="631"/>
      <c r="G118" s="631"/>
      <c r="H118" s="631"/>
      <c r="I118" s="631"/>
      <c r="J118" s="102"/>
      <c r="K118" s="102"/>
      <c r="L118" s="102"/>
      <c r="N118" s="73"/>
      <c r="O118" s="73"/>
      <c r="P118" s="73"/>
      <c r="Q118" s="73"/>
      <c r="R118" s="73"/>
      <c r="S118" s="73"/>
    </row>
    <row r="119" spans="1:19" ht="16.5">
      <c r="A119" s="586" t="s">
        <v>169</v>
      </c>
      <c r="B119" s="254" t="s">
        <v>185</v>
      </c>
      <c r="C119" s="602" t="s">
        <v>1204</v>
      </c>
      <c r="D119" s="602"/>
      <c r="E119" s="602"/>
      <c r="F119" s="602"/>
      <c r="G119" s="602"/>
      <c r="H119" s="602"/>
      <c r="I119" s="602"/>
      <c r="J119" s="51"/>
      <c r="K119" s="51"/>
      <c r="L119" s="51"/>
      <c r="N119" s="73"/>
      <c r="O119" s="73"/>
      <c r="P119" s="73"/>
      <c r="Q119" s="73"/>
      <c r="R119" s="73"/>
      <c r="S119" s="73"/>
    </row>
    <row r="120" spans="1:19" ht="16.5">
      <c r="A120" s="586" t="s">
        <v>173</v>
      </c>
      <c r="B120" s="254" t="s">
        <v>185</v>
      </c>
      <c r="C120" s="602" t="s">
        <v>1205</v>
      </c>
      <c r="D120" s="602"/>
      <c r="E120" s="602"/>
      <c r="F120" s="602"/>
      <c r="G120" s="602"/>
      <c r="H120" s="602"/>
      <c r="I120" s="602"/>
      <c r="J120" s="51"/>
      <c r="K120" s="51"/>
      <c r="L120" s="51"/>
      <c r="N120" s="73"/>
      <c r="O120" s="73"/>
      <c r="P120" s="73"/>
      <c r="Q120" s="73"/>
      <c r="R120" s="73"/>
      <c r="S120" s="73"/>
    </row>
    <row r="121" spans="1:19" ht="16.5">
      <c r="A121" s="600" t="s">
        <v>177</v>
      </c>
      <c r="B121" s="98" t="s">
        <v>185</v>
      </c>
      <c r="C121" s="615" t="s">
        <v>1206</v>
      </c>
      <c r="D121" s="615"/>
      <c r="E121" s="615"/>
      <c r="F121" s="615"/>
      <c r="G121" s="615"/>
      <c r="H121" s="615"/>
      <c r="I121" s="615"/>
      <c r="J121" s="51"/>
      <c r="K121" s="51"/>
      <c r="L121" s="51"/>
      <c r="M121" s="1107"/>
      <c r="N121" s="1107"/>
      <c r="O121" s="1107"/>
      <c r="P121" s="1107"/>
      <c r="Q121" s="49"/>
      <c r="R121" s="49"/>
    </row>
    <row r="122" spans="1:19" ht="15" customHeight="1">
      <c r="A122" s="600" t="s">
        <v>182</v>
      </c>
      <c r="B122" s="600" t="s">
        <v>171</v>
      </c>
      <c r="C122" s="600" t="s">
        <v>175</v>
      </c>
      <c r="D122" s="601" t="s">
        <v>180</v>
      </c>
      <c r="E122" s="601" t="s">
        <v>184</v>
      </c>
      <c r="F122" s="370" t="s">
        <v>290</v>
      </c>
      <c r="G122" s="1122" t="s">
        <v>291</v>
      </c>
      <c r="H122" s="1123"/>
      <c r="I122" s="601" t="s">
        <v>1271</v>
      </c>
      <c r="J122" s="601" t="s">
        <v>293</v>
      </c>
      <c r="K122" s="67"/>
      <c r="L122" s="635"/>
    </row>
    <row r="123" spans="1:19" ht="21" customHeight="1">
      <c r="A123" s="983" t="s">
        <v>1071</v>
      </c>
      <c r="B123" s="1002" t="s">
        <v>1072</v>
      </c>
      <c r="C123" s="1002" t="s">
        <v>685</v>
      </c>
      <c r="D123" s="1108" t="s">
        <v>1075</v>
      </c>
      <c r="E123" s="1108" t="s">
        <v>1208</v>
      </c>
      <c r="F123" s="984" t="s">
        <v>1209</v>
      </c>
      <c r="G123" s="1108" t="s">
        <v>1076</v>
      </c>
      <c r="H123" s="1121" t="s">
        <v>1077</v>
      </c>
      <c r="I123" s="1002" t="s">
        <v>1078</v>
      </c>
      <c r="J123" s="1108" t="s">
        <v>1079</v>
      </c>
    </row>
    <row r="124" spans="1:19" ht="20.25" customHeight="1">
      <c r="A124" s="983"/>
      <c r="B124" s="1002"/>
      <c r="C124" s="1002"/>
      <c r="D124" s="1108"/>
      <c r="E124" s="1108"/>
      <c r="F124" s="1019"/>
      <c r="G124" s="1108"/>
      <c r="H124" s="1121"/>
      <c r="I124" s="1002"/>
      <c r="J124" s="1108"/>
      <c r="N124" s="74"/>
    </row>
    <row r="125" spans="1:19" ht="20.25" customHeight="1">
      <c r="A125" s="842"/>
      <c r="B125" s="839" t="s">
        <v>286</v>
      </c>
      <c r="C125" s="839" t="s">
        <v>286</v>
      </c>
      <c r="D125" s="839" t="s">
        <v>286</v>
      </c>
      <c r="E125" s="839" t="s">
        <v>286</v>
      </c>
      <c r="F125" s="879" t="s">
        <v>1210</v>
      </c>
      <c r="G125" s="145" t="s">
        <v>1080</v>
      </c>
      <c r="H125" s="561" t="s">
        <v>1081</v>
      </c>
      <c r="I125" s="283"/>
      <c r="J125" s="999"/>
      <c r="L125" s="74"/>
      <c r="M125" s="74"/>
      <c r="N125" s="74"/>
    </row>
    <row r="126" spans="1:19" ht="20.25" customHeight="1">
      <c r="A126" s="842"/>
      <c r="B126" s="839"/>
      <c r="C126" s="839"/>
      <c r="D126" s="839"/>
      <c r="E126" s="839"/>
      <c r="F126" s="1139"/>
      <c r="G126" s="145" t="s">
        <v>1211</v>
      </c>
      <c r="H126" s="561" t="s">
        <v>1081</v>
      </c>
      <c r="I126" s="283"/>
      <c r="J126" s="999"/>
      <c r="L126" s="74"/>
      <c r="M126" s="74"/>
      <c r="N126" s="74"/>
    </row>
    <row r="127" spans="1:19" ht="20.25" customHeight="1">
      <c r="A127" s="842"/>
      <c r="B127" s="839"/>
      <c r="C127" s="839"/>
      <c r="D127" s="839"/>
      <c r="E127" s="879"/>
      <c r="F127" s="880"/>
      <c r="G127" s="145" t="s">
        <v>1084</v>
      </c>
      <c r="H127" s="561" t="s">
        <v>1081</v>
      </c>
      <c r="I127" s="284"/>
      <c r="J127" s="999"/>
      <c r="L127" s="74"/>
      <c r="M127" s="74"/>
      <c r="N127" s="74"/>
      <c r="O127" s="74"/>
      <c r="P127" s="74"/>
    </row>
    <row r="128" spans="1:19" ht="20.25" customHeight="1">
      <c r="A128" s="128"/>
      <c r="B128" s="255">
        <v>14</v>
      </c>
      <c r="C128" s="601" t="s">
        <v>296</v>
      </c>
      <c r="D128" s="601" t="s">
        <v>297</v>
      </c>
      <c r="E128" s="601" t="s">
        <v>490</v>
      </c>
      <c r="F128" s="261"/>
      <c r="G128" s="261"/>
      <c r="H128" s="256"/>
      <c r="I128" s="155"/>
      <c r="J128" s="113"/>
      <c r="K128" s="113"/>
      <c r="M128" s="74"/>
      <c r="N128" s="74"/>
      <c r="O128" s="74"/>
    </row>
    <row r="129" spans="1:20" ht="22.5" customHeight="1">
      <c r="A129" s="128"/>
      <c r="B129" s="628" t="s">
        <v>1086</v>
      </c>
      <c r="C129" s="628"/>
      <c r="D129" s="628"/>
      <c r="E129" s="628"/>
      <c r="F129" s="251"/>
      <c r="G129" s="251"/>
      <c r="H129" s="257"/>
      <c r="I129" s="156"/>
      <c r="J129" s="113"/>
      <c r="K129" s="113"/>
      <c r="M129" s="74"/>
      <c r="N129" s="74"/>
      <c r="O129" s="74"/>
    </row>
    <row r="130" spans="1:20" ht="33" customHeight="1">
      <c r="A130" s="128"/>
      <c r="B130" s="608" t="s">
        <v>1089</v>
      </c>
      <c r="C130" s="608" t="s">
        <v>1076</v>
      </c>
      <c r="D130" s="608" t="s">
        <v>1091</v>
      </c>
      <c r="E130" s="608" t="s">
        <v>1092</v>
      </c>
      <c r="F130" s="128"/>
      <c r="G130" s="128"/>
      <c r="H130" s="257"/>
      <c r="I130" s="156"/>
      <c r="J130" s="113"/>
      <c r="K130" s="113"/>
      <c r="M130" s="74"/>
      <c r="N130" s="74"/>
      <c r="O130" s="74"/>
      <c r="Q130" s="452"/>
      <c r="R130" s="452"/>
      <c r="S130" s="452"/>
      <c r="T130" s="452"/>
    </row>
    <row r="131" spans="1:20">
      <c r="A131" s="128"/>
      <c r="B131" s="1100" t="s">
        <v>286</v>
      </c>
      <c r="C131" s="145" t="s">
        <v>338</v>
      </c>
      <c r="D131" s="147"/>
      <c r="E131" s="258" t="s">
        <v>1094</v>
      </c>
      <c r="F131" s="128"/>
      <c r="G131" s="128"/>
      <c r="H131" s="257"/>
      <c r="I131" s="156"/>
      <c r="J131" s="113"/>
      <c r="K131" s="113"/>
      <c r="M131" s="74"/>
      <c r="N131" s="74"/>
      <c r="O131" s="74"/>
    </row>
    <row r="132" spans="1:20">
      <c r="A132" s="128"/>
      <c r="B132" s="1100"/>
      <c r="C132" s="145" t="s">
        <v>1096</v>
      </c>
      <c r="D132" s="147"/>
      <c r="E132" s="258" t="s">
        <v>1097</v>
      </c>
      <c r="F132" s="128"/>
      <c r="G132" s="128"/>
      <c r="H132" s="257"/>
      <c r="I132" s="156"/>
      <c r="J132" s="113"/>
      <c r="K132" s="113"/>
      <c r="M132" s="74"/>
      <c r="N132" s="74"/>
      <c r="O132" s="74"/>
    </row>
    <row r="133" spans="1:20" ht="20.25" customHeight="1">
      <c r="A133" s="128"/>
      <c r="B133" s="1100"/>
      <c r="C133" s="145" t="s">
        <v>1098</v>
      </c>
      <c r="D133" s="147"/>
      <c r="E133" s="258" t="s">
        <v>1099</v>
      </c>
      <c r="F133" s="128"/>
      <c r="G133" s="128"/>
      <c r="H133" s="257"/>
      <c r="I133" s="156"/>
      <c r="J133" s="113"/>
      <c r="K133" s="113"/>
      <c r="M133" s="74"/>
      <c r="N133" s="74"/>
      <c r="O133" s="74"/>
    </row>
    <row r="134" spans="1:20" ht="20.25" customHeight="1">
      <c r="A134" s="128"/>
      <c r="B134" s="255">
        <v>18</v>
      </c>
      <c r="C134" s="601" t="s">
        <v>496</v>
      </c>
      <c r="D134" s="601" t="s">
        <v>497</v>
      </c>
      <c r="E134" s="601" t="s">
        <v>498</v>
      </c>
      <c r="F134" s="1024" t="s">
        <v>499</v>
      </c>
      <c r="G134" s="1024"/>
      <c r="H134" s="257"/>
      <c r="I134" s="153"/>
      <c r="J134" s="67"/>
      <c r="K134" s="67"/>
      <c r="M134" s="74"/>
      <c r="N134" s="74"/>
      <c r="O134" s="74"/>
    </row>
    <row r="135" spans="1:20" ht="22.5" customHeight="1">
      <c r="A135" s="128"/>
      <c r="B135" s="628" t="s">
        <v>1103</v>
      </c>
      <c r="C135" s="628"/>
      <c r="D135" s="628"/>
      <c r="E135" s="628"/>
      <c r="F135" s="628"/>
      <c r="G135" s="628"/>
      <c r="H135" s="251"/>
      <c r="I135" s="153"/>
      <c r="J135" s="67"/>
      <c r="K135" s="67"/>
      <c r="M135" s="74"/>
      <c r="N135" s="74"/>
      <c r="O135" s="74"/>
    </row>
    <row r="136" spans="1:20" ht="23.25" customHeight="1">
      <c r="A136" s="128"/>
      <c r="B136" s="608" t="s">
        <v>1212</v>
      </c>
      <c r="C136" s="608" t="s">
        <v>1089</v>
      </c>
      <c r="D136" s="608" t="s">
        <v>1090</v>
      </c>
      <c r="E136" s="608" t="s">
        <v>1105</v>
      </c>
      <c r="F136" s="983" t="s">
        <v>1106</v>
      </c>
      <c r="G136" s="983"/>
      <c r="H136" s="128"/>
      <c r="I136" s="153"/>
      <c r="J136" s="67"/>
      <c r="K136" s="67"/>
      <c r="M136" s="74"/>
      <c r="N136" s="74"/>
      <c r="O136" s="74"/>
    </row>
    <row r="137" spans="1:20" ht="26.25" customHeight="1">
      <c r="A137" s="128"/>
      <c r="B137" s="1100" t="s">
        <v>286</v>
      </c>
      <c r="C137" s="1100" t="s">
        <v>286</v>
      </c>
      <c r="D137" s="1096" t="s">
        <v>286</v>
      </c>
      <c r="E137" s="1100" t="s">
        <v>286</v>
      </c>
      <c r="F137" s="145" t="s">
        <v>338</v>
      </c>
      <c r="G137" s="627" t="s">
        <v>1107</v>
      </c>
      <c r="H137" s="128"/>
      <c r="I137" s="153"/>
      <c r="J137" s="67"/>
      <c r="K137" s="67"/>
      <c r="M137" s="74"/>
      <c r="N137" s="74"/>
      <c r="O137" s="74"/>
    </row>
    <row r="138" spans="1:20" ht="26.25" customHeight="1">
      <c r="A138" s="128"/>
      <c r="B138" s="1100"/>
      <c r="C138" s="1100"/>
      <c r="D138" s="1097"/>
      <c r="E138" s="1100"/>
      <c r="F138" s="145" t="s">
        <v>1096</v>
      </c>
      <c r="G138" s="627" t="s">
        <v>1107</v>
      </c>
      <c r="H138" s="128"/>
      <c r="I138" s="153"/>
      <c r="J138" s="67"/>
      <c r="K138" s="67"/>
      <c r="M138" s="74"/>
      <c r="N138" s="74"/>
      <c r="O138" s="74"/>
    </row>
    <row r="139" spans="1:20" ht="25.5" customHeight="1">
      <c r="A139" s="128"/>
      <c r="B139" s="1100"/>
      <c r="C139" s="1100"/>
      <c r="D139" s="1098"/>
      <c r="E139" s="1100"/>
      <c r="F139" s="145" t="s">
        <v>1098</v>
      </c>
      <c r="G139" s="627" t="s">
        <v>1108</v>
      </c>
      <c r="H139" s="128"/>
      <c r="I139" s="144"/>
      <c r="J139" s="67"/>
      <c r="K139" s="67"/>
    </row>
    <row r="140" spans="1:20" ht="29.25" customHeight="1">
      <c r="A140" s="1119" t="s">
        <v>1213</v>
      </c>
      <c r="B140" s="1119"/>
      <c r="C140" s="1119"/>
      <c r="D140" s="1119"/>
      <c r="E140" s="1119"/>
      <c r="F140" s="1120"/>
      <c r="G140" s="99" t="s">
        <v>287</v>
      </c>
      <c r="H140" s="40" t="s">
        <v>288</v>
      </c>
      <c r="I140" s="39" t="s">
        <v>289</v>
      </c>
      <c r="M140" s="100"/>
      <c r="N140" s="79"/>
      <c r="O140" s="79"/>
    </row>
    <row r="141" spans="1:20" ht="37.5" customHeight="1">
      <c r="A141" s="1118" t="s">
        <v>1272</v>
      </c>
      <c r="B141" s="1118"/>
      <c r="C141" s="1118"/>
      <c r="D141" s="1118"/>
      <c r="E141" s="1118"/>
      <c r="F141" s="1118"/>
      <c r="G141" s="162"/>
      <c r="H141" s="162"/>
      <c r="I141" s="2"/>
      <c r="J141" s="2"/>
      <c r="M141" s="74"/>
      <c r="N141" s="74"/>
      <c r="O141" s="74"/>
    </row>
    <row r="142" spans="1:20" ht="20.25" customHeight="1">
      <c r="B142" s="635"/>
      <c r="C142" s="146" t="s">
        <v>1132</v>
      </c>
      <c r="D142" s="67"/>
      <c r="E142" s="67"/>
      <c r="F142" s="67"/>
      <c r="G142" s="67"/>
      <c r="H142" s="67"/>
      <c r="I142" s="67"/>
      <c r="J142" s="67"/>
      <c r="K142" s="67"/>
      <c r="M142" s="74"/>
      <c r="N142" s="74"/>
      <c r="O142" s="74"/>
    </row>
    <row r="143" spans="1:20" ht="20.25" customHeight="1">
      <c r="B143" s="635"/>
      <c r="C143" s="613" t="s">
        <v>1257</v>
      </c>
      <c r="D143" s="67"/>
      <c r="E143" s="67"/>
      <c r="F143" s="67"/>
      <c r="G143" s="67"/>
      <c r="H143" s="67"/>
      <c r="I143" s="67"/>
      <c r="J143" s="67"/>
      <c r="K143" s="67"/>
      <c r="M143" s="74"/>
      <c r="N143" s="74"/>
      <c r="O143" s="74"/>
    </row>
    <row r="144" spans="1:20" ht="20.25" customHeight="1">
      <c r="B144" s="635"/>
      <c r="C144" s="613" t="s">
        <v>1273</v>
      </c>
      <c r="D144" s="67"/>
      <c r="E144" s="67"/>
      <c r="F144" s="67"/>
      <c r="G144" s="67"/>
      <c r="H144" s="67"/>
      <c r="I144" s="67"/>
      <c r="J144" s="67"/>
      <c r="K144" s="67"/>
      <c r="M144" s="74"/>
      <c r="N144" s="74"/>
      <c r="O144" s="74"/>
    </row>
    <row r="145" spans="2:15" ht="20.25" customHeight="1">
      <c r="B145" s="635"/>
      <c r="C145" s="613" t="s">
        <v>1274</v>
      </c>
      <c r="D145" s="67"/>
      <c r="E145" s="67"/>
      <c r="F145" s="67"/>
      <c r="G145" s="67"/>
      <c r="H145" s="67"/>
      <c r="I145" s="67"/>
      <c r="J145" s="67"/>
      <c r="K145" s="67"/>
      <c r="M145" s="74"/>
      <c r="N145" s="74"/>
      <c r="O145" s="74"/>
    </row>
    <row r="146" spans="2:15" ht="20.25" customHeight="1">
      <c r="B146" s="146" t="s">
        <v>1131</v>
      </c>
      <c r="C146" s="146" t="s">
        <v>1132</v>
      </c>
      <c r="D146" s="459" t="s">
        <v>1133</v>
      </c>
      <c r="E146" s="460" t="s">
        <v>1217</v>
      </c>
      <c r="F146" s="266" t="s">
        <v>1135</v>
      </c>
      <c r="G146" s="67"/>
      <c r="H146" s="67"/>
      <c r="I146" s="67"/>
      <c r="J146" s="67"/>
      <c r="K146" s="67"/>
      <c r="M146" s="74"/>
      <c r="N146" s="74"/>
      <c r="O146" s="74"/>
    </row>
    <row r="147" spans="2:15" ht="20.25" customHeight="1">
      <c r="B147" s="613" t="s">
        <v>1218</v>
      </c>
      <c r="C147" s="622" t="s">
        <v>1257</v>
      </c>
      <c r="D147" s="575" t="s">
        <v>1138</v>
      </c>
      <c r="E147" s="570" t="s">
        <v>434</v>
      </c>
      <c r="F147" s="547" t="s">
        <v>1158</v>
      </c>
      <c r="G147" s="67"/>
      <c r="H147" s="67"/>
      <c r="I147" s="67"/>
      <c r="J147" s="67"/>
      <c r="K147" s="67"/>
      <c r="M147" s="74"/>
      <c r="N147" s="74"/>
      <c r="O147" s="74"/>
    </row>
    <row r="148" spans="2:15" ht="20.25" customHeight="1">
      <c r="B148" s="613" t="s">
        <v>1219</v>
      </c>
      <c r="C148" s="622" t="s">
        <v>697</v>
      </c>
      <c r="D148" s="575" t="s">
        <v>1142</v>
      </c>
      <c r="E148" s="570" t="s">
        <v>1220</v>
      </c>
      <c r="F148" s="547" t="s">
        <v>1166</v>
      </c>
      <c r="G148" s="67"/>
      <c r="H148" s="67"/>
      <c r="I148" s="67"/>
      <c r="J148" s="67"/>
      <c r="K148" s="67"/>
      <c r="M148" s="74"/>
      <c r="N148" s="74"/>
      <c r="O148" s="74"/>
    </row>
    <row r="149" spans="2:15">
      <c r="B149" s="613" t="s">
        <v>1221</v>
      </c>
      <c r="C149" s="547" t="s">
        <v>1275</v>
      </c>
      <c r="D149" s="575" t="s">
        <v>1146</v>
      </c>
      <c r="F149" s="266" t="s">
        <v>1135</v>
      </c>
      <c r="G149" s="67"/>
      <c r="H149" s="67"/>
      <c r="I149" s="67"/>
      <c r="J149" s="67"/>
      <c r="K149" s="67"/>
      <c r="M149" s="74"/>
      <c r="N149" s="74"/>
      <c r="O149" s="74"/>
    </row>
    <row r="150" spans="2:15">
      <c r="B150" s="613" t="s">
        <v>1149</v>
      </c>
      <c r="C150" s="547" t="s">
        <v>1276</v>
      </c>
      <c r="F150" s="547" t="s">
        <v>1166</v>
      </c>
      <c r="M150" s="74"/>
      <c r="N150" s="74"/>
      <c r="O150" s="74"/>
    </row>
    <row r="151" spans="2:15">
      <c r="B151" s="613" t="s">
        <v>1222</v>
      </c>
      <c r="C151" s="547" t="s">
        <v>1277</v>
      </c>
      <c r="M151" s="74"/>
      <c r="N151" s="74"/>
      <c r="O151" s="74"/>
    </row>
    <row r="152" spans="2:15">
      <c r="C152" s="547" t="s">
        <v>1278</v>
      </c>
      <c r="M152" s="74"/>
      <c r="N152" s="74"/>
      <c r="O152" s="74"/>
    </row>
    <row r="153" spans="2:15">
      <c r="B153" s="146" t="s">
        <v>1225</v>
      </c>
      <c r="C153" s="547" t="s">
        <v>1228</v>
      </c>
      <c r="M153" s="74"/>
      <c r="N153" s="74"/>
      <c r="O153" s="74"/>
    </row>
    <row r="154" spans="2:15">
      <c r="B154" s="554" t="s">
        <v>1178</v>
      </c>
      <c r="C154" s="547" t="s">
        <v>1261</v>
      </c>
      <c r="M154" s="74"/>
      <c r="N154" s="74"/>
      <c r="O154" s="74"/>
    </row>
    <row r="155" spans="2:15">
      <c r="B155" s="554" t="s">
        <v>531</v>
      </c>
      <c r="C155" s="547" t="s">
        <v>1279</v>
      </c>
      <c r="M155" s="74"/>
      <c r="N155" s="74"/>
      <c r="O155" s="74"/>
    </row>
    <row r="156" spans="2:15">
      <c r="B156" s="554" t="s">
        <v>1181</v>
      </c>
      <c r="C156" s="547" t="s">
        <v>1280</v>
      </c>
      <c r="M156" s="74"/>
      <c r="N156" s="74"/>
      <c r="O156" s="74"/>
    </row>
    <row r="157" spans="2:15">
      <c r="M157" s="74"/>
      <c r="N157" s="74"/>
      <c r="O157" s="74"/>
    </row>
    <row r="158" spans="2:15">
      <c r="M158" s="74"/>
      <c r="N158" s="74"/>
      <c r="O158" s="74"/>
    </row>
    <row r="159" spans="2:15">
      <c r="M159" s="74"/>
      <c r="N159" s="74"/>
      <c r="O159" s="74"/>
    </row>
    <row r="160" spans="2:15">
      <c r="C160" s="483"/>
      <c r="M160" s="74"/>
      <c r="N160" s="74"/>
      <c r="O160" s="74"/>
    </row>
    <row r="161" spans="1:15">
      <c r="C161" s="483"/>
      <c r="M161" s="74"/>
      <c r="N161" s="74"/>
      <c r="O161" s="74"/>
    </row>
    <row r="162" spans="1:15">
      <c r="C162" s="483"/>
      <c r="M162" s="74"/>
      <c r="N162" s="74"/>
      <c r="O162" s="74"/>
    </row>
    <row r="164" spans="1:15">
      <c r="B164" s="146" t="s">
        <v>1232</v>
      </c>
      <c r="C164" s="146" t="s">
        <v>1233</v>
      </c>
      <c r="D164" s="146" t="s">
        <v>1234</v>
      </c>
      <c r="E164" s="146" t="s">
        <v>1183</v>
      </c>
      <c r="M164" s="100"/>
      <c r="N164" s="79"/>
      <c r="O164" s="79"/>
    </row>
    <row r="165" spans="1:15">
      <c r="B165" s="554" t="s">
        <v>1235</v>
      </c>
      <c r="C165" s="554" t="s">
        <v>1178</v>
      </c>
      <c r="D165" s="554" t="s">
        <v>1179</v>
      </c>
      <c r="E165" s="611" t="s">
        <v>434</v>
      </c>
      <c r="M165" s="74"/>
      <c r="N165" s="74"/>
      <c r="O165" s="74"/>
    </row>
    <row r="166" spans="1:15">
      <c r="B166" s="554" t="s">
        <v>1236</v>
      </c>
      <c r="C166" s="554" t="s">
        <v>531</v>
      </c>
      <c r="D166" s="554" t="s">
        <v>1180</v>
      </c>
      <c r="E166" s="611" t="s">
        <v>435</v>
      </c>
      <c r="M166" s="74"/>
      <c r="N166" s="74"/>
      <c r="O166" s="74"/>
    </row>
    <row r="167" spans="1:15">
      <c r="C167" s="554" t="s">
        <v>1181</v>
      </c>
      <c r="M167" s="74"/>
      <c r="N167" s="74"/>
      <c r="O167" s="74"/>
    </row>
    <row r="168" spans="1:15">
      <c r="C168" s="635"/>
      <c r="D168" s="146" t="s">
        <v>1234</v>
      </c>
      <c r="M168" s="74"/>
      <c r="N168" s="74"/>
      <c r="O168" s="74"/>
    </row>
    <row r="169" spans="1:15" ht="20.25" customHeight="1">
      <c r="A169" s="128"/>
      <c r="C169" s="635"/>
      <c r="D169" s="554" t="s">
        <v>1180</v>
      </c>
      <c r="F169" s="261"/>
      <c r="G169" s="261"/>
      <c r="H169" s="261"/>
      <c r="I169" s="261"/>
      <c r="J169" s="67"/>
      <c r="K169" s="67"/>
    </row>
    <row r="171" spans="1:15">
      <c r="A171" s="605" t="s">
        <v>1237</v>
      </c>
      <c r="B171" s="606"/>
      <c r="C171" s="606"/>
      <c r="D171" s="606"/>
      <c r="E171" s="607"/>
    </row>
    <row r="172" spans="1:15">
      <c r="A172" s="600" t="s">
        <v>169</v>
      </c>
      <c r="B172" s="600" t="s">
        <v>173</v>
      </c>
      <c r="C172" s="600" t="s">
        <v>177</v>
      </c>
      <c r="D172" s="600" t="s">
        <v>182</v>
      </c>
      <c r="E172" s="548" t="s">
        <v>171</v>
      </c>
    </row>
    <row r="173" spans="1:15">
      <c r="A173" s="983" t="s">
        <v>1076</v>
      </c>
      <c r="B173" s="1002" t="s">
        <v>1238</v>
      </c>
      <c r="C173" s="597" t="s">
        <v>1239</v>
      </c>
      <c r="D173" s="597"/>
      <c r="E173" s="1061" t="s">
        <v>546</v>
      </c>
    </row>
    <row r="174" spans="1:15">
      <c r="A174" s="983"/>
      <c r="B174" s="1002"/>
      <c r="C174" s="597" t="s">
        <v>547</v>
      </c>
      <c r="D174" s="597" t="s">
        <v>548</v>
      </c>
      <c r="E174" s="1062"/>
    </row>
    <row r="175" spans="1:15" ht="29.1">
      <c r="A175" s="112" t="s">
        <v>1240</v>
      </c>
      <c r="B175" s="457" t="s">
        <v>1241</v>
      </c>
      <c r="C175" s="458" t="s">
        <v>1242</v>
      </c>
      <c r="D175" s="458" t="s">
        <v>1243</v>
      </c>
      <c r="E175" s="106" t="s">
        <v>558</v>
      </c>
    </row>
    <row r="176" spans="1:15" ht="29.1">
      <c r="A176" s="112" t="s">
        <v>1244</v>
      </c>
      <c r="B176" s="457" t="s">
        <v>1241</v>
      </c>
      <c r="C176" s="458" t="s">
        <v>1242</v>
      </c>
      <c r="D176" s="458" t="s">
        <v>1245</v>
      </c>
      <c r="E176" s="106" t="s">
        <v>558</v>
      </c>
    </row>
    <row r="177" spans="1:12" ht="29.1">
      <c r="A177" s="112" t="s">
        <v>1098</v>
      </c>
      <c r="B177" s="457" t="s">
        <v>1241</v>
      </c>
      <c r="C177" s="458" t="s">
        <v>1242</v>
      </c>
      <c r="D177" s="458" t="s">
        <v>1246</v>
      </c>
      <c r="E177" s="106" t="s">
        <v>558</v>
      </c>
    </row>
    <row r="178" spans="1:12">
      <c r="H178" s="102"/>
      <c r="I178" s="102"/>
      <c r="J178" s="102"/>
      <c r="K178" s="102"/>
      <c r="L178" s="102"/>
    </row>
    <row r="179" spans="1:12" ht="15" customHeight="1">
      <c r="H179" s="604"/>
      <c r="I179" s="989"/>
      <c r="J179" s="989"/>
      <c r="K179" s="635"/>
      <c r="L179" s="604"/>
    </row>
    <row r="180" spans="1:12" ht="27.75" customHeight="1">
      <c r="H180" s="574"/>
      <c r="I180" s="810"/>
      <c r="J180" s="810"/>
      <c r="K180" s="574"/>
    </row>
    <row r="181" spans="1:12" ht="51.75" customHeight="1">
      <c r="H181" s="574"/>
      <c r="I181" s="574"/>
      <c r="J181" s="574"/>
      <c r="K181" s="574"/>
    </row>
    <row r="182" spans="1:12" ht="51.75" customHeight="1">
      <c r="A182" s="605" t="s">
        <v>1247</v>
      </c>
      <c r="B182" s="606"/>
      <c r="C182" s="606"/>
      <c r="D182" s="606"/>
      <c r="E182" s="607"/>
      <c r="F182" s="102"/>
      <c r="G182" s="102"/>
      <c r="I182" s="105"/>
      <c r="J182" s="45"/>
    </row>
    <row r="183" spans="1:12" ht="51.75" customHeight="1">
      <c r="A183" s="600" t="s">
        <v>169</v>
      </c>
      <c r="B183" s="600" t="s">
        <v>173</v>
      </c>
      <c r="C183" s="600" t="s">
        <v>177</v>
      </c>
      <c r="D183" s="600" t="s">
        <v>182</v>
      </c>
      <c r="E183" s="548" t="s">
        <v>171</v>
      </c>
      <c r="F183" s="604"/>
      <c r="G183" s="604"/>
      <c r="I183" s="105"/>
      <c r="J183" s="45"/>
    </row>
    <row r="184" spans="1:12">
      <c r="A184" s="983" t="s">
        <v>1076</v>
      </c>
      <c r="B184" s="1002" t="s">
        <v>1248</v>
      </c>
      <c r="C184" s="597" t="s">
        <v>1249</v>
      </c>
      <c r="D184" s="597"/>
      <c r="E184" s="1061" t="s">
        <v>546</v>
      </c>
      <c r="F184" s="574"/>
      <c r="G184" s="574"/>
      <c r="I184" s="105"/>
      <c r="J184" s="45"/>
    </row>
    <row r="185" spans="1:12">
      <c r="A185" s="983"/>
      <c r="B185" s="1002"/>
      <c r="C185" s="597" t="s">
        <v>547</v>
      </c>
      <c r="D185" s="597" t="s">
        <v>548</v>
      </c>
      <c r="E185" s="1062"/>
      <c r="F185" s="574"/>
      <c r="G185" s="574"/>
    </row>
    <row r="186" spans="1:12" ht="29.1">
      <c r="A186" s="112" t="s">
        <v>1240</v>
      </c>
      <c r="B186" s="457" t="s">
        <v>551</v>
      </c>
      <c r="C186" s="458" t="s">
        <v>1250</v>
      </c>
      <c r="D186" s="458" t="s">
        <v>1251</v>
      </c>
      <c r="E186" s="106" t="s">
        <v>558</v>
      </c>
      <c r="F186" s="45"/>
    </row>
    <row r="187" spans="1:12" ht="29.1">
      <c r="A187" s="112" t="s">
        <v>1244</v>
      </c>
      <c r="B187" s="457" t="s">
        <v>551</v>
      </c>
      <c r="C187" s="458" t="s">
        <v>1250</v>
      </c>
      <c r="D187" s="458" t="s">
        <v>1252</v>
      </c>
      <c r="E187" s="106" t="s">
        <v>558</v>
      </c>
      <c r="F187" s="45"/>
    </row>
    <row r="188" spans="1:12" ht="29.1">
      <c r="A188" s="112" t="s">
        <v>1098</v>
      </c>
      <c r="B188" s="457" t="s">
        <v>551</v>
      </c>
      <c r="C188" s="458" t="s">
        <v>1250</v>
      </c>
      <c r="D188" s="458" t="s">
        <v>1253</v>
      </c>
      <c r="E188" s="106" t="s">
        <v>558</v>
      </c>
      <c r="F188" s="45"/>
    </row>
    <row r="192" spans="1:12">
      <c r="C192" s="43"/>
    </row>
    <row r="193" spans="3:3">
      <c r="C193" s="43"/>
    </row>
    <row r="194" spans="3:3">
      <c r="C194" s="43"/>
    </row>
    <row r="195" spans="3:3">
      <c r="C195" s="43"/>
    </row>
  </sheetData>
  <mergeCells count="130">
    <mergeCell ref="K5:L5"/>
    <mergeCell ref="A6:J6"/>
    <mergeCell ref="A8:H8"/>
    <mergeCell ref="A9:B9"/>
    <mergeCell ref="E9:F9"/>
    <mergeCell ref="G9:H9"/>
    <mergeCell ref="A10:B10"/>
    <mergeCell ref="E10:F10"/>
    <mergeCell ref="G10:H10"/>
    <mergeCell ref="A3:J3"/>
    <mergeCell ref="A4:J4"/>
    <mergeCell ref="B5:D5"/>
    <mergeCell ref="G5:H5"/>
    <mergeCell ref="B13:C13"/>
    <mergeCell ref="F13:G13"/>
    <mergeCell ref="B14:C14"/>
    <mergeCell ref="F14:G14"/>
    <mergeCell ref="A15:F15"/>
    <mergeCell ref="A16:B16"/>
    <mergeCell ref="A11:B11"/>
    <mergeCell ref="E11:F11"/>
    <mergeCell ref="G11:H11"/>
    <mergeCell ref="A12:C12"/>
    <mergeCell ref="E12:F12"/>
    <mergeCell ref="G12:H12"/>
    <mergeCell ref="A24:B24"/>
    <mergeCell ref="E24:F24"/>
    <mergeCell ref="G24:H24"/>
    <mergeCell ref="A25:C25"/>
    <mergeCell ref="E25:F25"/>
    <mergeCell ref="G25:H25"/>
    <mergeCell ref="A17:B17"/>
    <mergeCell ref="A21:H21"/>
    <mergeCell ref="A22:B22"/>
    <mergeCell ref="E22:F22"/>
    <mergeCell ref="G22:H22"/>
    <mergeCell ref="A23:B23"/>
    <mergeCell ref="E23:F23"/>
    <mergeCell ref="G23:H23"/>
    <mergeCell ref="A29:F29"/>
    <mergeCell ref="A35:K35"/>
    <mergeCell ref="AF35:AH35"/>
    <mergeCell ref="C36:K36"/>
    <mergeCell ref="C37:K37"/>
    <mergeCell ref="C38:K38"/>
    <mergeCell ref="M38:P38"/>
    <mergeCell ref="B26:C26"/>
    <mergeCell ref="F26:G26"/>
    <mergeCell ref="A27:F27"/>
    <mergeCell ref="A28:F28"/>
    <mergeCell ref="A42:A44"/>
    <mergeCell ref="B42:B44"/>
    <mergeCell ref="C42:C44"/>
    <mergeCell ref="D42:D44"/>
    <mergeCell ref="E42:E44"/>
    <mergeCell ref="F42:G43"/>
    <mergeCell ref="F39:G39"/>
    <mergeCell ref="A40:A41"/>
    <mergeCell ref="B40:B41"/>
    <mergeCell ref="C40:C41"/>
    <mergeCell ref="D40:D41"/>
    <mergeCell ref="E40:E41"/>
    <mergeCell ref="F40:G41"/>
    <mergeCell ref="K42:K44"/>
    <mergeCell ref="B46:G46"/>
    <mergeCell ref="B48:B50"/>
    <mergeCell ref="C48:C50"/>
    <mergeCell ref="D48:D50"/>
    <mergeCell ref="G51:H51"/>
    <mergeCell ref="H40:H41"/>
    <mergeCell ref="I40:I41"/>
    <mergeCell ref="J40:J41"/>
    <mergeCell ref="K40:K41"/>
    <mergeCell ref="B58:H58"/>
    <mergeCell ref="A61:H61"/>
    <mergeCell ref="A62:H62"/>
    <mergeCell ref="I62:K62"/>
    <mergeCell ref="B52:H52"/>
    <mergeCell ref="G53:H53"/>
    <mergeCell ref="B54:B56"/>
    <mergeCell ref="C54:C56"/>
    <mergeCell ref="D54:D56"/>
    <mergeCell ref="E54:E56"/>
    <mergeCell ref="F54:F56"/>
    <mergeCell ref="F70:G70"/>
    <mergeCell ref="F71:G71"/>
    <mergeCell ref="F72:G72"/>
    <mergeCell ref="A63:H63"/>
    <mergeCell ref="A64:H64"/>
    <mergeCell ref="F65:G65"/>
    <mergeCell ref="F66:G66"/>
    <mergeCell ref="F67:G67"/>
    <mergeCell ref="F68:G68"/>
    <mergeCell ref="E137:E139"/>
    <mergeCell ref="M121:P121"/>
    <mergeCell ref="A123:A124"/>
    <mergeCell ref="B123:B124"/>
    <mergeCell ref="C123:C124"/>
    <mergeCell ref="F123:F124"/>
    <mergeCell ref="D123:D124"/>
    <mergeCell ref="E123:E124"/>
    <mergeCell ref="G123:G124"/>
    <mergeCell ref="H123:H124"/>
    <mergeCell ref="I123:I124"/>
    <mergeCell ref="J123:J124"/>
    <mergeCell ref="G122:H122"/>
    <mergeCell ref="A112:C112"/>
    <mergeCell ref="A141:F141"/>
    <mergeCell ref="A140:F140"/>
    <mergeCell ref="I180:J180"/>
    <mergeCell ref="A184:A185"/>
    <mergeCell ref="B184:B185"/>
    <mergeCell ref="E184:E185"/>
    <mergeCell ref="A173:A174"/>
    <mergeCell ref="B173:B174"/>
    <mergeCell ref="E173:E174"/>
    <mergeCell ref="J125:J127"/>
    <mergeCell ref="B131:B133"/>
    <mergeCell ref="F134:G134"/>
    <mergeCell ref="F136:G136"/>
    <mergeCell ref="I179:J179"/>
    <mergeCell ref="A125:A127"/>
    <mergeCell ref="B125:B127"/>
    <mergeCell ref="C125:C127"/>
    <mergeCell ref="F125:F127"/>
    <mergeCell ref="D125:D127"/>
    <mergeCell ref="E125:E127"/>
    <mergeCell ref="B137:B139"/>
    <mergeCell ref="C137:C139"/>
    <mergeCell ref="D137:D139"/>
  </mergeCells>
  <pageMargins left="0.7" right="0.7" top="0.75" bottom="0.75" header="0.3" footer="0.3"/>
  <pageSetup paperSize="3" orientation="landscape"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pageSetUpPr fitToPage="1"/>
  </sheetPr>
  <dimension ref="A1:P42"/>
  <sheetViews>
    <sheetView zoomScale="50" zoomScaleNormal="50" workbookViewId="0">
      <selection activeCell="B6" sqref="B6"/>
    </sheetView>
  </sheetViews>
  <sheetFormatPr defaultColWidth="9.42578125" defaultRowHeight="12.95"/>
  <cols>
    <col min="1" max="1" width="22.42578125" style="4" customWidth="1"/>
    <col min="2" max="2" width="36.42578125" style="4" customWidth="1"/>
    <col min="3" max="3" width="14.42578125" style="4" customWidth="1"/>
    <col min="4" max="4" width="14" style="4" customWidth="1"/>
    <col min="5" max="5" width="13.42578125" style="4" customWidth="1"/>
    <col min="6" max="8" width="14.42578125" style="3" customWidth="1"/>
    <col min="9" max="9" width="18.42578125" style="3" customWidth="1"/>
    <col min="10" max="10" width="6" style="3" customWidth="1"/>
    <col min="11" max="12" width="22.42578125" style="3" customWidth="1"/>
    <col min="13" max="13" width="18.42578125" style="3" customWidth="1"/>
    <col min="14" max="16384" width="9.42578125" style="3"/>
  </cols>
  <sheetData>
    <row r="1" spans="1:16" customFormat="1" ht="15" customHeight="1">
      <c r="A1" s="10"/>
      <c r="B1" t="s">
        <v>140</v>
      </c>
      <c r="C1" s="537"/>
      <c r="E1" t="s">
        <v>143</v>
      </c>
    </row>
    <row r="3" spans="1:16" ht="15" customHeight="1">
      <c r="A3" s="974" t="s">
        <v>1281</v>
      </c>
      <c r="B3" s="974"/>
      <c r="C3" s="974"/>
      <c r="D3" s="974"/>
      <c r="E3" s="974"/>
      <c r="F3" s="974"/>
      <c r="G3" s="974"/>
      <c r="H3" s="974"/>
      <c r="I3" s="974"/>
      <c r="J3" s="974"/>
      <c r="K3" s="974"/>
      <c r="L3" s="974"/>
      <c r="M3" s="17"/>
    </row>
    <row r="4" spans="1:16" ht="35.85" customHeight="1">
      <c r="A4" s="1149" t="s">
        <v>1282</v>
      </c>
      <c r="B4" s="1149"/>
      <c r="C4" s="1149"/>
      <c r="D4" s="1149"/>
      <c r="E4" s="1149"/>
      <c r="F4" s="1149"/>
      <c r="G4" s="1149"/>
      <c r="H4" s="1149"/>
      <c r="I4" s="1149"/>
      <c r="J4" s="1149"/>
      <c r="K4" s="1149"/>
      <c r="L4" s="1149"/>
      <c r="M4" s="197"/>
    </row>
    <row r="5" spans="1:16" ht="19.5" customHeight="1">
      <c r="A5" s="199" t="s">
        <v>169</v>
      </c>
      <c r="B5" s="200" t="s">
        <v>1283</v>
      </c>
      <c r="C5" s="1151"/>
      <c r="D5" s="1151"/>
      <c r="E5" s="1151"/>
      <c r="F5" s="1150"/>
      <c r="G5" s="1150"/>
      <c r="H5" s="1150"/>
      <c r="I5" s="1150"/>
      <c r="J5" s="1150"/>
      <c r="K5" s="1150"/>
      <c r="L5" s="1150"/>
      <c r="M5" s="198"/>
    </row>
    <row r="6" spans="1:16" ht="28.5" customHeight="1">
      <c r="A6" s="601" t="s">
        <v>173</v>
      </c>
      <c r="B6" s="601" t="s">
        <v>177</v>
      </c>
      <c r="C6" s="601" t="s">
        <v>182</v>
      </c>
      <c r="D6" s="601" t="s">
        <v>171</v>
      </c>
      <c r="E6" s="601" t="s">
        <v>175</v>
      </c>
      <c r="F6" s="601" t="s">
        <v>180</v>
      </c>
      <c r="G6" s="601" t="s">
        <v>184</v>
      </c>
      <c r="H6" s="601" t="s">
        <v>290</v>
      </c>
      <c r="I6" s="601" t="s">
        <v>291</v>
      </c>
      <c r="J6" s="1024" t="s">
        <v>1284</v>
      </c>
      <c r="K6" s="1024" t="s">
        <v>292</v>
      </c>
      <c r="L6" s="1024"/>
      <c r="M6" s="82"/>
    </row>
    <row r="7" spans="1:16" ht="28.5" customHeight="1">
      <c r="A7" s="1024" t="s">
        <v>1285</v>
      </c>
      <c r="B7" s="1024" t="s">
        <v>577</v>
      </c>
      <c r="C7" s="1024" t="s">
        <v>1286</v>
      </c>
      <c r="D7" s="1024" t="s">
        <v>1287</v>
      </c>
      <c r="E7" s="1024" t="s">
        <v>1288</v>
      </c>
      <c r="F7" s="1154" t="s">
        <v>1289</v>
      </c>
      <c r="G7" s="1154"/>
      <c r="H7" s="1024" t="s">
        <v>1290</v>
      </c>
      <c r="I7" s="601" t="s">
        <v>1291</v>
      </c>
      <c r="J7" s="1024"/>
      <c r="K7" s="1024" t="s">
        <v>1292</v>
      </c>
      <c r="L7" s="1024"/>
      <c r="M7" s="82"/>
    </row>
    <row r="8" spans="1:16" s="37" customFormat="1" ht="58.5" customHeight="1">
      <c r="A8" s="1024"/>
      <c r="B8" s="1024"/>
      <c r="C8" s="1024"/>
      <c r="D8" s="1024"/>
      <c r="E8" s="1024"/>
      <c r="F8" s="601" t="s">
        <v>1293</v>
      </c>
      <c r="G8" s="601" t="s">
        <v>1294</v>
      </c>
      <c r="H8" s="1024"/>
      <c r="I8" s="601" t="s">
        <v>1295</v>
      </c>
      <c r="J8" s="1024"/>
      <c r="K8" s="601" t="s">
        <v>1296</v>
      </c>
      <c r="L8" s="601" t="s">
        <v>1297</v>
      </c>
    </row>
    <row r="9" spans="1:16" s="61" customFormat="1" ht="14.45">
      <c r="A9" s="240"/>
      <c r="B9" s="241" t="s">
        <v>1298</v>
      </c>
      <c r="C9" s="242">
        <v>5000</v>
      </c>
      <c r="D9" s="243">
        <v>3456</v>
      </c>
      <c r="E9" s="243">
        <v>2345</v>
      </c>
      <c r="F9" s="244">
        <f>0.75*C9</f>
        <v>3750</v>
      </c>
      <c r="G9" s="245">
        <f>D9+E9</f>
        <v>5801</v>
      </c>
      <c r="H9" s="240">
        <v>85</v>
      </c>
      <c r="I9" s="245">
        <f>(H9/D9)</f>
        <v>2.4594907407407409E-2</v>
      </c>
      <c r="J9" s="1024"/>
      <c r="K9" s="246" t="s">
        <v>1299</v>
      </c>
      <c r="L9" s="247" t="s">
        <v>1300</v>
      </c>
      <c r="N9" s="157"/>
      <c r="P9" s="157"/>
    </row>
    <row r="10" spans="1:16" ht="21.75" customHeight="1">
      <c r="A10" s="1153" t="s">
        <v>1301</v>
      </c>
      <c r="B10" s="1153"/>
      <c r="C10" s="1153"/>
      <c r="D10" s="1153"/>
      <c r="E10" s="1153"/>
      <c r="F10" s="1153"/>
      <c r="G10" s="1153"/>
      <c r="H10" s="1153"/>
      <c r="I10" s="248" t="s">
        <v>287</v>
      </c>
      <c r="J10" s="1147" t="s">
        <v>1302</v>
      </c>
      <c r="K10" s="1148"/>
      <c r="L10" s="249" t="s">
        <v>289</v>
      </c>
    </row>
    <row r="11" spans="1:16" ht="27.75" customHeight="1">
      <c r="A11" s="1153" t="s">
        <v>1303</v>
      </c>
      <c r="B11" s="1153"/>
      <c r="C11" s="1153"/>
      <c r="D11" s="1153"/>
      <c r="E11" s="1153"/>
      <c r="F11" s="1153"/>
      <c r="G11" s="1153"/>
      <c r="H11" s="1153"/>
      <c r="I11" s="250"/>
      <c r="J11" s="250"/>
      <c r="K11" s="250"/>
      <c r="L11" s="250"/>
      <c r="M11" s="63"/>
    </row>
    <row r="12" spans="1:16" ht="21.75" customHeight="1">
      <c r="A12" s="1152" t="s">
        <v>1304</v>
      </c>
      <c r="B12" s="1152"/>
      <c r="C12" s="1152"/>
      <c r="D12" s="1152"/>
      <c r="E12" s="1152"/>
      <c r="F12" s="1152"/>
      <c r="G12" s="1152"/>
      <c r="H12" s="1152"/>
      <c r="I12" s="66"/>
      <c r="J12" s="66"/>
      <c r="K12" s="66"/>
      <c r="L12" s="66"/>
      <c r="M12" s="66"/>
    </row>
    <row r="13" spans="1:16" ht="22.35" customHeight="1">
      <c r="A13" s="1152" t="s">
        <v>1305</v>
      </c>
      <c r="B13" s="1152"/>
      <c r="C13" s="1152"/>
      <c r="D13" s="1152"/>
      <c r="E13" s="1152"/>
      <c r="F13" s="1152"/>
      <c r="G13" s="1152"/>
      <c r="H13" s="1152"/>
      <c r="I13" s="63"/>
      <c r="J13" s="63"/>
      <c r="K13" s="63"/>
      <c r="L13" s="63"/>
      <c r="M13" s="63"/>
    </row>
    <row r="14" spans="1:16" ht="18.75" customHeight="1">
      <c r="B14" s="471" t="s">
        <v>1306</v>
      </c>
    </row>
    <row r="15" spans="1:16" ht="27.75" customHeight="1">
      <c r="B15" s="470" t="s">
        <v>1307</v>
      </c>
      <c r="C15" s="172"/>
      <c r="D15" s="172"/>
      <c r="E15" s="172"/>
    </row>
    <row r="16" spans="1:16" s="62" customFormat="1" ht="24.75" customHeight="1">
      <c r="B16" s="472" t="s">
        <v>1308</v>
      </c>
      <c r="C16" s="173"/>
      <c r="D16" s="173"/>
      <c r="E16" s="173"/>
      <c r="F16" s="173"/>
      <c r="G16" s="173"/>
      <c r="H16" s="173"/>
      <c r="I16" s="173"/>
      <c r="J16" s="173"/>
      <c r="K16" s="173"/>
      <c r="L16" s="173"/>
      <c r="M16" s="173"/>
    </row>
    <row r="17" spans="2:13" s="62" customFormat="1" ht="16.5" customHeight="1">
      <c r="B17" s="182" t="s">
        <v>1309</v>
      </c>
      <c r="C17" s="164"/>
      <c r="D17" s="174"/>
      <c r="E17" s="165"/>
      <c r="F17" s="175"/>
      <c r="G17" s="165"/>
      <c r="H17" s="174"/>
      <c r="I17" s="176"/>
      <c r="J17" s="177"/>
      <c r="K17" s="177"/>
      <c r="L17" s="177"/>
      <c r="M17" s="177"/>
    </row>
    <row r="18" spans="2:13" s="37" customFormat="1" ht="20.25" customHeight="1">
      <c r="B18" s="182" t="s">
        <v>1310</v>
      </c>
      <c r="C18" s="158"/>
      <c r="D18" s="174"/>
      <c r="E18" s="166"/>
      <c r="F18" s="174"/>
      <c r="G18" s="166"/>
      <c r="H18" s="174"/>
      <c r="I18" s="176"/>
      <c r="J18" s="82"/>
      <c r="K18" s="82"/>
      <c r="L18" s="82"/>
      <c r="M18" s="82"/>
    </row>
    <row r="19" spans="2:13" s="62" customFormat="1" ht="24" customHeight="1">
      <c r="B19" s="182" t="s">
        <v>1311</v>
      </c>
      <c r="C19" s="159"/>
      <c r="D19" s="174"/>
      <c r="E19" s="167"/>
      <c r="F19" s="174"/>
      <c r="G19" s="167"/>
      <c r="H19" s="174"/>
      <c r="I19" s="176"/>
      <c r="J19" s="178"/>
      <c r="K19" s="178"/>
      <c r="L19" s="178"/>
      <c r="M19" s="178"/>
    </row>
    <row r="20" spans="2:13" s="62" customFormat="1" ht="21" customHeight="1">
      <c r="B20" s="182" t="s">
        <v>1312</v>
      </c>
      <c r="C20" s="179"/>
      <c r="D20" s="179"/>
      <c r="E20" s="179"/>
      <c r="F20" s="179"/>
      <c r="G20" s="179"/>
      <c r="H20" s="179"/>
      <c r="I20" s="179"/>
      <c r="J20" s="179"/>
      <c r="K20" s="179"/>
      <c r="L20" s="179"/>
      <c r="M20" s="179"/>
    </row>
    <row r="21" spans="2:13" s="62" customFormat="1" ht="18" customHeight="1">
      <c r="B21" s="182" t="s">
        <v>1313</v>
      </c>
      <c r="C21" s="164"/>
      <c r="D21" s="168"/>
      <c r="E21" s="174"/>
      <c r="F21" s="175"/>
      <c r="G21" s="165"/>
      <c r="H21" s="174"/>
      <c r="I21" s="176"/>
      <c r="J21" s="177"/>
      <c r="K21" s="177"/>
      <c r="L21" s="177"/>
      <c r="M21" s="177"/>
    </row>
    <row r="22" spans="2:13" s="37" customFormat="1" ht="19.5" customHeight="1">
      <c r="B22" s="182" t="s">
        <v>1314</v>
      </c>
      <c r="C22" s="166"/>
      <c r="D22" s="169"/>
      <c r="E22" s="174"/>
      <c r="F22" s="174"/>
      <c r="G22" s="166"/>
      <c r="H22" s="174"/>
      <c r="I22" s="176"/>
      <c r="J22" s="82"/>
      <c r="K22" s="82"/>
      <c r="L22" s="82"/>
      <c r="M22" s="82"/>
    </row>
    <row r="23" spans="2:13" s="37" customFormat="1" ht="19.5" customHeight="1">
      <c r="B23" s="182" t="s">
        <v>1315</v>
      </c>
      <c r="C23" s="167"/>
      <c r="D23" s="170"/>
      <c r="E23" s="174"/>
      <c r="F23" s="174"/>
      <c r="G23" s="171"/>
      <c r="H23" s="174"/>
      <c r="I23" s="176"/>
      <c r="J23" s="180"/>
      <c r="K23" s="180"/>
      <c r="L23" s="180"/>
      <c r="M23" s="180"/>
    </row>
    <row r="24" spans="2:13" ht="19.5" customHeight="1">
      <c r="B24" s="182" t="s">
        <v>1316</v>
      </c>
      <c r="C24" s="29"/>
      <c r="D24" s="29"/>
      <c r="E24" s="29"/>
      <c r="F24" s="29"/>
      <c r="G24" s="29"/>
      <c r="H24" s="29"/>
      <c r="I24" s="163"/>
      <c r="J24" s="29"/>
      <c r="K24" s="29"/>
      <c r="L24" s="29"/>
      <c r="M24" s="29"/>
    </row>
    <row r="25" spans="2:13">
      <c r="C25" s="64"/>
    </row>
    <row r="26" spans="2:13" ht="12.75" customHeight="1">
      <c r="C26" s="64"/>
    </row>
    <row r="27" spans="2:13" ht="12.75" customHeight="1">
      <c r="C27" s="64"/>
      <c r="J27" s="181"/>
      <c r="K27" s="181"/>
      <c r="L27" s="181"/>
      <c r="M27" s="181"/>
    </row>
    <row r="28" spans="2:13" ht="12.75" customHeight="1">
      <c r="C28" s="64"/>
      <c r="J28" s="181"/>
      <c r="K28" s="181"/>
      <c r="L28" s="181"/>
      <c r="M28" s="181"/>
    </row>
    <row r="29" spans="2:13" ht="15" customHeight="1">
      <c r="C29" s="64"/>
      <c r="J29" s="181"/>
      <c r="K29" s="181"/>
      <c r="L29" s="181"/>
      <c r="M29" s="181"/>
    </row>
    <row r="30" spans="2:13" ht="14.25" customHeight="1">
      <c r="C30" s="64"/>
      <c r="J30" s="181"/>
      <c r="K30" s="181"/>
      <c r="L30" s="181"/>
      <c r="M30" s="181"/>
    </row>
    <row r="31" spans="2:13" ht="12.75" customHeight="1">
      <c r="C31" s="64"/>
      <c r="J31" s="181"/>
      <c r="K31" s="181"/>
      <c r="L31" s="181"/>
      <c r="M31" s="181"/>
    </row>
    <row r="32" spans="2:13" ht="12.75" customHeight="1">
      <c r="C32" s="64"/>
      <c r="J32" s="181"/>
      <c r="K32" s="181"/>
      <c r="L32" s="181"/>
      <c r="M32" s="181"/>
    </row>
    <row r="33" spans="3:13" ht="12.75" customHeight="1">
      <c r="C33" s="64"/>
      <c r="J33" s="181"/>
      <c r="K33" s="181"/>
      <c r="L33" s="181"/>
      <c r="M33" s="181"/>
    </row>
    <row r="34" spans="3:13" ht="12.75" customHeight="1">
      <c r="C34" s="65"/>
      <c r="J34" s="181"/>
      <c r="K34" s="181"/>
      <c r="L34" s="181"/>
      <c r="M34" s="181"/>
    </row>
    <row r="35" spans="3:13" ht="15" customHeight="1"/>
    <row r="37" spans="3:13">
      <c r="D37" s="60"/>
    </row>
    <row r="38" spans="3:13">
      <c r="D38" s="60"/>
    </row>
    <row r="39" spans="3:13" ht="12.75" customHeight="1">
      <c r="D39" s="60"/>
    </row>
    <row r="40" spans="3:13" ht="12.75" customHeight="1">
      <c r="D40" s="60"/>
    </row>
    <row r="41" spans="3:13" ht="12.75" customHeight="1">
      <c r="D41" s="60"/>
    </row>
    <row r="42" spans="3:13" ht="12.75" customHeight="1">
      <c r="D42" s="60"/>
    </row>
  </sheetData>
  <mergeCells count="19">
    <mergeCell ref="A12:H12"/>
    <mergeCell ref="A13:H13"/>
    <mergeCell ref="A11:H11"/>
    <mergeCell ref="B7:B8"/>
    <mergeCell ref="A7:A8"/>
    <mergeCell ref="A10:H10"/>
    <mergeCell ref="F7:G7"/>
    <mergeCell ref="J10:K10"/>
    <mergeCell ref="A3:L3"/>
    <mergeCell ref="A4:L4"/>
    <mergeCell ref="F5:L5"/>
    <mergeCell ref="H7:H8"/>
    <mergeCell ref="E7:E8"/>
    <mergeCell ref="D7:D8"/>
    <mergeCell ref="C7:C8"/>
    <mergeCell ref="J6:J9"/>
    <mergeCell ref="K7:L7"/>
    <mergeCell ref="K6:L6"/>
    <mergeCell ref="C5:E5"/>
  </mergeCells>
  <pageMargins left="0.5" right="0.5" top="0.75" bottom="0.75" header="0.3" footer="0.3"/>
  <pageSetup paperSize="3" scale="88" fitToHeight="0" orientation="landscape" horizontalDpi="1200" verticalDpi="1200"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M15"/>
  <sheetViews>
    <sheetView zoomScaleNormal="100" workbookViewId="0">
      <selection activeCell="C15" sqref="C15"/>
    </sheetView>
  </sheetViews>
  <sheetFormatPr defaultColWidth="9.42578125" defaultRowHeight="14.45"/>
  <cols>
    <col min="1" max="2" width="10.42578125" customWidth="1"/>
    <col min="3" max="3" width="77" customWidth="1"/>
    <col min="4" max="4" width="10.42578125" customWidth="1"/>
    <col min="5" max="5" width="11" customWidth="1"/>
    <col min="6"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0"/>
      <c r="B1" t="s">
        <v>140</v>
      </c>
      <c r="D1" s="11"/>
      <c r="E1" t="s">
        <v>141</v>
      </c>
      <c r="G1" s="642"/>
      <c r="H1" s="642"/>
      <c r="I1" t="s">
        <v>142</v>
      </c>
      <c r="L1" s="12"/>
      <c r="M1" t="s">
        <v>143</v>
      </c>
    </row>
    <row r="2" spans="1:13">
      <c r="A2" s="1"/>
      <c r="B2" s="1"/>
      <c r="C2" s="1"/>
      <c r="D2" s="1"/>
      <c r="E2" s="1"/>
      <c r="F2" s="1"/>
      <c r="G2" s="1"/>
      <c r="H2" s="1"/>
      <c r="I2" s="1"/>
      <c r="J2" s="1"/>
      <c r="K2" s="1"/>
    </row>
    <row r="3" spans="1:13" ht="15" customHeight="1">
      <c r="A3" s="1155" t="s">
        <v>1317</v>
      </c>
      <c r="B3" s="1156"/>
      <c r="C3" s="1156"/>
      <c r="D3" s="1156"/>
      <c r="E3" s="1157"/>
      <c r="F3" s="17"/>
      <c r="G3" s="17"/>
      <c r="H3" s="17"/>
      <c r="I3" s="17"/>
      <c r="J3" s="17"/>
      <c r="K3" s="17"/>
    </row>
    <row r="4" spans="1:13" ht="15" customHeight="1">
      <c r="A4" s="1112" t="s">
        <v>1318</v>
      </c>
      <c r="B4" s="1112"/>
      <c r="C4" s="1112"/>
      <c r="D4" s="1112"/>
      <c r="E4" s="1112"/>
      <c r="F4" s="17"/>
      <c r="G4" s="17"/>
      <c r="H4" s="17"/>
      <c r="I4" s="17"/>
      <c r="J4" s="17"/>
      <c r="K4" s="17"/>
    </row>
    <row r="5" spans="1:13" ht="60" customHeight="1">
      <c r="A5" s="1158" t="s">
        <v>1319</v>
      </c>
      <c r="B5" s="1159"/>
      <c r="C5" s="1159"/>
      <c r="D5" s="1159"/>
      <c r="E5" s="1160"/>
      <c r="F5" s="16"/>
      <c r="G5" s="16"/>
      <c r="H5" s="16"/>
      <c r="I5" s="16"/>
      <c r="J5" s="16"/>
      <c r="K5" s="16"/>
    </row>
    <row r="6" spans="1:13">
      <c r="A6" s="1161" t="s">
        <v>1320</v>
      </c>
      <c r="B6" s="1161" t="s">
        <v>1321</v>
      </c>
      <c r="C6" s="1161" t="s">
        <v>1322</v>
      </c>
      <c r="D6" s="1161" t="s">
        <v>1323</v>
      </c>
      <c r="E6" s="1161"/>
      <c r="F6" s="1"/>
      <c r="G6" s="1"/>
      <c r="H6" s="1"/>
      <c r="I6" s="1"/>
      <c r="J6" s="1"/>
      <c r="K6" s="1"/>
    </row>
    <row r="7" spans="1:13">
      <c r="A7" s="1161"/>
      <c r="B7" s="1161"/>
      <c r="C7" s="1161"/>
      <c r="D7" s="637" t="s">
        <v>1324</v>
      </c>
      <c r="E7" s="637" t="s">
        <v>1325</v>
      </c>
      <c r="F7" s="1"/>
      <c r="G7" s="1"/>
      <c r="H7" s="1"/>
      <c r="I7" s="1"/>
      <c r="J7" s="1"/>
      <c r="K7" s="1"/>
    </row>
    <row r="8" spans="1:13" ht="33" customHeight="1">
      <c r="A8" s="19" t="s">
        <v>1326</v>
      </c>
      <c r="B8" s="363" t="s">
        <v>1327</v>
      </c>
      <c r="C8" s="473" t="s">
        <v>1328</v>
      </c>
      <c r="D8" s="18" t="s">
        <v>1329</v>
      </c>
      <c r="E8" s="18" t="s">
        <v>1329</v>
      </c>
      <c r="F8" s="1"/>
      <c r="G8" s="1"/>
      <c r="H8" s="1"/>
      <c r="I8" s="1"/>
      <c r="J8" s="1"/>
      <c r="K8" s="1"/>
    </row>
    <row r="9" spans="1:13">
      <c r="A9" s="1"/>
      <c r="B9" s="1"/>
      <c r="C9" s="1"/>
      <c r="D9" s="1"/>
      <c r="E9" s="1"/>
      <c r="F9" s="1"/>
      <c r="G9" s="1"/>
      <c r="H9" s="1"/>
      <c r="I9" s="1"/>
      <c r="J9" s="1"/>
      <c r="K9" s="1"/>
    </row>
    <row r="14" spans="1:13">
      <c r="A14" s="1"/>
      <c r="B14" s="1"/>
      <c r="C14" s="1"/>
      <c r="D14" s="1"/>
      <c r="E14" s="1"/>
      <c r="F14" s="1"/>
      <c r="G14" s="1"/>
      <c r="H14" s="1"/>
      <c r="I14" s="1"/>
      <c r="J14" s="1"/>
      <c r="K14" s="1"/>
    </row>
    <row r="15" spans="1:13">
      <c r="A15" s="1"/>
      <c r="B15" s="1"/>
      <c r="C15" s="1"/>
      <c r="D15" s="1"/>
      <c r="E15" s="1"/>
      <c r="F15" s="1"/>
      <c r="G15" s="1"/>
      <c r="H15" s="1"/>
      <c r="I15" s="1"/>
      <c r="J15" s="1"/>
      <c r="K15" s="1"/>
    </row>
  </sheetData>
  <mergeCells count="8">
    <mergeCell ref="G1:H1"/>
    <mergeCell ref="A3:E3"/>
    <mergeCell ref="A5:E5"/>
    <mergeCell ref="A6:A7"/>
    <mergeCell ref="B6:B7"/>
    <mergeCell ref="C6:C7"/>
    <mergeCell ref="D6:E6"/>
    <mergeCell ref="A4:E4"/>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EAA1-F935-4192-B626-2D0295BD88D9}">
  <sheetPr codeName="Sheet24"/>
  <dimension ref="A1:M11"/>
  <sheetViews>
    <sheetView zoomScaleNormal="100" workbookViewId="0">
      <selection activeCell="A4" sqref="A4:E4"/>
    </sheetView>
  </sheetViews>
  <sheetFormatPr defaultColWidth="9.42578125" defaultRowHeight="14.45"/>
  <cols>
    <col min="1" max="2" width="10.42578125" customWidth="1"/>
    <col min="3" max="3" width="77" customWidth="1"/>
    <col min="4" max="4" width="10.42578125" customWidth="1"/>
    <col min="5" max="5" width="11" customWidth="1"/>
    <col min="6"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0"/>
      <c r="B1" t="s">
        <v>140</v>
      </c>
      <c r="D1" s="11"/>
      <c r="E1" t="s">
        <v>141</v>
      </c>
      <c r="G1" s="642"/>
      <c r="H1" s="642"/>
      <c r="I1" t="s">
        <v>142</v>
      </c>
      <c r="L1" s="12"/>
      <c r="M1" t="s">
        <v>143</v>
      </c>
    </row>
    <row r="2" spans="1:13">
      <c r="A2" s="1"/>
      <c r="B2" s="1"/>
      <c r="C2" s="1"/>
      <c r="D2" s="1"/>
      <c r="E2" s="1"/>
      <c r="F2" s="1"/>
      <c r="G2" s="1"/>
      <c r="H2" s="1"/>
      <c r="I2" s="1"/>
      <c r="J2" s="1"/>
      <c r="K2" s="1"/>
    </row>
    <row r="3" spans="1:13">
      <c r="A3" s="1"/>
      <c r="B3" s="1"/>
      <c r="C3" s="1"/>
      <c r="D3" s="1"/>
      <c r="E3" s="1"/>
      <c r="F3" s="1"/>
      <c r="G3" s="1"/>
      <c r="H3" s="1"/>
      <c r="I3" s="1"/>
      <c r="J3" s="1"/>
      <c r="K3" s="1"/>
    </row>
    <row r="4" spans="1:13" ht="15" customHeight="1">
      <c r="A4" s="1155" t="s">
        <v>1317</v>
      </c>
      <c r="B4" s="1156"/>
      <c r="C4" s="1156"/>
      <c r="D4" s="1156"/>
      <c r="E4" s="1157"/>
      <c r="F4" s="17"/>
      <c r="G4" s="17"/>
      <c r="H4" s="17"/>
      <c r="I4" s="17"/>
      <c r="J4" s="17"/>
      <c r="K4" s="17"/>
    </row>
    <row r="5" spans="1:13">
      <c r="A5" s="1112" t="s">
        <v>1330</v>
      </c>
      <c r="B5" s="1112"/>
      <c r="C5" s="1112"/>
      <c r="D5" s="1112"/>
      <c r="E5" s="1112"/>
    </row>
    <row r="6" spans="1:13" ht="64.349999999999994" customHeight="1">
      <c r="A6" s="1162" t="s">
        <v>1331</v>
      </c>
      <c r="B6" s="1163"/>
      <c r="C6" s="1163"/>
      <c r="D6" s="1163"/>
      <c r="E6" s="1164"/>
    </row>
    <row r="7" spans="1:13">
      <c r="A7" s="1161" t="s">
        <v>1320</v>
      </c>
      <c r="B7" s="1161" t="s">
        <v>1321</v>
      </c>
      <c r="C7" s="1161" t="s">
        <v>1322</v>
      </c>
      <c r="D7" s="1161" t="s">
        <v>1323</v>
      </c>
      <c r="E7" s="1161"/>
    </row>
    <row r="8" spans="1:13">
      <c r="A8" s="1161"/>
      <c r="B8" s="1161"/>
      <c r="C8" s="1161"/>
      <c r="D8" s="637" t="s">
        <v>1324</v>
      </c>
      <c r="E8" s="637" t="s">
        <v>1325</v>
      </c>
    </row>
    <row r="9" spans="1:13" ht="20.100000000000001">
      <c r="A9" s="485" t="s">
        <v>1326</v>
      </c>
      <c r="B9" s="486" t="s">
        <v>1327</v>
      </c>
      <c r="C9" s="487" t="s">
        <v>1332</v>
      </c>
      <c r="D9" s="486" t="s">
        <v>1329</v>
      </c>
      <c r="E9" s="486" t="s">
        <v>1329</v>
      </c>
    </row>
    <row r="10" spans="1:13" ht="27" customHeight="1">
      <c r="A10" s="485" t="s">
        <v>1326</v>
      </c>
      <c r="B10" s="489"/>
      <c r="C10" s="488" t="s">
        <v>1333</v>
      </c>
      <c r="D10" s="486" t="s">
        <v>1329</v>
      </c>
      <c r="E10" s="486" t="s">
        <v>1329</v>
      </c>
    </row>
    <row r="11" spans="1:13" ht="31.5" customHeight="1">
      <c r="A11" s="485" t="s">
        <v>1326</v>
      </c>
      <c r="B11" s="489"/>
      <c r="C11" s="488" t="s">
        <v>1334</v>
      </c>
      <c r="D11" s="486" t="s">
        <v>1329</v>
      </c>
      <c r="E11" s="486" t="s">
        <v>1329</v>
      </c>
    </row>
  </sheetData>
  <mergeCells count="8">
    <mergeCell ref="G1:H1"/>
    <mergeCell ref="A4:E4"/>
    <mergeCell ref="A5:E5"/>
    <mergeCell ref="A6:E6"/>
    <mergeCell ref="A7:A8"/>
    <mergeCell ref="B7:B8"/>
    <mergeCell ref="C7:C8"/>
    <mergeCell ref="D7:E7"/>
  </mergeCells>
  <pageMargins left="0.5" right="0.5" top="0.75" bottom="0.75" header="0.3" footer="0.3"/>
  <pageSetup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5"/>
  <dimension ref="A1:M20"/>
  <sheetViews>
    <sheetView topLeftCell="A3" zoomScaleNormal="100" workbookViewId="0">
      <selection activeCell="C11" sqref="C11"/>
    </sheetView>
  </sheetViews>
  <sheetFormatPr defaultColWidth="9.42578125" defaultRowHeight="14.45"/>
  <cols>
    <col min="1" max="2" width="10.42578125" customWidth="1"/>
    <col min="3" max="3" width="70.42578125" customWidth="1"/>
    <col min="4" max="4" width="44.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0"/>
      <c r="B1" t="s">
        <v>140</v>
      </c>
      <c r="D1" s="11"/>
      <c r="E1" t="s">
        <v>141</v>
      </c>
      <c r="G1" s="642"/>
      <c r="H1" s="642"/>
      <c r="I1" t="s">
        <v>142</v>
      </c>
      <c r="L1" s="12"/>
      <c r="M1" t="s">
        <v>143</v>
      </c>
    </row>
    <row r="2" spans="1:13">
      <c r="A2" s="1"/>
      <c r="B2" s="1"/>
      <c r="C2" s="1"/>
      <c r="D2" s="1"/>
      <c r="E2" s="1"/>
      <c r="F2" s="1"/>
      <c r="G2" s="1"/>
      <c r="H2" s="1"/>
      <c r="I2" s="1"/>
      <c r="J2" s="1"/>
      <c r="K2" s="1"/>
    </row>
    <row r="3" spans="1:13" ht="15" customHeight="1">
      <c r="A3" s="1165" t="s">
        <v>1335</v>
      </c>
      <c r="B3" s="1166"/>
      <c r="C3" s="1166"/>
      <c r="D3" s="1166"/>
      <c r="E3" s="1167"/>
      <c r="F3" s="17"/>
      <c r="G3" s="17"/>
      <c r="H3" s="17"/>
      <c r="I3" s="17"/>
      <c r="J3" s="17"/>
      <c r="K3" s="17"/>
    </row>
    <row r="4" spans="1:13" ht="84" customHeight="1">
      <c r="A4" s="1170" t="s">
        <v>1336</v>
      </c>
      <c r="B4" s="1171"/>
      <c r="C4" s="1171"/>
      <c r="D4" s="1171"/>
      <c r="E4" s="1171"/>
      <c r="F4" s="1171"/>
      <c r="G4" s="16"/>
      <c r="H4" s="16"/>
      <c r="I4" s="16"/>
      <c r="J4" s="16"/>
      <c r="K4" s="16"/>
    </row>
    <row r="5" spans="1:13">
      <c r="A5" s="1161" t="s">
        <v>1320</v>
      </c>
      <c r="B5" s="1161" t="s">
        <v>1321</v>
      </c>
      <c r="C5" s="1161" t="s">
        <v>1322</v>
      </c>
      <c r="D5" s="1161" t="s">
        <v>1337</v>
      </c>
      <c r="E5" s="1168" t="s">
        <v>1323</v>
      </c>
      <c r="F5" s="1169"/>
      <c r="H5" s="1"/>
      <c r="I5" s="1"/>
      <c r="J5" s="1"/>
      <c r="K5" s="1"/>
    </row>
    <row r="6" spans="1:13">
      <c r="A6" s="1161"/>
      <c r="B6" s="1161"/>
      <c r="C6" s="1161"/>
      <c r="D6" s="1161"/>
      <c r="E6" s="637" t="s">
        <v>1324</v>
      </c>
      <c r="F6" s="637" t="s">
        <v>1325</v>
      </c>
      <c r="H6" s="1"/>
      <c r="I6" s="1"/>
      <c r="J6" s="1"/>
      <c r="K6" s="1"/>
    </row>
    <row r="7" spans="1:13" ht="34.5" customHeight="1">
      <c r="A7" s="19" t="s">
        <v>1326</v>
      </c>
      <c r="B7" s="20" t="s">
        <v>1327</v>
      </c>
      <c r="C7" s="237" t="s">
        <v>1338</v>
      </c>
      <c r="D7" s="238"/>
      <c r="E7" s="18" t="s">
        <v>1329</v>
      </c>
      <c r="F7" s="18" t="s">
        <v>1329</v>
      </c>
      <c r="H7" s="1"/>
      <c r="I7" s="1"/>
      <c r="J7" s="1"/>
      <c r="K7" s="1"/>
    </row>
    <row r="8" spans="1:13" ht="54.75" customHeight="1">
      <c r="A8" s="218"/>
      <c r="B8" s="218"/>
      <c r="C8" s="239" t="s">
        <v>1339</v>
      </c>
      <c r="D8" s="238"/>
      <c r="E8" s="218"/>
      <c r="F8" s="218"/>
      <c r="H8" s="1"/>
      <c r="I8" s="1"/>
      <c r="J8" s="1"/>
      <c r="K8" s="1"/>
    </row>
    <row r="9" spans="1:13">
      <c r="A9" s="1"/>
      <c r="B9" s="1"/>
      <c r="C9" s="1"/>
      <c r="D9" s="1"/>
      <c r="E9" s="1"/>
      <c r="F9" s="1"/>
      <c r="G9" s="1"/>
      <c r="H9" s="1"/>
      <c r="I9" s="1"/>
      <c r="J9" s="1"/>
      <c r="K9" s="1"/>
    </row>
    <row r="10" spans="1:13">
      <c r="A10" s="1"/>
      <c r="B10" s="1"/>
      <c r="C10" s="1"/>
      <c r="D10" s="1"/>
      <c r="E10" s="1"/>
      <c r="F10" s="1"/>
      <c r="G10" s="1"/>
      <c r="H10" s="1"/>
      <c r="I10" s="1"/>
      <c r="J10" s="1"/>
      <c r="K10" s="1"/>
    </row>
    <row r="11" spans="1:13">
      <c r="A11" s="1"/>
      <c r="B11" s="1"/>
      <c r="C11" s="1"/>
      <c r="D11" s="1"/>
      <c r="E11" s="1"/>
      <c r="F11" s="1"/>
      <c r="G11" s="1"/>
      <c r="H11" s="1"/>
      <c r="I11" s="1"/>
      <c r="J11" s="1"/>
      <c r="K11" s="1"/>
    </row>
    <row r="18" spans="3:3">
      <c r="C18" s="369"/>
    </row>
    <row r="20" spans="3:3">
      <c r="C20" s="369"/>
    </row>
  </sheetData>
  <mergeCells count="8">
    <mergeCell ref="G1:H1"/>
    <mergeCell ref="A3:E3"/>
    <mergeCell ref="A5:A6"/>
    <mergeCell ref="B5:B6"/>
    <mergeCell ref="C5:C6"/>
    <mergeCell ref="E5:F5"/>
    <mergeCell ref="D5:D6"/>
    <mergeCell ref="A4:F4"/>
  </mergeCells>
  <pageMargins left="0.5" right="0.5" top="0.75" bottom="0.75" header="0.3" footer="0.3"/>
  <pageSetup orientation="landscape"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597A-FB89-40FE-B02D-93B167D6D703}">
  <sheetPr codeName="Sheet26"/>
  <dimension ref="B1:H5"/>
  <sheetViews>
    <sheetView showGridLines="0" zoomScale="85" zoomScaleNormal="85" workbookViewId="0">
      <selection activeCell="B3" sqref="B3:F3"/>
    </sheetView>
  </sheetViews>
  <sheetFormatPr defaultColWidth="8.42578125" defaultRowHeight="14.45"/>
  <cols>
    <col min="4" max="4" width="62.42578125" customWidth="1"/>
  </cols>
  <sheetData>
    <row r="1" spans="2:8">
      <c r="B1" s="490"/>
      <c r="C1" s="490"/>
      <c r="D1" s="490"/>
    </row>
    <row r="3" spans="2:8">
      <c r="B3" s="1175" t="s">
        <v>1340</v>
      </c>
      <c r="C3" s="1176"/>
      <c r="D3" s="1176"/>
      <c r="E3" s="1176"/>
      <c r="F3" s="1177"/>
      <c r="G3" s="365"/>
      <c r="H3" s="365"/>
    </row>
    <row r="4" spans="2:8">
      <c r="B4" s="1172" t="s">
        <v>1341</v>
      </c>
      <c r="C4" s="1173"/>
      <c r="D4" s="1173"/>
      <c r="E4" s="1173"/>
      <c r="F4" s="1174"/>
      <c r="G4" s="365"/>
      <c r="H4" s="365"/>
    </row>
    <row r="5" spans="2:8">
      <c r="B5" s="366"/>
      <c r="C5" s="366"/>
      <c r="D5" s="366"/>
      <c r="E5" s="366"/>
      <c r="F5" s="366"/>
      <c r="G5" s="365"/>
      <c r="H5" s="365"/>
    </row>
  </sheetData>
  <mergeCells count="2">
    <mergeCell ref="B4:F4"/>
    <mergeCell ref="B3:F3"/>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2D55-543D-4746-BA54-30E4D7838667}">
  <sheetPr codeName="Sheet27"/>
  <dimension ref="B1:H11"/>
  <sheetViews>
    <sheetView showGridLines="0" zoomScale="115" zoomScaleNormal="115" workbookViewId="0">
      <selection activeCell="D12" sqref="D12"/>
    </sheetView>
  </sheetViews>
  <sheetFormatPr defaultColWidth="8.42578125" defaultRowHeight="14.45"/>
  <cols>
    <col min="4" max="4" width="64.42578125" customWidth="1"/>
  </cols>
  <sheetData>
    <row r="1" spans="2:8">
      <c r="B1" s="328"/>
      <c r="C1" s="328"/>
      <c r="D1" s="328"/>
    </row>
    <row r="3" spans="2:8">
      <c r="B3" s="1178" t="s">
        <v>1342</v>
      </c>
      <c r="C3" s="1179"/>
      <c r="D3" s="1179"/>
      <c r="E3" s="1179"/>
      <c r="F3" s="1180"/>
      <c r="G3" s="365"/>
      <c r="H3" s="365"/>
    </row>
    <row r="4" spans="2:8">
      <c r="B4" s="968" t="s">
        <v>1343</v>
      </c>
      <c r="C4" s="968"/>
      <c r="D4" s="968"/>
      <c r="E4" s="968"/>
      <c r="F4" s="968"/>
      <c r="G4" s="365"/>
      <c r="H4" s="365"/>
    </row>
    <row r="5" spans="2:8" ht="59.25" customHeight="1">
      <c r="B5" s="1181" t="s">
        <v>1344</v>
      </c>
      <c r="C5" s="1182"/>
      <c r="D5" s="1182"/>
      <c r="E5" s="1182"/>
      <c r="F5" s="1183"/>
    </row>
    <row r="6" spans="2:8">
      <c r="B6" s="1161" t="s">
        <v>1320</v>
      </c>
      <c r="C6" s="1161" t="s">
        <v>1321</v>
      </c>
      <c r="D6" s="1161" t="s">
        <v>1322</v>
      </c>
      <c r="E6" s="1161" t="s">
        <v>1323</v>
      </c>
      <c r="F6" s="1161"/>
    </row>
    <row r="7" spans="2:8">
      <c r="B7" s="1161"/>
      <c r="C7" s="1161"/>
      <c r="D7" s="1161"/>
      <c r="E7" s="637" t="s">
        <v>1324</v>
      </c>
      <c r="F7" s="637" t="s">
        <v>1325</v>
      </c>
    </row>
    <row r="8" spans="2:8" ht="65.849999999999994" customHeight="1">
      <c r="B8" s="364"/>
      <c r="C8" s="364"/>
      <c r="D8" s="1194" t="s">
        <v>1345</v>
      </c>
      <c r="E8" s="363" t="s">
        <v>1329</v>
      </c>
      <c r="F8" s="363" t="s">
        <v>1329</v>
      </c>
    </row>
    <row r="9" spans="2:8" ht="71.45" customHeight="1">
      <c r="B9" s="364"/>
      <c r="C9" s="364"/>
      <c r="D9" s="1194" t="s">
        <v>1346</v>
      </c>
      <c r="E9" s="363" t="s">
        <v>1329</v>
      </c>
      <c r="F9" s="363" t="s">
        <v>1329</v>
      </c>
    </row>
    <row r="10" spans="2:8" ht="29.85" customHeight="1">
      <c r="B10" s="363" t="s">
        <v>1327</v>
      </c>
      <c r="C10" s="363" t="s">
        <v>1327</v>
      </c>
      <c r="D10" s="1194" t="s">
        <v>1347</v>
      </c>
      <c r="E10" s="363" t="s">
        <v>1329</v>
      </c>
      <c r="F10" s="363" t="s">
        <v>1329</v>
      </c>
    </row>
    <row r="11" spans="2:8" ht="29.85" customHeight="1">
      <c r="B11" s="363" t="s">
        <v>1327</v>
      </c>
      <c r="C11" s="363" t="s">
        <v>1327</v>
      </c>
      <c r="D11" s="1194" t="s">
        <v>1348</v>
      </c>
      <c r="E11" s="363" t="s">
        <v>1329</v>
      </c>
      <c r="F11" s="363" t="s">
        <v>1329</v>
      </c>
    </row>
  </sheetData>
  <mergeCells count="7">
    <mergeCell ref="B3:F3"/>
    <mergeCell ref="B4:F4"/>
    <mergeCell ref="B5:F5"/>
    <mergeCell ref="B6:B7"/>
    <mergeCell ref="C6:C7"/>
    <mergeCell ref="D6:D7"/>
    <mergeCell ref="E6:F6"/>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CC1F-0CCC-418C-8B2E-52162B494793}">
  <dimension ref="A1:D11"/>
  <sheetViews>
    <sheetView tabSelected="1" zoomScale="90" zoomScaleNormal="90" workbookViewId="0">
      <selection activeCell="A6" sqref="A6:D6"/>
    </sheetView>
  </sheetViews>
  <sheetFormatPr defaultColWidth="8.85546875" defaultRowHeight="14.45"/>
  <cols>
    <col min="1" max="1" width="26.42578125" customWidth="1"/>
    <col min="2" max="2" width="19.42578125" customWidth="1"/>
    <col min="3" max="3" width="40.42578125" customWidth="1"/>
    <col min="4" max="4" width="26.140625" customWidth="1"/>
  </cols>
  <sheetData>
    <row r="1" spans="1:4">
      <c r="A1" s="1184" t="s">
        <v>1349</v>
      </c>
      <c r="B1" s="1185"/>
      <c r="C1" s="1185"/>
      <c r="D1" s="1186"/>
    </row>
    <row r="2" spans="1:4">
      <c r="A2" s="497" t="s">
        <v>1350</v>
      </c>
      <c r="B2" s="497"/>
      <c r="C2" s="497" t="s">
        <v>1351</v>
      </c>
      <c r="D2" s="497"/>
    </row>
    <row r="3" spans="1:4">
      <c r="A3" s="497" t="s">
        <v>1352</v>
      </c>
      <c r="B3" s="497"/>
      <c r="C3" s="497" t="s">
        <v>1353</v>
      </c>
      <c r="D3" s="497"/>
    </row>
    <row r="4" spans="1:4">
      <c r="A4" s="497" t="s">
        <v>1354</v>
      </c>
      <c r="B4" s="497"/>
      <c r="C4" s="500" t="s">
        <v>1355</v>
      </c>
      <c r="D4" s="497"/>
    </row>
    <row r="5" spans="1:4">
      <c r="A5" s="497" t="s">
        <v>1356</v>
      </c>
      <c r="B5" s="497"/>
      <c r="C5" s="497" t="s">
        <v>1357</v>
      </c>
      <c r="D5" s="497"/>
    </row>
    <row r="6" spans="1:4" ht="204.95" customHeight="1">
      <c r="A6" s="1187" t="s">
        <v>1358</v>
      </c>
      <c r="B6" s="1188"/>
      <c r="C6" s="1188"/>
      <c r="D6" s="1189"/>
    </row>
    <row r="7" spans="1:4">
      <c r="A7" s="497" t="s">
        <v>1359</v>
      </c>
      <c r="B7" s="497"/>
      <c r="C7" s="497" t="s">
        <v>1360</v>
      </c>
      <c r="D7" s="497"/>
    </row>
    <row r="8" spans="1:4">
      <c r="A8" s="498" t="s">
        <v>1361</v>
      </c>
      <c r="B8" s="1190"/>
      <c r="C8" s="1191"/>
      <c r="D8" s="1192"/>
    </row>
    <row r="9" spans="1:4">
      <c r="A9" s="497" t="s">
        <v>1352</v>
      </c>
      <c r="B9" s="497"/>
      <c r="C9" s="497" t="s">
        <v>1362</v>
      </c>
      <c r="D9" s="497"/>
    </row>
    <row r="10" spans="1:4">
      <c r="A10" s="497" t="s">
        <v>1354</v>
      </c>
      <c r="B10" s="497"/>
      <c r="C10" s="497" t="s">
        <v>1363</v>
      </c>
      <c r="D10" s="497"/>
    </row>
    <row r="11" spans="1:4">
      <c r="A11" s="497" t="s">
        <v>1356</v>
      </c>
      <c r="B11" s="497"/>
      <c r="C11" s="497" t="s">
        <v>1357</v>
      </c>
      <c r="D11" s="497"/>
    </row>
  </sheetData>
  <mergeCells count="3">
    <mergeCell ref="A1:D1"/>
    <mergeCell ref="A6:D6"/>
    <mergeCell ref="B8:D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8A0826-9CE2-4914-9EB2-A9B053410B56}"/>
</file>

<file path=customXml/itemProps2.xml><?xml version="1.0" encoding="utf-8"?>
<ds:datastoreItem xmlns:ds="http://schemas.openxmlformats.org/officeDocument/2006/customXml" ds:itemID="{B5C0E417-9826-4F60-A82C-B67FB68045CB}"/>
</file>

<file path=customXml/itemProps3.xml><?xml version="1.0" encoding="utf-8"?>
<ds:datastoreItem xmlns:ds="http://schemas.openxmlformats.org/officeDocument/2006/customXml" ds:itemID="{2E0B178B-21C8-4AD3-873D-8F838193BA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Shewmaker, Michael@Energy</cp:lastModifiedBy>
  <cp:revision/>
  <dcterms:created xsi:type="dcterms:W3CDTF">2017-03-06T18:27:21Z</dcterms:created>
  <dcterms:modified xsi:type="dcterms:W3CDTF">2024-12-26T18:30:36Z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2024-04-12T16:24:50Z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8d16e4a1-5c7d-4b90-bc14-1285290a4d70</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2024-11-11T17:32:58Z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b79da3bc-b3e7-4668-971d-5d5a55ff44b9</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