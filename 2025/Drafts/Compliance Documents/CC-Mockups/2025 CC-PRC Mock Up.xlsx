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1.xml" ContentType="application/vnd.ms-excel.threadedcomments+xml"/>
  <Override PartName="/xl/comments10.xml" ContentType="application/vnd.openxmlformats-officedocument.spreadsheetml.comments+xml"/>
  <Override PartName="/xl/threadedComments/threadedComment2.xml" ContentType="application/vnd.ms-excel.threadedcomments+xml"/>
  <Override PartName="/xl/ctrlProps/ctrlProp2.xml" ContentType="application/vnd.ms-excel.controlproperties+xml"/>
  <Override PartName="/xl/ctrlProps/ctrlProp3.xml" ContentType="application/vnd.ms-excel.controlproperties+xml"/>
  <Override PartName="/xl/comments16.xml" ContentType="application/vnd.openxmlformats-officedocument.spreadsheetml.comments+xml"/>
  <Override PartName="/xl/comments13.xml" ContentType="application/vnd.openxmlformats-officedocument.spreadsheetml.comments+xml"/>
  <Override PartName="/xl/comments17.xml" ContentType="application/vnd.openxmlformats-officedocument.spreadsheetml.comments+xml"/>
  <Override PartName="/xl/comments15.xml" ContentType="application/vnd.openxmlformats-officedocument.spreadsheetml.comments+xml"/>
  <Override PartName="/xl/comments18.xml" ContentType="application/vnd.openxmlformats-officedocument.spreadsheetml.comments+xml"/>
  <Override PartName="/xl/threadedComments/threadedComment3.xml" ContentType="application/vnd.ms-excel.threadedcomments+xml"/>
  <Override PartName="/xl/comments14.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threadedComments/threadedComment4.xml" ContentType="application/vnd.ms-excel.threadedcomments+xml"/>
  <Override PartName="/xl/ctrlProps/ctrlProp1.xml" ContentType="application/vnd.ms-excel.controlproperties+xml"/>
  <Override PartName="/xl/comments23.xml" ContentType="application/vnd.openxmlformats-officedocument.spreadsheetml.comments+xml"/>
  <Override PartName="/xl/persons/person.xml" ContentType="application/vnd.ms-excel.person+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showInkAnnotation="0"/>
  <mc:AlternateContent xmlns:mc="http://schemas.openxmlformats.org/markup-compatibility/2006">
    <mc:Choice Requires="x15">
      <x15ac:absPath xmlns:x15ac="http://schemas.microsoft.com/office/spreadsheetml/2010/11/ac" url="N:\Prj_SUS\2023\S23412 PGE E-infrastructure 2024\Task 1 Compliance Forms\NRCC-PRC\2025\"/>
    </mc:Choice>
  </mc:AlternateContent>
  <xr:revisionPtr revIDLastSave="0" documentId="13_ncr:1_{CB72ED00-FC01-4AD4-A752-20702AB16A04}" xr6:coauthVersionLast="47" xr6:coauthVersionMax="47" xr10:uidLastSave="{00000000-0000-0000-0000-000000000000}"/>
  <bookViews>
    <workbookView xWindow="13005" yWindow="-16320" windowWidth="29040" windowHeight="15720" tabRatio="942" firstSheet="9" activeTab="9" xr2:uid="{00000000-000D-0000-FFFF-FFFF00000000}"/>
  </bookViews>
  <sheets>
    <sheet name="Change Log" sheetId="84" r:id="rId1"/>
    <sheet name="New Table Sequence" sheetId="17" r:id="rId2"/>
    <sheet name="Code References" sheetId="56" r:id="rId3"/>
    <sheet name="NRCC Headers" sheetId="1" r:id="rId4"/>
    <sheet name="LMCC Headers" sheetId="79" r:id="rId5"/>
    <sheet name="NRCC Footers" sheetId="83" r:id="rId6"/>
    <sheet name="LMCC Footers" sheetId="82" r:id="rId7"/>
    <sheet name="NRCC A. General Info" sheetId="20" r:id="rId8"/>
    <sheet name="LMCC A. General Info" sheetId="78" r:id="rId9"/>
    <sheet name="NRCC B. Project Scope" sheetId="7" r:id="rId10"/>
    <sheet name="LMCC B. Project Scope" sheetId="80" r:id="rId11"/>
    <sheet name="C. Compliance" sheetId="11" r:id="rId12"/>
    <sheet name="D. Exceptional Conditions" sheetId="18" r:id="rId13"/>
    <sheet name="E. Additional Remarks" sheetId="19" r:id="rId14"/>
    <sheet name="NRCC F. Refrigerated Warehouse" sheetId="66" r:id="rId15"/>
    <sheet name="NRCC G. Commercial Refrig" sheetId="70" r:id="rId16"/>
    <sheet name="H. Garage Exhaust" sheetId="64" r:id="rId17"/>
    <sheet name="NRCC I. Process Boiler" sheetId="65" r:id="rId18"/>
    <sheet name="NRCC J. Compressed Air" sheetId="63" r:id="rId19"/>
    <sheet name="K. Elevator" sheetId="67" r:id="rId20"/>
    <sheet name="NRCC L. Escalator" sheetId="68" r:id="rId21"/>
    <sheet name="NRCC M. Computer Room" sheetId="62" r:id="rId22"/>
    <sheet name="N. Commercial Kitchen" sheetId="73" r:id="rId23"/>
    <sheet name="NRCC O. Lab Exhaust" sheetId="69" r:id="rId24"/>
    <sheet name="NRCC P. CEH" sheetId="75" r:id="rId25"/>
    <sheet name="NRCC Q. Steam Trap" sheetId="76" r:id="rId26"/>
    <sheet name="R. PoolSpa" sheetId="77" r:id="rId27"/>
    <sheet name="S. LMCI" sheetId="81" r:id="rId28"/>
    <sheet name="S. NRCI" sheetId="45" r:id="rId29"/>
    <sheet name="T. NRCA" sheetId="60" r:id="rId30"/>
    <sheet name="Signature" sheetId="74" r:id="rId31"/>
  </sheets>
  <externalReferences>
    <externalReference r:id="rId32"/>
    <externalReference r:id="rId33"/>
  </externalReferences>
  <definedNames>
    <definedName name="CalcMethod" localSheetId="2">'NRCC B. Project Scope'!#REF!</definedName>
    <definedName name="CalcMethod" localSheetId="16">'NRCC B. Project Scope'!#REF!</definedName>
    <definedName name="CalcMethod" localSheetId="19">'NRCC B. Project Scope'!#REF!</definedName>
    <definedName name="CalcMethod" localSheetId="10">'LMCC B. Project Scope'!#REF!</definedName>
    <definedName name="CalcMethod" localSheetId="6">'[1]NRCC B. Project Scope'!#REF!</definedName>
    <definedName name="CalcMethod" localSheetId="22">'NRCC B. Project Scope'!#REF!</definedName>
    <definedName name="CalcMethod" localSheetId="14">'NRCC B. Project Scope'!#REF!</definedName>
    <definedName name="CalcMethod" localSheetId="5">'[1]NRCC B. Project Scope'!#REF!</definedName>
    <definedName name="CalcMethod" localSheetId="17">'NRCC B. Project Scope'!#REF!</definedName>
    <definedName name="CalcMethod" localSheetId="18">'NRCC B. Project Scope'!#REF!</definedName>
    <definedName name="CalcMethod" localSheetId="20">'NRCC B. Project Scope'!#REF!</definedName>
    <definedName name="CalcMethod" localSheetId="21">'NRCC B. Project Scope'!#REF!</definedName>
    <definedName name="CalcMethod" localSheetId="24">'NRCC B. Project Scope'!#REF!</definedName>
    <definedName name="CalcMethod" localSheetId="25">'NRCC B. Project Scope'!#REF!</definedName>
    <definedName name="CalcMethod" localSheetId="26">'NRCC B. Project Scope'!#REF!</definedName>
    <definedName name="CalcMethod" localSheetId="29">'[2]B. Project Scope'!#REF!</definedName>
    <definedName name="CalcMethod">'NRCC B. Project Scope'!#REF!</definedName>
    <definedName name="New" localSheetId="10">'LMCC B. Project Scope'!#REF!</definedName>
    <definedName name="New" localSheetId="30">'NRCC B. Project Scope'!#REF!</definedName>
    <definedName name="New">'NRCC B. Project Scope'!#REF!</definedName>
    <definedName name="_xlnm.Print_Area" localSheetId="11">'C. Compliance'!$A$3:$N$14</definedName>
    <definedName name="_xlnm.Print_Area" localSheetId="12">'D. Exceptional Conditions'!$A$2:$K$11</definedName>
    <definedName name="_xlnm.Print_Area" localSheetId="13">'E. Additional Remarks'!$A$2:$K$7</definedName>
    <definedName name="_xlnm.Print_Area" localSheetId="8">'LMCC A. General Info'!$A$2:$K$9</definedName>
    <definedName name="_xlnm.Print_Area" localSheetId="10">'LMCC B. Project Scope'!$A$2:$J$2</definedName>
    <definedName name="_xlnm.Print_Area" localSheetId="4">'LMCC Headers'!$A$3:$K$22</definedName>
    <definedName name="_xlnm.Print_Area" localSheetId="7">'NRCC A. General Info'!$A$2:$K$9</definedName>
    <definedName name="_xlnm.Print_Area" localSheetId="9">'NRCC B. Project Scope'!$A$2:$J$2</definedName>
    <definedName name="_xlnm.Print_Area" localSheetId="3">'NRCC Headers'!$A$3:$K$22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62" l="1"/>
  <c r="G18" i="64" l="1"/>
  <c r="A1" i="7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81BA77A3-5EE6-40BC-B062-44A72155329E}">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570DE86E-13CB-4F7C-ADAC-9B088B95526B}">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08BD3E2E-928E-4EE2-957C-4FA9150074BF}">
      <text>
        <r>
          <rPr>
            <b/>
            <sz val="9"/>
            <color indexed="81"/>
            <rFont val="Tahoma"/>
            <family val="2"/>
          </rPr>
          <t>11.23.21:</t>
        </r>
        <r>
          <rPr>
            <sz val="9"/>
            <color indexed="81"/>
            <rFont val="Tahoma"/>
            <family val="2"/>
          </rPr>
          <t xml:space="preserve">
Only the occupancy types selected by the user will display on the form with a checked box. Occupancy types not selected will not show.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E550DAB2-B8B3-4414-806B-5A53F4B11204}">
      <text>
        <r>
          <rPr>
            <b/>
            <sz val="9"/>
            <color indexed="81"/>
            <rFont val="Tahoma"/>
            <family val="2"/>
          </rPr>
          <t>11.23.21:</t>
        </r>
        <r>
          <rPr>
            <sz val="9"/>
            <color indexed="81"/>
            <rFont val="Tahoma"/>
            <family val="2"/>
          </rPr>
          <t xml:space="preserve">
Only the occupancy types selected by the user will display on the form with a checked box. Occupancy types not selected will not show.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Alexis Markstrum</author>
  </authors>
  <commentList>
    <comment ref="A5" authorId="0" shapeId="0" xr:uid="{5C0CF07D-4470-4B9C-9F18-40D485EF5F91}">
      <text>
        <r>
          <rPr>
            <b/>
            <sz val="9"/>
            <color indexed="81"/>
            <rFont val="Tahoma"/>
            <family val="2"/>
          </rPr>
          <t>Sally Blair:</t>
        </r>
        <r>
          <rPr>
            <sz val="9"/>
            <color indexed="81"/>
            <rFont val="Tahoma"/>
            <family val="2"/>
          </rPr>
          <t xml:space="preserve">
Selections made here trigger the corresponding Tables in the form.</t>
        </r>
      </text>
    </comment>
    <comment ref="B7" authorId="1" shapeId="0" xr:uid="{00000000-0006-0000-0400-000001000000}">
      <text>
        <r>
          <rPr>
            <b/>
            <sz val="9"/>
            <color indexed="81"/>
            <rFont val="Tahoma"/>
            <family val="2"/>
          </rPr>
          <t>Katie Gustafson:</t>
        </r>
        <r>
          <rPr>
            <sz val="9"/>
            <color indexed="81"/>
            <rFont val="Tahoma"/>
            <family val="2"/>
          </rPr>
          <t xml:space="preserve">
Triggers Note "Alert! Refrigerated Warehouses" below</t>
        </r>
      </text>
    </comment>
    <comment ref="D10" authorId="2" shapeId="0" xr:uid="{232A6A76-F8CF-45D8-BDE0-4DCB7D1A0821}">
      <text>
        <r>
          <rPr>
            <b/>
            <sz val="9"/>
            <color indexed="10"/>
            <rFont val="Tahoma"/>
            <family val="2"/>
          </rPr>
          <t>Alexis Markstrum:</t>
        </r>
        <r>
          <rPr>
            <sz val="9"/>
            <color indexed="10"/>
            <rFont val="Tahoma"/>
            <family val="2"/>
          </rPr>
          <t xml:space="preserve">
Check spelling of Exhaust in UI and PDF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5" authorId="0" shapeId="0" xr:uid="{F1745E37-64B6-4223-B8BA-57C80A6F034A}">
      <text>
        <r>
          <rPr>
            <b/>
            <sz val="9"/>
            <color indexed="81"/>
            <rFont val="Tahoma"/>
            <family val="2"/>
          </rPr>
          <t>Sally Blair:</t>
        </r>
        <r>
          <rPr>
            <sz val="9"/>
            <color indexed="81"/>
            <rFont val="Tahoma"/>
            <family val="2"/>
          </rPr>
          <t xml:space="preserve">
Selections made here trigger the corresponding Tables in the form.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6" authorId="0" shapeId="0" xr:uid="{00000000-0006-0000-0500-000001000000}">
      <text>
        <r>
          <rPr>
            <b/>
            <sz val="9"/>
            <color indexed="81"/>
            <rFont val="Tahoma"/>
            <family val="2"/>
          </rPr>
          <t>2019 Updates:</t>
        </r>
        <r>
          <rPr>
            <sz val="9"/>
            <color indexed="81"/>
            <rFont val="Tahoma"/>
            <family val="2"/>
          </rPr>
          <t xml:space="preserve">
If any of 01-13 corresponding tables do not expand and instead say this section does not apply then the corresponding column in table C should be blank and grey.</t>
        </r>
      </text>
    </comment>
    <comment ref="A9" authorId="1" shapeId="0" xr:uid="{00000000-0006-0000-0500-000003000000}">
      <text>
        <r>
          <rPr>
            <b/>
            <sz val="9"/>
            <color indexed="81"/>
            <rFont val="Tahoma"/>
            <family val="2"/>
          </rPr>
          <t>11.23.21</t>
        </r>
        <r>
          <rPr>
            <sz val="9"/>
            <color indexed="81"/>
            <rFont val="Tahoma"/>
            <family val="2"/>
          </rPr>
          <t xml:space="preserve">
Says "Yes" if:
- Ext. Surface Ins subtable col 01 checked AND
- Underslab Heating subtable all fields completed AND
- Fan Power Evap subtable all fields completed which aren't grey AND
- Condensers subtable 01 completed + Air-cooled Cond. all columns 11 say "Yes" if triggered + Water/Evap Cond. all col 10 say "Yes" if triggered + Adiabatic Cond. all col 09 say "Yes" if triggered AND
- Compressors subtable 01 completed &amp; 02-05 completed if expanded AND
- Infiltration Barrier subtable 01-03 completed AND
- Transcritical CO2 Gas Cooler subtable 01 completed + all columns 09 say "Yes" if triggered </t>
        </r>
        <r>
          <rPr>
            <sz val="9"/>
            <color indexed="10"/>
            <rFont val="Tahoma"/>
            <family val="2"/>
          </rPr>
          <t>AND
- Pipe Insulation subtable completed if triggered</t>
        </r>
      </text>
    </comment>
    <comment ref="B9" authorId="1" shapeId="0" xr:uid="{00000000-0006-0000-0500-000004000000}">
      <text>
        <r>
          <rPr>
            <b/>
            <sz val="9"/>
            <color indexed="81"/>
            <rFont val="Tahoma"/>
            <family val="2"/>
          </rPr>
          <t>11.23.21</t>
        </r>
        <r>
          <rPr>
            <sz val="9"/>
            <color indexed="81"/>
            <rFont val="Tahoma"/>
            <family val="2"/>
          </rPr>
          <t xml:space="preserve">
Says "Yes" if:
- 01 completed AND
- Condensers subtable 01 OR 02 checked OR all column 11 say "yes" if subtable applies AND
- Compressor &amp; Cond. Units subtable 01 checked OR 02-05 completed if subtable applies AND
- Refrigerated Display Cases subtable 02 OR 03 checked if subtable applies AND
- Heat Recovery Subtable 01 checked OR 02 completed if subtable applies AND
- Transcritical CO2 Gas Cooler subtable 01 completed + all columns 09 say "Yes" if triggered </t>
        </r>
        <r>
          <rPr>
            <sz val="9"/>
            <color indexed="10"/>
            <rFont val="Tahoma"/>
            <family val="2"/>
          </rPr>
          <t>AND
- Pipe Insulation subtable completed if triggered</t>
        </r>
        <r>
          <rPr>
            <sz val="9"/>
            <color indexed="81"/>
            <rFont val="Tahoma"/>
            <family val="2"/>
          </rPr>
          <t xml:space="preserve">
Otherwise says "No"</t>
        </r>
      </text>
    </comment>
    <comment ref="C9" authorId="0" shapeId="0" xr:uid="{00000000-0006-0000-0500-000005000000}">
      <text>
        <r>
          <rPr>
            <b/>
            <sz val="9"/>
            <color indexed="81"/>
            <rFont val="Tahoma"/>
            <family val="2"/>
          </rPr>
          <t>2019 Update:</t>
        </r>
        <r>
          <rPr>
            <sz val="9"/>
            <color indexed="81"/>
            <rFont val="Tahoma"/>
            <family val="2"/>
          </rPr>
          <t xml:space="preserve">
03 says "Yes" if 
- EITHER 01 OR 02 = "yes" OR
- 3-9 are completed and 14 says "complies" for ALL fans added to Table H.
Otherwise 03 says "No"</t>
        </r>
      </text>
    </comment>
    <comment ref="D9" authorId="1" shapeId="0" xr:uid="{00000000-0006-0000-0500-000006000000}">
      <text>
        <r>
          <rPr>
            <b/>
            <sz val="9"/>
            <color indexed="81"/>
            <rFont val="Tahoma"/>
            <family val="2"/>
          </rPr>
          <t>Sally Blair:</t>
        </r>
        <r>
          <rPr>
            <sz val="9"/>
            <color indexed="81"/>
            <rFont val="Tahoma"/>
            <family val="2"/>
          </rPr>
          <t xml:space="preserve">
Says "Yes" if:
- 01-05 completed if not grey</t>
        </r>
      </text>
    </comment>
    <comment ref="E9" authorId="1" shapeId="0" xr:uid="{00000000-0006-0000-0500-000007000000}">
      <text>
        <r>
          <rPr>
            <b/>
            <sz val="9"/>
            <color indexed="81"/>
            <rFont val="Tahoma"/>
            <family val="2"/>
          </rPr>
          <t>11.21.21:</t>
        </r>
        <r>
          <rPr>
            <sz val="9"/>
            <color indexed="81"/>
            <rFont val="Tahoma"/>
            <family val="2"/>
          </rPr>
          <t xml:space="preserve">
Says "Yes" if: 
- 01-07 completed</t>
        </r>
      </text>
    </comment>
    <comment ref="F9" authorId="0" shapeId="0" xr:uid="{00000000-0006-0000-0500-000008000000}">
      <text>
        <r>
          <rPr>
            <b/>
            <sz val="9"/>
            <color indexed="81"/>
            <rFont val="Tahoma"/>
            <family val="2"/>
          </rPr>
          <t xml:space="preserve">2019 Updates:
Updated 6/23/20
</t>
        </r>
        <r>
          <rPr>
            <sz val="9"/>
            <color indexed="81"/>
            <rFont val="Tahoma"/>
            <family val="2"/>
          </rPr>
          <t>06 says "Yes" if 
- sum of column 06 &lt;= sum of column 07 AND 
- EITHER 10 = "Yes" OR 13&lt;=14 AND
- everything not grey is completed
Otherwise 06 says "no"</t>
        </r>
      </text>
    </comment>
    <comment ref="G9" authorId="1" shapeId="0" xr:uid="{00000000-0006-0000-0500-000009000000}">
      <text>
        <r>
          <rPr>
            <b/>
            <sz val="9"/>
            <color indexed="81"/>
            <rFont val="Tahoma"/>
            <family val="2"/>
          </rPr>
          <t>Sally Blair:</t>
        </r>
        <r>
          <rPr>
            <sz val="9"/>
            <color indexed="81"/>
            <rFont val="Tahoma"/>
            <family val="2"/>
          </rPr>
          <t xml:space="preserve">
Says "Yes" if:
- 01 completed</t>
        </r>
      </text>
    </comment>
    <comment ref="H9" authorId="1" shapeId="0" xr:uid="{00000000-0006-0000-0500-00000A000000}">
      <text>
        <r>
          <rPr>
            <b/>
            <sz val="9"/>
            <color indexed="81"/>
            <rFont val="Tahoma"/>
            <family val="2"/>
          </rPr>
          <t>11.21.21:</t>
        </r>
        <r>
          <rPr>
            <sz val="9"/>
            <color indexed="81"/>
            <rFont val="Tahoma"/>
            <family val="2"/>
          </rPr>
          <t xml:space="preserve">
Says "Yes" if:
In HVAC subtable
- 01-09 completed if not grey  AND
- 06 &lt;= 07
AND
In UPS Subtable
- 02 completed AND
- 06&gt;=05 if not grey
</t>
        </r>
      </text>
    </comment>
    <comment ref="I9" authorId="0" shapeId="0" xr:uid="{00000000-0006-0000-0500-00000B000000}">
      <text>
        <r>
          <rPr>
            <b/>
            <sz val="9"/>
            <color indexed="81"/>
            <rFont val="Tahoma"/>
            <family val="2"/>
          </rPr>
          <t>2019 Update:
Updated 3.1.21</t>
        </r>
        <r>
          <rPr>
            <sz val="9"/>
            <color indexed="81"/>
            <rFont val="Tahoma"/>
            <family val="2"/>
          </rPr>
          <t xml:space="preserve">
09 says "yes" if  
- kitchen ventilation 01 is checked OR
-02,03,05 have been completed AND 
kitchen exhuast 01 -07 have been completed if not grey, AND
07&lt;=08 if 08 not grey
</t>
        </r>
        <r>
          <rPr>
            <sz val="9"/>
            <color indexed="10"/>
            <rFont val="Tahoma"/>
            <family val="2"/>
          </rPr>
          <t>AND Electric Ready table completed</t>
        </r>
        <r>
          <rPr>
            <sz val="9"/>
            <color indexed="81"/>
            <rFont val="Tahoma"/>
            <family val="2"/>
          </rPr>
          <t xml:space="preserve">
Otherwise says no</t>
        </r>
      </text>
    </comment>
    <comment ref="J9" authorId="1" shapeId="0" xr:uid="{00000000-0006-0000-0500-00000C000000}">
      <text>
        <r>
          <rPr>
            <b/>
            <sz val="9"/>
            <color indexed="81"/>
            <rFont val="Tahoma"/>
            <family val="2"/>
          </rPr>
          <t xml:space="preserve">2019 Update:
</t>
        </r>
        <r>
          <rPr>
            <sz val="9"/>
            <color indexed="81"/>
            <rFont val="Tahoma"/>
            <family val="2"/>
          </rPr>
          <t>Says "Yes" if columns 01-</t>
        </r>
        <r>
          <rPr>
            <sz val="9"/>
            <color indexed="10"/>
            <rFont val="Tahoma"/>
            <family val="2"/>
          </rPr>
          <t xml:space="preserve">07 </t>
        </r>
        <r>
          <rPr>
            <strike/>
            <sz val="9"/>
            <color indexed="10"/>
            <rFont val="Tahoma"/>
            <family val="2"/>
          </rPr>
          <t>05</t>
        </r>
        <r>
          <rPr>
            <sz val="9"/>
            <color indexed="81"/>
            <rFont val="Tahoma"/>
            <family val="2"/>
          </rPr>
          <t xml:space="preserve"> are completed if table is triggered.
Otherwise says "No"</t>
        </r>
      </text>
    </comment>
    <comment ref="K9" authorId="1" shapeId="0" xr:uid="{7B2F4D2B-0A3D-4584-9DDC-B944301966F5}">
      <text>
        <r>
          <rPr>
            <b/>
            <sz val="9"/>
            <color indexed="81"/>
            <rFont val="Tahoma"/>
            <family val="2"/>
          </rPr>
          <t xml:space="preserve">11.23.21:
</t>
        </r>
        <r>
          <rPr>
            <sz val="9"/>
            <color indexed="81"/>
            <rFont val="Tahoma"/>
            <family val="2"/>
          </rPr>
          <t>Says "Yes" if 
- HVAC Subtable columns 01-02 are completed 
AND
- Ltg Subtable 01-06 complete if not grey AND
- Env Subtable 01-</t>
        </r>
        <r>
          <rPr>
            <sz val="9"/>
            <color indexed="10"/>
            <rFont val="Tahoma"/>
            <family val="2"/>
          </rPr>
          <t xml:space="preserve">06 </t>
        </r>
        <r>
          <rPr>
            <strike/>
            <sz val="9"/>
            <color indexed="10"/>
            <rFont val="Tahoma"/>
            <family val="2"/>
          </rPr>
          <t>04</t>
        </r>
        <r>
          <rPr>
            <sz val="9"/>
            <color indexed="81"/>
            <rFont val="Tahoma"/>
            <family val="2"/>
          </rPr>
          <t xml:space="preserve"> complete if not grey
Otherwise says "No"</t>
        </r>
      </text>
    </comment>
    <comment ref="L9" authorId="1" shapeId="0" xr:uid="{7B52CC4C-CECA-445F-8B0D-828C623964C7}">
      <text>
        <r>
          <rPr>
            <b/>
            <sz val="9"/>
            <color indexed="81"/>
            <rFont val="Tahoma"/>
            <family val="2"/>
          </rPr>
          <t xml:space="preserve">11.23.21:
</t>
        </r>
        <r>
          <rPr>
            <sz val="9"/>
            <color indexed="81"/>
            <rFont val="Tahoma"/>
            <family val="2"/>
          </rPr>
          <t>Says "Yes" if columns 01-03 are completed if table is triggered.
Otherwise says "No"</t>
        </r>
      </text>
    </comment>
    <comment ref="M9" authorId="1" shapeId="0" xr:uid="{473C6147-E7B1-48E8-9C59-18CFC22A6596}">
      <text>
        <r>
          <rPr>
            <b/>
            <strike/>
            <sz val="9"/>
            <color indexed="10"/>
            <rFont val="Tahoma"/>
            <family val="2"/>
          </rPr>
          <t xml:space="preserve">11.23.21:
</t>
        </r>
        <r>
          <rPr>
            <strike/>
            <sz val="9"/>
            <color indexed="10"/>
            <rFont val="Tahoma"/>
            <family val="2"/>
          </rPr>
          <t>Says "Yes" if columns 01-08 are completed AND
09-15 completed if triggered.
Otherwise says "No"</t>
        </r>
      </text>
    </comment>
    <comment ref="N9" authorId="1" shapeId="0" xr:uid="{00000000-0006-0000-0500-00000D000000}">
      <text>
        <r>
          <rPr>
            <b/>
            <sz val="9"/>
            <color indexed="81"/>
            <rFont val="Tahoma"/>
            <family val="2"/>
          </rPr>
          <t>Sally Blair:</t>
        </r>
        <r>
          <rPr>
            <sz val="9"/>
            <color indexed="81"/>
            <rFont val="Tahoma"/>
            <family val="2"/>
          </rPr>
          <t xml:space="preserve">
1. Says "COMPLIES" if no other items C.01-C.13 say "No" &amp; no exceptional conditions have been triggered in Table D.
2. Says "COMPLIES WITH EXCEPTIONAL CONDITIONS" if no other items C.01-C.13 say "No" &amp; an exceptional conditioned has been triggered in Table D.
3. Says "DOES NOT COMPLY" if one of the cells in C.01-C.13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8" authorId="0" shapeId="0" xr:uid="{64F9D20D-745A-4420-82EF-E50C2DFABB60}">
      <text>
        <r>
          <rPr>
            <b/>
            <sz val="9"/>
            <color indexed="81"/>
            <rFont val="Tahoma"/>
            <family val="2"/>
          </rPr>
          <t>12/8/22:</t>
        </r>
        <r>
          <rPr>
            <sz val="9"/>
            <color indexed="81"/>
            <rFont val="Tahoma"/>
            <family val="2"/>
          </rPr>
          <t xml:space="preserve">
If Table M.09 Computer Rooms System Summary == "NA: Equivalent energy performance based on computational fluid dynamics or other analysis." trigger this note.</t>
        </r>
      </text>
    </comment>
    <comment ref="B9" authorId="0" shapeId="0" xr:uid="{3C0F18AC-EFC2-4805-A0D5-C4B939A6A83B}">
      <text>
        <r>
          <rPr>
            <b/>
            <sz val="9"/>
            <color indexed="81"/>
            <rFont val="Tahoma"/>
            <family val="2"/>
          </rPr>
          <t>12/8/22:</t>
        </r>
        <r>
          <rPr>
            <sz val="9"/>
            <color indexed="81"/>
            <rFont val="Tahoma"/>
            <family val="2"/>
          </rPr>
          <t xml:space="preserve">
If Table K.07&lt;Table K.06, trigger this note.</t>
        </r>
      </text>
    </comment>
    <comment ref="B10" authorId="0" shapeId="0" xr:uid="{CD14FC90-A03F-4D3E-ADB3-EEAF9BDA5671}">
      <text>
        <r>
          <rPr>
            <b/>
            <sz val="9"/>
            <color indexed="81"/>
            <rFont val="Tahoma"/>
            <family val="2"/>
          </rPr>
          <t>12/8/22:</t>
        </r>
        <r>
          <rPr>
            <sz val="9"/>
            <color indexed="81"/>
            <rFont val="Tahoma"/>
            <family val="2"/>
          </rPr>
          <t xml:space="preserve">
If Table K.14&lt;Table K.13, trigger this note.</t>
        </r>
      </text>
    </comment>
    <comment ref="B11" authorId="0" shapeId="0" xr:uid="{642625FE-AE96-494D-BC5A-2AD7DAF26E00}">
      <text>
        <r>
          <rPr>
            <b/>
            <sz val="9"/>
            <color indexed="81"/>
            <rFont val="Tahoma"/>
            <family val="2"/>
          </rPr>
          <t>12/8/22:</t>
        </r>
        <r>
          <rPr>
            <sz val="9"/>
            <color indexed="81"/>
            <rFont val="Tahoma"/>
            <family val="2"/>
          </rPr>
          <t xml:space="preserve">
Triggered if the user selects 'No' in Table S cell B.07.</t>
        </r>
      </text>
    </comment>
    <comment ref="B12" authorId="0" shapeId="0" xr:uid="{724F5FF4-BD3E-498B-ADDA-09EB4EC69A4B}">
      <text>
        <r>
          <rPr>
            <b/>
            <sz val="9"/>
            <color indexed="81"/>
            <rFont val="Tahoma"/>
            <family val="2"/>
          </rPr>
          <t>12/8/22:</t>
        </r>
        <r>
          <rPr>
            <sz val="9"/>
            <color indexed="81"/>
            <rFont val="Tahoma"/>
            <family val="2"/>
          </rPr>
          <t xml:space="preserve">
Triggered if the user selects "No" for any of the items in Table S column B.</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tc={142C074B-F144-4D4F-B0D9-E232D626E0F7}</author>
    <author>Lalor, Ben</author>
    <author>Sally Blair</author>
    <author>tc={DF4806B8-129A-43AB-9F99-FDA40FD99726}</author>
    <author>Ben Lalor</author>
  </authors>
  <commentList>
    <comment ref="L5" authorId="0" shapeId="0" xr:uid="{142C074B-F144-4D4F-B0D9-E232D626E0F7}">
      <text>
        <t>[Threaded comment]
Your version of Excel allows you to read this threaded comment; however, any edits to it will get removed if the file is opened in a newer version of Excel. Learn more: https://go.microsoft.com/fwlink/?linkid=870924
Comment:
    Gina said “We need to add Pipe Insulation and support the new requirements of Table 120.3-A-1”
Reply:
    Gina - I’ve added the same table we use in PLB to support this. Do you have any problems with this?</t>
      </text>
    </comment>
    <comment ref="A6" authorId="1" shapeId="0" xr:uid="{F015D92D-83FD-467B-855B-8D3542E90232}">
      <text>
        <r>
          <rPr>
            <b/>
            <sz val="9"/>
            <color indexed="81"/>
            <rFont val="Tahoma"/>
            <family val="2"/>
          </rPr>
          <t>6/19/23</t>
        </r>
        <r>
          <rPr>
            <sz val="9"/>
            <color indexed="81"/>
            <rFont val="Tahoma"/>
            <family val="2"/>
          </rPr>
          <t xml:space="preserve">
Required when Warehouse Exterior Surface Insulation checkbox is selected above</t>
        </r>
      </text>
    </comment>
    <comment ref="A18" authorId="1" shapeId="0" xr:uid="{5EA0BDA0-D83D-46AF-91DE-903F0A716D1B}">
      <text>
        <r>
          <rPr>
            <b/>
            <sz val="9"/>
            <color indexed="81"/>
            <rFont val="Tahoma"/>
            <family val="2"/>
          </rPr>
          <t xml:space="preserve">6/19/23
</t>
        </r>
        <r>
          <rPr>
            <sz val="9"/>
            <color indexed="81"/>
            <rFont val="Tahoma"/>
            <family val="2"/>
          </rPr>
          <t>Required when Underslab Heating checkbox is selected above</t>
        </r>
      </text>
    </comment>
    <comment ref="A33" authorId="1" shapeId="0" xr:uid="{D12103DD-6C93-41C7-BA3A-E4A2A9A08EEE}">
      <text>
        <r>
          <rPr>
            <b/>
            <sz val="9"/>
            <color indexed="81"/>
            <rFont val="Tahoma"/>
            <family val="2"/>
          </rPr>
          <t xml:space="preserve">6/19/23
</t>
        </r>
        <r>
          <rPr>
            <sz val="9"/>
            <color indexed="81"/>
            <rFont val="Tahoma"/>
            <family val="2"/>
          </rPr>
          <t xml:space="preserve">Required when Fan Powered Evaporator checkbox is selected above
</t>
        </r>
      </text>
    </comment>
    <comment ref="J37" authorId="2" shapeId="0" xr:uid="{00000000-0006-0000-0800-000005000000}">
      <text>
        <r>
          <rPr>
            <b/>
            <sz val="9"/>
            <color indexed="81"/>
            <rFont val="Tahoma"/>
            <family val="2"/>
          </rPr>
          <t>Sally Blair:</t>
        </r>
        <r>
          <rPr>
            <sz val="9"/>
            <color indexed="81"/>
            <rFont val="Tahoma"/>
            <family val="2"/>
          </rPr>
          <t xml:space="preserve">
Gray out column 06 if any "NA" choices selected in column 05</t>
        </r>
      </text>
    </comment>
    <comment ref="J39" authorId="2" shapeId="0" xr:uid="{00000000-0006-0000-0800-000006000000}">
      <text>
        <r>
          <rPr>
            <b/>
            <sz val="9"/>
            <color indexed="81"/>
            <rFont val="Tahoma"/>
            <family val="2"/>
          </rPr>
          <t>Sally Blair:</t>
        </r>
        <r>
          <rPr>
            <sz val="9"/>
            <color indexed="81"/>
            <rFont val="Tahoma"/>
            <family val="2"/>
          </rPr>
          <t xml:space="preserve">
Custom dropdown if Suction Group or Single w variable capacity chosen in column 05.</t>
        </r>
      </text>
    </comment>
    <comment ref="B41" authorId="2" shapeId="0" xr:uid="{00000000-0006-0000-0800-000007000000}">
      <text>
        <r>
          <rPr>
            <b/>
            <sz val="9"/>
            <color indexed="81"/>
            <rFont val="Tahoma"/>
            <family val="2"/>
          </rPr>
          <t>Sally Blair:</t>
        </r>
        <r>
          <rPr>
            <sz val="9"/>
            <color indexed="81"/>
            <rFont val="Tahoma"/>
            <family val="2"/>
          </rPr>
          <t xml:space="preserve">
03-04 Greyed out if &gt;1hp</t>
        </r>
      </text>
    </comment>
    <comment ref="C41" authorId="2" shapeId="0" xr:uid="{00000000-0006-0000-0800-000008000000}">
      <text>
        <r>
          <rPr>
            <b/>
            <sz val="9"/>
            <color indexed="81"/>
            <rFont val="Tahoma"/>
            <family val="2"/>
          </rPr>
          <t>Sally Blair:</t>
        </r>
        <r>
          <rPr>
            <sz val="9"/>
            <color indexed="81"/>
            <rFont val="Tahoma"/>
            <family val="2"/>
          </rPr>
          <t xml:space="preserve">
04 Greyed out if Three Phase is selected</t>
        </r>
      </text>
    </comment>
    <comment ref="J42" authorId="2" shapeId="0" xr:uid="{00000000-0006-0000-0800-000009000000}">
      <text>
        <r>
          <rPr>
            <b/>
            <sz val="9"/>
            <color indexed="81"/>
            <rFont val="Tahoma"/>
            <family val="2"/>
          </rPr>
          <t>Sally Blair:</t>
        </r>
        <r>
          <rPr>
            <sz val="9"/>
            <color indexed="81"/>
            <rFont val="Tahoma"/>
            <family val="2"/>
          </rPr>
          <t xml:space="preserve">
Custom dropdown if Single w/o variable capacity chosen in column 05.</t>
        </r>
      </text>
    </comment>
    <comment ref="M42" authorId="3" shapeId="0" xr:uid="{DF4806B8-129A-43AB-9F99-FDA40FD99726}">
      <text>
        <t>[Threaded comment]
Your version of Excel allows you to read this threaded comment; however, any edits to it will get removed if the file is opened in a newer version of Excel. Learn more: https://go.microsoft.com/fwlink/?linkid=870924
Comment:
    Gina said “Where is this exception?  I cannot find”
Reply:
    120.6a)3D says “Fan-powered evaporators utilizing volatile refrigerants shall ….” However, there is no definition for what is a volatile refrigerant. Should this be removed?</t>
      </text>
    </comment>
    <comment ref="A48" authorId="1" shapeId="0" xr:uid="{5CA908CD-2401-4B72-861A-C76301148048}">
      <text>
        <r>
          <rPr>
            <b/>
            <sz val="9"/>
            <color indexed="81"/>
            <rFont val="Tahoma"/>
            <family val="2"/>
          </rPr>
          <t xml:space="preserve">6/19/23 </t>
        </r>
        <r>
          <rPr>
            <sz val="9"/>
            <color indexed="81"/>
            <rFont val="Tahoma"/>
            <family val="2"/>
          </rPr>
          <t>Required when Condenser checkbox is selected above</t>
        </r>
      </text>
    </comment>
    <comment ref="F49" authorId="2" shapeId="0" xr:uid="{00000000-0006-0000-0800-00000A000000}">
      <text>
        <r>
          <rPr>
            <b/>
            <sz val="9"/>
            <color indexed="81"/>
            <rFont val="Tahoma"/>
            <family val="2"/>
          </rPr>
          <t>Sally Blair:</t>
        </r>
        <r>
          <rPr>
            <sz val="9"/>
            <color indexed="81"/>
            <rFont val="Tahoma"/>
            <family val="2"/>
          </rPr>
          <t xml:space="preserve">
These selections expand appropriate sub sections.  Altered box doesn't open anything.</t>
        </r>
      </text>
    </comment>
    <comment ref="G55" authorId="2" shapeId="0" xr:uid="{00000000-0006-0000-0800-00000E000000}">
      <text>
        <r>
          <rPr>
            <b/>
            <sz val="9"/>
            <color indexed="81"/>
            <rFont val="Tahoma"/>
            <family val="2"/>
          </rPr>
          <t>Sally Blair:</t>
        </r>
        <r>
          <rPr>
            <sz val="9"/>
            <color indexed="81"/>
            <rFont val="Tahoma"/>
            <family val="2"/>
          </rPr>
          <t xml:space="preserve">
75 if outdoor in column 03 &amp; ammonia in column 07.
65 if outdoor in column 03 &amp; halocarbon in column 07.</t>
        </r>
      </text>
    </comment>
    <comment ref="J55" authorId="2" shapeId="0" xr:uid="{00000000-0006-0000-0800-00000F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58" authorId="2" shapeId="0" xr:uid="{00000000-0006-0000-0800-000010000000}">
      <text>
        <r>
          <rPr>
            <b/>
            <sz val="9"/>
            <color indexed="81"/>
            <rFont val="Tahoma"/>
            <family val="2"/>
          </rPr>
          <t>Sally Blair:</t>
        </r>
        <r>
          <rPr>
            <sz val="9"/>
            <color indexed="81"/>
            <rFont val="Tahoma"/>
            <family val="2"/>
          </rPr>
          <t xml:space="preserve">
greys out columns 07-09</t>
        </r>
      </text>
    </comment>
    <comment ref="F60" authorId="2" shapeId="0" xr:uid="{00000000-0006-0000-0800-000011000000}">
      <text>
        <r>
          <rPr>
            <b/>
            <sz val="9"/>
            <color indexed="81"/>
            <rFont val="Tahoma"/>
            <family val="2"/>
          </rPr>
          <t>2019 Update:</t>
        </r>
        <r>
          <rPr>
            <sz val="9"/>
            <color indexed="81"/>
            <rFont val="Tahoma"/>
            <family val="2"/>
          </rPr>
          <t xml:space="preserve">
Greys out columns 08-09</t>
        </r>
      </text>
    </comment>
    <comment ref="I60" authorId="2" shapeId="0" xr:uid="{C0ADA2A1-8289-45EC-A9F9-6DAAC28E0A23}">
      <text>
        <r>
          <rPr>
            <b/>
            <sz val="9"/>
            <color indexed="81"/>
            <rFont val="Tahoma"/>
            <family val="2"/>
          </rPr>
          <t>2/10/25</t>
        </r>
        <r>
          <rPr>
            <sz val="9"/>
            <color indexed="81"/>
            <rFont val="Tahoma"/>
            <family val="2"/>
          </rPr>
          <t xml:space="preserve">
</t>
        </r>
        <r>
          <rPr>
            <sz val="9"/>
            <color indexed="10"/>
            <rFont val="Tahoma"/>
            <family val="2"/>
          </rPr>
          <t>Greys out columns 08-09</t>
        </r>
      </text>
    </comment>
    <comment ref="F61" authorId="2" shapeId="0" xr:uid="{EC931D30-74FE-4237-A85F-7FD60741B512}">
      <text>
        <r>
          <rPr>
            <b/>
            <sz val="9"/>
            <color indexed="81"/>
            <rFont val="Tahoma"/>
            <family val="2"/>
          </rPr>
          <t>2/10/25</t>
        </r>
        <r>
          <rPr>
            <sz val="9"/>
            <color indexed="81"/>
            <rFont val="Tahoma"/>
            <family val="2"/>
          </rPr>
          <t xml:space="preserve">
</t>
        </r>
        <r>
          <rPr>
            <sz val="9"/>
            <color indexed="10"/>
            <rFont val="Tahoma"/>
            <family val="2"/>
          </rPr>
          <t>Greys out columns 08-09</t>
        </r>
      </text>
    </comment>
    <comment ref="E62" authorId="2" shapeId="0" xr:uid="{DD403CB7-654C-45B7-AA5D-3A830F91D2B3}">
      <text>
        <r>
          <rPr>
            <b/>
            <sz val="9"/>
            <color indexed="81"/>
            <rFont val="Tahoma"/>
            <family val="2"/>
          </rPr>
          <t>2/10/25</t>
        </r>
        <r>
          <rPr>
            <sz val="9"/>
            <color indexed="81"/>
            <rFont val="Tahoma"/>
            <family val="2"/>
          </rPr>
          <t xml:space="preserve">
</t>
        </r>
        <r>
          <rPr>
            <sz val="9"/>
            <color indexed="10"/>
            <rFont val="Tahoma"/>
            <family val="2"/>
          </rPr>
          <t>Greys out columns 08-09</t>
        </r>
      </text>
    </comment>
    <comment ref="G67" authorId="2" shapeId="0" xr:uid="{00000000-0006-0000-0800-000013000000}">
      <text>
        <r>
          <rPr>
            <b/>
            <sz val="9"/>
            <color indexed="81"/>
            <rFont val="Tahoma"/>
            <family val="2"/>
          </rPr>
          <t>Sally Blair:</t>
        </r>
        <r>
          <rPr>
            <sz val="9"/>
            <color indexed="81"/>
            <rFont val="Tahoma"/>
            <family val="2"/>
          </rPr>
          <t xml:space="preserve">
= 350 if outdoor in column 03 &amp; &gt; 8,000 in column 07.
= 160 if outdoor in column 03 &amp; &lt;8,000 in column 07.
= 160 if indoor in column 03</t>
        </r>
      </text>
    </comment>
    <comment ref="I67" authorId="2" shapeId="0" xr:uid="{00000000-0006-0000-0800-000014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70" authorId="2" shapeId="0" xr:uid="{00000000-0006-0000-0800-000015000000}">
      <text>
        <r>
          <rPr>
            <b/>
            <sz val="9"/>
            <color indexed="81"/>
            <rFont val="Tahoma"/>
            <family val="2"/>
          </rPr>
          <t>Sally Blair:</t>
        </r>
        <r>
          <rPr>
            <sz val="9"/>
            <color indexed="81"/>
            <rFont val="Tahoma"/>
            <family val="2"/>
          </rPr>
          <t xml:space="preserve">
if selected, column 07 greys out</t>
        </r>
      </text>
    </comment>
    <comment ref="F72" authorId="2" shapeId="0" xr:uid="{00000000-0006-0000-0800-000016000000}">
      <text>
        <r>
          <rPr>
            <b/>
            <sz val="9"/>
            <color indexed="81"/>
            <rFont val="Tahoma"/>
            <family val="2"/>
          </rPr>
          <t>2019 Update:</t>
        </r>
        <r>
          <rPr>
            <sz val="9"/>
            <color indexed="81"/>
            <rFont val="Tahoma"/>
            <family val="2"/>
          </rPr>
          <t xml:space="preserve">
Greys out columns 08-09</t>
        </r>
      </text>
    </comment>
    <comment ref="E73" authorId="2" shapeId="0" xr:uid="{BA13F079-21E1-4FFD-974B-C86358BB6436}">
      <text>
        <r>
          <rPr>
            <b/>
            <sz val="9"/>
            <color indexed="81"/>
            <rFont val="Tahoma"/>
            <family val="2"/>
          </rPr>
          <t>2/10/25</t>
        </r>
        <r>
          <rPr>
            <sz val="9"/>
            <color indexed="81"/>
            <rFont val="Tahoma"/>
            <family val="2"/>
          </rPr>
          <t xml:space="preserve">
</t>
        </r>
        <r>
          <rPr>
            <sz val="9"/>
            <color indexed="10"/>
            <rFont val="Tahoma"/>
            <family val="2"/>
          </rPr>
          <t>Greys out column 9</t>
        </r>
      </text>
    </comment>
    <comment ref="F73" authorId="2" shapeId="0" xr:uid="{93E25FED-D575-4571-BEB5-A5F39C97CAAD}">
      <text>
        <r>
          <rPr>
            <b/>
            <sz val="9"/>
            <color indexed="81"/>
            <rFont val="Tahoma"/>
            <family val="2"/>
          </rPr>
          <t>2/10/25</t>
        </r>
        <r>
          <rPr>
            <sz val="9"/>
            <color indexed="81"/>
            <rFont val="Tahoma"/>
            <family val="2"/>
          </rPr>
          <t xml:space="preserve">
</t>
        </r>
        <r>
          <rPr>
            <sz val="9"/>
            <color indexed="10"/>
            <rFont val="Tahoma"/>
            <family val="2"/>
          </rPr>
          <t>Greys out column 9</t>
        </r>
      </text>
    </comment>
    <comment ref="F78" authorId="2" shapeId="0" xr:uid="{00000000-0006-0000-0800-000018000000}">
      <text>
        <r>
          <rPr>
            <b/>
            <sz val="9"/>
            <color indexed="81"/>
            <rFont val="Tahoma"/>
            <family val="2"/>
          </rPr>
          <t>Sally Blair:</t>
        </r>
        <r>
          <rPr>
            <sz val="9"/>
            <color indexed="81"/>
            <rFont val="Tahoma"/>
            <family val="2"/>
          </rPr>
          <t xml:space="preserve">
45 if halocarbon in column 06.</t>
        </r>
      </text>
    </comment>
    <comment ref="H78" authorId="2" shapeId="0" xr:uid="{00000000-0006-0000-0800-000019000000}">
      <text>
        <r>
          <rPr>
            <b/>
            <sz val="9"/>
            <color indexed="81"/>
            <rFont val="Tahoma"/>
            <family val="2"/>
          </rPr>
          <t>Sally Blair:</t>
        </r>
        <r>
          <rPr>
            <sz val="9"/>
            <color indexed="81"/>
            <rFont val="Tahoma"/>
            <family val="2"/>
          </rPr>
          <t xml:space="preserve">
If all columns which are not grey are completed &amp; column 08 per design &gt;= column 07</t>
        </r>
      </text>
    </comment>
    <comment ref="E81" authorId="2" shapeId="0" xr:uid="{00000000-0006-0000-0800-00001A000000}">
      <text>
        <r>
          <rPr>
            <b/>
            <sz val="9"/>
            <color indexed="81"/>
            <rFont val="Tahoma"/>
            <family val="2"/>
          </rPr>
          <t>2019 Update:</t>
        </r>
        <r>
          <rPr>
            <sz val="9"/>
            <color indexed="81"/>
            <rFont val="Tahoma"/>
            <family val="2"/>
          </rPr>
          <t xml:space="preserve">
Greys out columns 07-08</t>
        </r>
      </text>
    </comment>
    <comment ref="E83" authorId="2" shapeId="0" xr:uid="{00000000-0006-0000-0800-00001B000000}">
      <text>
        <r>
          <rPr>
            <b/>
            <sz val="9"/>
            <color indexed="81"/>
            <rFont val="Tahoma"/>
            <family val="2"/>
          </rPr>
          <t>2019 Update:</t>
        </r>
        <r>
          <rPr>
            <sz val="9"/>
            <color indexed="81"/>
            <rFont val="Tahoma"/>
            <family val="2"/>
          </rPr>
          <t xml:space="preserve">
Greys out columns 07-08</t>
        </r>
      </text>
    </comment>
    <comment ref="D84" authorId="2" shapeId="0" xr:uid="{1044C0B6-40B2-4D3F-9805-6FB65EC06654}">
      <text>
        <r>
          <rPr>
            <b/>
            <sz val="9"/>
            <color indexed="81"/>
            <rFont val="Tahoma"/>
            <family val="2"/>
          </rPr>
          <t>2/10/25</t>
        </r>
        <r>
          <rPr>
            <sz val="9"/>
            <color indexed="81"/>
            <rFont val="Tahoma"/>
            <family val="2"/>
          </rPr>
          <t xml:space="preserve">
</t>
        </r>
        <r>
          <rPr>
            <sz val="9"/>
            <color indexed="10"/>
            <rFont val="Tahoma"/>
            <family val="2"/>
          </rPr>
          <t>Greys out column 8</t>
        </r>
      </text>
    </comment>
    <comment ref="E84" authorId="2" shapeId="0" xr:uid="{4973661E-85A4-4A86-94B5-9B938A67E736}">
      <text>
        <r>
          <rPr>
            <b/>
            <sz val="9"/>
            <color indexed="81"/>
            <rFont val="Tahoma"/>
            <family val="2"/>
          </rPr>
          <t>2/10/25</t>
        </r>
        <r>
          <rPr>
            <sz val="9"/>
            <color indexed="81"/>
            <rFont val="Tahoma"/>
            <family val="2"/>
          </rPr>
          <t xml:space="preserve">
</t>
        </r>
        <r>
          <rPr>
            <sz val="9"/>
            <color indexed="10"/>
            <rFont val="Tahoma"/>
            <family val="2"/>
          </rPr>
          <t>Greys out column 8</t>
        </r>
      </text>
    </comment>
    <comment ref="A86" authorId="1" shapeId="0" xr:uid="{8E648D2A-2EF9-4D62-AA0A-D6EF02A69334}">
      <text>
        <r>
          <rPr>
            <b/>
            <sz val="9"/>
            <color indexed="81"/>
            <rFont val="Tahoma"/>
            <family val="2"/>
          </rPr>
          <t xml:space="preserve">6/19/23
</t>
        </r>
        <r>
          <rPr>
            <sz val="9"/>
            <color indexed="81"/>
            <rFont val="Tahoma"/>
            <family val="2"/>
          </rPr>
          <t>Required when Compressor checkbox is selected above</t>
        </r>
      </text>
    </comment>
    <comment ref="E87" authorId="2" shapeId="0" xr:uid="{00000000-0006-0000-0800-00001C000000}">
      <text>
        <r>
          <rPr>
            <b/>
            <sz val="9"/>
            <color indexed="81"/>
            <rFont val="Tahoma"/>
            <family val="2"/>
          </rPr>
          <t>Sally Blair:</t>
        </r>
        <r>
          <rPr>
            <sz val="9"/>
            <color indexed="81"/>
            <rFont val="Tahoma"/>
            <family val="2"/>
          </rPr>
          <t xml:space="preserve">
This selection expands F.Compressors.01 -  F.Compressors.05 below for user input.  </t>
        </r>
      </text>
    </comment>
    <comment ref="F87" authorId="4" shapeId="0" xr:uid="{D63D8C1E-C352-4C36-A9A9-A5634C479D4D}">
      <text>
        <r>
          <rPr>
            <b/>
            <sz val="9"/>
            <color indexed="81"/>
            <rFont val="Tahoma"/>
            <family val="2"/>
          </rPr>
          <t>Ben Lalor:</t>
        </r>
        <r>
          <rPr>
            <sz val="9"/>
            <color indexed="81"/>
            <rFont val="Tahoma"/>
            <family val="2"/>
          </rPr>
          <t xml:space="preserve">
This selection 02-05 = blank/grayed out</t>
        </r>
      </text>
    </comment>
    <comment ref="A100" authorId="1" shapeId="0" xr:uid="{7197FAAC-D8BB-47CB-ADD3-FF7BCAA8513A}">
      <text>
        <r>
          <rPr>
            <b/>
            <sz val="9"/>
            <color indexed="81"/>
            <rFont val="Tahoma"/>
            <family val="2"/>
          </rPr>
          <t xml:space="preserve">6/19/23
</t>
        </r>
        <r>
          <rPr>
            <sz val="9"/>
            <color indexed="81"/>
            <rFont val="Tahoma"/>
            <family val="2"/>
          </rPr>
          <t xml:space="preserve">Required when Infiltration and automatic closure checkbox is selected above
</t>
        </r>
      </text>
    </comment>
    <comment ref="A114" authorId="1" shapeId="0" xr:uid="{BAC13D43-5A4A-45D5-9657-9D413B343E24}">
      <text>
        <r>
          <rPr>
            <b/>
            <sz val="9"/>
            <color indexed="81"/>
            <rFont val="Tahoma"/>
            <family val="2"/>
          </rPr>
          <t xml:space="preserve">6/19/23
</t>
        </r>
        <r>
          <rPr>
            <sz val="9"/>
            <color indexed="81"/>
            <rFont val="Tahoma"/>
            <family val="2"/>
          </rPr>
          <t>Required when Transcritical Gas Cooler checkbox is selected above</t>
        </r>
      </text>
    </comment>
    <comment ref="E115" authorId="2" shapeId="0" xr:uid="{56B5B651-9667-430B-BB3A-0FB6B5911D57}">
      <text>
        <r>
          <rPr>
            <b/>
            <sz val="9"/>
            <color indexed="81"/>
            <rFont val="Tahoma"/>
            <family val="2"/>
          </rPr>
          <t>11.14.21:</t>
        </r>
        <r>
          <rPr>
            <sz val="9"/>
            <color indexed="81"/>
            <rFont val="Tahoma"/>
            <family val="2"/>
          </rPr>
          <t xml:space="preserve">
Triggers "Alert!.." note if checked AND A03 = CZ 9-15</t>
        </r>
      </text>
    </comment>
    <comment ref="F115" authorId="2" shapeId="0" xr:uid="{027912C5-57F6-4BCD-86F9-A0E41B4EA3E6}">
      <text>
        <r>
          <rPr>
            <b/>
            <sz val="9"/>
            <color indexed="81"/>
            <rFont val="Tahoma"/>
            <family val="2"/>
          </rPr>
          <t>11.14.21:</t>
        </r>
        <r>
          <rPr>
            <sz val="9"/>
            <color indexed="81"/>
            <rFont val="Tahoma"/>
            <family val="2"/>
          </rPr>
          <t xml:space="preserve">
Both "Air-cooled" and "Adiabatic" choices trigger columns 02-09</t>
        </r>
      </text>
    </comment>
    <comment ref="G115" authorId="2" shapeId="0" xr:uid="{7CCC6502-1D75-4572-BA6A-221B86D46577}">
      <text>
        <r>
          <rPr>
            <b/>
            <sz val="9"/>
            <color indexed="81"/>
            <rFont val="Tahoma"/>
            <family val="2"/>
          </rPr>
          <t xml:space="preserve">11.14.21:
</t>
        </r>
        <r>
          <rPr>
            <sz val="9"/>
            <color indexed="81"/>
            <rFont val="Tahoma"/>
            <family val="2"/>
          </rPr>
          <t>Both "Altered/replacement…" and "No Transcritical CO2…" checkboxes do not expand any more  F.Transcritical.02-F.Transcritical.09  in this subtable (but footnote still shows)</t>
        </r>
      </text>
    </comment>
    <comment ref="F121" authorId="2" shapeId="0" xr:uid="{AA0ECD3E-7552-486A-A5CF-0CA875072A99}">
      <text>
        <r>
          <rPr>
            <b/>
            <sz val="9"/>
            <color indexed="81"/>
            <rFont val="Tahoma"/>
            <family val="2"/>
          </rPr>
          <t>11.14.21:</t>
        </r>
        <r>
          <rPr>
            <sz val="9"/>
            <color indexed="81"/>
            <rFont val="Tahoma"/>
            <family val="2"/>
          </rPr>
          <t xml:space="preserve">
If "Air-cooled" in col01, this = 160
If "Adiabatic" in col01, this = 90</t>
        </r>
      </text>
    </comment>
    <comment ref="H121" authorId="2" shapeId="0" xr:uid="{577CF2B9-FCFC-40BC-A725-EE3022DD6F4C}">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tc={DD0D540A-55AC-4826-A3B5-FDE68DBE7635}</author>
    <author>Lalor, Ben</author>
  </authors>
  <commentList>
    <comment ref="G4" authorId="0" shapeId="0" xr:uid="{00000000-0006-0000-0900-000001000000}">
      <text>
        <r>
          <rPr>
            <b/>
            <sz val="9"/>
            <color indexed="81"/>
            <rFont val="Tahoma"/>
            <family val="2"/>
          </rPr>
          <t>Sally Blair:</t>
        </r>
        <r>
          <rPr>
            <sz val="9"/>
            <color indexed="81"/>
            <rFont val="Tahoma"/>
            <family val="2"/>
          </rPr>
          <t xml:space="preserve">
These selections expand appropriate sub sections. </t>
        </r>
      </text>
    </comment>
    <comment ref="N4" authorId="1" shapeId="0" xr:uid="{DD0D540A-55AC-4826-A3B5-FDE68DBE7635}">
      <text>
        <t>[Threaded comment]
Your version of Excel allows you to read this threaded comment; however, any edits to it will get removed if the file is opened in a newer version of Excel. Learn more: https://go.microsoft.com/fwlink/?linkid=870924
Comment:
    Gina said “We need to add Pipe Insulation and support the new requirements of Table 120.3-A-1”
Reply:
    Gina - I’ve added the same table we use in PLB to support this. Do you have any problems with this?</t>
      </text>
    </comment>
    <comment ref="B6" authorId="0" shapeId="0" xr:uid="{00000000-0006-0000-0900-000002000000}">
      <text>
        <r>
          <rPr>
            <b/>
            <sz val="9"/>
            <color indexed="81"/>
            <rFont val="Tahoma"/>
            <family val="2"/>
          </rPr>
          <t>Sally Blair:</t>
        </r>
        <r>
          <rPr>
            <sz val="9"/>
            <color indexed="81"/>
            <rFont val="Tahoma"/>
            <family val="2"/>
          </rPr>
          <t xml:space="preserve">
If checked, columns 03-11 grey out.</t>
        </r>
      </text>
    </comment>
    <comment ref="B7" authorId="0" shapeId="0" xr:uid="{00000000-0006-0000-0900-000003000000}">
      <text>
        <r>
          <rPr>
            <b/>
            <sz val="9"/>
            <color indexed="81"/>
            <rFont val="Tahoma"/>
            <family val="2"/>
          </rPr>
          <t>2019 Update:</t>
        </r>
        <r>
          <rPr>
            <sz val="9"/>
            <color indexed="81"/>
            <rFont val="Tahoma"/>
            <family val="2"/>
          </rPr>
          <t xml:space="preserve">
If checked, columns 03-11 grey out.</t>
        </r>
      </text>
    </comment>
    <comment ref="H11" authorId="0" shapeId="0" xr:uid="{00000000-0006-0000-0900-000006000000}">
      <text>
        <r>
          <rPr>
            <b/>
            <sz val="9"/>
            <color indexed="81"/>
            <rFont val="Tahoma"/>
            <family val="2"/>
          </rPr>
          <t>Sally Blair:</t>
        </r>
        <r>
          <rPr>
            <sz val="9"/>
            <color indexed="81"/>
            <rFont val="Tahoma"/>
            <family val="2"/>
          </rPr>
          <t xml:space="preserve">
greys out if col 04 = evap cooled OR Adiabatic</t>
        </r>
      </text>
    </comment>
    <comment ref="I11" authorId="0" shapeId="0" xr:uid="{00000000-0006-0000-0900-000007000000}">
      <text>
        <r>
          <rPr>
            <b/>
            <sz val="9"/>
            <color indexed="81"/>
            <rFont val="Tahoma"/>
            <family val="2"/>
          </rPr>
          <t>Sally Blair:</t>
        </r>
        <r>
          <rPr>
            <sz val="9"/>
            <color indexed="81"/>
            <rFont val="Tahoma"/>
            <family val="2"/>
          </rPr>
          <t xml:space="preserve">
If all columns which are not grey are completed &amp; column 09 &gt;= column 08</t>
        </r>
      </text>
    </comment>
    <comment ref="E15" authorId="0" shapeId="0" xr:uid="{00000000-0006-0000-0900-000008000000}">
      <text>
        <r>
          <rPr>
            <b/>
            <sz val="9"/>
            <color indexed="81"/>
            <rFont val="Tahoma"/>
            <family val="2"/>
          </rPr>
          <t xml:space="preserve">Sally Blair
</t>
        </r>
        <r>
          <rPr>
            <sz val="9"/>
            <color indexed="81"/>
            <rFont val="Tahoma"/>
            <family val="2"/>
          </rPr>
          <t>This selection or one of the two below greys out column 08-09</t>
        </r>
      </text>
    </comment>
    <comment ref="B22" authorId="0" shapeId="0" xr:uid="{00000000-0006-0000-0900-00000B000000}">
      <text>
        <r>
          <rPr>
            <b/>
            <sz val="9"/>
            <color indexed="81"/>
            <rFont val="Tahoma"/>
            <family val="2"/>
          </rPr>
          <t>Sally Blair:</t>
        </r>
        <r>
          <rPr>
            <sz val="9"/>
            <color indexed="81"/>
            <rFont val="Tahoma"/>
            <family val="2"/>
          </rPr>
          <t xml:space="preserve">
If checked, columns 02-04 grey out.</t>
        </r>
      </text>
    </comment>
    <comment ref="B47" authorId="0" shapeId="0" xr:uid="{00000000-0006-0000-0900-00000C000000}">
      <text>
        <r>
          <rPr>
            <b/>
            <sz val="9"/>
            <color indexed="81"/>
            <rFont val="Tahoma"/>
            <family val="2"/>
          </rPr>
          <t>Sally Blair:</t>
        </r>
        <r>
          <rPr>
            <sz val="9"/>
            <color indexed="81"/>
            <rFont val="Tahoma"/>
            <family val="2"/>
          </rPr>
          <t xml:space="preserve">
If checked, column 02 greys out.</t>
        </r>
      </text>
    </comment>
    <comment ref="A62" authorId="2" shapeId="0" xr:uid="{F27F5001-24E7-4DEB-9DAF-9DA48C803B44}">
      <text>
        <r>
          <rPr>
            <b/>
            <sz val="9"/>
            <color indexed="81"/>
            <rFont val="Tahoma"/>
            <family val="2"/>
          </rPr>
          <t>6/19/23</t>
        </r>
        <r>
          <rPr>
            <sz val="9"/>
            <color indexed="81"/>
            <rFont val="Tahoma"/>
            <family val="2"/>
          </rPr>
          <t xml:space="preserve">
Required when Transcritical CO2 Fan-powered Gas Coolers checkbox is selected above</t>
        </r>
      </text>
    </comment>
    <comment ref="E63" authorId="0" shapeId="0" xr:uid="{196456EE-DF01-4DE1-B656-3D30C70E6A63}">
      <text>
        <r>
          <rPr>
            <b/>
            <sz val="9"/>
            <color indexed="81"/>
            <rFont val="Tahoma"/>
            <family val="2"/>
          </rPr>
          <t>11.14.21:</t>
        </r>
        <r>
          <rPr>
            <sz val="9"/>
            <color indexed="81"/>
            <rFont val="Tahoma"/>
            <family val="2"/>
          </rPr>
          <t xml:space="preserve">
Triggers "Alert!.." note if checked AND A03 = CZ </t>
        </r>
        <r>
          <rPr>
            <b/>
            <sz val="9"/>
            <color indexed="81"/>
            <rFont val="Tahoma"/>
            <family val="2"/>
          </rPr>
          <t>10</t>
        </r>
        <r>
          <rPr>
            <sz val="9"/>
            <color indexed="81"/>
            <rFont val="Tahoma"/>
            <family val="2"/>
          </rPr>
          <t xml:space="preserve">-15
</t>
        </r>
        <r>
          <rPr>
            <i/>
            <sz val="9"/>
            <color indexed="81"/>
            <rFont val="Tahoma"/>
            <family val="2"/>
          </rPr>
          <t>NOTE: In Table F, the CZ is 9-15, here it's 10-15</t>
        </r>
      </text>
    </comment>
    <comment ref="F63" authorId="0" shapeId="0" xr:uid="{F9125495-E89F-43A8-8F4C-C4D878A2D149}">
      <text>
        <r>
          <rPr>
            <b/>
            <sz val="9"/>
            <color indexed="81"/>
            <rFont val="Tahoma"/>
            <family val="2"/>
          </rPr>
          <t>11.14.21:</t>
        </r>
        <r>
          <rPr>
            <sz val="9"/>
            <color indexed="81"/>
            <rFont val="Tahoma"/>
            <family val="2"/>
          </rPr>
          <t xml:space="preserve">
Both "Air-cooled" and "Adiabatic" choices trigger columns 02-09</t>
        </r>
      </text>
    </comment>
    <comment ref="G63" authorId="0" shapeId="0" xr:uid="{A86632A5-F3E8-4E05-A91B-6219514C8C24}">
      <text>
        <r>
          <rPr>
            <b/>
            <sz val="9"/>
            <color indexed="81"/>
            <rFont val="Tahoma"/>
            <family val="2"/>
          </rPr>
          <t xml:space="preserve">11.14.21:
</t>
        </r>
        <r>
          <rPr>
            <sz val="9"/>
            <color indexed="81"/>
            <rFont val="Tahoma"/>
            <family val="2"/>
          </rPr>
          <t>Both "Altered/replacement…" and "No Transcritical CO2…" checkboxes do not expand any more F.Transcritical.02-F.Transcritical.09 in this subtable (but footnote still shows)</t>
        </r>
      </text>
    </comment>
    <comment ref="F69" authorId="0" shapeId="0" xr:uid="{6BF31764-E314-4432-99DC-C7EB24931FAB}">
      <text>
        <r>
          <rPr>
            <b/>
            <sz val="9"/>
            <color indexed="81"/>
            <rFont val="Tahoma"/>
            <family val="2"/>
          </rPr>
          <t>11.14.21:</t>
        </r>
        <r>
          <rPr>
            <sz val="9"/>
            <color indexed="81"/>
            <rFont val="Tahoma"/>
            <family val="2"/>
          </rPr>
          <t xml:space="preserve">
If "Air-cooled" in col01, this = 160
If "Adiabatic" in col01, this = 90</t>
        </r>
      </text>
    </comment>
    <comment ref="H69" authorId="0" shapeId="0" xr:uid="{1731DC7F-7847-4CE6-B672-DF8B89F919E1}">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B7" authorId="0" shapeId="0" xr:uid="{00000000-0006-0000-0A00-000003000000}">
      <text>
        <r>
          <rPr>
            <b/>
            <sz val="9"/>
            <color indexed="81"/>
            <rFont val="Tahoma"/>
            <family val="2"/>
          </rPr>
          <t>2019 Updates:</t>
        </r>
        <r>
          <rPr>
            <sz val="9"/>
            <color indexed="81"/>
            <rFont val="Tahoma"/>
            <family val="2"/>
          </rPr>
          <t xml:space="preserve">
If Yes is checked in 01 or 02 then H.03-H.14 grey out</t>
        </r>
      </text>
    </comment>
    <comment ref="H18" authorId="1" shapeId="0" xr:uid="{00000000-0006-0000-0A00-000008000000}">
      <text>
        <r>
          <rPr>
            <b/>
            <sz val="9"/>
            <color indexed="81"/>
            <rFont val="Tahoma"/>
            <family val="2"/>
          </rPr>
          <t>Sally Blair:</t>
        </r>
        <r>
          <rPr>
            <sz val="9"/>
            <color indexed="81"/>
            <rFont val="Tahoma"/>
            <family val="2"/>
          </rPr>
          <t xml:space="preserve">
"Yes" if column 12&gt;= column 13</t>
        </r>
      </text>
    </comment>
    <comment ref="G19" authorId="1" shapeId="0" xr:uid="{00000000-0006-0000-0A00-000009000000}">
      <text>
        <r>
          <rPr>
            <b/>
            <sz val="9"/>
            <color indexed="81"/>
            <rFont val="Tahoma"/>
            <family val="2"/>
          </rPr>
          <t>Sally Blair:</t>
        </r>
        <r>
          <rPr>
            <sz val="9"/>
            <color indexed="81"/>
            <rFont val="Tahoma"/>
            <family val="2"/>
          </rPr>
          <t xml:space="preserve">
would duplicate user input H.10-H.14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3" authorId="0" shapeId="0" xr:uid="{00000000-0006-0000-0B00-000001000000}">
      <text>
        <r>
          <rPr>
            <b/>
            <sz val="9"/>
            <color indexed="81"/>
            <rFont val="Tahoma"/>
            <family val="2"/>
          </rPr>
          <t>Sally Blair:</t>
        </r>
        <r>
          <rPr>
            <sz val="9"/>
            <color indexed="81"/>
            <rFont val="Tahoma"/>
            <family val="2"/>
          </rPr>
          <t xml:space="preserve">
If selected, columns 04 &amp; 05 grey out</t>
        </r>
      </text>
    </comment>
    <comment ref="B14" authorId="0" shapeId="0" xr:uid="{00000000-0006-0000-0B00-000002000000}">
      <text>
        <r>
          <rPr>
            <b/>
            <sz val="9"/>
            <color indexed="81"/>
            <rFont val="Tahoma"/>
            <family val="2"/>
          </rPr>
          <t>11.14.21:</t>
        </r>
        <r>
          <rPr>
            <sz val="9"/>
            <color indexed="81"/>
            <rFont val="Tahoma"/>
            <family val="2"/>
          </rPr>
          <t xml:space="preserve">
This selection opens column 05, otherwise greys out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Alexis Markstrum</author>
  </authors>
  <commentList>
    <comment ref="E13" authorId="0" shapeId="0" xr:uid="{B30EFEC5-3A1D-4C9B-9296-E93023AF8BCB}">
      <text>
        <r>
          <rPr>
            <b/>
            <sz val="9"/>
            <color indexed="10"/>
            <rFont val="Tahoma"/>
            <family val="2"/>
          </rPr>
          <t>Alexis Markstrum:</t>
        </r>
        <r>
          <rPr>
            <sz val="9"/>
            <color indexed="10"/>
            <rFont val="Tahoma"/>
            <family val="2"/>
          </rPr>
          <t xml:space="preserve">
If this is selected, gray out Column 06</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G8" authorId="0" shapeId="0" xr:uid="{00000000-0006-0000-0D00-000003000000}">
      <text>
        <r>
          <rPr>
            <b/>
            <sz val="9"/>
            <color indexed="81"/>
            <rFont val="Tahoma"/>
            <family val="2"/>
          </rPr>
          <t>Sally Blair:</t>
        </r>
        <r>
          <rPr>
            <sz val="9"/>
            <color indexed="81"/>
            <rFont val="Tahoma"/>
            <family val="2"/>
          </rPr>
          <t xml:space="preserve">
If 07&lt;06 trigger note #2 in Table D.</t>
        </r>
      </text>
    </comment>
    <comment ref="G9" authorId="0" shapeId="0" xr:uid="{00000000-0006-0000-0D00-000004000000}">
      <text>
        <r>
          <rPr>
            <b/>
            <sz val="9"/>
            <color indexed="81"/>
            <rFont val="Tahoma"/>
            <family val="2"/>
          </rPr>
          <t xml:space="preserve">October 2019 Update:
</t>
        </r>
        <r>
          <rPr>
            <sz val="9"/>
            <color indexed="81"/>
            <rFont val="Tahoma"/>
            <family val="2"/>
          </rPr>
          <t xml:space="preserve">When the "Add Fixture" button is used the "maxiumum power allowed" cell in the added row should be gray with no value. The sum of the "maximum power allowed" should match the value in the first row of K.07
</t>
        </r>
      </text>
    </comment>
    <comment ref="F11" authorId="1" shapeId="0" xr:uid="{00000000-0006-0000-0D00-000005000000}">
      <text>
        <r>
          <rPr>
            <b/>
            <sz val="9"/>
            <color indexed="81"/>
            <rFont val="Tahoma"/>
            <family val="2"/>
          </rPr>
          <t xml:space="preserve">2019 Update:
</t>
        </r>
        <r>
          <rPr>
            <sz val="9"/>
            <color indexed="81"/>
            <rFont val="Tahoma"/>
            <family val="2"/>
          </rPr>
          <t xml:space="preserve">ability to add (and remove) multiple fixtures incase elevator has more than one fixture type. Table can now expand columns 2-7 and sum up columns 5 and 6
</t>
        </r>
      </text>
    </comment>
    <comment ref="A15" authorId="1" shapeId="0" xr:uid="{00000000-0006-0000-0D00-000007000000}">
      <text>
        <r>
          <rPr>
            <b/>
            <sz val="9"/>
            <color indexed="81"/>
            <rFont val="Tahoma"/>
            <family val="2"/>
          </rPr>
          <t>Ben Lalor:</t>
        </r>
        <r>
          <rPr>
            <sz val="9"/>
            <color indexed="81"/>
            <rFont val="Tahoma"/>
            <family val="2"/>
          </rPr>
          <t xml:space="preserve">
Should pull elevator ID not fixture ID</t>
        </r>
      </text>
    </comment>
    <comment ref="F15" authorId="0" shapeId="0" xr:uid="{00000000-0006-0000-0D00-000008000000}">
      <text>
        <r>
          <rPr>
            <b/>
            <sz val="9"/>
            <color indexed="81"/>
            <rFont val="Tahoma"/>
            <family val="2"/>
          </rPr>
          <t>Sally Blair:</t>
        </r>
        <r>
          <rPr>
            <sz val="9"/>
            <color indexed="81"/>
            <rFont val="Tahoma"/>
            <family val="2"/>
          </rPr>
          <t xml:space="preserve">
If 14&lt;13 trigger note #3 in Table D.</t>
        </r>
      </text>
    </comment>
    <comment ref="F16" authorId="0" shapeId="0" xr:uid="{00000000-0006-0000-0D00-000009000000}">
      <text>
        <r>
          <rPr>
            <b/>
            <sz val="9"/>
            <color indexed="81"/>
            <rFont val="Tahoma"/>
            <family val="2"/>
          </rPr>
          <t xml:space="preserve">Sally Blair:
</t>
        </r>
        <r>
          <rPr>
            <sz val="9"/>
            <color indexed="81"/>
            <rFont val="Tahoma"/>
            <family val="2"/>
          </rPr>
          <t>Duplicates columns 01-08 and 09-15</t>
        </r>
      </text>
    </comment>
    <comment ref="B30" authorId="0" shapeId="0" xr:uid="{00000000-0006-0000-0D00-00000B000000}">
      <text>
        <r>
          <rPr>
            <b/>
            <sz val="9"/>
            <color indexed="81"/>
            <rFont val="Tahoma"/>
            <family val="2"/>
          </rPr>
          <t>Sally Blair:</t>
        </r>
        <r>
          <rPr>
            <sz val="9"/>
            <color indexed="81"/>
            <rFont val="Tahoma"/>
            <family val="2"/>
          </rPr>
          <t xml:space="preserve">
grey out columns 11-15 if selected.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1" authorId="0" shapeId="0" xr:uid="{48D183FF-9F8E-44E5-94BE-F851BE7601BB}">
      <text>
        <r>
          <rPr>
            <b/>
            <sz val="9"/>
            <color indexed="81"/>
            <rFont val="Tahoma"/>
            <family val="2"/>
          </rPr>
          <t>11.20.21:</t>
        </r>
        <r>
          <rPr>
            <sz val="9"/>
            <color indexed="81"/>
            <rFont val="Tahoma"/>
            <family val="2"/>
          </rPr>
          <t xml:space="preserve">
Greys out columns 05-07</t>
        </r>
      </text>
    </comment>
    <comment ref="E29" authorId="0" shapeId="0" xr:uid="{356DB4AB-A40E-4BE3-9ED1-235D04907215}">
      <text>
        <r>
          <rPr>
            <b/>
            <sz val="9"/>
            <color indexed="81"/>
            <rFont val="Tahoma"/>
            <family val="2"/>
          </rPr>
          <t>11.21.21:</t>
        </r>
        <r>
          <rPr>
            <sz val="9"/>
            <color indexed="81"/>
            <rFont val="Tahoma"/>
            <family val="2"/>
          </rPr>
          <t xml:space="preserve">
Equation depends on col03 &amp; col04. See Table 140.9-B to right for equation.
EMOD = 0.004 always
Note "ln" is just the log of Power in col04. So if ln is in the equation, it just mathmatically = "log(col04)"
</t>
        </r>
      </text>
    </comment>
    <comment ref="F29" authorId="0" shapeId="0" xr:uid="{C5DAF26E-0F6E-400B-AED5-6AEDDAE34B75}">
      <text>
        <r>
          <rPr>
            <b/>
            <sz val="9"/>
            <color indexed="81"/>
            <rFont val="Tahoma"/>
            <family val="2"/>
          </rPr>
          <t>11.21.21:</t>
        </r>
        <r>
          <rPr>
            <sz val="9"/>
            <color indexed="81"/>
            <rFont val="Tahoma"/>
            <family val="2"/>
          </rPr>
          <t xml:space="preserve">
Both col05 &amp; col06 should be rounded to the third decimal place for compliance evaluation &amp; reporting.</t>
        </r>
      </text>
    </comment>
    <comment ref="B34" authorId="0" shapeId="0" xr:uid="{3A2FAED8-7448-4550-AD33-A5B95F05A10A}">
      <text>
        <r>
          <rPr>
            <b/>
            <sz val="9"/>
            <color indexed="81"/>
            <rFont val="Tahoma"/>
            <family val="2"/>
          </rPr>
          <t>11.20.21:</t>
        </r>
        <r>
          <rPr>
            <sz val="9"/>
            <color indexed="81"/>
            <rFont val="Tahoma"/>
            <family val="2"/>
          </rPr>
          <t xml:space="preserve">
Both NA options grey out columns 03-06</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Trujillo, Charlie</author>
    <author>Alexis Markstrum</author>
  </authors>
  <commentList>
    <comment ref="A4" authorId="0" shapeId="0" xr:uid="{00000000-0006-0000-1000-000001000000}">
      <text>
        <r>
          <rPr>
            <b/>
            <sz val="9"/>
            <color indexed="81"/>
            <rFont val="Tahoma"/>
            <family val="2"/>
          </rPr>
          <t>2019 Updates:
6.9.20 Update:
keeping Kitchen Exhaust Section initially triggered with Table N.</t>
        </r>
        <r>
          <rPr>
            <sz val="9"/>
            <color indexed="81"/>
            <rFont val="Tahoma"/>
            <family val="2"/>
          </rPr>
          <t xml:space="preserve">
When Table N is triggered only N.01,02,03,05 and the kitchen exhaust section are initially triggered. N.04 is triggered through the choices made in this table. </t>
        </r>
      </text>
    </comment>
    <comment ref="C7" authorId="0" shapeId="0" xr:uid="{00000000-0006-0000-1000-000003000000}">
      <text>
        <r>
          <rPr>
            <b/>
            <sz val="9"/>
            <color indexed="81"/>
            <rFont val="Tahoma"/>
            <family val="2"/>
          </rPr>
          <t>2019 Updates:</t>
        </r>
        <r>
          <rPr>
            <sz val="9"/>
            <color indexed="81"/>
            <rFont val="Tahoma"/>
            <family val="2"/>
          </rPr>
          <t xml:space="preserve">
When user selects 01, the rest of the table should grey out, all requirements are NA</t>
        </r>
      </text>
    </comment>
    <comment ref="A17" authorId="0" shapeId="0" xr:uid="{00000000-0006-0000-1000-000004000000}">
      <text>
        <r>
          <rPr>
            <b/>
            <sz val="9"/>
            <color indexed="81"/>
            <rFont val="Tahoma"/>
            <family val="2"/>
          </rPr>
          <t xml:space="preserve">2019 Updates:
</t>
        </r>
        <r>
          <rPr>
            <sz val="9"/>
            <color indexed="81"/>
            <rFont val="Tahoma"/>
            <family val="2"/>
          </rPr>
          <t>Triggers only when 03 = "not exceed the hood exhaust flow minus the available transfer air…"</t>
        </r>
      </text>
    </comment>
    <comment ref="G28" authorId="1" shapeId="0" xr:uid="{00000000-0006-0000-1000-000006000000}">
      <text>
        <r>
          <rPr>
            <b/>
            <sz val="9"/>
            <color indexed="81"/>
            <rFont val="Tahoma"/>
            <family val="2"/>
          </rPr>
          <t>11.21.21:</t>
        </r>
        <r>
          <rPr>
            <sz val="9"/>
            <color indexed="81"/>
            <rFont val="Tahoma"/>
            <family val="2"/>
          </rPr>
          <t xml:space="preserve">
See Table 140.9 C for rate, then multiply by column 05.</t>
        </r>
      </text>
    </comment>
    <comment ref="H31" authorId="0" shapeId="0" xr:uid="{00000000-0006-0000-1000-000008000000}">
      <text>
        <r>
          <rPr>
            <b/>
            <sz val="9"/>
            <color indexed="81"/>
            <rFont val="Tahoma"/>
            <family val="2"/>
          </rPr>
          <t>Ben Lalor:</t>
        </r>
        <r>
          <rPr>
            <sz val="9"/>
            <color indexed="81"/>
            <rFont val="Tahoma"/>
            <family val="2"/>
          </rPr>
          <t xml:space="preserve">
ability to add a kitchen, instead of just adding a new row like the add hood button, add kitchen would replicate 01-08 and add hood remove hood buttons, only one set of add kitchen buttons should stay with the top kitchen.</t>
        </r>
      </text>
    </comment>
    <comment ref="E32" authorId="1" shapeId="0" xr:uid="{00000000-0006-0000-1000-000009000000}">
      <text>
        <r>
          <rPr>
            <b/>
            <sz val="9"/>
            <color indexed="81"/>
            <rFont val="Tahoma"/>
            <family val="2"/>
          </rPr>
          <t>Sally Blair:</t>
        </r>
        <r>
          <rPr>
            <sz val="9"/>
            <color indexed="81"/>
            <rFont val="Tahoma"/>
            <family val="2"/>
          </rPr>
          <t xml:space="preserve">
Custom drropdown for the following selections in column 04:
- Wall Mounted Canopy
- Single Island
- Double Island</t>
        </r>
      </text>
    </comment>
    <comment ref="B36" authorId="1" shapeId="0" xr:uid="{00000000-0006-0000-1000-00000A000000}">
      <text>
        <r>
          <rPr>
            <b/>
            <sz val="9"/>
            <color indexed="81"/>
            <rFont val="Tahoma"/>
            <family val="2"/>
          </rPr>
          <t>Sally Blair:</t>
        </r>
        <r>
          <rPr>
            <sz val="9"/>
            <color indexed="81"/>
            <rFont val="Tahoma"/>
            <family val="2"/>
          </rPr>
          <t xml:space="preserve">
This selection should grey out columns 04-06 &amp; 08</t>
        </r>
      </text>
    </comment>
    <comment ref="G37" authorId="1" shapeId="0" xr:uid="{00000000-0006-0000-1000-00000B000000}">
      <text>
        <r>
          <rPr>
            <b/>
            <sz val="9"/>
            <color indexed="81"/>
            <rFont val="Tahoma"/>
            <family val="2"/>
          </rPr>
          <t>Sally Blair:</t>
        </r>
        <r>
          <rPr>
            <sz val="9"/>
            <color indexed="81"/>
            <rFont val="Tahoma"/>
            <family val="2"/>
          </rPr>
          <t xml:space="preserve">
All 3 of these "NA" options should grey out columns 04-06 &amp; 08</t>
        </r>
      </text>
    </comment>
    <comment ref="E38" authorId="1" shapeId="0" xr:uid="{00000000-0006-0000-1000-00000C000000}">
      <text>
        <r>
          <rPr>
            <b/>
            <sz val="9"/>
            <color indexed="81"/>
            <rFont val="Tahoma"/>
            <family val="2"/>
          </rPr>
          <t>Sally Blair:</t>
        </r>
        <r>
          <rPr>
            <sz val="9"/>
            <color indexed="81"/>
            <rFont val="Tahoma"/>
            <family val="2"/>
          </rPr>
          <t xml:space="preserve">
Custom drropdown for the following selections in column 04:
- Eyebrow</t>
        </r>
      </text>
    </comment>
    <comment ref="E42" authorId="1" shapeId="0" xr:uid="{00000000-0006-0000-1000-00000D000000}">
      <text>
        <r>
          <rPr>
            <b/>
            <sz val="9"/>
            <color indexed="81"/>
            <rFont val="Tahoma"/>
            <family val="2"/>
          </rPr>
          <t>Sally Blair:</t>
        </r>
        <r>
          <rPr>
            <sz val="9"/>
            <color indexed="81"/>
            <rFont val="Tahoma"/>
            <family val="2"/>
          </rPr>
          <t xml:space="preserve">
Custom drropdown for the following selections in column 04:
- Backshelf/ Passover</t>
        </r>
      </text>
    </comment>
    <comment ref="A74" authorId="2" shapeId="0" xr:uid="{B93AF13B-29BD-4242-B3F4-1729697430CE}">
      <text>
        <r>
          <rPr>
            <b/>
            <sz val="9"/>
            <color indexed="10"/>
            <rFont val="Tahoma"/>
            <family val="2"/>
          </rPr>
          <t>Trujillo, Charlie:</t>
        </r>
        <r>
          <rPr>
            <sz val="9"/>
            <color indexed="10"/>
            <rFont val="Tahoma"/>
            <family val="2"/>
          </rPr>
          <t xml:space="preserve">
If all-electric or healthcare is selected
   subtable does not trigger;
Else if gas/propane is selected
   subtable triggers;</t>
        </r>
      </text>
    </comment>
    <comment ref="G74" authorId="3" shapeId="0" xr:uid="{3B23E399-4F6F-4A78-A5EB-BE0902A6E715}">
      <text>
        <r>
          <rPr>
            <b/>
            <sz val="9"/>
            <color indexed="10"/>
            <rFont val="Tahoma"/>
            <family val="2"/>
          </rPr>
          <t>Alexis Markstrum:</t>
        </r>
        <r>
          <rPr>
            <sz val="9"/>
            <color indexed="10"/>
            <rFont val="Tahoma"/>
            <family val="2"/>
          </rPr>
          <t xml:space="preserve">
Greys out rest of table</t>
        </r>
      </text>
    </comment>
    <comment ref="H74" authorId="3" shapeId="0" xr:uid="{AF13305B-7782-49E3-8289-7CB33B987480}">
      <text>
        <r>
          <rPr>
            <b/>
            <sz val="9"/>
            <color indexed="10"/>
            <rFont val="Tahoma"/>
            <family val="2"/>
          </rPr>
          <t>Alexis Markstrum:</t>
        </r>
        <r>
          <rPr>
            <sz val="9"/>
            <color indexed="10"/>
            <rFont val="Tahoma"/>
            <family val="2"/>
          </rPr>
          <t xml:space="preserve">
Greys out rest of table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Trujillo, Charlie</author>
    <author>Lalor, Ben</author>
    <author>Alexis Markstrum</author>
    <author>Ben Lalor</author>
    <author>Sally Blair</author>
  </authors>
  <commentList>
    <comment ref="K7" authorId="0" shapeId="0" xr:uid="{C37B99C2-0668-4EED-B60B-A52F861423AB}">
      <text>
        <r>
          <rPr>
            <b/>
            <sz val="9"/>
            <color indexed="10"/>
            <rFont val="Tahoma"/>
            <family val="2"/>
          </rPr>
          <t>Trujillo, Charlie:</t>
        </r>
        <r>
          <rPr>
            <sz val="9"/>
            <color indexed="10"/>
            <rFont val="Tahoma"/>
            <family val="2"/>
          </rPr>
          <t xml:space="preserve">
Blank/Grey out if Climate Zone (A.02) == 7 or 15</t>
        </r>
      </text>
    </comment>
    <comment ref="B17" authorId="1" shapeId="0" xr:uid="{3BAF9DB0-BD5E-4853-908D-7DF4D64B62B2}">
      <text>
        <r>
          <rPr>
            <b/>
            <sz val="9"/>
            <color indexed="81"/>
            <rFont val="Tahoma"/>
            <family val="2"/>
          </rPr>
          <t>2/11/25</t>
        </r>
        <r>
          <rPr>
            <sz val="9"/>
            <color indexed="81"/>
            <rFont val="Tahoma"/>
            <family val="2"/>
          </rPr>
          <t xml:space="preserve">
</t>
        </r>
        <r>
          <rPr>
            <sz val="9"/>
            <color indexed="10"/>
            <rFont val="Tahoma"/>
            <family val="2"/>
          </rPr>
          <t>If selected, 03-05 == BlankGrayedOut</t>
        </r>
      </text>
    </comment>
    <comment ref="I20" authorId="2" shapeId="0" xr:uid="{9CFE6229-A96A-4B4A-9FF0-19996645446A}">
      <text>
        <r>
          <rPr>
            <b/>
            <sz val="9"/>
            <color indexed="81"/>
            <rFont val="Tahoma"/>
            <family val="2"/>
          </rPr>
          <t>Alexis Markstrum:</t>
        </r>
        <r>
          <rPr>
            <sz val="9"/>
            <color indexed="81"/>
            <rFont val="Tahoma"/>
            <family val="2"/>
          </rPr>
          <t xml:space="preserve">
Ben - check Gina's comment on this field </t>
        </r>
      </text>
    </comment>
    <comment ref="I22" authorId="1" shapeId="0" xr:uid="{8661EEDA-FB76-44CD-BA10-84243C1561B2}">
      <text>
        <r>
          <rPr>
            <b/>
            <sz val="9"/>
            <color indexed="81"/>
            <rFont val="Tahoma"/>
            <family val="2"/>
          </rPr>
          <t>2/11/25</t>
        </r>
        <r>
          <rPr>
            <sz val="9"/>
            <color indexed="10"/>
            <rFont val="Tahoma"/>
            <family val="2"/>
          </rPr>
          <t xml:space="preserve">
</t>
        </r>
        <r>
          <rPr>
            <b/>
            <sz val="9"/>
            <color indexed="10"/>
            <rFont val="Tahoma"/>
            <family val="2"/>
          </rPr>
          <t>Ben - check Gina's comment on this field</t>
        </r>
        <r>
          <rPr>
            <sz val="9"/>
            <color indexed="10"/>
            <rFont val="Tahoma"/>
            <family val="2"/>
          </rPr>
          <t xml:space="preserve">
Triggers Fan System table below</t>
        </r>
      </text>
    </comment>
    <comment ref="A27" authorId="1" shapeId="0" xr:uid="{F91F6B8F-C17D-4153-8734-E65756EBFCD0}">
      <text>
        <r>
          <rPr>
            <b/>
            <sz val="9"/>
            <color indexed="81"/>
            <rFont val="Tahoma"/>
            <family val="2"/>
          </rPr>
          <t>Lalor, Ben:</t>
        </r>
        <r>
          <rPr>
            <sz val="9"/>
            <color indexed="81"/>
            <rFont val="Tahoma"/>
            <family val="2"/>
          </rPr>
          <t xml:space="preserve">
This table triggers if </t>
        </r>
      </text>
    </comment>
    <comment ref="A28" authorId="3" shapeId="0" xr:uid="{CAEE3940-094A-4122-9070-267DA999520E}">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29" authorId="1" shapeId="0" xr:uid="{F9A0DE0A-C497-4952-89B2-1596D9B2FAC8}">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29" authorId="3" shapeId="0" xr:uid="{CC39DDAA-6F74-4329-93F7-FB92F95A88FC}">
      <text>
        <r>
          <rPr>
            <b/>
            <sz val="9"/>
            <color indexed="81"/>
            <rFont val="Tahoma"/>
            <family val="2"/>
          </rPr>
          <t xml:space="preserve">4/6/22:
</t>
        </r>
        <r>
          <rPr>
            <sz val="9"/>
            <color indexed="81"/>
            <rFont val="Tahoma"/>
            <family val="2"/>
          </rPr>
          <t>If this = "Serving Individual"OR "Serving Multiple"
THEN H.01-H.12 AND Fan System Airflow, Site Elevation and Economizer = gray/blank out AND System Name transfers to H.01 of the Dwelling Unit Fan Efficacy</t>
        </r>
      </text>
    </comment>
    <comment ref="N29" authorId="3" shapeId="0" xr:uid="{F418AEF9-961C-47BA-BEBF-B1FCBF8693B0}">
      <text>
        <r>
          <rPr>
            <b/>
            <sz val="9"/>
            <color indexed="81"/>
            <rFont val="Tahoma"/>
            <family val="2"/>
          </rPr>
          <t>3.25.22</t>
        </r>
        <r>
          <rPr>
            <sz val="9"/>
            <color indexed="81"/>
            <rFont val="Tahoma"/>
            <family val="2"/>
          </rPr>
          <t xml:space="preserve">
If &gt;=3,000 feet use the correction factors of Table 140.4C</t>
        </r>
      </text>
    </comment>
    <comment ref="K34" authorId="3" shapeId="0" xr:uid="{3887111F-E436-4466-ACAA-B4169E993578}">
      <text>
        <r>
          <rPr>
            <b/>
            <sz val="9"/>
            <color indexed="81"/>
            <rFont val="Tahoma"/>
            <family val="2"/>
          </rPr>
          <t>8/3/21</t>
        </r>
        <r>
          <rPr>
            <sz val="9"/>
            <color indexed="81"/>
            <rFont val="Tahoma"/>
            <family val="2"/>
          </rPr>
          <t xml:space="preserve">
Grays out unless H.04 = any of the following:
 - "Evaporative humidfier/cooler in a series…."
- "Gas Phase filtration"
- Laboratory or Vivarium
- Biosaftey Cabinet
- Filters, scrubber or other exhaust treatment 
</t>
        </r>
      </text>
    </comment>
    <comment ref="L34" authorId="3" shapeId="0" xr:uid="{847B8125-4FF0-4EA4-9F8E-06F2A0AFBE00}">
      <text>
        <r>
          <rPr>
            <b/>
            <sz val="9"/>
            <color indexed="81"/>
            <rFont val="Tahoma"/>
            <family val="2"/>
          </rPr>
          <t>8.3.21</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34" authorId="3" shapeId="0" xr:uid="{C32A7B47-27EC-4058-AF4D-60E64F020B42}">
      <text>
        <r>
          <rPr>
            <b/>
            <sz val="9"/>
            <color indexed="81"/>
            <rFont val="Tahoma"/>
            <family val="2"/>
          </rPr>
          <t xml:space="preserve">8.3.21
</t>
        </r>
        <r>
          <rPr>
            <sz val="9"/>
            <color indexed="81"/>
            <rFont val="Tahoma"/>
            <family val="2"/>
          </rPr>
          <t xml:space="preserve">= sum for fan all components (H.05 x H.07) 
</t>
        </r>
      </text>
    </comment>
    <comment ref="O34" authorId="3" shapeId="0" xr:uid="{0F66C2D7-F716-4C7B-952F-1813C975CD62}">
      <text>
        <r>
          <rPr>
            <b/>
            <sz val="9"/>
            <color indexed="81"/>
            <rFont val="Tahoma"/>
            <family val="2"/>
          </rPr>
          <t>8.3.21</t>
        </r>
        <r>
          <rPr>
            <sz val="9"/>
            <color indexed="81"/>
            <rFont val="Tahoma"/>
            <family val="2"/>
          </rPr>
          <t xml:space="preserve">
Gray unless H.09 = default per 140.4-D</t>
        </r>
      </text>
    </comment>
    <comment ref="P34" authorId="3" shapeId="0" xr:uid="{8F0C025F-95F8-4073-BC55-796F5DB5E738}">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36" authorId="4" shapeId="0" xr:uid="{4A1E0948-F98E-4FB4-BC00-B69CFBB16604}">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42" authorId="3" shapeId="0" xr:uid="{EAB88FA7-B5A8-4195-B138-E6CEF5D18674}">
      <text>
        <r>
          <rPr>
            <b/>
            <sz val="9"/>
            <color indexed="81"/>
            <rFont val="Tahoma"/>
            <family val="2"/>
          </rPr>
          <t xml:space="preserve">6.20.22
</t>
        </r>
        <r>
          <rPr>
            <sz val="9"/>
            <color indexed="81"/>
            <rFont val="Tahoma"/>
            <family val="2"/>
          </rPr>
          <t>If all Fan System Electrical Input Power rows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42" authorId="3" shapeId="0" xr:uid="{7AFDC1E9-0A3F-490D-81BE-1ABF7A96D87F}">
      <text>
        <r>
          <rPr>
            <b/>
            <sz val="9"/>
            <color indexed="81"/>
            <rFont val="Tahoma"/>
            <family val="2"/>
          </rPr>
          <t>8.3.21</t>
        </r>
        <r>
          <rPr>
            <sz val="9"/>
            <color indexed="81"/>
            <rFont val="Tahoma"/>
            <family val="2"/>
          </rPr>
          <t xml:space="preserve">
- sum of design electrical input powers * their quantity</t>
        </r>
      </text>
    </comment>
    <comment ref="B48" authorId="1" shapeId="0" xr:uid="{7079C0C6-AB0D-466C-9C3E-F2D527383A5C}">
      <text>
        <r>
          <rPr>
            <b/>
            <sz val="9"/>
            <color indexed="81"/>
            <rFont val="Tahoma"/>
            <family val="2"/>
          </rPr>
          <t>2/11/25</t>
        </r>
        <r>
          <rPr>
            <sz val="9"/>
            <color indexed="81"/>
            <rFont val="Tahoma"/>
            <family val="2"/>
          </rPr>
          <t xml:space="preserve">
GINA - Can we ask them or do we need to give them space type dropdowns and autocalculate it?</t>
        </r>
      </text>
    </comment>
    <comment ref="D48" authorId="2" shapeId="0" xr:uid="{6897126D-3BBB-4EE5-A227-7B7B8D6B53D8}">
      <text>
        <r>
          <rPr>
            <b/>
            <sz val="9"/>
            <color indexed="10"/>
            <rFont val="Tahoma"/>
            <family val="2"/>
          </rPr>
          <t>Alexis Markstrum:</t>
        </r>
        <r>
          <rPr>
            <sz val="9"/>
            <color indexed="10"/>
            <rFont val="Tahoma"/>
            <family val="2"/>
          </rPr>
          <t xml:space="preserve">
Ben - check Gina's comment on this field</t>
        </r>
      </text>
    </comment>
    <comment ref="H49" authorId="2" shapeId="0" xr:uid="{38173E2C-0DA2-4142-BB54-5AA87CA79046}">
      <text>
        <r>
          <rPr>
            <b/>
            <sz val="9"/>
            <color indexed="10"/>
            <rFont val="Tahoma"/>
            <family val="2"/>
          </rPr>
          <t>Alexis Markstrum:</t>
        </r>
        <r>
          <rPr>
            <sz val="9"/>
            <color indexed="10"/>
            <rFont val="Tahoma"/>
            <family val="2"/>
          </rPr>
          <t xml:space="preserve">
Ben - check Gina's comment on this field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Lalor, Ben</author>
    <author>Alexis Markstrum</author>
    <author>tc={BBBCEC22-B53E-455B-A17E-ECE6700BF7F6}</author>
    <author>Trujillo, Charlie</author>
    <author>Sally Blair</author>
  </authors>
  <commentList>
    <comment ref="A6" authorId="0" shapeId="0" xr:uid="{0B96A862-7A96-427C-B3C0-32535DC4400F}">
      <text>
        <r>
          <rPr>
            <b/>
            <sz val="9"/>
            <color indexed="81"/>
            <rFont val="Tahoma"/>
            <family val="2"/>
          </rPr>
          <t>6/19/23</t>
        </r>
        <r>
          <rPr>
            <sz val="9"/>
            <color indexed="81"/>
            <rFont val="Tahoma"/>
            <family val="2"/>
          </rPr>
          <t xml:space="preserve">
Required when Space conditioning checkbox is selected above. </t>
        </r>
      </text>
    </comment>
    <comment ref="A21" authorId="0" shapeId="0" xr:uid="{5BBAA616-1691-4D9C-A289-7AC4D944694E}">
      <text>
        <r>
          <rPr>
            <b/>
            <sz val="9"/>
            <color indexed="81"/>
            <rFont val="Tahoma"/>
            <family val="2"/>
          </rPr>
          <t>6/19/23</t>
        </r>
        <r>
          <rPr>
            <sz val="9"/>
            <color indexed="81"/>
            <rFont val="Tahoma"/>
            <family val="2"/>
          </rPr>
          <t xml:space="preserve">
Required when Lighting and Electrical checkbox is selected above</t>
        </r>
      </text>
    </comment>
    <comment ref="B30" authorId="1" shapeId="0" xr:uid="{9D82195E-9BF5-42F9-B6A8-F744F6F8D77F}">
      <text>
        <r>
          <rPr>
            <b/>
            <sz val="9"/>
            <color indexed="10"/>
            <rFont val="Tahoma"/>
            <family val="2"/>
          </rPr>
          <t>Alexis Markstrum:</t>
        </r>
        <r>
          <rPr>
            <sz val="9"/>
            <color indexed="10"/>
            <rFont val="Tahoma"/>
            <family val="2"/>
          </rPr>
          <t xml:space="preserve">
Greys out Column 06</t>
        </r>
      </text>
    </comment>
    <comment ref="E30" authorId="2" shapeId="0" xr:uid="{BBBCEC22-B53E-455B-A17E-ECE6700BF7F6}">
      <text>
        <t xml:space="preserve">[Threaded comment]
Your version of Excel allows you to read this threaded comment; however, any edits to it will get removed if the file is opened in a newer version of Excel. Learn more: https://go.microsoft.com/fwlink/?linkid=870924
Comment:
    Gina said “I don’t know what this would be?  Demand responsive controls and daylighting controls are considered multilevel controls, and THOSE should be the options we provide.”
Reply:
    Multilevel control is not the same as DR or daylighting controls. Per 100.1, multilevel control enables intensity of lighting to be adjusted upward and downward. Daylighting and demand response require the adjustment IN RESPONSE TO AVAILABLE DAYLIGHT OR DR SIGNAL. THESE ARE THE SAME OPTIONS WE OFFER IN LTI for Multivelel controls
</t>
      </text>
    </comment>
    <comment ref="B31" authorId="0" shapeId="0" xr:uid="{E5F0C449-5D65-4A83-9774-F9D141558168}">
      <text>
        <r>
          <rPr>
            <b/>
            <sz val="9"/>
            <color indexed="81"/>
            <rFont val="Tahoma"/>
            <family val="2"/>
          </rPr>
          <t>2/11/25</t>
        </r>
        <r>
          <rPr>
            <sz val="9"/>
            <color indexed="81"/>
            <rFont val="Tahoma"/>
            <family val="2"/>
          </rPr>
          <t xml:space="preserve">
</t>
        </r>
        <r>
          <rPr>
            <sz val="9"/>
            <color indexed="10"/>
            <rFont val="Tahoma"/>
            <family val="2"/>
          </rPr>
          <t>Greys out 03-06</t>
        </r>
      </text>
    </comment>
    <comment ref="C32" authorId="3" shapeId="0" xr:uid="{AEF83858-C38E-4CE4-8940-7B329822F4CA}">
      <text>
        <r>
          <rPr>
            <b/>
            <sz val="9"/>
            <color indexed="10"/>
            <rFont val="Tahoma"/>
            <family val="2"/>
          </rPr>
          <t>Trujillo, Charlie:</t>
        </r>
        <r>
          <rPr>
            <sz val="9"/>
            <color indexed="10"/>
            <rFont val="Tahoma"/>
            <family val="2"/>
          </rPr>
          <t xml:space="preserve">
12/9/24
Triggers if col02 == Indoor or Greenhouse.</t>
        </r>
      </text>
    </comment>
    <comment ref="A37" authorId="0" shapeId="0" xr:uid="{15726A46-1E6E-4ABD-AD88-09E324E07496}">
      <text>
        <r>
          <rPr>
            <b/>
            <sz val="9"/>
            <color indexed="81"/>
            <rFont val="Tahoma"/>
            <family val="2"/>
          </rPr>
          <t>6/19/23</t>
        </r>
        <r>
          <rPr>
            <sz val="9"/>
            <color indexed="81"/>
            <rFont val="Tahoma"/>
            <family val="2"/>
          </rPr>
          <t xml:space="preserve">
Required when Envelope checkbox is selected above. </t>
        </r>
      </text>
    </comment>
    <comment ref="F41" authorId="0" shapeId="0" xr:uid="{9E9FAF90-5B8E-4537-911C-0D279EC9DE7A}">
      <text>
        <r>
          <rPr>
            <b/>
            <sz val="9"/>
            <color indexed="81"/>
            <rFont val="Tahoma"/>
            <family val="2"/>
          </rPr>
          <t>2/11/25</t>
        </r>
        <r>
          <rPr>
            <sz val="9"/>
            <color indexed="81"/>
            <rFont val="Tahoma"/>
            <family val="2"/>
          </rPr>
          <t xml:space="preserve">
</t>
        </r>
        <r>
          <rPr>
            <sz val="9"/>
            <color indexed="10"/>
            <rFont val="Tahoma"/>
            <family val="2"/>
          </rPr>
          <t>If 02 == Roof
   If 05 == Metal Building 
      This = 0.098
   Else If 05 == Wood framed and others
      This = 0.075
Else if 02 == Wall
   If 005 == Metal Building
      This = 0.113
   Else if 05 == Metal Framed
      This = 0.151
   Else if 05 == Light Mass
      This = 0.440
   Else if 05 = Heavy Mass
      This = 0.690
   Else if 05 == Wood Framed And Others
     This = 0.110
Else If 02 = Non-Opaque-Envelope
   This =BlankGrayedOut</t>
        </r>
      </text>
    </comment>
    <comment ref="B45" authorId="4" shapeId="0" xr:uid="{A9C107CD-F6A3-4DA2-AD74-DA25B9125D51}">
      <text>
        <r>
          <rPr>
            <b/>
            <sz val="9"/>
            <color indexed="81"/>
            <rFont val="Tahoma"/>
            <family val="2"/>
          </rPr>
          <t>11.20.21:</t>
        </r>
        <r>
          <rPr>
            <sz val="9"/>
            <color indexed="81"/>
            <rFont val="Tahoma"/>
            <family val="2"/>
          </rPr>
          <t xml:space="preserve">
Both Opaque Roof and Opaque Wall selections grey out col03</t>
        </r>
      </text>
    </comment>
    <comment ref="B47" authorId="4" shapeId="0" xr:uid="{033E6DAC-5E5A-4924-B1ED-340728A61004}">
      <text>
        <r>
          <rPr>
            <b/>
            <sz val="9"/>
            <color indexed="81"/>
            <rFont val="Tahoma"/>
            <family val="2"/>
          </rPr>
          <t>11.20.21:</t>
        </r>
        <r>
          <rPr>
            <sz val="9"/>
            <color indexed="81"/>
            <rFont val="Tahoma"/>
            <family val="2"/>
          </rPr>
          <t xml:space="preserve">
selection greys out col04</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B13" authorId="0" shapeId="0" xr:uid="{31CA9D80-4B8B-4BF1-BE91-4D6A69564505}">
      <text>
        <r>
          <rPr>
            <b/>
            <sz val="9"/>
            <color indexed="10"/>
            <rFont val="Tahoma"/>
            <family val="2"/>
          </rPr>
          <t>Alexis Markstrum:</t>
        </r>
        <r>
          <rPr>
            <sz val="9"/>
            <color indexed="10"/>
            <rFont val="Tahoma"/>
            <family val="2"/>
          </rPr>
          <t xml:space="preserve">
Triggers Rows 12, 13, and 14 from "Additional Requirements…" subtable below</t>
        </r>
      </text>
    </comment>
    <comment ref="B14" authorId="1" shapeId="0" xr:uid="{2A79B1D9-157B-40D6-855F-1C3D27F1945B}">
      <text>
        <r>
          <rPr>
            <b/>
            <sz val="9"/>
            <color indexed="81"/>
            <rFont val="Tahoma"/>
            <family val="2"/>
          </rPr>
          <t>11.21.21:</t>
        </r>
        <r>
          <rPr>
            <sz val="9"/>
            <color indexed="81"/>
            <rFont val="Tahoma"/>
            <family val="2"/>
          </rPr>
          <t xml:space="preserve">
Triggers "Additional Requirements…" subtable below.</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0C4BDB2-53FF-489C-84E1-1A2843031261}">
      <text>
        <r>
          <rPr>
            <b/>
            <sz val="9"/>
            <color indexed="81"/>
            <rFont val="Tahoma"/>
            <family val="2"/>
          </rPr>
          <t>Sally Blair:</t>
        </r>
        <r>
          <rPr>
            <sz val="9"/>
            <color indexed="81"/>
            <rFont val="Tahoma"/>
            <family val="2"/>
          </rPr>
          <t xml:space="preserve">
Need to update URL when available</t>
        </r>
      </text>
    </comment>
    <comment ref="A7" authorId="0" shapeId="0" xr:uid="{4B56562C-50F6-43B7-8395-3D5C7D576B65}">
      <text>
        <r>
          <rPr>
            <b/>
            <sz val="9"/>
            <color indexed="81"/>
            <rFont val="Tahoma"/>
            <family val="2"/>
          </rPr>
          <t>Sally Blair:</t>
        </r>
        <r>
          <rPr>
            <sz val="9"/>
            <color indexed="81"/>
            <rFont val="Tahoma"/>
            <family val="2"/>
          </rPr>
          <t xml:space="preserve">
this defaults to "Yes" and if the user moves it, the note #4 in Table D shows up.</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53F6559-7154-4BC5-B775-B15C07DFCD1A}">
      <text>
        <r>
          <rPr>
            <b/>
            <sz val="9"/>
            <color indexed="81"/>
            <rFont val="Tahoma"/>
            <family val="2"/>
          </rPr>
          <t>Sally Blair:</t>
        </r>
        <r>
          <rPr>
            <sz val="9"/>
            <color indexed="81"/>
            <rFont val="Tahoma"/>
            <family val="2"/>
          </rPr>
          <t xml:space="preserve">
Need to update URL when available</t>
        </r>
      </text>
    </comment>
    <comment ref="A7" authorId="0" shapeId="0" xr:uid="{00000000-0006-0000-1200-000001000000}">
      <text>
        <r>
          <rPr>
            <b/>
            <sz val="9"/>
            <color indexed="81"/>
            <rFont val="Tahoma"/>
            <family val="2"/>
          </rPr>
          <t>Sally Blair:</t>
        </r>
        <r>
          <rPr>
            <sz val="9"/>
            <color indexed="81"/>
            <rFont val="Tahoma"/>
            <family val="2"/>
          </rPr>
          <t xml:space="preserve">
this defaults to "Yes" and if the user moves it, the note #4 in Table D shows up.</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tc={713B87E0-D885-43D1-971E-E04630EE0541}</author>
    <author>tc={15FD5C17-26E0-474C-9D06-100D2DBABDF5}</author>
  </authors>
  <commentList>
    <comment ref="A8" authorId="0" shapeId="0" xr:uid="{FE9A095A-FD61-49B6-AD01-18E92543182D}">
      <text>
        <r>
          <rPr>
            <b/>
            <sz val="9"/>
            <color indexed="81"/>
            <rFont val="Tahoma"/>
            <family val="2"/>
          </rPr>
          <t>Sally Blair:</t>
        </r>
        <r>
          <rPr>
            <sz val="9"/>
            <color indexed="81"/>
            <rFont val="Tahoma"/>
            <family val="2"/>
          </rPr>
          <t xml:space="preserve">
If user moves one of these from "Yes" to "No" trigger note #5 in Table D.</t>
        </r>
      </text>
    </comment>
    <comment ref="C8" authorId="1" shapeId="0" xr:uid="{713B87E0-D885-43D1-971E-E04630EE0541}">
      <text>
        <t>[Threaded comment]
Your version of Excel allows you to read this threaded comment; however, any edits to it will get removed if the file is opened in a newer version of Excel. Learn more: https://go.microsoft.com/fwlink/?linkid=870924
Comment:
    Will leak testing be added to this form?
Reply:
    It should be, we can ask SCO</t>
      </text>
    </comment>
    <comment ref="A9" authorId="0" shapeId="0" xr:uid="{00000000-0006-0000-1300-000001000000}">
      <text>
        <r>
          <rPr>
            <b/>
            <sz val="9"/>
            <color indexed="81"/>
            <rFont val="Tahoma"/>
            <family val="2"/>
          </rPr>
          <t>Sally Blair:</t>
        </r>
        <r>
          <rPr>
            <sz val="9"/>
            <color indexed="81"/>
            <rFont val="Tahoma"/>
            <family val="2"/>
          </rPr>
          <t xml:space="preserve">
If user moves one of these from "Yes" to "No" trigger note #5 in Table D.</t>
        </r>
      </text>
    </comment>
    <comment ref="C9" authorId="2" shapeId="0" xr:uid="{15FD5C17-26E0-474C-9D06-100D2DBABDF5}">
      <text>
        <t>[Threaded comment]
Your version of Excel allows you to read this threaded comment; however, any edits to it will get removed if the file is opened in a newer version of Excel. Learn more: https://go.microsoft.com/fwlink/?linkid=870924
Comment:
    Will leak testing be added to this form?
Reply:
    It should be, we can ask SCO</t>
      </text>
    </comment>
    <comment ref="C18" authorId="0" shapeId="0" xr:uid="{66BF7703-43D8-4301-BEB5-899133C5A693}">
      <text>
        <r>
          <rPr>
            <b/>
            <sz val="9"/>
            <color indexed="81"/>
            <rFont val="Tahoma"/>
            <family val="2"/>
          </rPr>
          <t>11.12.21</t>
        </r>
        <r>
          <rPr>
            <sz val="9"/>
            <color indexed="81"/>
            <rFont val="Tahoma"/>
            <family val="2"/>
          </rPr>
          <t xml:space="preserve">
Need to add form # once determined.</t>
        </r>
      </text>
    </comment>
    <comment ref="C23" authorId="0" shapeId="0" xr:uid="{E5B32859-7E04-4F59-A5F5-31750FD53708}">
      <text>
        <r>
          <rPr>
            <b/>
            <sz val="9"/>
            <color indexed="81"/>
            <rFont val="Tahoma"/>
            <family val="2"/>
          </rPr>
          <t>Sally Blair:</t>
        </r>
        <r>
          <rPr>
            <sz val="9"/>
            <color indexed="81"/>
            <rFont val="Tahoma"/>
            <family val="2"/>
          </rPr>
          <t xml:space="preserve">
Update with form # once determined.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4" authorId="0" shapeId="0" xr:uid="{00000000-0006-0000-14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14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<sst xmlns="http://schemas.openxmlformats.org/spreadsheetml/2006/main" count="1968" uniqueCount="1035">
  <si>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</si>
  <si>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</si>
  <si>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</si>
  <si>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</si>
  <si>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</si>
  <si>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</si>
  <si>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</si>
  <si>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</si>
  <si>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</si>
  <si>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Report Page:</t>
  </si>
  <si>
    <t xml:space="preserve">CALIFORNIA ENERGY COMMISSION                       </t>
  </si>
  <si>
    <t>Total Unconditioned Floor Area</t>
  </si>
  <si>
    <t>Dropdown</t>
  </si>
  <si>
    <t>Occupancy Types Within Project:</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</si>
  <si>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</si>
  <si>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</si>
  <si>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</si>
  <si>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</si>
  <si>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</si>
  <si>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</si>
  <si>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</si>
  <si>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</si>
  <si>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</si>
  <si>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</si>
  <si>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</si>
  <si>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</si>
  <si>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</si>
  <si>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</si>
  <si>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</si>
  <si>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</si>
  <si>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</si>
  <si>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</si>
  <si>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</si>
  <si>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</si>
  <si>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</si>
  <si>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</si>
  <si>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</si>
  <si>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</si>
  <si>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</si>
  <si>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</si>
  <si>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</si>
  <si>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</si>
  <si>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</si>
  <si>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</si>
  <si>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01</t>
  </si>
  <si>
    <t>02</t>
  </si>
  <si>
    <t>03</t>
  </si>
  <si>
    <t>04</t>
  </si>
  <si>
    <t>05</t>
  </si>
  <si>
    <t>(See Table L)</t>
  </si>
  <si>
    <t>(See Table K)</t>
  </si>
  <si>
    <t>(See Table J)</t>
  </si>
  <si>
    <t>(See Table I)</t>
  </si>
  <si>
    <t>06</t>
  </si>
  <si>
    <t>07</t>
  </si>
  <si>
    <t>08</t>
  </si>
  <si>
    <t>09</t>
  </si>
  <si>
    <t>10</t>
  </si>
  <si>
    <t>11</t>
  </si>
  <si>
    <t>User input</t>
  </si>
  <si>
    <t>auto calculated</t>
  </si>
  <si>
    <t>From another Table</t>
  </si>
  <si>
    <t>From look up table</t>
  </si>
  <si>
    <t>CERTIFICATE OF COMPLIANCE</t>
  </si>
  <si>
    <t>NO</t>
  </si>
  <si>
    <t>YES</t>
  </si>
  <si>
    <t>Pass</t>
  </si>
  <si>
    <t>Name or Item Tag</t>
  </si>
  <si>
    <t>Form/Title</t>
  </si>
  <si>
    <t>Field Inspector</t>
  </si>
  <si>
    <t>Fail</t>
  </si>
  <si>
    <t>●</t>
  </si>
  <si>
    <t>m</t>
  </si>
  <si>
    <t>o</t>
  </si>
  <si>
    <t>The project name and date prepared is a user input on the first page, but will populate the heading on all other pages.</t>
  </si>
  <si>
    <t>Reset</t>
  </si>
  <si>
    <t>Yes</t>
  </si>
  <si>
    <t xml:space="preserve">Table I </t>
  </si>
  <si>
    <t>Table K</t>
  </si>
  <si>
    <t>Section</t>
  </si>
  <si>
    <t xml:space="preserve">Table B </t>
  </si>
  <si>
    <t>No</t>
  </si>
  <si>
    <t>Table N</t>
  </si>
  <si>
    <t>(See Table G)</t>
  </si>
  <si>
    <t>(See Table H)</t>
  </si>
  <si>
    <t>Yes/No</t>
  </si>
  <si>
    <t>Tool Tip:</t>
  </si>
  <si>
    <t>COMPLIES or "COMPLIES WITH EXCEPTIONAL CONDITIONS" or                                 DOES NOT COMPLY</t>
  </si>
  <si>
    <t>CZ Dropdown</t>
  </si>
  <si>
    <t>Table O</t>
  </si>
  <si>
    <t>Table P</t>
  </si>
  <si>
    <t>(See Table M)</t>
  </si>
  <si>
    <t>(See Table N)</t>
  </si>
  <si>
    <t>NRCA-PRC-04-F Refrigerated Warehouses - Evaporator Fan Motor Controls</t>
  </si>
  <si>
    <t>NRCA-PRC-05-F Refrigerated Warehouses - Evaporative Condenser Controls</t>
  </si>
  <si>
    <t>NRCA-PRC-08-F Refrigerated Warehouses - Electric Resistance Underslab Heating System</t>
  </si>
  <si>
    <t>NRCA-PRC-12-F Elevator Lighting &amp; Ventilation Controls</t>
  </si>
  <si>
    <t>NRCA-PRC-13-F Escalators &amp; Moving Walkways Speed Controls</t>
  </si>
  <si>
    <t>Laboratory Exhaust</t>
  </si>
  <si>
    <t>Process Boilers</t>
  </si>
  <si>
    <t>Commercial Refrigeration</t>
  </si>
  <si>
    <t>Wall-mounted Canopy</t>
  </si>
  <si>
    <t>Single Island</t>
  </si>
  <si>
    <t>Double Island</t>
  </si>
  <si>
    <t>Eyebrow</t>
  </si>
  <si>
    <t>Backshelf / Passover</t>
  </si>
  <si>
    <t>Hood Type</t>
  </si>
  <si>
    <t>Equipment Duty</t>
  </si>
  <si>
    <t>Controls</t>
  </si>
  <si>
    <t>Refrigerated Display Cases</t>
  </si>
  <si>
    <t>Reheat</t>
  </si>
  <si>
    <t>Humidification</t>
  </si>
  <si>
    <t>Fan Controls</t>
  </si>
  <si>
    <t>Containment</t>
  </si>
  <si>
    <t>Control Type</t>
  </si>
  <si>
    <t>Enclosed Parking Garage Exhaust</t>
  </si>
  <si>
    <t>Condenser Type</t>
  </si>
  <si>
    <t>Floor</t>
  </si>
  <si>
    <t>Freezers</t>
  </si>
  <si>
    <t>Coolers</t>
  </si>
  <si>
    <t>Name or 
Item Tag</t>
  </si>
  <si>
    <t>12</t>
  </si>
  <si>
    <t>13</t>
  </si>
  <si>
    <t>14</t>
  </si>
  <si>
    <t>Underslab Heating</t>
  </si>
  <si>
    <t>ECM</t>
  </si>
  <si>
    <t>Suction group with multiple compressors</t>
  </si>
  <si>
    <t>Single compressor with variable capacity capability</t>
  </si>
  <si>
    <t>Variable Speed based on Temp</t>
  </si>
  <si>
    <t>Variable Speed based on Humidity</t>
  </si>
  <si>
    <r>
      <t xml:space="preserve">Reduce airflow </t>
    </r>
    <r>
      <rPr>
        <sz val="9"/>
        <color theme="1"/>
        <rFont val="Arial"/>
        <family val="2"/>
      </rPr>
      <t>≥</t>
    </r>
    <r>
      <rPr>
        <sz val="9"/>
        <color theme="1"/>
        <rFont val="Calibri"/>
        <family val="2"/>
      </rPr>
      <t xml:space="preserve"> 40 % for </t>
    </r>
    <r>
      <rPr>
        <sz val="9"/>
        <color theme="1"/>
        <rFont val="Arial"/>
        <family val="2"/>
      </rPr>
      <t>≥</t>
    </r>
    <r>
      <rPr>
        <sz val="9"/>
        <color theme="1"/>
        <rFont val="Calibri"/>
        <family val="2"/>
      </rPr>
      <t xml:space="preserve"> 75% of time when compressor is not running.</t>
    </r>
  </si>
  <si>
    <t>Fan Powered Evaporators</t>
  </si>
  <si>
    <t>Three Phase</t>
  </si>
  <si>
    <t>NA: Areas designed solely for quick chilling/freezing of products.</t>
  </si>
  <si>
    <t>Phase</t>
  </si>
  <si>
    <t>Motor HP</t>
  </si>
  <si>
    <t>&lt;1 HP</t>
  </si>
  <si>
    <t>Single compressor without variable capacity</t>
  </si>
  <si>
    <t>Fans Served By</t>
  </si>
  <si>
    <t>HP</t>
  </si>
  <si>
    <t>Ammonia</t>
  </si>
  <si>
    <t>Halocarbon</t>
  </si>
  <si>
    <t>Indoor</t>
  </si>
  <si>
    <t>Outdoor</t>
  </si>
  <si>
    <t xml:space="preserve">Warehouse Exterior Surface Insulation </t>
  </si>
  <si>
    <t>Air Cooled</t>
  </si>
  <si>
    <t>Design Airflow (CFM)</t>
  </si>
  <si>
    <t>Zone/System or Item Tag</t>
  </si>
  <si>
    <t>Evaporative Cooled</t>
  </si>
  <si>
    <t>NA: Suction group comprises of the high stage of a two-stage or a cascade system</t>
  </si>
  <si>
    <t>Saturation Suction Temperature Control</t>
  </si>
  <si>
    <t>Hood Style</t>
  </si>
  <si>
    <t>Type I</t>
  </si>
  <si>
    <t>Type II</t>
  </si>
  <si>
    <t>Add Hood</t>
  </si>
  <si>
    <t>Commercial Kitchen Ventilation</t>
  </si>
  <si>
    <t>Computer Room Equipment</t>
  </si>
  <si>
    <t>Refrigerated Warehouses</t>
  </si>
  <si>
    <t>Compressed Air Systems</t>
  </si>
  <si>
    <t xml:space="preserve">Elevators </t>
  </si>
  <si>
    <t>Escalators and Moving Walkway Controls</t>
  </si>
  <si>
    <t>Table Q</t>
  </si>
  <si>
    <t>Process Systems</t>
  </si>
  <si>
    <t>NRCC-PRC-E</t>
  </si>
  <si>
    <t>Add System</t>
  </si>
  <si>
    <t>Economizer Compliance Method</t>
  </si>
  <si>
    <t>Computer Room Name/ ID</t>
  </si>
  <si>
    <t>NA: Not Unitary AC System &gt; 60kBtuh or CHW Fan System</t>
  </si>
  <si>
    <t>NA: Expansion of existing computer rooms</t>
  </si>
  <si>
    <t>NA: Computer racks with a design load less than 1 kW/rack</t>
  </si>
  <si>
    <t>NA: Equivalent energy performance based on computational fluid dynamics or other analysis.</t>
  </si>
  <si>
    <t>None Provided</t>
  </si>
  <si>
    <t>Adiabatic system (non-adiabatic not allowed)</t>
  </si>
  <si>
    <t>Economizer Compliance Method
§140.9(a)1</t>
  </si>
  <si>
    <t>Add Computer Room</t>
  </si>
  <si>
    <t xml:space="preserve">Condensers Serving Refrigeration System </t>
  </si>
  <si>
    <t>Compressors and Condensing Units Serving Refrigeration System</t>
  </si>
  <si>
    <t>Heat Recovery of Refrigeration System</t>
  </si>
  <si>
    <t>Variable speed fan(s) provided controlled per §120.6(b)1A</t>
  </si>
  <si>
    <t>VS Dropdown</t>
  </si>
  <si>
    <t>Temp Setpoint Control dropdown</t>
  </si>
  <si>
    <t>Minimum Specific Efficiency Required
(Btuh/W)</t>
  </si>
  <si>
    <t>Exceptions dropdown</t>
  </si>
  <si>
    <t>No exceptions apply</t>
  </si>
  <si>
    <t>Specific Efficiency per Design 
(Btuh/W)</t>
  </si>
  <si>
    <t>Fin Density dropdown</t>
  </si>
  <si>
    <t>NA: Using microchannel condenser</t>
  </si>
  <si>
    <t>NA: Existing condenser being reused</t>
  </si>
  <si>
    <t>NA: Located in CZ 1</t>
  </si>
  <si>
    <t>NA: Total Heat Rejection Capacity &lt;150kBtuh</t>
  </si>
  <si>
    <t>Specific Efficiency Compliance Method</t>
  </si>
  <si>
    <t>The project includes replacement condensers that meet the following conditions: 
- attached compressor system Total Heat of Rejection does not increase and; 
- less than 25 percent of both the attached compressors and the attached display cases are new.</t>
  </si>
  <si>
    <t>Complies?</t>
  </si>
  <si>
    <t>Yes/ No</t>
  </si>
  <si>
    <t xml:space="preserve">All compressors being used for the refrigeration system are being reused.  </t>
  </si>
  <si>
    <t>NA: Single compressor system with no variable capacity capability</t>
  </si>
  <si>
    <t>Floating suction pressure logic used to reset target SST</t>
  </si>
  <si>
    <t>NA: Suction group serves the secondary cooling fluid chiller</t>
  </si>
  <si>
    <t>NA: Design cooling &lt;100kBtuh per §120.6(b)2B</t>
  </si>
  <si>
    <t>NA: Cascade system per Exception §120.6(b)2B</t>
  </si>
  <si>
    <t>Compliance Method Dropdown</t>
  </si>
  <si>
    <t>NA: Not low temp compressor</t>
  </si>
  <si>
    <t>Add Compressor</t>
  </si>
  <si>
    <t xml:space="preserve">Motion Sensor: Reduce lighting power by at least 50% within 30 minutes after the nearby area is vacated </t>
  </si>
  <si>
    <t>Timeclock: Turn off lighting power automatically during non-business hours</t>
  </si>
  <si>
    <t xml:space="preserve">All HVAC/ refrigeration systems are being reused.  </t>
  </si>
  <si>
    <t>NA: Located in CZ 15</t>
  </si>
  <si>
    <t>Using electric resistance with thermostatic control to be off during summer on-peak time periods.</t>
  </si>
  <si>
    <t>Compliance Method</t>
  </si>
  <si>
    <t>Room ID/ Description</t>
  </si>
  <si>
    <t>Method Dropdown</t>
  </si>
  <si>
    <t>NA: not using electric resistance heat for underslab heating</t>
  </si>
  <si>
    <t>NA: no underslab heating</t>
  </si>
  <si>
    <t>Single Phase &lt; 460V</t>
  </si>
  <si>
    <t xml:space="preserve">Type or Efficiency </t>
  </si>
  <si>
    <t>NA: Not alterating/replacing all of the evaporators in an existing refrigerated space that do not have fan speed-controls.</t>
  </si>
  <si>
    <t>NA:   Products stored require constant operation at 100 % of the design airflow certified by licensed engineer.</t>
  </si>
  <si>
    <t>Evaporator Fans Served By</t>
  </si>
  <si>
    <t>Condensers</t>
  </si>
  <si>
    <r>
      <rPr>
        <sz val="11"/>
        <color theme="1"/>
        <rFont val="Wingdings"/>
        <charset val="2"/>
      </rPr>
      <t>¨</t>
    </r>
    <r>
      <rPr>
        <sz val="11"/>
        <color theme="1"/>
        <rFont val="Calibri"/>
        <family val="2"/>
      </rPr>
      <t xml:space="preserve"> Air-Cooled (new only)</t>
    </r>
  </si>
  <si>
    <r>
      <rPr>
        <sz val="11"/>
        <color theme="1"/>
        <rFont val="Wingdings"/>
        <charset val="2"/>
      </rPr>
      <t>¨</t>
    </r>
    <r>
      <rPr>
        <sz val="11"/>
        <color theme="1"/>
        <rFont val="Calibri"/>
        <family val="2"/>
      </rPr>
      <t xml:space="preserve"> Evaporative-cooled (new only)</t>
    </r>
  </si>
  <si>
    <r>
      <rPr>
        <sz val="11"/>
        <color theme="1"/>
        <rFont val="Wingdings"/>
        <charset val="2"/>
      </rPr>
      <t>¨</t>
    </r>
    <r>
      <rPr>
        <sz val="11"/>
        <color theme="1"/>
        <rFont val="Calibri"/>
        <family val="2"/>
      </rPr>
      <t xml:space="preserve"> Water-cooled (new only)</t>
    </r>
  </si>
  <si>
    <r>
      <t>Indicate condenser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</si>
  <si>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Altered/replacement or existing condensers only</t>
    </r>
  </si>
  <si>
    <r>
      <rPr>
        <i/>
        <vertAlign val="superscript"/>
        <sz val="11"/>
        <color theme="1"/>
        <rFont val="Calibri"/>
        <family val="2"/>
        <scheme val="minor"/>
      </rPr>
      <t>1</t>
    </r>
    <r>
      <rPr>
        <i/>
        <sz val="11"/>
        <color theme="1"/>
        <rFont val="Calibri"/>
        <family val="2"/>
        <scheme val="minor"/>
      </rPr>
      <t xml:space="preserve"> FOOTNOTE: Altered/replacement or existing condensers do not have Title 24, Part 6 requirements.  </t>
    </r>
  </si>
  <si>
    <t>Condenser Location</t>
  </si>
  <si>
    <t>Variable Speed Control
§120.6(a)4D</t>
  </si>
  <si>
    <t>Design Condensing Temperatures
§120.6(a)4B</t>
  </si>
  <si>
    <t>Design Temp dropdown</t>
  </si>
  <si>
    <t>Designed per §120.6(a)4B</t>
  </si>
  <si>
    <t>NA: Total HP &lt; 100</t>
  </si>
  <si>
    <t>NA: &gt; 20% for quick chilling/freezing or cooling another refrigerated space</t>
  </si>
  <si>
    <t>Refrigerant Type</t>
  </si>
  <si>
    <t>Refrig type dropdown</t>
  </si>
  <si>
    <t>lookup</t>
  </si>
  <si>
    <t>Minimum Efficiency Required
(Btuh/W)</t>
  </si>
  <si>
    <t>Efficiency per Design 
(Btuh/W)</t>
  </si>
  <si>
    <t>Water-Cooled and Evaporative-Cooled Condensers</t>
  </si>
  <si>
    <t>Air-Cooled Condensers</t>
  </si>
  <si>
    <t>Design Condensing Temperatures
§120.6(a)4A</t>
  </si>
  <si>
    <t>Designed per §120.6(a)4A</t>
  </si>
  <si>
    <t>THR Capacity</t>
  </si>
  <si>
    <t xml:space="preserve"> &gt; 8,000 MBH</t>
  </si>
  <si>
    <t xml:space="preserve"> &lt; 8,000 MBH</t>
  </si>
  <si>
    <t>THR Cap dropdown</t>
  </si>
  <si>
    <t xml:space="preserve">Compressors </t>
  </si>
  <si>
    <t>Cond Temp Dropdown</t>
  </si>
  <si>
    <t>Controls compressor speed in response to refrigeration load</t>
  </si>
  <si>
    <t>NA: &gt; 1 dedicated compressor per suction group</t>
  </si>
  <si>
    <t>VS Control</t>
  </si>
  <si>
    <t>Auto vary volume ratio in response to operating pressure</t>
  </si>
  <si>
    <t>NA: Not screw compressor w &gt; 150 HP motor</t>
  </si>
  <si>
    <t>Var Vol Ratio dropdown</t>
  </si>
  <si>
    <t>Add Condenser</t>
  </si>
  <si>
    <t>Add Room</t>
  </si>
  <si>
    <r>
      <rPr>
        <sz val="11"/>
        <color theme="1"/>
        <rFont val="Wingdings"/>
        <charset val="2"/>
      </rPr>
      <t>o</t>
    </r>
    <r>
      <rPr>
        <sz val="12.1"/>
        <color theme="1"/>
        <rFont val="Calibri"/>
        <family val="2"/>
      </rPr>
      <t xml:space="preserve"> </t>
    </r>
    <r>
      <rPr>
        <sz val="11"/>
        <color theme="1"/>
        <rFont val="Calibri"/>
        <family val="2"/>
      </rPr>
      <t>Altered or existing compressors only</t>
    </r>
  </si>
  <si>
    <r>
      <rPr>
        <sz val="11"/>
        <color theme="1"/>
        <rFont val="Wingdings"/>
        <charset val="2"/>
      </rPr>
      <t>¨</t>
    </r>
    <r>
      <rPr>
        <sz val="11"/>
        <color theme="1"/>
        <rFont val="Calibri"/>
        <family val="2"/>
      </rPr>
      <t xml:space="preserve"> Compressor (new only)</t>
    </r>
  </si>
  <si>
    <t>NA: Dock doorway for trailers</t>
  </si>
  <si>
    <t>NA: New zones on an existing constant volume system</t>
  </si>
  <si>
    <t>Trim Compressor Compliance Method
§120.6(e)1</t>
  </si>
  <si>
    <t>Trim Compressor Dropdown</t>
  </si>
  <si>
    <t>Dedicated trim compressor provided per §120.6(e)1B</t>
  </si>
  <si>
    <t>Variable Speed Drive Compressor provided per §120.6(e)1A</t>
  </si>
  <si>
    <t>Controls
§120.6(e)2</t>
  </si>
  <si>
    <t>NA: &lt; 100 combined HP rating</t>
  </si>
  <si>
    <t>Design includes sensor/controllor capable of using most efficient combination of compressors to meet load</t>
  </si>
  <si>
    <t>Controls Dropdown</t>
  </si>
  <si>
    <t>System Name/ Description</t>
  </si>
  <si>
    <t>Input Capacity</t>
  </si>
  <si>
    <t>&lt; 2.5 MMBtuh per boiler</t>
  </si>
  <si>
    <t>Rated Input Capacity per Boiler
(Btu/h)</t>
  </si>
  <si>
    <t>NA: combined rated input of all boilers per stack &lt; 2.5 MMBtuh</t>
  </si>
  <si>
    <t>Combustion air positive shut-off provided</t>
  </si>
  <si>
    <t>Combustion shut-off dropdown</t>
  </si>
  <si>
    <t>Variable speed drive provided</t>
  </si>
  <si>
    <t>NA: Combustion air fan &lt; 10 HP</t>
  </si>
  <si>
    <t>Combustion Air Shutoff
§120.6(d)1</t>
  </si>
  <si>
    <t>Fan Controls
§120.6(d)2</t>
  </si>
  <si>
    <t>Designed and controlled per §120.6(d)</t>
  </si>
  <si>
    <t>Add Boiler</t>
  </si>
  <si>
    <t>Add Elevator</t>
  </si>
  <si>
    <t>Watts per Fixture</t>
  </si>
  <si>
    <t>Number of Fixtures</t>
  </si>
  <si>
    <t>Power per Design
(W)</t>
  </si>
  <si>
    <t>Occupancy sensors provided</t>
  </si>
  <si>
    <t>Design Watts per CFM</t>
  </si>
  <si>
    <t>Fan Power
(Watts)</t>
  </si>
  <si>
    <t>Maximum Watts per CFM Allowed</t>
  </si>
  <si>
    <t>Conditioned Cab?</t>
  </si>
  <si>
    <t>Conditioned Drpdn</t>
  </si>
  <si>
    <t>Escalators and moving walkways are designed to automatically slow when not conveying passengers per §120.6(g).</t>
  </si>
  <si>
    <t>Compliance Method
§120.6(g)</t>
  </si>
  <si>
    <r>
      <rPr>
        <i/>
        <vertAlign val="superscript"/>
        <sz val="9"/>
        <rFont val="Calibri"/>
        <family val="2"/>
        <scheme val="minor"/>
      </rPr>
      <t>1</t>
    </r>
    <r>
      <rPr>
        <i/>
        <sz val="9"/>
        <rFont val="Calibri"/>
        <family val="2"/>
        <scheme val="minor"/>
      </rPr>
      <t xml:space="preserve"> FOOTNOTE: These building features can comply using the performance method.  If using the performance method for these features, compliance should be demonstrated on the NRCC-PRF-E compliance document.</t>
    </r>
  </si>
  <si>
    <t>(See Table F)</t>
  </si>
  <si>
    <t>(See Table O)</t>
  </si>
  <si>
    <t>Not Applicable</t>
  </si>
  <si>
    <t>Ventilation Fan Rate
(CFM)</t>
  </si>
  <si>
    <t>Minimum Ventilation Rate Required 
(CFM)</t>
  </si>
  <si>
    <t>Compliant?</t>
  </si>
  <si>
    <t>Add Ventilation Fan</t>
  </si>
  <si>
    <t>H. ENCLOSED PARKING GARAGE EXHAUST</t>
  </si>
  <si>
    <t>Indicate where in the construction documents these requirements can be verified</t>
  </si>
  <si>
    <t xml:space="preserve">M. COMPUTER ROOM SYSTEM SUMMARY </t>
  </si>
  <si>
    <t>G. COMMERCIAL REFRIGERATION</t>
  </si>
  <si>
    <t>J. COMPRESSED AIR SYSTEMS</t>
  </si>
  <si>
    <t>I. PROCESS BOILER</t>
  </si>
  <si>
    <t>K. ELEVATOR LIGHTING AND VENTILATION</t>
  </si>
  <si>
    <t>L. ESCALATORS AND MOVING WALKWAYS SPEED CONTROLS</t>
  </si>
  <si>
    <t>Space</t>
  </si>
  <si>
    <t>Surface</t>
  </si>
  <si>
    <t>Minimum R-Value</t>
  </si>
  <si>
    <t>Roof/ Ceiling</t>
  </si>
  <si>
    <t xml:space="preserve">Wall </t>
  </si>
  <si>
    <r>
      <t>Floor with all heating from productive refrigeration capacity</t>
    </r>
    <r>
      <rPr>
        <vertAlign val="superscript"/>
        <sz val="10"/>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</si>
  <si>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All underslab heating is provided by a heat exchanger that provides refrigerant subcooling or other means that result in productive refrigeration capacity on the associated refrigerated system.</t>
    </r>
  </si>
  <si>
    <t>Compliance Method
§120.6(a)2</t>
  </si>
  <si>
    <t>Fan Motor Efficiency
§120.6(a)3A</t>
  </si>
  <si>
    <t>Fan Controls
§120.6(a)3B &amp; §120.6(a)3C</t>
  </si>
  <si>
    <r>
      <t>Indicate compressor types included in the project:</t>
    </r>
    <r>
      <rPr>
        <vertAlign val="superscript"/>
        <sz val="11"/>
        <color theme="1"/>
        <rFont val="Calibri"/>
        <family val="2"/>
        <scheme val="minor"/>
      </rPr>
      <t>1</t>
    </r>
  </si>
  <si>
    <t>Indicate components of the refrigeration system included in the project:</t>
  </si>
  <si>
    <r>
      <rPr>
        <sz val="11"/>
        <color theme="1"/>
        <rFont val="Wingdings"/>
        <charset val="2"/>
      </rPr>
      <t>¨</t>
    </r>
    <r>
      <rPr>
        <sz val="11"/>
        <color theme="1"/>
        <rFont val="Calibri"/>
        <family val="2"/>
      </rPr>
      <t xml:space="preserve"> Condensers</t>
    </r>
  </si>
  <si>
    <r>
      <rPr>
        <sz val="11"/>
        <color theme="1"/>
        <rFont val="Wingdings"/>
        <charset val="2"/>
      </rPr>
      <t>¨</t>
    </r>
    <r>
      <rPr>
        <sz val="11"/>
        <color theme="1"/>
        <rFont val="Calibri"/>
        <family val="2"/>
      </rPr>
      <t xml:space="preserve"> Compressors</t>
    </r>
  </si>
  <si>
    <r>
      <rPr>
        <sz val="11"/>
        <color theme="1"/>
        <rFont val="Wingdings"/>
        <charset val="2"/>
      </rPr>
      <t>¨</t>
    </r>
    <r>
      <rPr>
        <sz val="11"/>
        <color theme="1"/>
        <rFont val="Calibri"/>
        <family val="2"/>
      </rPr>
      <t xml:space="preserve"> Refrigerated Display Cases</t>
    </r>
  </si>
  <si>
    <r>
      <rPr>
        <sz val="11"/>
        <color theme="1"/>
        <rFont val="Wingdings"/>
        <charset val="2"/>
      </rPr>
      <t>¨</t>
    </r>
    <r>
      <rPr>
        <sz val="11"/>
        <color theme="1"/>
        <rFont val="Calibri"/>
        <family val="2"/>
      </rPr>
      <t xml:space="preserve"> Heat Recovery</t>
    </r>
  </si>
  <si>
    <t>Variable Speed Control
§120.6(b)1A</t>
  </si>
  <si>
    <t>&lt;&lt; Rows 2-4 are open when Table G is triggered.</t>
  </si>
  <si>
    <t>Saturation suction temperature control (SST)
§120.6(b)2A</t>
  </si>
  <si>
    <t>Liquid Subcooling Compliance Method
§120.6(b)2B</t>
  </si>
  <si>
    <t>NA: No individual refrigeration systems &gt; 150kBtuh</t>
  </si>
  <si>
    <t>Heat recovery provided using 25% or more of Total Heat of Rejection and will not increase HFC refrigerant charge more than 0.35 lb/kBtuh of heat recovery heating capacity per §120.6(b)4</t>
  </si>
  <si>
    <r>
      <t>Compliance Method</t>
    </r>
    <r>
      <rPr>
        <vertAlign val="superscript"/>
        <sz val="9"/>
        <color theme="1"/>
        <rFont val="Calibri"/>
        <family val="2"/>
        <scheme val="minor"/>
      </rPr>
      <t>1</t>
    </r>
    <r>
      <rPr>
        <sz val="9"/>
        <color theme="1"/>
        <rFont val="Calibri"/>
        <family val="2"/>
        <scheme val="minor"/>
      </rPr>
      <t xml:space="preserve">
§120.6(b)4</t>
    </r>
  </si>
  <si>
    <r>
      <rPr>
        <i/>
        <vertAlign val="superscript"/>
        <sz val="10"/>
        <rFont val="Calibri"/>
        <family val="2"/>
        <scheme val="minor"/>
      </rPr>
      <t>1</t>
    </r>
    <r>
      <rPr>
        <i/>
        <sz val="10"/>
        <rFont val="Calibri"/>
        <family val="2"/>
        <scheme val="minor"/>
      </rPr>
      <t xml:space="preserve"> FOOTNOTE: Authority Having Jurisdiction may ask for calculations to confirm compliance.</t>
    </r>
  </si>
  <si>
    <t>N. COMMERCIAL KITCHEN EXHAUST AND VENTILATION</t>
  </si>
  <si>
    <t>My project consists of (check all that apply):</t>
  </si>
  <si>
    <r>
      <t xml:space="preserve">NA: Kitchen/ dining facility has a total Type I and Type II hood exhaust rate </t>
    </r>
    <r>
      <rPr>
        <u/>
        <sz val="9"/>
        <color theme="1"/>
        <rFont val="Calibri"/>
        <family val="2"/>
        <scheme val="minor"/>
      </rPr>
      <t>&lt;</t>
    </r>
    <r>
      <rPr>
        <sz val="9"/>
        <color theme="1"/>
        <rFont val="Calibri"/>
        <family val="2"/>
        <scheme val="minor"/>
      </rPr>
      <t xml:space="preserve"> 5,000 cfm.</t>
    </r>
  </si>
  <si>
    <t>NA: 75% of the total Type I and Type II exhaust replacement air is transfer air that would otherwise be exhausted.</t>
  </si>
  <si>
    <t>Type I hood design exhaust rates do not exceed the maximum allowed per §140.9(b)1 as documented below.</t>
  </si>
  <si>
    <t>NA: Existing hoods are being replaced as part of an addition or alteration.</t>
  </si>
  <si>
    <t>Hood Length 
(ft)</t>
  </si>
  <si>
    <t xml:space="preserve">Light Duty </t>
  </si>
  <si>
    <t xml:space="preserve">Medium Duty </t>
  </si>
  <si>
    <t xml:space="preserve">Heavy Duty </t>
  </si>
  <si>
    <t xml:space="preserve">Extra Heavy Duty </t>
  </si>
  <si>
    <t>Design Hood Exhaust Rate
CFM</t>
  </si>
  <si>
    <t>Max Hood Exhaust Rate Allowed
CFM</t>
  </si>
  <si>
    <t>&lt;&lt; moves to "Yes" if Table J is triggered</t>
  </si>
  <si>
    <t>&lt;&lt; moves to "Yes" if Table H is triggered</t>
  </si>
  <si>
    <t>&lt;&lt; moves to "Yes" if Table K is triggered</t>
  </si>
  <si>
    <t>&lt;&lt; moves to "Yes" if Table L is triggered</t>
  </si>
  <si>
    <t>&lt;&lt; moves to "Yes" if Table F is triggered &amp; Fan Power Evaporators subtable column 06 is not greyed out</t>
  </si>
  <si>
    <t>Location that is supplying transfer air:</t>
  </si>
  <si>
    <r>
      <rPr>
        <sz val="11"/>
        <color theme="1"/>
        <rFont val="Wingdings"/>
        <charset val="2"/>
      </rPr>
      <t>¨</t>
    </r>
    <r>
      <rPr>
        <sz val="11"/>
        <color theme="1"/>
        <rFont val="Calibri"/>
        <family val="2"/>
      </rPr>
      <t xml:space="preserve"> Adiabatic (new only)</t>
    </r>
  </si>
  <si>
    <t>Temp Setpoint Controls
§120.6(a)4E</t>
  </si>
  <si>
    <r>
      <t>NA: Transcritical CO</t>
    </r>
    <r>
      <rPr>
        <vertAlign val="subscript"/>
        <sz val="8"/>
        <color theme="1"/>
        <rFont val="Calibri"/>
        <family val="2"/>
        <scheme val="minor"/>
      </rPr>
      <t>2</t>
    </r>
    <r>
      <rPr>
        <sz val="8"/>
        <color theme="1"/>
        <rFont val="Calibri"/>
        <family val="2"/>
        <scheme val="minor"/>
      </rPr>
      <t xml:space="preserve"> refrigeration</t>
    </r>
  </si>
  <si>
    <t>Adiabatic Condensers</t>
  </si>
  <si>
    <t>Design Condensing Temperatures
§120.6(a)4C</t>
  </si>
  <si>
    <t>Designed per §120.6(a)4C</t>
  </si>
  <si>
    <t>Condenser Efficiency §120.6(a)4G</t>
  </si>
  <si>
    <r>
      <t>All equipment, appliances and components serving the refrigeration system have been certified by the Energy Commission as compliant with Title 20 and listed in the Modernized Appliance Efficiency Database System.</t>
    </r>
    <r>
      <rPr>
        <vertAlign val="superscript"/>
        <sz val="10"/>
        <color rgb="FF231F20"/>
        <rFont val="Calibri"/>
        <family val="2"/>
      </rPr>
      <t>1</t>
    </r>
  </si>
  <si>
    <t>Adiabatic</t>
  </si>
  <si>
    <r>
      <t xml:space="preserve">Adiabatic: designed to </t>
    </r>
    <r>
      <rPr>
        <u/>
        <sz val="8"/>
        <color theme="1"/>
        <rFont val="Calibri"/>
        <family val="2"/>
        <scheme val="minor"/>
      </rPr>
      <t>&lt;</t>
    </r>
    <r>
      <rPr>
        <sz val="8"/>
        <color theme="1"/>
        <rFont val="Calibri"/>
        <family val="2"/>
        <scheme val="minor"/>
      </rPr>
      <t xml:space="preserve"> 70 @ ambient db temp</t>
    </r>
  </si>
  <si>
    <t>NA: Adiabatic in Climate Zone 16</t>
  </si>
  <si>
    <t>Temp Setpoint Controls
§120.6(b)1B, C, D, F</t>
  </si>
  <si>
    <t>65 if aircooled in col 02; 160 if evap cooled; 45 if adiabatic</t>
  </si>
  <si>
    <t>Condenser Specific Efficiency §120.6(b)1G</t>
  </si>
  <si>
    <t>Fin Density
§120.6(b)1H</t>
  </si>
  <si>
    <t xml:space="preserve">Airflow Reduction Compliance Method
§140.9(c)1 </t>
  </si>
  <si>
    <t>Transfer Air Compliance Method
§140.9(c)2</t>
  </si>
  <si>
    <t>Airflow Reduction Method Dropdown</t>
  </si>
  <si>
    <t>Transfer Air Method Dropdown</t>
  </si>
  <si>
    <t>Conditioned supply air delivered to any space with mechanical exhaust is designed per §140.4(o)</t>
  </si>
  <si>
    <t>NA: Serving vivarium space</t>
  </si>
  <si>
    <t>NA: Space required to be at positive pressure</t>
  </si>
  <si>
    <t>NA: Space required to be at negative pressure and where highest amount of transfer air used for make-up exceeds available transfer airflow rate</t>
  </si>
  <si>
    <t>NA: Constant volume system required by AHJ or Environmental, Health &amp; Safety</t>
  </si>
  <si>
    <t>Fan Power Upper Dropdown</t>
  </si>
  <si>
    <t>Fan Power Lower Dropdown</t>
  </si>
  <si>
    <t>Max 0.85 W/cfm for systems with air treatment (filters, etc.)</t>
  </si>
  <si>
    <t>Max 0.65 W/cfm for systems without air treatment</t>
  </si>
  <si>
    <t>Volume flowrate @ stack controlled by contaminant sensor per §140.9(c)3D</t>
  </si>
  <si>
    <t>Hood Sash Closure Compliance Method
§140.9(c)4</t>
  </si>
  <si>
    <t>NA: Not VAV hood with vertical sashes in hood intensive lab</t>
  </si>
  <si>
    <t>Hood Sash Dropdown</t>
  </si>
  <si>
    <t>Hood sash closure system design controlled per §140.9(c)4</t>
  </si>
  <si>
    <t>NA: Systems designed for &gt; 10 ACH</t>
  </si>
  <si>
    <t>NRCA-PRC-14-F Lab Exhaust Ventilation Systems</t>
  </si>
  <si>
    <t>NRCA-PRC-15-F  Fume Hood Automatic Sash Closure Systems</t>
  </si>
  <si>
    <t>&lt;&lt; moves to "Yes" if Table O &amp; column 05 selection is "Hood sash closure system design controlled per §140.9(c)4"</t>
  </si>
  <si>
    <t>&lt;&lt; moves to "Yes" if Table F is triggered &amp; "Evaporative-cooled" is clicked in Condensers subtable column 01</t>
  </si>
  <si>
    <t>&lt;&lt; moves to "Yes" if Table F is triggered &amp; "Air-cooled" is clicked in Condensers subtable column 01</t>
  </si>
  <si>
    <t>&lt;&lt; moves to "Yes" if Table F is triggered &amp; Compressors subtable column 04 selection of "Controls compressor speed…" is selected</t>
  </si>
  <si>
    <t>&lt;&lt; moves to "Yes" if Table F is triggered &amp; Underslab Heating subtable column 02 selection of "Using electric resistance with…" is selected</t>
  </si>
  <si>
    <t>&lt;&lt; moves to "Yes" if Table F is triggered &amp; "Adiabatic" is clicked in Condensers subtable column 01</t>
  </si>
  <si>
    <t xml:space="preserve"> §120.6</t>
  </si>
  <si>
    <t>Header, B, C</t>
  </si>
  <si>
    <t>B, C</t>
  </si>
  <si>
    <t>TABLE 120.6-A</t>
  </si>
  <si>
    <t>Header, B, C, F</t>
  </si>
  <si>
    <t>F</t>
  </si>
  <si>
    <t>120.6(a)2</t>
  </si>
  <si>
    <t>§120.6(a)3A</t>
  </si>
  <si>
    <t>§120.6(a)3B</t>
  </si>
  <si>
    <t>§120.6(a)3C</t>
  </si>
  <si>
    <t>§120.6(a)4D/E</t>
  </si>
  <si>
    <t>§120.6(a)4B</t>
  </si>
  <si>
    <t>§120.6(a)4G</t>
  </si>
  <si>
    <t>§120.6(a)5A/B/C</t>
  </si>
  <si>
    <t>§120.6(a)6</t>
  </si>
  <si>
    <t>&gt;=70% Efficiency</t>
  </si>
  <si>
    <t>Designed to &lt;= 70 @ ambient db temp</t>
  </si>
  <si>
    <t>Designed to &lt;= 70 @ ambient wb temp</t>
  </si>
  <si>
    <t>NA: Not new open-drive screw compressor w SST &lt;= 28deg</t>
  </si>
  <si>
    <t>&lt;= 10 fins/in</t>
  </si>
  <si>
    <t>Air cooled: designed to &lt;= 70 @ ambient db temp</t>
  </si>
  <si>
    <t>Evap cooled: designed to &lt;= 70 @ ambient wb temp</t>
  </si>
  <si>
    <t>NA: Suction group with design SST &gt;= 30°F</t>
  </si>
  <si>
    <t>&gt;= 2.5 to &lt;5 MMBtuh per boiler</t>
  </si>
  <si>
    <t>NA: Newly installed exhaust system &lt;= 10,000 cfm</t>
  </si>
  <si>
    <t>F. REFRIGERATED WAREHOUSES/SPACES</t>
  </si>
  <si>
    <t>TABLE 120.6-A REFRIGERATED WAREHOUSE/SPACE INSULATION</t>
  </si>
  <si>
    <t>Fin Density
§120.6(a)4H</t>
  </si>
  <si>
    <t>Exceptions</t>
  </si>
  <si>
    <t>Requirements</t>
  </si>
  <si>
    <t>Fan Name</t>
  </si>
  <si>
    <t xml:space="preserve">  </t>
  </si>
  <si>
    <t>Add Fixture</t>
  </si>
  <si>
    <t>Remove Last Fixture</t>
  </si>
  <si>
    <t>Elevator Area 
(ft2)</t>
  </si>
  <si>
    <t>Total Design Watts</t>
  </si>
  <si>
    <t>15</t>
  </si>
  <si>
    <t>120.6(f)2</t>
  </si>
  <si>
    <t>120.6(f)3</t>
  </si>
  <si>
    <t xml:space="preserve">NA: Project does not include an airport, hotel, or transportation function area. </t>
  </si>
  <si>
    <t>Existing kitchen hoods not being replaced as part of an addition or alteration (do not need to meet requirements)</t>
  </si>
  <si>
    <t>&lt;&lt; Greys out entire table</t>
  </si>
  <si>
    <t>Providing replacement air directly to the hood(s) that does not exceed 10% of the hood(s) exhaust rate.</t>
  </si>
  <si>
    <t>Not providing replacement air directly to the hood(s)</t>
  </si>
  <si>
    <t>The hood exhaust flow minus the available transfer air from adjacent spaces.</t>
  </si>
  <si>
    <t>NA: Make up air is not mechanically cooled or heated</t>
  </si>
  <si>
    <t>Demand ventilation system(s) on at least 75% of the exhaust air per 140.9(b)2Bii</t>
  </si>
  <si>
    <t>A minimum of 75% of makeup air volume having a total of no more than 60°F and uncooled or cooled without the use of mechanical cooling</t>
  </si>
  <si>
    <t>NA: Not a kitchen /dining facility having a total Type I and Type II kitchen hood exhaust airflow rate &gt; 5,000 cfm</t>
  </si>
  <si>
    <t>Kitchen Name or Tag</t>
  </si>
  <si>
    <t>Add Kitchen</t>
  </si>
  <si>
    <t>&lt;&lt; Example of add hood button</t>
  </si>
  <si>
    <t>O. LABORATORY AND FACTORY EXHAUST AND FUME HOODS</t>
  </si>
  <si>
    <t>120.6(a)</t>
  </si>
  <si>
    <t>120.6(b)</t>
  </si>
  <si>
    <t>120.6(c)</t>
  </si>
  <si>
    <t>120.6(f)/(g)</t>
  </si>
  <si>
    <t>140.9(c)</t>
  </si>
  <si>
    <t>140.9(b)</t>
  </si>
  <si>
    <t>140.9(a)</t>
  </si>
  <si>
    <t xml:space="preserve">120.6(d)/(e) </t>
  </si>
  <si>
    <t>Add Zone/System</t>
  </si>
  <si>
    <t>fds</t>
  </si>
  <si>
    <t>Table M indicates a computational fluid dynamics (CFD) analysis was performed to meet computer room containment requirements in §140.9(a)6.  Authority Having Jurisdiction may ask for calculations to confirm compliance at their discretion.</t>
  </si>
  <si>
    <t>Table K indicates one or more elevators which have designed lighting power greater than the Maximum Power Allowed.  Please revise Table K to demonstrate compliance.</t>
  </si>
  <si>
    <t>Table K indicates one or more elevators which have designed ventilation Watts/cfm greater than the maximum Watts/cfm allowed.  Please revise Table K to demonstrate compliance.</t>
  </si>
  <si>
    <t>Alert! Refrigerated Warehouses and refrigerated spaces that are less than 3,000 square feet do not have requirements under Title 24, Part 6 and therefore are not documented on the NRCC-PRC-E.  Systems serving these spaces shall meet the requirements of the Appliance Efficiency Regulations for walk-in coolers or freezers contained in the Appliance Efficiency Regulations (California Code of Regulations, Title 20, Sections 1601 through 1608).</t>
  </si>
  <si>
    <r>
      <rPr>
        <i/>
        <vertAlign val="superscript"/>
        <sz val="10"/>
        <color theme="1"/>
        <rFont val="Calibri"/>
        <family val="2"/>
        <scheme val="minor"/>
      </rPr>
      <t>1</t>
    </r>
    <r>
      <rPr>
        <i/>
        <sz val="10"/>
        <color theme="1"/>
        <rFont val="Calibri"/>
        <family val="2"/>
        <scheme val="minor"/>
      </rPr>
      <t xml:space="preserve"> FOOTNOTE: Compliant equipment may be found in the Modernized Appliance Efficiency Database System (MAEDbS) on the Energy Commission website: https://cacertappliances.energy.ca.gov/Pages/Search/AdvancedSearch.aspx</t>
    </r>
  </si>
  <si>
    <t>DOCUMENTATION AUTHOR'S DECLARATION STATEMENT</t>
  </si>
  <si>
    <t>Documentation Author Name:</t>
  </si>
  <si>
    <t>Documentation Author Signature:</t>
  </si>
  <si>
    <t>Company:</t>
  </si>
  <si>
    <t>Signature Date:</t>
  </si>
  <si>
    <t>Address:</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</si>
  <si>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</si>
  <si>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</si>
  <si>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</si>
  <si>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</si>
  <si>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</si>
  <si>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</si>
  <si>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</si>
  <si>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</si>
  <si>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NRCC-PRC form.</t>
    </r>
    <r>
      <rPr>
        <b/>
        <sz val="10"/>
        <color rgb="FF00B050"/>
        <rFont val="Calibri"/>
        <family val="2"/>
        <scheme val="minor"/>
      </rPr>
      <t xml:space="preserve"> [d:/OnlyUI] </t>
    </r>
  </si>
  <si>
    <t>pull from 01</t>
  </si>
  <si>
    <t>Fixture Name or Item Tag</t>
  </si>
  <si>
    <t>Elevator Name or Item Tag</t>
  </si>
  <si>
    <t>16</t>
  </si>
  <si>
    <t>Replacement Air to Hood Compliance Method §140.9(b)1A</t>
  </si>
  <si>
    <t>The kitchen /dining facility has a total Type I and Type II kitchen hood exhaust airflow rate &gt; 5000 cfm and is designed to have one of the following per 140.9(b)2B:</t>
  </si>
  <si>
    <t>N.02 Compliance Method Dropdown</t>
  </si>
  <si>
    <t>N.03 Dropdown</t>
  </si>
  <si>
    <t>The supply flow required to meet the space heating and cooling load</t>
  </si>
  <si>
    <t>N.05 Dropdown</t>
  </si>
  <si>
    <t>At least 50% of all replacement air is transferred air that would otherwise be exhausted</t>
  </si>
  <si>
    <t>Listed energy recovery devices with a sensible heat recovery effectiveness of &gt; 40 on at least 50% of the total exhaust airflow</t>
  </si>
  <si>
    <t>Compliance Method Dropdown 01</t>
  </si>
  <si>
    <r>
      <t>Mechanically cooled or heated makeup air delivered to any space with a kitchen hood is designed per</t>
    </r>
    <r>
      <rPr>
        <sz val="11"/>
        <rFont val="Calibri"/>
        <family val="2"/>
        <scheme val="minor"/>
      </rPr>
      <t xml:space="preserve"> 140.9(b)2A </t>
    </r>
    <r>
      <rPr>
        <sz val="11"/>
        <color theme="1"/>
        <rFont val="Calibri"/>
        <family val="2"/>
        <scheme val="minor"/>
      </rPr>
      <t xml:space="preserve">to not exceed the greater of: </t>
    </r>
  </si>
  <si>
    <t>= '0.6*B8</t>
  </si>
  <si>
    <t xml:space="preserve"> (grey and blank)</t>
  </si>
  <si>
    <t>Total Fan System Power per Design 
(Watts)</t>
  </si>
  <si>
    <t>Maximum Fan System Power Allowed
(Watts)</t>
  </si>
  <si>
    <t>&gt;= 1 HP</t>
  </si>
  <si>
    <t>(equals 04*05)</t>
  </si>
  <si>
    <t>NRCA-PRC-06-F-Refrigerated Warehouses - Air Cooled Condenser Controls</t>
  </si>
  <si>
    <t>NRCA-PRC-16-F-Refrigerated Warehouses - Adiabatic Condenser Controls</t>
  </si>
  <si>
    <t>NRCA-PRC-07-F-Refrigerated Warehouses - Variable Speed Compressor</t>
  </si>
  <si>
    <t>&lt;&lt; moves to "Yes" if Table N is triggered, unless N01 is checked</t>
  </si>
  <si>
    <r>
      <t>Hood Type</t>
    </r>
    <r>
      <rPr>
        <vertAlign val="superscript"/>
        <sz val="9"/>
        <rFont val="Calibri"/>
        <family val="2"/>
        <scheme val="minor"/>
      </rPr>
      <t>1</t>
    </r>
  </si>
  <si>
    <t>Min condensing temp &lt;=70 deg</t>
  </si>
  <si>
    <r>
      <rPr>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 http://www.energy.ca.gov/title24/attcp/providers.html.</t>
    </r>
    <r>
      <rPr>
        <b/>
        <sz val="10"/>
        <color theme="9" tint="-0.249977111117893"/>
        <rFont val="Calibri"/>
        <family val="2"/>
      </rPr>
      <t xml:space="preserve"> </t>
    </r>
  </si>
  <si>
    <r>
      <rPr>
        <sz val="11"/>
        <color theme="1"/>
        <rFont val="Wingdings"/>
        <charset val="2"/>
      </rPr>
      <t>¨</t>
    </r>
    <r>
      <rPr>
        <sz val="11"/>
        <color theme="1"/>
        <rFont val="Calibri"/>
        <family val="2"/>
      </rPr>
      <t xml:space="preserve"> Air-cooled (new only)</t>
    </r>
  </si>
  <si>
    <r>
      <t>Indicate gas cooler types included in the project:</t>
    </r>
    <r>
      <rPr>
        <vertAlign val="superscript"/>
        <sz val="11"/>
        <color theme="1"/>
        <rFont val="Calibri"/>
        <family val="2"/>
        <scheme val="minor"/>
      </rPr>
      <t>1</t>
    </r>
  </si>
  <si>
    <r>
      <rPr>
        <i/>
        <vertAlign val="superscript"/>
        <sz val="11"/>
        <color theme="1"/>
        <rFont val="Calibri"/>
        <family val="2"/>
        <scheme val="minor"/>
      </rPr>
      <t>1</t>
    </r>
    <r>
      <rPr>
        <i/>
        <sz val="11"/>
        <color theme="1"/>
        <rFont val="Calibri"/>
        <family val="2"/>
        <scheme val="minor"/>
      </rPr>
      <t xml:space="preserve"> FOOTNOTE: Altered/replacement or existing gas-coolers do not have Title 24, Part 6 requirements.  </t>
    </r>
  </si>
  <si>
    <r>
      <rPr>
        <sz val="11"/>
        <color theme="1"/>
        <rFont val="Wingdings"/>
        <charset val="2"/>
      </rPr>
      <t>¨</t>
    </r>
    <r>
      <rPr>
        <sz val="11"/>
        <color theme="1"/>
        <rFont val="Calibri"/>
        <family val="2"/>
      </rPr>
      <t xml:space="preserve"> Altered/replacement or existing gas coolers only</t>
    </r>
  </si>
  <si>
    <r>
      <rPr>
        <sz val="11"/>
        <color theme="1"/>
        <rFont val="Wingdings"/>
        <charset val="2"/>
      </rPr>
      <t>¨</t>
    </r>
    <r>
      <rPr>
        <sz val="11"/>
        <color theme="1"/>
        <rFont val="Calibri"/>
        <family val="2"/>
      </rPr>
      <t xml:space="preserve"> No Transcritical CO</t>
    </r>
    <r>
      <rPr>
        <vertAlign val="subscript"/>
        <sz val="11"/>
        <color theme="1"/>
        <rFont val="Calibri"/>
        <family val="2"/>
      </rPr>
      <t>2</t>
    </r>
    <r>
      <rPr>
        <sz val="11"/>
        <color theme="1"/>
        <rFont val="Calibri"/>
        <family val="2"/>
      </rPr>
      <t xml:space="preserve"> refrigeration/ no fan-powered gas coolers</t>
    </r>
  </si>
  <si>
    <t>Add Gas Cooler</t>
  </si>
  <si>
    <t>Alert! Air-cooled gas coolers are prohibited in climate zones 9-15 per §120.6(a)8A.</t>
  </si>
  <si>
    <t>Gas Temp</t>
  </si>
  <si>
    <t>Design Leaving Gas Temperature
§120.6(a)8B&amp;C</t>
  </si>
  <si>
    <t>Designed per §120.6(a)8B or C</t>
  </si>
  <si>
    <t>Variable Speed Control
§120.6(a)8D</t>
  </si>
  <si>
    <t>Gas Cooler Pressure Controls 
§120.6(a)8E&amp;F</t>
  </si>
  <si>
    <t>Pressure Control dropdown</t>
  </si>
  <si>
    <t>Condensing temp reset per §120.6(a)4F and cooler pressure setpoint maximizes efficiency</t>
  </si>
  <si>
    <t>Design Condensing Temperatures
§120.6(a)8G</t>
  </si>
  <si>
    <t>Condenser Efficiency §120.6(a)8H</t>
  </si>
  <si>
    <t>THIS ENTIRE TABLE IS NEW FOR 2022</t>
  </si>
  <si>
    <t>NA: Room doesn't include passageways between freezers and non-refrigerated spaces</t>
  </si>
  <si>
    <t>Door Closure Compliance Method
§120.6(a)9</t>
  </si>
  <si>
    <t>Infiltration Method Dropdown</t>
  </si>
  <si>
    <t>Door Closure Method Dropdown</t>
  </si>
  <si>
    <t>Passageway between freezers &amp; higher temp. spaces/ coolers and non-refrigerated spaces shall include automatic door closures per §120.6(a)9</t>
  </si>
  <si>
    <t>NA: Room doesn't include people passageways between freezers/ higher temp./coolers/non-refrigerated spaces</t>
  </si>
  <si>
    <r>
      <t>Refrigerated Spaces &gt;=3,000 ft</t>
    </r>
    <r>
      <rPr>
        <vertAlign val="superscript"/>
        <sz val="10"/>
        <rFont val="Calibri"/>
        <family val="2"/>
        <scheme val="minor"/>
      </rPr>
      <t>2</t>
    </r>
    <r>
      <rPr>
        <sz val="10"/>
        <rFont val="Calibri"/>
        <family val="2"/>
        <scheme val="minor"/>
      </rPr>
      <t xml:space="preserve"> Total (mandatory §120.6(a))</t>
    </r>
  </si>
  <si>
    <t>Enclosed Parking Garage Exhaust &gt;= 10,000 cfm (mandatory §120.6(c))</t>
  </si>
  <si>
    <t>Newly Installed Process Boilers (mandatory §120.6(d))</t>
  </si>
  <si>
    <t>Compressed Air Systems Combined HP &gt;= 25 (mandatory §120.6(e))</t>
  </si>
  <si>
    <t>Escalator &amp; Moving Walkway Speed Controls (mandatory §120.6(g))</t>
  </si>
  <si>
    <r>
      <t>Commercial Kitchen Ventilation/Exhaust (prescriptive §140.9(b))</t>
    </r>
    <r>
      <rPr>
        <vertAlign val="superscript"/>
        <sz val="10"/>
        <rFont val="Calibri"/>
        <family val="2"/>
        <scheme val="minor"/>
      </rPr>
      <t>1</t>
    </r>
  </si>
  <si>
    <t>Design includes lighting controls for refrigerated display cases including illuminated glass doors of walk-in coolers/freezers per §120.6(b)3.
Select method(s) being utilized below:</t>
  </si>
  <si>
    <t>Condensing Temp Dropdown</t>
  </si>
  <si>
    <t>Min condensing temp &lt;=60 deg</t>
  </si>
  <si>
    <t>SST &lt; 30deg: Min condensing temp &lt;= 70 deg</t>
  </si>
  <si>
    <t>NA: Stores where the design Total Heat of Rejection of all refrigeration systems is less than or equal to 500,000 Btu/h.</t>
  </si>
  <si>
    <t>Alert! Air-cooled gas coolers are prohibited in climate zones 10-15 per §120.6(b)5A.</t>
  </si>
  <si>
    <t>Design Leaving Gas Temperature
§120.6(b)5B&amp;C</t>
  </si>
  <si>
    <t>Variable Speed Control
§120.6(b)5D</t>
  </si>
  <si>
    <t>Gas Cooler Pressure Controls 
§120.6(b)5E&amp;F</t>
  </si>
  <si>
    <t>Design Condensing Temperatures
§120.6(b)5G</t>
  </si>
  <si>
    <t>Condenser Efficiency §120.6(b)5H</t>
  </si>
  <si>
    <t>Designed per §120.6(b)5B or C</t>
  </si>
  <si>
    <t>Variable speed fan(s) provided controlled per §120.6(b)5D</t>
  </si>
  <si>
    <t>Condensing temp reset per §120.6(b)1A and cooler pressure setpoint maximizes efficiency</t>
  </si>
  <si>
    <t>&lt;&lt; move to "Yes" if any selections for the following = "NA: Transcritical CO2"
- Table F Air-Cooled Condenser col04-07
- Table F Water/Evap-Cooled Condenser col04-07
- Table F Adiabatic Condenser col03-06
- Table G Condensers col06-07
- Table G Compressors col04
OR
Table F Compressor col03 = "Transcritical CO2 w SST..."</t>
  </si>
  <si>
    <r>
      <t xml:space="preserve">This table includes all process boilers within the the scope of the permit application to demonstrate compliance with the requirements of §120.6(d). </t>
    </r>
    <r>
      <rPr>
        <b/>
        <i/>
        <sz val="10"/>
        <rFont val="Calibri"/>
        <family val="2"/>
      </rPr>
      <t xml:space="preserve"> </t>
    </r>
  </si>
  <si>
    <t>NA: Steady state full-load combustion efficiency &gt;=90%</t>
  </si>
  <si>
    <t>This table includes all  new or altered compressed air systems with a combined HP of 25 or greater. The inputs within Table J are used to demonstrate compliance with the requirements of §120.6(e).</t>
  </si>
  <si>
    <t>NA: Medical gas serving Healthcare facility</t>
  </si>
  <si>
    <t>NA: Alt. where total added/replaced compressor hp &lt; avg. per compressor hp of all compressors in system</t>
  </si>
  <si>
    <t>NA: Alt. where added/replaced compressors are VSD &amp; system includes primary storage &gt;= 1g/acfm of largest trim compressor</t>
  </si>
  <si>
    <t>NA: Alt. of system that includes &gt;= 1 centrifugal compressor</t>
  </si>
  <si>
    <t>Monitoring
§120.6(e)3</t>
  </si>
  <si>
    <t>Monitoring Dropdown</t>
  </si>
  <si>
    <t>Includes monitoring, data logging/storage and display system for pressure, amps/power, airflow per §120.6(e)3.</t>
  </si>
  <si>
    <t>Line Size Dropdown</t>
  </si>
  <si>
    <t>Inner diameter &gt;= 3/4 in</t>
  </si>
  <si>
    <t>NA: Adjoining length &lt;= 50ft</t>
  </si>
  <si>
    <t>Inerconnection/main header piping &lt;= 20fps and distribution piping &lt;= 30 fps.</t>
  </si>
  <si>
    <t>Frictional pressure loss &lt; 5% operating pressure per §120.6(e)5C</t>
  </si>
  <si>
    <t>Compressed Air Piping &gt; 50 Adjoining ft in Length
§120.6(e)5</t>
  </si>
  <si>
    <t>Kitchen Ventilation §140.9(b)2</t>
  </si>
  <si>
    <t>Kitchen Exhaust: Airflow Rate §140.9(b)1B</t>
  </si>
  <si>
    <t>P. CONTROLLED ENVIRONMENT HORTICULTURE</t>
  </si>
  <si>
    <t>This table documents compliance with mandatory controlled environment horticulture requirments of §120.6(h).</t>
  </si>
  <si>
    <t>Dehumid Compliance Method</t>
  </si>
  <si>
    <t>Dehumidifiers regulated by Federal Appliance Standards</t>
  </si>
  <si>
    <t>HVAC has onsite heat recovery for &gt;=75% of dehumidification reheat</t>
  </si>
  <si>
    <t>CHW system has onsite heat recovery for &gt;=75% of dehumidification reheat</t>
  </si>
  <si>
    <t>Dessicant dehumidification for dewpoint &lt;= 50degF</t>
  </si>
  <si>
    <t>HVAC Compliance Method</t>
  </si>
  <si>
    <t>Indoor or Greenhouse Space</t>
  </si>
  <si>
    <t>System serves indoor horticulture</t>
  </si>
  <si>
    <t>System serves greenhouse horticulture</t>
  </si>
  <si>
    <t>NA: System has &lt; 40kW of aggregate horticulture lighting load</t>
  </si>
  <si>
    <t>PPE Dropdown if "Indoor" in col02</t>
  </si>
  <si>
    <t>System PPE ANSI/ASABE S640 rated for wavelengths 400-700 nanometers AND serviceable lamp PPE &gt;= 1.9 micromoles per joule</t>
  </si>
  <si>
    <t>Timeswitch</t>
  </si>
  <si>
    <t>Multilevel</t>
  </si>
  <si>
    <t>EPD Monitoring Dropdown</t>
  </si>
  <si>
    <t>Electrical system designed for capability to monitor electrical energy usage of horticulture lighting load</t>
  </si>
  <si>
    <t>Dimmer</t>
  </si>
  <si>
    <t xml:space="preserve">Multilevel  </t>
  </si>
  <si>
    <t>EMCS</t>
  </si>
  <si>
    <t>Autotimeswitch</t>
  </si>
  <si>
    <t>Countdown timer</t>
  </si>
  <si>
    <t>Assembly Type</t>
  </si>
  <si>
    <t>Opaque Roof</t>
  </si>
  <si>
    <t>Opaque Wall</t>
  </si>
  <si>
    <t>Non-opaque envelope</t>
  </si>
  <si>
    <t>Aeembly Type Dropdown</t>
  </si>
  <si>
    <t>NA: No HVAC system for CEH</t>
  </si>
  <si>
    <t>NOE Compliance Method</t>
  </si>
  <si>
    <t>Tag/Plan Detail ID</t>
  </si>
  <si>
    <t>OE Compliance Method</t>
  </si>
  <si>
    <t>Envelope complying via Performance Path and is documented on NRCC-PRF-E document.</t>
  </si>
  <si>
    <t>Envelope complying via Prescriptive Path and is documented on NRCC-ENV-E document.</t>
  </si>
  <si>
    <t>Has &gt;= 2 glazings separated by air or gas</t>
  </si>
  <si>
    <t>Controlled Environment Horticulture</t>
  </si>
  <si>
    <t>Steam Traps</t>
  </si>
  <si>
    <t>This table is auto-filled with uneditable comments because of selections made or data entered in tables throughout the form.</t>
  </si>
  <si>
    <t>Update Interval</t>
  </si>
  <si>
    <t>Alarm Display</t>
  </si>
  <si>
    <t>Status updates at &lt;= 8 hr intervals</t>
  </si>
  <si>
    <t>Alarm displays which steam trap has fault</t>
  </si>
  <si>
    <t>Alarm Dropdown</t>
  </si>
  <si>
    <t>Interval Dropdown</t>
  </si>
  <si>
    <t>Strainer Installation</t>
  </si>
  <si>
    <t>Strainer Dropdown</t>
  </si>
  <si>
    <t>Steam traps are equipped with an integral strainer and blow-off valve</t>
  </si>
  <si>
    <t>Steam traps are installed downstream within 3 ft of a strainer and blow-off valve</t>
  </si>
  <si>
    <t>NA: Steam is diverted to a steam system of lower pressure for use when the steam trap fails open.</t>
  </si>
  <si>
    <t>NRCA-PRC-?-F  Steam Traps</t>
  </si>
  <si>
    <t>&lt;&lt; moves to "Yes" if Table R is triggered</t>
  </si>
  <si>
    <t>New Steam Traps (mandatory §120.6(i))</t>
  </si>
  <si>
    <t>NA: Rm power density &lt;= 20 W/ft2</t>
  </si>
  <si>
    <t>Computer Room HVAC</t>
  </si>
  <si>
    <t>Computer Room Uniterruptible Power Supply (UPS)</t>
  </si>
  <si>
    <t>From Computer Rm HVAC col01 above</t>
  </si>
  <si>
    <t>Alternating Current Output UPS Compliance Method
§140.9(a)4</t>
  </si>
  <si>
    <t>UPS Compliance Method</t>
  </si>
  <si>
    <t>Systems meet or exceed min efficiency per Table 140.9-B</t>
  </si>
  <si>
    <t>NA: UPS utilizes standardized NEMA 1-15P or NEMA 5-15P input plug</t>
  </si>
  <si>
    <t>UPS Rated Output Power
(W)</t>
  </si>
  <si>
    <t>Type of UPS</t>
  </si>
  <si>
    <t>Type Dropdown</t>
  </si>
  <si>
    <t>Voltage &amp; Frequency Dependent</t>
  </si>
  <si>
    <t>Voltage Independent</t>
  </si>
  <si>
    <t>Voltage &amp; Frequency Independent</t>
  </si>
  <si>
    <t>Minimum Efficiency Required
Table 140.9-B</t>
  </si>
  <si>
    <t>Design Efficiency Specified</t>
  </si>
  <si>
    <t>Add UPS</t>
  </si>
  <si>
    <t>THIS ENTIRE SUBTABLE IS NEW FOR 2022</t>
  </si>
  <si>
    <t>Compliance Method per §140.9(b)1B</t>
  </si>
  <si>
    <t>Table R</t>
  </si>
  <si>
    <t>Q. STEAM TRAPS IN INDUSTRIAL FACILITIES</t>
  </si>
  <si>
    <t>Pool/ Spa Description</t>
  </si>
  <si>
    <t>Serves one tenant</t>
  </si>
  <si>
    <t>Pool/Spa Service Type</t>
  </si>
  <si>
    <t>On/Off Control</t>
  </si>
  <si>
    <t>Piping</t>
  </si>
  <si>
    <t>Efficiency dropdown</t>
  </si>
  <si>
    <t>Control Dropdown</t>
  </si>
  <si>
    <t>Includes on-off switch mounted on outside of heater allowing shutting off heater without adjusting thermostat</t>
  </si>
  <si>
    <t>NA: Pool/spa not heated</t>
  </si>
  <si>
    <t>Listed package units with fully insulated enclosures, and with tight-fitting covers that are insulated to at least R-6</t>
  </si>
  <si>
    <t>Pools/spas where &gt;= 60% of annual heating energy is from site solar energy or recovered energy</t>
  </si>
  <si>
    <t>Built-in/built-up connections installed to allow for future addition of solar heating equipment</t>
  </si>
  <si>
    <t>Piping Dropdown</t>
  </si>
  <si>
    <t>Has directional inlets to mix the pool water &amp; control mechanism to allow pumps to run only during off-peak electric demand period and for min time necessary</t>
  </si>
  <si>
    <t xml:space="preserve">NA: Spa </t>
  </si>
  <si>
    <t>Inlet Dropdown</t>
  </si>
  <si>
    <t>Pool Directional Inlets &amp; Pump Control</t>
  </si>
  <si>
    <t>Requirement</t>
  </si>
  <si>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</si>
  <si>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</si>
  <si>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</si>
  <si>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</si>
  <si>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</si>
  <si>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t>Additional Requirements for Pool/ Spa Serving One Tenant §150.0(p)</t>
  </si>
  <si>
    <t>This table includes remarks made by the permit applicant to the Authority Having Jurisdiction.</t>
  </si>
  <si>
    <r>
      <t>NA: Transcritical CO</t>
    </r>
    <r>
      <rPr>
        <vertAlign val="subscript"/>
        <sz val="10"/>
        <color theme="1"/>
        <rFont val="Calibri"/>
        <family val="2"/>
        <scheme val="minor"/>
      </rPr>
      <t>2</t>
    </r>
    <r>
      <rPr>
        <sz val="10"/>
        <color theme="1"/>
        <rFont val="Calibri"/>
        <family val="2"/>
        <scheme val="minor"/>
      </rPr>
      <t xml:space="preserve"> refrigeration</t>
    </r>
  </si>
  <si>
    <r>
      <rPr>
        <i/>
        <vertAlign val="superscript"/>
        <sz val="10"/>
        <color theme="1"/>
        <rFont val="Calibri"/>
        <family val="2"/>
        <scheme val="minor"/>
      </rPr>
      <t>1</t>
    </r>
    <r>
      <rPr>
        <i/>
        <sz val="10"/>
        <color theme="1"/>
        <rFont val="Calibri"/>
        <family val="2"/>
        <scheme val="minor"/>
      </rPr>
      <t xml:space="preserve"> FOOTNOTE: Altered/replacement or existing compressors do not have Title 24, Part 6 requirements.  </t>
    </r>
  </si>
  <si>
    <r>
      <t>NA: openings &lt; 16ft</t>
    </r>
    <r>
      <rPr>
        <vertAlign val="superscript"/>
        <sz val="10"/>
        <color theme="1"/>
        <rFont val="Calibri"/>
        <family val="2"/>
        <scheme val="minor"/>
      </rPr>
      <t>2</t>
    </r>
  </si>
  <si>
    <r>
      <t>Transcritical CO</t>
    </r>
    <r>
      <rPr>
        <vertAlign val="subscript"/>
        <sz val="10"/>
        <rFont val="Calibri"/>
        <family val="2"/>
        <scheme val="minor"/>
      </rPr>
      <t xml:space="preserve">2 </t>
    </r>
    <r>
      <rPr>
        <sz val="10"/>
        <rFont val="Calibri"/>
        <family val="2"/>
        <scheme val="minor"/>
      </rPr>
      <t>w SST &lt; 30deg: Min condensing temp &lt;= 70 deg</t>
    </r>
  </si>
  <si>
    <t>This table includes all newly installed mechanical ventilation systems which serve parking garages and have a design exhuast rate greater than or equal to 10,000 cfm. The inputs of Table H are used to demonstrate compliance with the requirments of §120.6(c).</t>
  </si>
  <si>
    <t>Garage is expected to have vehicles with non-gasoline combustion engines for &gt; 20% of the parked vehicles per Exception 1 to §120.6(c)</t>
  </si>
  <si>
    <t>Project scope includes an addition or alteration to an existing garage where &lt; 10,000 cfm of new exhaust capacity is being added Exception 2 to §120.6(c)</t>
  </si>
  <si>
    <r>
      <t xml:space="preserve">Exhaust fan control modulates airflow rates &lt;= 50% design capacity when contaminant levels are maintained per </t>
    </r>
    <r>
      <rPr>
        <sz val="10"/>
        <rFont val="Arial"/>
        <family val="2"/>
      </rPr>
      <t>§</t>
    </r>
    <r>
      <rPr>
        <sz val="10"/>
        <rFont val="Calibri"/>
        <family val="2"/>
        <scheme val="minor"/>
      </rPr>
      <t xml:space="preserve">120.6(c)1 </t>
    </r>
  </si>
  <si>
    <r>
      <t xml:space="preserve">Fan control or device allows fan motor demand </t>
    </r>
    <r>
      <rPr>
        <sz val="10"/>
        <rFont val="Arial"/>
        <family val="2"/>
      </rPr>
      <t xml:space="preserve">≤ </t>
    </r>
    <r>
      <rPr>
        <sz val="10"/>
        <rFont val="Calibri"/>
        <family val="2"/>
      </rPr>
      <t>30% design wattages at 50% of design airflow per</t>
    </r>
    <r>
      <rPr>
        <sz val="10"/>
        <rFont val="Calibri"/>
        <family val="2"/>
        <scheme val="minor"/>
      </rPr>
      <t xml:space="preserve"> §120.6(c)2</t>
    </r>
  </si>
  <si>
    <r>
      <t>Design includes monitoring CO with a sensor density &gt;=</t>
    </r>
    <r>
      <rPr>
        <sz val="10"/>
        <rFont val="Calibri"/>
        <family val="2"/>
      </rPr>
      <t xml:space="preserve"> 1 per 5,000 ft2 per §120.6(c)3</t>
    </r>
  </si>
  <si>
    <t>CO sensors are located in the highest expected concentration locations, with at least two per proximity zone per §120.6(c)3</t>
  </si>
  <si>
    <r>
      <t>Design CO sensor setpoint &lt;=</t>
    </r>
    <r>
      <rPr>
        <sz val="10"/>
        <rFont val="Calibri"/>
        <family val="2"/>
      </rPr>
      <t xml:space="preserve"> 25</t>
    </r>
    <r>
      <rPr>
        <sz val="10"/>
        <rFont val="Calibri"/>
        <family val="2"/>
        <scheme val="minor"/>
      </rPr>
      <t xml:space="preserve"> ppm per §120.6(c)4</t>
    </r>
  </si>
  <si>
    <t>Occupied garage design maintains negative pressurization per §120.6(c)6</t>
  </si>
  <si>
    <r>
      <t>Designed occupied total ventilation rate &gt;=</t>
    </r>
    <r>
      <rPr>
        <sz val="10"/>
        <rFont val="Calibri"/>
        <family val="2"/>
      </rPr>
      <t xml:space="preserve"> 0.15 </t>
    </r>
    <r>
      <rPr>
        <sz val="10"/>
        <rFont val="Calibri"/>
        <family val="2"/>
        <scheme val="minor"/>
      </rPr>
      <t>CFM/ ft</t>
    </r>
    <r>
      <rPr>
        <vertAlign val="superscript"/>
        <sz val="10"/>
        <rFont val="Calibri"/>
        <family val="2"/>
        <scheme val="minor"/>
      </rPr>
      <t>2</t>
    </r>
    <r>
      <rPr>
        <sz val="10"/>
        <rFont val="Calibri"/>
        <family val="2"/>
        <scheme val="minor"/>
      </rPr>
      <t xml:space="preserve"> §120.6(c)5</t>
    </r>
  </si>
  <si>
    <r>
      <t>Parking Garage Area
(ft</t>
    </r>
    <r>
      <rPr>
        <vertAlign val="superscript"/>
        <sz val="10"/>
        <color theme="1"/>
        <rFont val="Calibri"/>
        <family val="2"/>
        <scheme val="minor"/>
      </rPr>
      <t>2</t>
    </r>
    <r>
      <rPr>
        <sz val="10"/>
        <color theme="1"/>
        <rFont val="Calibri"/>
        <family val="2"/>
        <scheme val="minor"/>
      </rPr>
      <t>)</t>
    </r>
  </si>
  <si>
    <r>
      <t>Controls limit fan motor demand to &lt;=</t>
    </r>
    <r>
      <rPr>
        <sz val="10"/>
        <color theme="1"/>
        <rFont val="Calibri"/>
        <family val="2"/>
      </rPr>
      <t xml:space="preserve"> 30% of the total design wattage at 50% of design air volume provided</t>
    </r>
  </si>
  <si>
    <t>(= sum of column 06)</t>
  </si>
  <si>
    <t>(= sum of column 07)</t>
  </si>
  <si>
    <r>
      <t>Maximum Power Allowed</t>
    </r>
    <r>
      <rPr>
        <vertAlign val="superscript"/>
        <sz val="10"/>
        <color theme="1"/>
        <rFont val="Calibri"/>
        <family val="2"/>
        <scheme val="minor"/>
      </rPr>
      <t>1</t>
    </r>
    <r>
      <rPr>
        <sz val="10"/>
        <color theme="1"/>
        <rFont val="Calibri"/>
        <family val="2"/>
        <scheme val="minor"/>
      </rPr>
      <t xml:space="preserve">
(W)</t>
    </r>
  </si>
  <si>
    <r>
      <rPr>
        <i/>
        <vertAlign val="superscript"/>
        <sz val="10"/>
        <rFont val="Calibri"/>
        <family val="2"/>
        <scheme val="minor"/>
      </rPr>
      <t>1</t>
    </r>
    <r>
      <rPr>
        <i/>
        <sz val="10"/>
        <rFont val="Calibri"/>
        <family val="2"/>
        <scheme val="minor"/>
      </rPr>
      <t xml:space="preserve"> FOOTNOTE: 0.6 watts per ft</t>
    </r>
    <r>
      <rPr>
        <i/>
        <vertAlign val="superscript"/>
        <sz val="10"/>
        <rFont val="Calibri"/>
        <family val="2"/>
        <scheme val="minor"/>
      </rPr>
      <t>2</t>
    </r>
    <r>
      <rPr>
        <i/>
        <sz val="10"/>
        <rFont val="Calibri"/>
        <family val="2"/>
        <scheme val="minor"/>
      </rPr>
      <t xml:space="preserve"> allowed per §120.6(f)1.  Interior signal lighting and display lighting not included in power density calculation.</t>
    </r>
  </si>
  <si>
    <t xml:space="preserve">This table includes all escalators and moving walkway controls neccesary to demonstrate compliance with the requirements of §120.6(g). </t>
  </si>
  <si>
    <r>
      <rPr>
        <i/>
        <vertAlign val="superscript"/>
        <sz val="10"/>
        <color theme="1"/>
        <rFont val="Calibri"/>
        <family val="2"/>
        <scheme val="minor"/>
      </rPr>
      <t>1</t>
    </r>
    <r>
      <rPr>
        <i/>
        <sz val="10"/>
        <color theme="1"/>
        <rFont val="Calibri"/>
        <family val="2"/>
        <scheme val="minor"/>
      </rPr>
      <t xml:space="preserve"> FOOTNOTE: Refers to net sensible cooling capacity at design conditions.</t>
    </r>
  </si>
  <si>
    <r>
      <rPr>
        <i/>
        <vertAlign val="superscript"/>
        <sz val="9"/>
        <rFont val="Calibri"/>
        <family val="2"/>
        <scheme val="minor"/>
      </rPr>
      <t>1</t>
    </r>
    <r>
      <rPr>
        <i/>
        <sz val="9"/>
        <rFont val="Calibri"/>
        <family val="2"/>
        <scheme val="minor"/>
      </rPr>
      <t xml:space="preserve"> FOOTNOTE: Type II hoods do not have a max hood exhaust air rate per Part 6 §140.9(b)1B.</t>
    </r>
  </si>
  <si>
    <t>NA: Laboratory is classified as biosafety level &gt;= 3</t>
  </si>
  <si>
    <t>HVAC Systems comply via Performance Path and are documented on NRCC-PRF-E document.</t>
  </si>
  <si>
    <t>HVAC Systems comply via Prescriptive Path and are documented on NRCC-MCH-E document.</t>
  </si>
  <si>
    <t>Refrigerated Warehouse/ Space 
§120.6(a)</t>
  </si>
  <si>
    <t>Commercial Refrigeration
§120.6(b)</t>
  </si>
  <si>
    <t>Parking Garage Exhaust
§120.6(c)</t>
  </si>
  <si>
    <t>Process Boilers §120.6(d)</t>
  </si>
  <si>
    <t>Compressed Air Systems §120.6(e)</t>
  </si>
  <si>
    <t>Escalators &amp; Moving Walkways §120.6(g)</t>
  </si>
  <si>
    <t>Computer Rooms §140.9(a)</t>
  </si>
  <si>
    <t>Commercial Kitchens §140.9(b)</t>
  </si>
  <si>
    <t>Laboratory/Factory Exhaust 
§140.9(c)</t>
  </si>
  <si>
    <t>(See Table P)</t>
  </si>
  <si>
    <t>(See Table Q)</t>
  </si>
  <si>
    <t>(See Table R)</t>
  </si>
  <si>
    <t>Multifamily Pool/Spa
§160.7</t>
  </si>
  <si>
    <t>Steam Traps
§120.6(i)</t>
  </si>
  <si>
    <t xml:space="preserve">                                                                                                                                                                                                                                                                                                                                                                                                                                                                                                                                                                                                                                                                                                                                                                                                                                                                                                                                                                                                                                                                                                                                                                                                                                                                                                                                                                                                                                                                                                                                                                                                                                                                                                                                                                                                                                                                                                                                                                                                                                                                                                                                                                                                                                                                                                                                                                                                                                                                                                                                                                                                                                                                                                                                                                                                                                                                                                                                                                                                                                                                                                                                                                                                                                                                                                                                                                                                                                                                                                                                                                                                                                                                                                                                                                                                                                                                                                                                                                                                                                                                                                                                                                                                                                                                                                                                                                                                                                                                                                                                                                                                                                                                                                                                                                                                                                                                                                                                                                                                                                                                                                                                                                                                                                                                                                                                                                                                                                                                                                                                                                                                                                                                                                                                                                                                                                                                                                                                                                                                                                                                                                                                                                                                                                                                                                                                                                                                                                                                                                                                                                                                                                                                                                                                                                                                                                                                                                                                                                                                                                                                                                                                                                                                                                                                                                                                                                                                                                                                                                                                                                                                                                                                                                                                                                                                                                                                                                                                                                                                                                                                                                                                                                                                                                                                                                                                                                                                                                                                                                                                                                                                                                                                                                                                                                                                                                                                                                                                                                                                                                                                                                                                                                                                                                                                                                                                                                                                                                                                                                                                                                                                                                                                                                                                                                                                                                                                                                                                                                                                                                                                                                                                                                                                                                                                                                                                                                                                                                                                                                                                                                                                                                                                                                                                                                                                                                                                                                                                                                                                                                                                                                                                                                                                                                                                                                                                                                                                                                                                                                                                                                                                                                                                                                                                                                                                                                                                                                                                                                                                                                                                                                                                                                                                                                                                                                                                                                                                                                                                                                                                                                                                                                                                                                                                                                                                                                                                                                                                                                                                                                                                                                                                                                                                                                                                                                                                                                                                                                                                                                                                                                                                                                                                                                                                                                                                                                                                                                                                                                                                                                                                                                                                                                                                                                                                                                                                                                                                                                                                                                                                                                                                                                                                                                                                                                                                                                                                                                                                                                                                                                                                                                                                                                                                                                                                                                                                                                                                                                                                                                                                                                                                                                                                                                                                                                                                                                                                                                                                                                                                                                                                                                                                                                                                                                                                                                                                                                                                                                                                                                                                                                                                                                                               </t>
  </si>
  <si>
    <r>
      <t>Total Conditioned Floor Area</t>
    </r>
    <r>
      <rPr>
        <b/>
        <sz val="10"/>
        <rFont val="Calibri"/>
        <family val="2"/>
        <scheme val="minor"/>
      </rPr>
      <t xml:space="preserve"> </t>
    </r>
  </si>
  <si>
    <t>This table documents compliance with mandatory steam trap requirements of §120.6(i). Steam traps with operating pressure greater than 15 psig and a total combined connected boiler input rating greater than 5 Million Btu/hr shall meet the requirements. Steam trap replacements or steam traps added to support replacement process equipment do not have requirements under Title 24, Part 6 and are not included in the table below.</t>
  </si>
  <si>
    <t>Controlled Environment Horticulture
§120.6(h)</t>
  </si>
  <si>
    <t>Dehumidification System for Indoor Grow CEH Compliance Method
§120.6(h)1</t>
  </si>
  <si>
    <t>This table documents mandatory requirements for envelope assemblies in conditioned greenhouses. Envelope assemblies in Indoor Grow Facilities should be documented on the NRCC-ENV for prescriptive compliance or NRCC-PRF for performance compliance.</t>
  </si>
  <si>
    <t>R. POOL &amp; SPAs</t>
  </si>
  <si>
    <t>This table documents compliance with mandatory pool/spa requirments in §110.4/§160.7.</t>
  </si>
  <si>
    <t>Pool/Spa (mandatory §110.4/§160.7)</t>
  </si>
  <si>
    <t>Pool/ Spas</t>
  </si>
  <si>
    <t>Footer for every page:</t>
  </si>
  <si>
    <t>Registration Number:</t>
  </si>
  <si>
    <t>Registration Date/Time:</t>
  </si>
  <si>
    <t>Registration Provider:</t>
  </si>
  <si>
    <t>Report Version:</t>
  </si>
  <si>
    <t>Schema Version:</t>
  </si>
  <si>
    <t>Report Generated:</t>
  </si>
  <si>
    <t>Date</t>
  </si>
  <si>
    <t>Description</t>
  </si>
  <si>
    <t>Colors</t>
  </si>
  <si>
    <t>NA: No UPS serving the computer room</t>
  </si>
  <si>
    <t>Remove this field on all but first &amp; last page header</t>
  </si>
  <si>
    <t>Indicate refrigerated wareHouse/space scope included in the project:</t>
  </si>
  <si>
    <r>
      <rPr>
        <sz val="11"/>
        <color theme="1"/>
        <rFont val="Wingdings"/>
        <charset val="2"/>
      </rPr>
      <t>¨</t>
    </r>
    <r>
      <rPr>
        <sz val="11"/>
        <color theme="1"/>
        <rFont val="Calibri"/>
        <family val="2"/>
      </rPr>
      <t xml:space="preserve"> Warehouse Exterior Surface Insulation</t>
    </r>
  </si>
  <si>
    <r>
      <rPr>
        <sz val="11"/>
        <color theme="1"/>
        <rFont val="Wingdings"/>
        <charset val="2"/>
      </rPr>
      <t>¨</t>
    </r>
    <r>
      <rPr>
        <sz val="11"/>
        <color theme="1"/>
        <rFont val="Calibri"/>
        <family val="2"/>
      </rPr>
      <t xml:space="preserve"> Underslab Heating</t>
    </r>
  </si>
  <si>
    <r>
      <rPr>
        <sz val="11"/>
        <color theme="1"/>
        <rFont val="Wingdings"/>
        <charset val="2"/>
      </rPr>
      <t>¨</t>
    </r>
    <r>
      <rPr>
        <sz val="11"/>
        <color theme="1"/>
        <rFont val="Calibri"/>
        <family val="2"/>
      </rPr>
      <t xml:space="preserve"> Fan Power Evaporators</t>
    </r>
  </si>
  <si>
    <r>
      <rPr>
        <sz val="11"/>
        <color theme="1"/>
        <rFont val="Wingdings"/>
        <charset val="2"/>
      </rPr>
      <t>¨</t>
    </r>
    <r>
      <rPr>
        <sz val="11"/>
        <color theme="1"/>
        <rFont val="Calibri"/>
        <family val="2"/>
      </rPr>
      <t xml:space="preserve"> Infiltration Barriers and Automatic Door Closures</t>
    </r>
  </si>
  <si>
    <r>
      <rPr>
        <sz val="11"/>
        <color theme="1"/>
        <rFont val="Wingdings"/>
        <charset val="2"/>
      </rPr>
      <t>¨</t>
    </r>
    <r>
      <rPr>
        <sz val="11"/>
        <color theme="1"/>
        <rFont val="Calibri"/>
        <family val="2"/>
      </rPr>
      <t xml:space="preserve"> Transcritical CO2 Fan-Powerd Gas Coolers</t>
    </r>
  </si>
  <si>
    <r>
      <rPr>
        <sz val="11"/>
        <color theme="1"/>
        <rFont val="Wingdings"/>
        <charset val="2"/>
      </rPr>
      <t>¨</t>
    </r>
    <r>
      <rPr>
        <sz val="11"/>
        <color theme="1"/>
        <rFont val="Calibri"/>
        <family val="2"/>
      </rPr>
      <t xml:space="preserve"> Transcritical CO2 Fan-powered Gas Coolers</t>
    </r>
  </si>
  <si>
    <r>
      <rPr>
        <sz val="11"/>
        <color theme="1"/>
        <rFont val="Wingdings"/>
        <charset val="2"/>
      </rPr>
      <t>¨</t>
    </r>
    <r>
      <rPr>
        <sz val="11"/>
        <color theme="1"/>
        <rFont val="Calibri"/>
        <family val="2"/>
      </rPr>
      <t xml:space="preserve"> Space Conditioning For Plant Production</t>
    </r>
  </si>
  <si>
    <r>
      <rPr>
        <sz val="11"/>
        <color theme="1"/>
        <rFont val="Wingdings"/>
        <charset val="2"/>
      </rPr>
      <t>¨</t>
    </r>
    <r>
      <rPr>
        <sz val="11"/>
        <color theme="1"/>
        <rFont val="Calibri"/>
        <family val="2"/>
      </rPr>
      <t xml:space="preserve"> Lighting and Electrical</t>
    </r>
  </si>
  <si>
    <r>
      <rPr>
        <sz val="11"/>
        <color theme="1"/>
        <rFont val="Wingdings"/>
        <charset val="2"/>
      </rPr>
      <t>¨</t>
    </r>
    <r>
      <rPr>
        <sz val="11"/>
        <color theme="1"/>
        <rFont val="Calibri"/>
        <family val="2"/>
      </rPr>
      <t xml:space="preserve"> Opaque and Non-Opaque Envelopes</t>
    </r>
  </si>
  <si>
    <t>Indicate Controlled Environmental Horticulture scope included in the project:</t>
  </si>
  <si>
    <t>Table S</t>
  </si>
  <si>
    <t>Table T</t>
  </si>
  <si>
    <t>Compliance ID:</t>
  </si>
  <si>
    <t>Alert! Healthcare Facilities do not have to meet the elevator, commercial kitchen, or lab exhaust requirements under Title 24, Part 6 and therefore are not documented on the NRCC-PRC-E. The corresponding tables (K,N,O)  say "This section does not apply" when healthcare facility has been chosen as an occupancy within Table A. Systems serving these spaces shall meet the requirements of the Appliance Efficiency Regulations for walk-in coolers or freezers contained in the Appliance Efficiency Regulations (California Code of Regulations, Title 20, Sections 1601 through 1608).</t>
  </si>
  <si>
    <t>Variable speed fan(s) provided</t>
  </si>
  <si>
    <t>Passageway between freezers and non-refrigerated spaces shall include infiltration barriers</t>
  </si>
  <si>
    <t>Stack Design and Controls
§120.6(d)3</t>
  </si>
  <si>
    <t>&gt;= 5 MMBtuh per boiler</t>
  </si>
  <si>
    <t>NRCI-PRC-E Covered Process</t>
  </si>
  <si>
    <t>&lt;&lt; triggers exceptional condition comment #1 in Table D</t>
  </si>
  <si>
    <t>This form is used to document any process systems that are within the scope of the permit application and are demonstrating compliance with mandatory requirements in §120.6/ §160.7, or prescriptive requirements in §140.9.  This compliance document is used for newly constructed, addition and alteration projects.</t>
  </si>
  <si>
    <t>LMCC-PRC-01-E</t>
  </si>
  <si>
    <r>
      <t xml:space="preserve">Selections made in Table </t>
    </r>
    <r>
      <rPr>
        <b/>
        <sz val="10"/>
        <rFont val="Calibri"/>
        <family val="2"/>
        <scheme val="minor"/>
      </rPr>
      <t>S</t>
    </r>
    <r>
      <rPr>
        <sz val="10"/>
        <rFont val="Calibri"/>
        <family val="2"/>
        <scheme val="minor"/>
      </rPr>
      <t xml:space="preserve"> have been changed by the permit applicant.  See Table E. Additional Remarks for permit applicant's explaination.</t>
    </r>
  </si>
  <si>
    <r>
      <t xml:space="preserve">Selections made in Table </t>
    </r>
    <r>
      <rPr>
        <b/>
        <sz val="10"/>
        <rFont val="Calibri"/>
        <family val="2"/>
        <scheme val="minor"/>
      </rPr>
      <t>T</t>
    </r>
    <r>
      <rPr>
        <sz val="10"/>
        <rFont val="Calibri"/>
        <family val="2"/>
        <scheme val="minor"/>
      </rPr>
      <t xml:space="preserve"> have been changed by the permit applicant.  See Table E. Additional Remarks for permit applicant's explaination.</t>
    </r>
  </si>
  <si>
    <r>
      <t>NA: Transcritical CO</t>
    </r>
    <r>
      <rPr>
        <vertAlign val="subscript"/>
        <sz val="10"/>
        <rFont val="Calibri"/>
        <family val="2"/>
        <scheme val="minor"/>
      </rPr>
      <t>2</t>
    </r>
    <r>
      <rPr>
        <sz val="10"/>
        <rFont val="Calibri"/>
        <family val="2"/>
        <scheme val="minor"/>
      </rPr>
      <t xml:space="preserve"> refrigeration</t>
    </r>
  </si>
  <si>
    <t>Design Condensing Temp
§120.6(a)5A&amp;B</t>
  </si>
  <si>
    <t>Variable Volume Ratio
§120.6(a)5D</t>
  </si>
  <si>
    <t>Variable Speed Control
§120.6(a)5C</t>
  </si>
  <si>
    <r>
      <t>Transcritical CO</t>
    </r>
    <r>
      <rPr>
        <vertAlign val="subscript"/>
        <sz val="10"/>
        <rFont val="Calibri"/>
        <family val="2"/>
        <scheme val="minor"/>
      </rPr>
      <t xml:space="preserve">2 </t>
    </r>
    <r>
      <rPr>
        <sz val="10"/>
        <rFont val="Calibri"/>
        <family val="2"/>
        <scheme val="minor"/>
      </rPr>
      <t>w SST &lt; 30deg: Min condensing temp &lt;= 60 deg</t>
    </r>
  </si>
  <si>
    <t>Infiltration Barriers and Automatic Door Closers</t>
  </si>
  <si>
    <t>Infiltration Compliance Method
§120.6(a)6</t>
  </si>
  <si>
    <r>
      <t>Transcritical CO</t>
    </r>
    <r>
      <rPr>
        <b/>
        <vertAlign val="subscript"/>
        <sz val="11"/>
        <rFont val="Calibri"/>
        <family val="2"/>
      </rPr>
      <t>2</t>
    </r>
    <r>
      <rPr>
        <b/>
        <sz val="11"/>
        <rFont val="Calibri"/>
        <family val="2"/>
      </rPr>
      <t xml:space="preserve"> Fan-powered Gas Coolers</t>
    </r>
  </si>
  <si>
    <r>
      <t>Transcritical CO</t>
    </r>
    <r>
      <rPr>
        <vertAlign val="subscript"/>
        <sz val="10"/>
        <rFont val="Calibri"/>
        <family val="2"/>
        <scheme val="minor"/>
      </rPr>
      <t>2</t>
    </r>
    <r>
      <rPr>
        <sz val="10"/>
        <rFont val="Calibri"/>
        <family val="2"/>
        <scheme val="minor"/>
      </rPr>
      <t xml:space="preserve"> Min Condensing Temp
§120.6(b)2C</t>
    </r>
  </si>
  <si>
    <r>
      <t>NA: Not Transcritical CO</t>
    </r>
    <r>
      <rPr>
        <vertAlign val="subscript"/>
        <sz val="10"/>
        <rFont val="Calibri"/>
        <family val="2"/>
        <scheme val="minor"/>
      </rPr>
      <t>2</t>
    </r>
  </si>
  <si>
    <r>
      <t>Service Line Size</t>
    </r>
    <r>
      <rPr>
        <vertAlign val="superscript"/>
        <sz val="10"/>
        <rFont val="Calibri"/>
        <family val="2"/>
        <scheme val="minor"/>
      </rPr>
      <t>1</t>
    </r>
  </si>
  <si>
    <r>
      <rPr>
        <i/>
        <vertAlign val="superscript"/>
        <sz val="10"/>
        <rFont val="Calibri"/>
        <family val="2"/>
        <scheme val="minor"/>
      </rPr>
      <t>1</t>
    </r>
    <r>
      <rPr>
        <i/>
        <sz val="10"/>
        <rFont val="Calibri"/>
        <family val="2"/>
        <scheme val="minor"/>
      </rPr>
      <t xml:space="preserve"> FOOTNOTE: Service line piping are pipes that deliver compressed air from distribution piping to end uses.</t>
    </r>
  </si>
  <si>
    <t>NA: Do not have &gt; 3 compressors</t>
  </si>
  <si>
    <t>Lighting §120.6(f)1 &amp; §120.6(f)3 / §160.7</t>
  </si>
  <si>
    <t xml:space="preserve">This table includes all elevator lighting and ventilation systems within the scope of the permit application to show compliance with  the requirements of §120.6(f)/  §160.7. </t>
  </si>
  <si>
    <t>K.11/K.12</t>
  </si>
  <si>
    <r>
      <t>This table contains all computer room systems to demonstrate compliance with mandatory requirements of §120.6(j) and the prescriptive requirments of §140.9(a). Prescriptive requirements only apply to computer rooms with a power density greater than 20 W/ft</t>
    </r>
    <r>
      <rPr>
        <i/>
        <vertAlign val="superscript"/>
        <sz val="10"/>
        <rFont val="Calibri"/>
        <family val="2"/>
      </rPr>
      <t>2</t>
    </r>
    <r>
      <rPr>
        <i/>
        <sz val="10"/>
        <rFont val="Calibri"/>
        <family val="2"/>
      </rPr>
      <t xml:space="preserve">. </t>
    </r>
  </si>
  <si>
    <t>Reheat
§120.6(j)1</t>
  </si>
  <si>
    <t>Humidification
§120.6(j)2</t>
  </si>
  <si>
    <t>Fan Power §140.9(a)2</t>
  </si>
  <si>
    <t>Fan Controls
§120.6(j)3</t>
  </si>
  <si>
    <t>Air Containment 
§140.9(a)3</t>
  </si>
  <si>
    <r>
      <t>Sensible Cooling Capacity</t>
    </r>
    <r>
      <rPr>
        <vertAlign val="superscript"/>
        <sz val="10"/>
        <rFont val="Calibri"/>
        <family val="2"/>
        <scheme val="minor"/>
      </rPr>
      <t>1</t>
    </r>
    <r>
      <rPr>
        <sz val="10"/>
        <rFont val="Calibri"/>
        <family val="2"/>
        <scheme val="minor"/>
      </rPr>
      <t xml:space="preserve">
(kBtuh)</t>
    </r>
  </si>
  <si>
    <t>NA: Not air-cooled computers where ITE process design load &gt; 10 kW per room</t>
  </si>
  <si>
    <t>Air barrier provided per §140.9(a)3</t>
  </si>
  <si>
    <t>Variable airflow controls/ devices provided per §120.6(j)3</t>
  </si>
  <si>
    <t xml:space="preserve">Zone controls provided to prevent reheat </t>
  </si>
  <si>
    <t>This table includes all laboratory and factory exhaust and fume hoods within the scope of the permit application. The inputs within Table O are used to demonstrate compliance with the requirements within §140.9(c). Licensed Healthcare facilities are exempt from these requirements.</t>
  </si>
  <si>
    <t>System PPE ANSI/ASABE S640 rated for wavelengths 400-700 nanometers AND integrated, non-serviceable luminaire PPE &gt;= 1.9 micromoles per joule</t>
  </si>
  <si>
    <t>Fault Detection Diagnostics Monitoring</t>
  </si>
  <si>
    <t>S. DECLARATION OF REQUIRED CERTIFICATES OF INSTALLATION</t>
  </si>
  <si>
    <t>LMCI-PRC-E Covered Process</t>
  </si>
  <si>
    <t>T. DECLARATION OF REQUIRED CERTIFICATES OF ACCEPTANCE</t>
  </si>
  <si>
    <r>
      <t>NRCA-PRC-?-F Transcritical CO</t>
    </r>
    <r>
      <rPr>
        <vertAlign val="subscript"/>
        <sz val="10"/>
        <rFont val="Calibri"/>
        <family val="2"/>
        <scheme val="minor"/>
      </rPr>
      <t>2</t>
    </r>
    <r>
      <rPr>
        <sz val="10"/>
        <rFont val="Calibri"/>
        <family val="2"/>
        <scheme val="minor"/>
      </rPr>
      <t xml:space="preserve"> Refrigeration Systems</t>
    </r>
  </si>
  <si>
    <r>
      <t>Refrigerated Spaces &lt;3,000 ft</t>
    </r>
    <r>
      <rPr>
        <vertAlign val="superscript"/>
        <sz val="10"/>
        <rFont val="Calibri"/>
        <family val="2"/>
        <scheme val="minor"/>
      </rPr>
      <t>2</t>
    </r>
    <r>
      <rPr>
        <sz val="10"/>
        <rFont val="Calibri"/>
        <family val="2"/>
        <scheme val="minor"/>
      </rPr>
      <t xml:space="preserve"> Total (no Title 24, Pt 6 requirements)</t>
    </r>
  </si>
  <si>
    <r>
      <t>Food/Beverage Stores &gt; 8,000ft</t>
    </r>
    <r>
      <rPr>
        <vertAlign val="superscript"/>
        <sz val="10"/>
        <rFont val="Calibri"/>
        <family val="2"/>
        <scheme val="minor"/>
      </rPr>
      <t>2</t>
    </r>
    <r>
      <rPr>
        <sz val="10"/>
        <rFont val="Calibri"/>
        <family val="2"/>
        <scheme val="minor"/>
      </rPr>
      <t xml:space="preserve"> cfa (mandatory §120.6(b))</t>
    </r>
  </si>
  <si>
    <t>Elevator Lighting &amp; Ventilation Controls (mandatory §120.6(f)/§160.7)</t>
  </si>
  <si>
    <r>
      <t>Computer Rooms (mandatory §120.6(j) &amp; prescriptive §140.9(a))</t>
    </r>
    <r>
      <rPr>
        <vertAlign val="superscript"/>
        <sz val="10"/>
        <rFont val="Calibri"/>
        <family val="2"/>
        <scheme val="minor"/>
      </rPr>
      <t>1</t>
    </r>
  </si>
  <si>
    <r>
      <t>Controlled Environment Horticulture (mandatory §120.6(h))</t>
    </r>
    <r>
      <rPr>
        <vertAlign val="superscript"/>
        <sz val="10"/>
        <rFont val="Calibri"/>
        <family val="2"/>
        <scheme val="minor"/>
      </rPr>
      <t>1</t>
    </r>
  </si>
  <si>
    <t>This table includes proccess systems that are within the scope of the permit application and are demonstrating compliance with mandatory requirements in §120.6/§160.7 or prescriptive requirements in §140.9.</t>
  </si>
  <si>
    <r>
      <rPr>
        <i/>
        <vertAlign val="superscript"/>
        <sz val="9"/>
        <rFont val="Calibri"/>
        <family val="2"/>
        <scheme val="minor"/>
      </rPr>
      <t>1</t>
    </r>
    <r>
      <rPr>
        <i/>
        <sz val="9"/>
        <rFont val="Calibri"/>
        <family val="2"/>
        <scheme val="minor"/>
      </rPr>
      <t xml:space="preserve"> FOOTNOTE: These building features can comply using the performance method.  If using the performance method for these features, compliance should be demonstrated on the </t>
    </r>
    <r>
      <rPr>
        <i/>
        <strike/>
        <sz val="9"/>
        <rFont val="Calibri"/>
        <family val="2"/>
        <scheme val="minor"/>
      </rPr>
      <t>NR</t>
    </r>
    <r>
      <rPr>
        <i/>
        <sz val="9"/>
        <rFont val="Calibri"/>
        <family val="2"/>
        <scheme val="minor"/>
      </rPr>
      <t>LMCC-PRF-E compliance document.</t>
    </r>
  </si>
  <si>
    <t>This table includes proccess systems that are within the scope of the permit application and are demonstrating compliance with mandatory requirements in §120.6/§160.7 for multifamily occupancies or prescriptive requirements in §140.9 for nonersidential occupancies in mixed-use buildings.</t>
  </si>
  <si>
    <t>Elevators §120.6(f)/ §160.7</t>
  </si>
  <si>
    <t>Results in this table are automatically calculated from data input and calculations in Tables F through R. 
Note: If any cell on this table says "COMPLIES with Exceptional Conditions" refer to Table D. Exceptional Conditions for guidance or see the applicable Table referenced below.</t>
  </si>
  <si>
    <t>Ventilation §120.6(f)2 &amp; §120.6(f)3/ §160.7</t>
  </si>
  <si>
    <t>CA Building Energy Efficiency Standards - 2025 Nonresidential Compliance</t>
  </si>
  <si>
    <t>CA Building Energy Efficiency Standards - 2025 Low-rise Multifamily/Mixed-use Compliance</t>
  </si>
  <si>
    <t>Table</t>
  </si>
  <si>
    <t>Yellow with red text</t>
  </si>
  <si>
    <t>Add logic to NA option</t>
  </si>
  <si>
    <t>Combine Columns 06 and 07 (keep same dropdown options)</t>
  </si>
  <si>
    <r>
      <t>CEA/</t>
    </r>
    <r>
      <rPr>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</si>
  <si>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Responsible Person Scope:</t>
  </si>
  <si>
    <r>
      <t>Exterior surfaces of refrigerated warehouses/spaces are specified to be insulated at least to the R-values in TABLE 120.6-A</t>
    </r>
    <r>
      <rPr>
        <sz val="9"/>
        <color rgb="FFFF0000"/>
        <rFont val="Calibri"/>
        <family val="2"/>
        <scheme val="minor"/>
      </rPr>
      <t>-1</t>
    </r>
    <r>
      <rPr>
        <sz val="9"/>
        <rFont val="Calibri"/>
        <family val="2"/>
        <scheme val="minor"/>
      </rPr>
      <t xml:space="preserve"> (see below) per §120.6:</t>
    </r>
  </si>
  <si>
    <t>Updated TABLE 120.6-A reference</t>
  </si>
  <si>
    <t xml:space="preserve"> </t>
  </si>
  <si>
    <r>
      <t>Electrical System Monitoring Capability
§120.6(h)</t>
    </r>
    <r>
      <rPr>
        <strike/>
        <sz val="10"/>
        <color rgb="FFFF0000"/>
        <rFont val="Calibri"/>
        <family val="2"/>
        <scheme val="minor"/>
      </rPr>
      <t>3</t>
    </r>
    <r>
      <rPr>
        <sz val="10"/>
        <color rgb="FFFF0000"/>
        <rFont val="Calibri"/>
        <family val="2"/>
        <scheme val="minor"/>
      </rPr>
      <t>2</t>
    </r>
  </si>
  <si>
    <r>
      <t>Non-Opaque Envelope Compliance Method
§120.6(h)</t>
    </r>
    <r>
      <rPr>
        <strike/>
        <sz val="10"/>
        <color rgb="FFFF0000"/>
        <rFont val="Calibri"/>
        <family val="2"/>
        <scheme val="minor"/>
      </rPr>
      <t xml:space="preserve"> 4</t>
    </r>
    <r>
      <rPr>
        <sz val="10"/>
        <color rgb="FFFF0000"/>
        <rFont val="Calibri"/>
        <family val="2"/>
        <scheme val="minor"/>
      </rPr>
      <t>3</t>
    </r>
    <r>
      <rPr>
        <sz val="10"/>
        <color theme="1"/>
        <rFont val="Calibri"/>
        <family val="2"/>
        <scheme val="minor"/>
      </rPr>
      <t>B</t>
    </r>
  </si>
  <si>
    <r>
      <t>HVAC System Compliance Method
§120.6(h)</t>
    </r>
    <r>
      <rPr>
        <strike/>
        <sz val="9"/>
        <color rgb="FFFF0000"/>
        <rFont val="Calibri"/>
        <family val="2"/>
        <scheme val="minor"/>
      </rPr>
      <t>5</t>
    </r>
    <r>
      <rPr>
        <sz val="9"/>
        <color rgb="FFFF0000"/>
        <rFont val="Calibri"/>
        <family val="2"/>
        <scheme val="minor"/>
      </rPr>
      <t xml:space="preserve"> 4</t>
    </r>
  </si>
  <si>
    <r>
      <t xml:space="preserve">Space Conditioning for Plant Production §120.6(h)1 and </t>
    </r>
    <r>
      <rPr>
        <b/>
        <strike/>
        <sz val="11"/>
        <color rgb="FFFF0000"/>
        <rFont val="Calibri"/>
        <family val="2"/>
      </rPr>
      <t>5</t>
    </r>
    <r>
      <rPr>
        <b/>
        <sz val="11"/>
        <color rgb="FFFF0000"/>
        <rFont val="Calibri"/>
        <family val="2"/>
      </rPr>
      <t xml:space="preserve"> 4 </t>
    </r>
  </si>
  <si>
    <r>
      <t xml:space="preserve">System PPE ANSI/ASABE S640 rated for wavelengths 400-700 nanometers AND integrated, non-serviceable luminaire PPE &gt;= </t>
    </r>
    <r>
      <rPr>
        <strike/>
        <sz val="10"/>
        <color rgb="FFFF0000"/>
        <rFont val="Calibri"/>
        <family val="2"/>
        <scheme val="minor"/>
      </rPr>
      <t>1.7</t>
    </r>
    <r>
      <rPr>
        <sz val="10"/>
        <color theme="1"/>
        <rFont val="Calibri"/>
        <family val="2"/>
        <scheme val="minor"/>
      </rPr>
      <t xml:space="preserve"> </t>
    </r>
    <r>
      <rPr>
        <sz val="10"/>
        <color rgb="FFFF0000"/>
        <rFont val="Calibri"/>
        <family val="2"/>
        <scheme val="minor"/>
      </rPr>
      <t>2.3</t>
    </r>
    <r>
      <rPr>
        <sz val="10"/>
        <color theme="1"/>
        <rFont val="Calibri"/>
        <family val="2"/>
        <scheme val="minor"/>
      </rPr>
      <t xml:space="preserve"> micromoles per joule</t>
    </r>
  </si>
  <si>
    <r>
      <t xml:space="preserve">System PPE ANSI/ASABE S640 rated for wavelengths 400-700 nanometers AND serviceable lamp PPE &gt;= </t>
    </r>
    <r>
      <rPr>
        <strike/>
        <sz val="10"/>
        <color rgb="FFFF0000"/>
        <rFont val="Calibri"/>
        <family val="2"/>
        <scheme val="minor"/>
      </rPr>
      <t>1.7</t>
    </r>
    <r>
      <rPr>
        <sz val="10"/>
        <color rgb="FFFF0000"/>
        <rFont val="Calibri"/>
        <family val="2"/>
        <scheme val="minor"/>
      </rPr>
      <t xml:space="preserve"> 2.3</t>
    </r>
    <r>
      <rPr>
        <sz val="10"/>
        <color theme="1"/>
        <rFont val="Calibri"/>
        <family val="2"/>
        <scheme val="minor"/>
      </rPr>
      <t xml:space="preserve"> micromoles per joule</t>
    </r>
  </si>
  <si>
    <r>
      <t>PPE Dropdown</t>
    </r>
    <r>
      <rPr>
        <b/>
        <strike/>
        <sz val="10"/>
        <color rgb="FFFF0000"/>
        <rFont val="Calibri"/>
        <family val="2"/>
        <scheme val="minor"/>
      </rPr>
      <t xml:space="preserve"> if "Greenhouse" in col02</t>
    </r>
  </si>
  <si>
    <t>Electric Ready Commercial Kitchens §120.6(k)</t>
  </si>
  <si>
    <t>Newly constructed commercial kitchen:</t>
  </si>
  <si>
    <t>Mandatory requirements for commercial kitchens</t>
  </si>
  <si>
    <t>The electrical service panel shall be sized to accommodate an additional either 208v or 240v 50-amp breaker.</t>
  </si>
  <si>
    <t xml:space="preserve">This table includes electrical system requirements that must be met when using gas or propane in newly constructed commercial kitchens to demonstrate compliance with §120.6(k).  </t>
  </si>
  <si>
    <r>
      <rPr>
        <sz val="11"/>
        <color rgb="FFFF0000"/>
        <rFont val="Wingdings"/>
        <charset val="2"/>
      </rPr>
      <t>¨</t>
    </r>
    <r>
      <rPr>
        <sz val="11"/>
        <color rgb="FFFF0000"/>
        <rFont val="Calibri"/>
        <family val="2"/>
      </rPr>
      <t xml:space="preserve"> Uses gas or propane fuel.</t>
    </r>
  </si>
  <si>
    <r>
      <rPr>
        <sz val="11"/>
        <color rgb="FFFF0000"/>
        <rFont val="Wingdings"/>
        <charset val="2"/>
      </rPr>
      <t>¨</t>
    </r>
    <r>
      <rPr>
        <sz val="11"/>
        <color rgb="FFFF0000"/>
        <rFont val="Calibri"/>
        <family val="2"/>
      </rPr>
      <t xml:space="preserve"> Is</t>
    </r>
    <r>
      <rPr>
        <sz val="11"/>
        <color rgb="FFFF0000"/>
        <rFont val="Calibri"/>
        <family val="2"/>
        <charset val="2"/>
      </rPr>
      <t xml:space="preserve"> within a healthcare facility.</t>
    </r>
  </si>
  <si>
    <t>&lt;&lt; New Table For 2025</t>
  </si>
  <si>
    <t>Evaporator Efficiency
§120.6(a)3D &amp; §120.6(a)3E</t>
  </si>
  <si>
    <t>Applied Static Pressure Drop</t>
  </si>
  <si>
    <t>Designed per Table120.6-A-2</t>
  </si>
  <si>
    <t>NA: No use of volatile refrigerants</t>
  </si>
  <si>
    <t>Static Pressure Drop</t>
  </si>
  <si>
    <r>
      <t>System meets discharge requirements in ANSI Z9.5-</t>
    </r>
    <r>
      <rPr>
        <strike/>
        <sz val="10"/>
        <color rgb="FFFF0000"/>
        <rFont val="Calibri"/>
        <family val="2"/>
        <scheme val="minor"/>
      </rPr>
      <t>2019</t>
    </r>
    <r>
      <rPr>
        <sz val="10"/>
        <color rgb="FFFF0000"/>
        <rFont val="Calibri"/>
        <family val="2"/>
        <scheme val="minor"/>
      </rPr>
      <t>2022</t>
    </r>
    <r>
      <rPr>
        <sz val="10"/>
        <color theme="1"/>
        <rFont val="Calibri"/>
        <family val="2"/>
        <scheme val="minor"/>
      </rPr>
      <t xml:space="preserve"> </t>
    </r>
    <r>
      <rPr>
        <sz val="10"/>
        <color rgb="FFFF0000"/>
        <rFont val="Calibri"/>
        <family val="2"/>
        <scheme val="minor"/>
      </rPr>
      <t>Section 6.4</t>
    </r>
  </si>
  <si>
    <r>
      <t>Exhaust fan system electrical input power (Fan kW</t>
    </r>
    <r>
      <rPr>
        <vertAlign val="subscript"/>
        <sz val="10"/>
        <color rgb="FFFF0000"/>
        <rFont val="Calibri"/>
        <family val="2"/>
        <scheme val="minor"/>
      </rPr>
      <t>design,system</t>
    </r>
    <r>
      <rPr>
        <sz val="10"/>
        <color rgb="FFFF0000"/>
        <rFont val="Calibri"/>
        <family val="2"/>
        <scheme val="minor"/>
      </rPr>
      <t>) does not exceed Fan kW</t>
    </r>
    <r>
      <rPr>
        <vertAlign val="subscript"/>
        <sz val="10"/>
        <color rgb="FFFF0000"/>
        <rFont val="Calibri"/>
        <family val="2"/>
        <scheme val="minor"/>
      </rPr>
      <t xml:space="preserve">budget </t>
    </r>
  </si>
  <si>
    <r>
      <rPr>
        <sz val="10"/>
        <color rgb="FFFF0000"/>
        <rFont val="Calibri"/>
        <family val="2"/>
        <scheme val="minor"/>
      </rPr>
      <t xml:space="preserve">Exhaust system designed  </t>
    </r>
    <r>
      <rPr>
        <strike/>
        <sz val="10"/>
        <color rgb="FFFF0000"/>
        <rFont val="Calibri"/>
        <family val="2"/>
        <scheme val="minor"/>
      </rPr>
      <t>Volume flowrate @ stack controlled by anemometer</t>
    </r>
    <r>
      <rPr>
        <sz val="10"/>
        <color theme="1"/>
        <rFont val="Calibri"/>
        <family val="2"/>
        <scheme val="minor"/>
      </rPr>
      <t xml:space="preserve"> per §140.9(c)3</t>
    </r>
    <r>
      <rPr>
        <strike/>
        <sz val="10"/>
        <color rgb="FFFF0000"/>
        <rFont val="Calibri"/>
        <family val="2"/>
        <scheme val="minor"/>
      </rPr>
      <t>C</t>
    </r>
    <r>
      <rPr>
        <sz val="10"/>
        <color rgb="FFFF0000"/>
        <rFont val="Calibri"/>
        <family val="2"/>
        <scheme val="minor"/>
      </rPr>
      <t>D</t>
    </r>
  </si>
  <si>
    <t>Reheat Dropdown</t>
  </si>
  <si>
    <t>Reheat Limitation Compliance Method
§140.9(c)5</t>
  </si>
  <si>
    <t>Exhaust Dropdown</t>
  </si>
  <si>
    <t>NA:  &lt; 10,000 cfm of lab exhaust</t>
  </si>
  <si>
    <t>NA:  &lt; 20,000 cfm of lab exhaust</t>
  </si>
  <si>
    <t>Removed &lt;100HP dropdown from F.06</t>
  </si>
  <si>
    <r>
      <t xml:space="preserve">Exhaust airflow capable of reducing exhaust and make-up air to </t>
    </r>
    <r>
      <rPr>
        <sz val="10"/>
        <color rgb="FFFF0000"/>
        <rFont val="Calibri"/>
        <family val="2"/>
        <scheme val="minor"/>
      </rPr>
      <t>occupied and unoccupied</t>
    </r>
    <r>
      <rPr>
        <sz val="10"/>
        <rFont val="Calibri"/>
        <family val="2"/>
        <scheme val="minor"/>
      </rPr>
      <t xml:space="preserve"> min</t>
    </r>
    <r>
      <rPr>
        <sz val="10"/>
        <color rgb="FFFF0000"/>
        <rFont val="Calibri"/>
        <family val="2"/>
        <scheme val="minor"/>
      </rPr>
      <t xml:space="preserve"> exhaust airflow rates per §140.9(c)1</t>
    </r>
    <r>
      <rPr>
        <sz val="10"/>
        <color theme="1"/>
        <rFont val="Calibri"/>
        <family val="2"/>
        <scheme val="minor"/>
      </rPr>
      <t xml:space="preserve"> </t>
    </r>
    <r>
      <rPr>
        <strike/>
        <sz val="10"/>
        <color rgb="FFFF0000"/>
        <rFont val="Calibri"/>
        <family val="2"/>
        <scheme val="minor"/>
      </rPr>
      <t>circulation/pressurization rate</t>
    </r>
  </si>
  <si>
    <t>NA: Evaporators designed solely for quick chilling/freezing of products.</t>
  </si>
  <si>
    <t>Does not exceed 0.5 in. water</t>
  </si>
  <si>
    <r>
      <t>Lighting and Electrical Systems §120.6(h)</t>
    </r>
    <r>
      <rPr>
        <b/>
        <sz val="11"/>
        <color rgb="FFFF0000"/>
        <rFont val="Calibri"/>
        <family val="2"/>
      </rPr>
      <t>2 and 5</t>
    </r>
    <r>
      <rPr>
        <b/>
        <sz val="11"/>
        <rFont val="Calibri"/>
        <family val="2"/>
      </rPr>
      <t xml:space="preserve"> </t>
    </r>
    <r>
      <rPr>
        <b/>
        <strike/>
        <sz val="11"/>
        <color rgb="FFFF0000"/>
        <rFont val="Calibri"/>
        <family val="2"/>
      </rPr>
      <t>2, 3 and 6</t>
    </r>
  </si>
  <si>
    <r>
      <t>Lighting Controls 
§120.6(h)</t>
    </r>
    <r>
      <rPr>
        <strike/>
        <sz val="10"/>
        <color rgb="FFFF0000"/>
        <rFont val="Calibri"/>
        <family val="2"/>
        <scheme val="minor"/>
      </rPr>
      <t>2B&amp;C and 6</t>
    </r>
    <r>
      <rPr>
        <sz val="10"/>
        <color rgb="FFFF0000"/>
        <rFont val="Calibri"/>
        <family val="2"/>
        <scheme val="minor"/>
      </rPr>
      <t xml:space="preserve"> 5B&amp;C</t>
    </r>
  </si>
  <si>
    <r>
      <rPr>
        <i/>
        <strike/>
        <vertAlign val="superscript"/>
        <sz val="10"/>
        <color rgb="FFFF0000"/>
        <rFont val="Calibri"/>
        <family val="2"/>
        <scheme val="minor"/>
      </rPr>
      <t>1</t>
    </r>
    <r>
      <rPr>
        <i/>
        <strike/>
        <sz val="10"/>
        <color rgb="FFFF0000"/>
        <rFont val="Calibri"/>
        <family val="2"/>
        <scheme val="minor"/>
      </rPr>
      <t xml:space="preserve"> FOOTNOTE: CEC's appliance efficiency database, the Modernized Appliance Efficiency Database System (MAEDBS), is available online at https://cacertappliances.energy.ca.gov/Pages/ApplianceSearch.aspx.</t>
    </r>
  </si>
  <si>
    <r>
      <t>Efficiency</t>
    </r>
    <r>
      <rPr>
        <strike/>
        <vertAlign val="superscript"/>
        <sz val="10"/>
        <color rgb="FFFF0000"/>
        <rFont val="Calibri"/>
        <family val="2"/>
        <scheme val="minor"/>
      </rPr>
      <t>1</t>
    </r>
  </si>
  <si>
    <r>
      <rPr>
        <sz val="10"/>
        <color rgb="FFFF0000"/>
        <rFont val="Calibri"/>
        <family val="2"/>
        <scheme val="minor"/>
      </rPr>
      <t>Includes weatherproof plate with energy efficiency rating and instruction for operation</t>
    </r>
    <r>
      <rPr>
        <strike/>
        <sz val="10"/>
        <color rgb="FFFF0000"/>
        <rFont val="Calibri"/>
        <family val="2"/>
        <scheme val="minor"/>
      </rPr>
      <t xml:space="preserve">
Heated outdoor pools/spas must include cover and weatherproof instruction for proper care of when cover is used</t>
    </r>
  </si>
  <si>
    <r>
      <t>No electric resistance heating used</t>
    </r>
    <r>
      <rPr>
        <sz val="10"/>
        <color rgb="FFFF0000"/>
        <rFont val="Calibri"/>
        <family val="2"/>
        <scheme val="minor"/>
      </rPr>
      <t xml:space="preserve"> Installed equipment meets standards from Table 110.4-A</t>
    </r>
  </si>
  <si>
    <t>Covers</t>
  </si>
  <si>
    <t>Covers Dropdown</t>
  </si>
  <si>
    <t>Serves public</t>
  </si>
  <si>
    <r>
      <t>Serves multiple tenants</t>
    </r>
    <r>
      <rPr>
        <strike/>
        <sz val="10"/>
        <color rgb="FFFF0000"/>
        <rFont val="Calibri"/>
        <family val="2"/>
        <scheme val="minor"/>
      </rPr>
      <t xml:space="preserve"> or public</t>
    </r>
  </si>
  <si>
    <r>
      <rPr>
        <sz val="11"/>
        <color rgb="FFFF0000"/>
        <rFont val="Wingdings"/>
        <charset val="2"/>
      </rPr>
      <t>¨</t>
    </r>
    <r>
      <rPr>
        <sz val="11"/>
        <color rgb="FFFF0000"/>
        <rFont val="Calibri"/>
        <family val="2"/>
      </rPr>
      <t xml:space="preserve"> </t>
    </r>
    <r>
      <rPr>
        <sz val="11"/>
        <color rgb="FFFF0000"/>
        <rFont val="Calibri"/>
        <family val="2"/>
        <charset val="2"/>
      </rPr>
      <t>All-electric kitchen.</t>
    </r>
  </si>
  <si>
    <t xml:space="preserve">Includes a dedicated branch circuit wiring and outlet accessible to cookline appliances and meets the following requirements:
a) The branch circuit conductors shall be rated at 50 amps minimum.
b) The electrical service panel shall have a minimum capacity of 800 connected amps. </t>
  </si>
  <si>
    <r>
      <rPr>
        <sz val="10"/>
        <rFont val="Calibri"/>
        <family val="2"/>
        <scheme val="minor"/>
      </rPr>
      <t>Section Average Velocity</t>
    </r>
    <r>
      <rPr>
        <sz val="10"/>
        <color rgb="FFFF0000"/>
        <rFont val="Calibri"/>
        <family val="2"/>
        <scheme val="minor"/>
      </rPr>
      <t xml:space="preserve"> or Total Pressure Drop</t>
    </r>
  </si>
  <si>
    <t>Total Pressure Drop</t>
  </si>
  <si>
    <t>Pressure Dropdown</t>
  </si>
  <si>
    <r>
      <t xml:space="preserve">Avg Velocity </t>
    </r>
    <r>
      <rPr>
        <b/>
        <sz val="10"/>
        <color rgb="FFFF0000"/>
        <rFont val="Calibri"/>
        <family val="2"/>
        <scheme val="minor"/>
      </rPr>
      <t>or Pressure</t>
    </r>
    <r>
      <rPr>
        <b/>
        <sz val="10"/>
        <rFont val="Calibri"/>
        <family val="2"/>
        <scheme val="minor"/>
      </rPr>
      <t xml:space="preserve"> Dropdown</t>
    </r>
  </si>
  <si>
    <t>Removed 10 ACH exception from dropdown</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</si>
  <si>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r>
    <r>
      <rPr>
        <strike/>
        <sz val="10"/>
        <color rgb="FFFF0000"/>
        <rFont val="Calibri"/>
        <family val="2"/>
      </rPr>
      <t>at</t>
    </r>
    <r>
      <rPr>
        <sz val="10"/>
        <rFont val="Calibri"/>
        <family val="2"/>
      </rPr>
      <t xml:space="preserve"> </t>
    </r>
    <r>
      <rPr>
        <strike/>
        <sz val="10"/>
        <color rgb="FFFF0000"/>
        <rFont val="Calibri"/>
        <family val="2"/>
      </rPr>
      <t xml:space="preserve">https://www.energy.ca.gov/title24/2019standards/2019_compliance_documents/Nonresidential_Documents/NRCI/  </t>
    </r>
  </si>
  <si>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r>
    <r>
      <rPr>
        <strike/>
        <sz val="10"/>
        <color rgb="FFFF0000"/>
        <rFont val="Calibri"/>
        <family val="2"/>
      </rPr>
      <t xml:space="preserve"> at https://www.energy.ca.gov/title24/2019standards/2019_compliance_documents/Nonresidential_Documents/NRCI/  </t>
    </r>
  </si>
  <si>
    <t>Footers</t>
  </si>
  <si>
    <t>Changed date in footer</t>
  </si>
  <si>
    <t>Section A</t>
  </si>
  <si>
    <t>Changed from Religious Facility to Religious Worship</t>
  </si>
  <si>
    <t>Section F - Warehouse Exterior Surface Insulation subtable</t>
  </si>
  <si>
    <t>Section F - Fan Evaporators subtable</t>
  </si>
  <si>
    <t>Added new Column F.07</t>
  </si>
  <si>
    <t>Added new Column F.08</t>
  </si>
  <si>
    <t>Section F - Condensers subtable</t>
  </si>
  <si>
    <t>Section J - Column 05</t>
  </si>
  <si>
    <t xml:space="preserve">Section J </t>
  </si>
  <si>
    <t>Section N - Commercial kitchen subtable</t>
  </si>
  <si>
    <t>Created a new subtable for electric ready commercial kitchen requirements</t>
  </si>
  <si>
    <t>Section O - Column 02</t>
  </si>
  <si>
    <t>Section O - Column 04</t>
  </si>
  <si>
    <t>Updated ANSI reference</t>
  </si>
  <si>
    <t>Added new dropdown option for 140.9(c)3B</t>
  </si>
  <si>
    <t>Section O - Column 06</t>
  </si>
  <si>
    <t>Section O - Column 07</t>
  </si>
  <si>
    <t>Added new column for Reheat Limiltation</t>
  </si>
  <si>
    <t>Added new column for Exhaust Air Heat Recovery</t>
  </si>
  <si>
    <t>Edited dropdown option to fit the new language added in 140.9(c)3D</t>
  </si>
  <si>
    <t>Section P - All subtables</t>
  </si>
  <si>
    <t>Updated section references</t>
  </si>
  <si>
    <t>Section P - Lighting and Electrical Systems subtable</t>
  </si>
  <si>
    <t>Removed dropdown option in P.02</t>
  </si>
  <si>
    <t>Removed Greenhouse specific dropdown from P.03. Converted into Horticultural lighting. Added logic in note for this</t>
  </si>
  <si>
    <t>Removed Indoor specific dropdown from P.03</t>
  </si>
  <si>
    <t>Updated PPE rate and added exception dropdown option in P.03 dropdown.</t>
  </si>
  <si>
    <t>Added exception dropdown option to P.04 and P.05</t>
  </si>
  <si>
    <t>Section R</t>
  </si>
  <si>
    <t>Added logic if Greenhouse is selected in P.02</t>
  </si>
  <si>
    <t>Is the pool/spa heated?</t>
  </si>
  <si>
    <t>Heating Source Sizing</t>
  </si>
  <si>
    <t>Heating Source Sizing Dropdown</t>
  </si>
  <si>
    <t>Heat pump heater that meets sizong requirements of JA16.3. Supplementary heater is any energy source.</t>
  </si>
  <si>
    <t>System where &gt;= 60% of heating energy from on-site renewable or recovered energy</t>
  </si>
  <si>
    <t>Solar heating system w/ collector surface &gt;= 65% of pool/spa surface area</t>
  </si>
  <si>
    <t>Combination of solar heating system and heat pump heater without supplementary heater</t>
  </si>
  <si>
    <t>Heating system determined by the Executive Director to use no more energy than other allowed systems</t>
  </si>
  <si>
    <t>NA: Alteration to existing pool/spa with existing heating system</t>
  </si>
  <si>
    <t>NA: Pool/spa heated solely by solar heating system without backup heater</t>
  </si>
  <si>
    <t>Instructions Dropdown</t>
  </si>
  <si>
    <t>Outdoor pool/spa has pool cover installed</t>
  </si>
  <si>
    <t>NA: Pool/spa heated by solar heating system</t>
  </si>
  <si>
    <t>Delete whole Pool/Spa section</t>
  </si>
  <si>
    <t>06 07</t>
  </si>
  <si>
    <t>07 09</t>
  </si>
  <si>
    <t>08 10</t>
  </si>
  <si>
    <t>Instructions &amp; Covers</t>
  </si>
  <si>
    <t>Electric Resistance Heating Equipment</t>
  </si>
  <si>
    <r>
      <t xml:space="preserve">Elec Resistance </t>
    </r>
    <r>
      <rPr>
        <b/>
        <sz val="10"/>
        <color rgb="FFFF0000"/>
        <rFont val="Calibri"/>
        <family val="2"/>
        <scheme val="minor"/>
      </rPr>
      <t>Heating Dropdown</t>
    </r>
  </si>
  <si>
    <r>
      <t xml:space="preserve">Equipment subject to State/federal appliance efficiency standards complies with Section 110.1 </t>
    </r>
    <r>
      <rPr>
        <strike/>
        <sz val="10"/>
        <color rgb="FFFF0000"/>
        <rFont val="Calibri"/>
        <family val="2"/>
        <scheme val="minor"/>
      </rPr>
      <t>is in the CEC's directory of certified equipment</t>
    </r>
  </si>
  <si>
    <r>
      <t xml:space="preserve">&gt;= </t>
    </r>
    <r>
      <rPr>
        <strike/>
        <sz val="10"/>
        <color rgb="FFFF0000"/>
        <rFont val="Calibri"/>
        <family val="2"/>
        <scheme val="minor"/>
      </rPr>
      <t>36</t>
    </r>
    <r>
      <rPr>
        <sz val="10"/>
        <color rgb="FFFF0000"/>
        <rFont val="Calibri"/>
        <family val="2"/>
        <scheme val="minor"/>
      </rPr>
      <t xml:space="preserve"> 18 in of pipe installed between filter &amp; heater or dedicated suction and return lines to allow for the future addition of solar heating equipment</t>
    </r>
  </si>
  <si>
    <r>
      <t>All pump flow rates shall be calculated using H = C × F</t>
    </r>
    <r>
      <rPr>
        <strike/>
        <vertAlign val="superscript"/>
        <sz val="10"/>
        <color rgb="FFFF0000"/>
        <rFont val="Calibri"/>
        <family val="2"/>
        <scheme val="minor"/>
      </rPr>
      <t>2</t>
    </r>
    <r>
      <rPr>
        <strike/>
        <sz val="10"/>
        <color rgb="FFFF0000"/>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</si>
  <si>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t>11 12</t>
  </si>
  <si>
    <t>Each auxiliary pool load shall be served by either separate pumps or the system shall be served by a multispeed pump if pump hp &gt;= 1.
Multispeed Dedicated-purpose pool pumps with more than one speed shall have:
- Controls which default to the filtration flow rate when no auxiliary pool loads are operating; and 
- Multispeed pumps the Controls shall default to the filtration flow rate setting within 24 hours and shall have an override capability for servicing.</t>
  </si>
  <si>
    <t>12 13</t>
  </si>
  <si>
    <t xml:space="preserve"> 13 14</t>
  </si>
  <si>
    <t>14 15</t>
  </si>
  <si>
    <r>
      <rPr>
        <strike/>
        <sz val="10"/>
        <color rgb="FFFF0000"/>
        <rFont val="Calibri"/>
        <family val="2"/>
      </rPr>
      <t>14</t>
    </r>
    <r>
      <rPr>
        <sz val="10"/>
        <color rgb="FFFF0000"/>
        <rFont val="Calibri"/>
        <family val="2"/>
      </rPr>
      <t xml:space="preserve"> 13</t>
    </r>
  </si>
  <si>
    <t>Section B</t>
  </si>
  <si>
    <t>Remove Pool/Spa as an option</t>
  </si>
  <si>
    <t>Remove Pool/Spa</t>
  </si>
  <si>
    <t>Section C - Column 13</t>
  </si>
  <si>
    <t>1.17/2025</t>
  </si>
  <si>
    <t>• Occupancies that apply show up here</t>
  </si>
  <si>
    <t>1 FOOTNOTE: These building features can comply using the performance method.  If using the performance method for these features, compliance should be demonstrated on the NRCC-PRF-E compliance document.</t>
  </si>
  <si>
    <r>
      <t xml:space="preserve">This table includes all refrigerated warehouses &gt; 3,000ft2 and refrigerated spaces with a sum total of &gt; 3,000 ft2 served by the same refrigeration system. The inputs within Table F are used to demonstrate compliance with the requirements of §120.6(a) </t>
    </r>
    <r>
      <rPr>
        <i/>
        <sz val="10"/>
        <color rgb="FFFF0000"/>
        <rFont val="Calibri"/>
        <family val="2"/>
      </rPr>
      <t>and §120.3.</t>
    </r>
  </si>
  <si>
    <t>For systems serving nonresidential spaces, pipe insulation for the following applications is specified to comply with Table 120.3-A1 or or Table 120.3-A2 (see below) per §120.3:
    - Recirculating system piping, including supply and return piping of the water heater
    - The first 8 ft of hot and cold outlet piping, including between storage tank and heat trap, for a nonrecirculating storage system
    - Pipes that are externally heated</t>
  </si>
  <si>
    <t>System Name:</t>
  </si>
  <si>
    <t>User Input</t>
  </si>
  <si>
    <t>Mandatory Pipe Insulation All Occupancies - §120.3</t>
  </si>
  <si>
    <t>Report should show tables below just like in CC-PLB</t>
  </si>
  <si>
    <r>
      <t>Per §120.3(b), pipe and appurtenance insulation shall be protected from damage, including that due to sunlight, moisture, equipment maintenance, and wind. Protection shall include:
    - Insulation exposed to weather shall be installed with a cover suitable for outdoor service</t>
    </r>
    <r>
      <rPr>
        <strike/>
        <sz val="9"/>
        <color rgb="FFFF0000"/>
        <rFont val="Calibri"/>
        <family val="2"/>
        <scheme val="minor"/>
      </rPr>
      <t xml:space="preserve"> </t>
    </r>
    <r>
      <rPr>
        <sz val="9"/>
        <color rgb="FFFF0000"/>
        <rFont val="Calibri"/>
        <family val="2"/>
        <scheme val="minor"/>
      </rPr>
      <t xml:space="preserve">
    - Pipe insulation buried below grade must be installed in a water proof and non-crushable casing or sleeve.
   - Pipe insulation covering chilled water piping and refrigerant suction piping located outside the conditioned space shall include, or be protected by, a Class I or Class II vapor retarder. All penetrations and joints shall be sealed.</t>
    </r>
  </si>
  <si>
    <t>NA: Condensing Unit that are components of walk-in coolers or freezers within the scope of Appliance Efficiency regulations.</t>
  </si>
  <si>
    <r>
      <rPr>
        <sz val="11"/>
        <color rgb="FFFF0000"/>
        <rFont val="Wingdings"/>
        <charset val="2"/>
      </rPr>
      <t>¨</t>
    </r>
    <r>
      <rPr>
        <sz val="11"/>
        <color rgb="FFFF0000"/>
        <rFont val="Calibri"/>
        <family val="2"/>
      </rPr>
      <t xml:space="preserve"> Pipe Insulation</t>
    </r>
  </si>
  <si>
    <r>
      <t>This table includes all refrigeration equipment being utilized for refrigerated display cases or walk in coolers/freezers, located in a retail food/beverage store with 8,000 ft or more of conditioned floor area. The inputs within Table G are used to demonstrate compliance with the requirements of §120.6(b)</t>
    </r>
    <r>
      <rPr>
        <i/>
        <sz val="10"/>
        <color rgb="FFFF0000"/>
        <rFont val="Calibri"/>
        <family val="2"/>
      </rPr>
      <t xml:space="preserve"> and §120.3.</t>
    </r>
  </si>
  <si>
    <r>
      <rPr>
        <sz val="10"/>
        <color rgb="FFFF0000"/>
        <rFont val="Calibri"/>
        <family val="2"/>
        <scheme val="minor"/>
      </rPr>
      <t xml:space="preserve">NEW CONSTRUCTION: </t>
    </r>
    <r>
      <rPr>
        <sz val="10"/>
        <rFont val="Calibri"/>
        <family val="2"/>
        <scheme val="minor"/>
      </rPr>
      <t>Integrated air economizer designed to partial cooling and provide 100% of cooling load @ OSA 65deg db and below 50deg wb and below &amp; includes FDD per §120.2(i)</t>
    </r>
  </si>
  <si>
    <r>
      <rPr>
        <sz val="10"/>
        <color rgb="FFFF0000"/>
        <rFont val="Calibri"/>
        <family val="2"/>
        <scheme val="minor"/>
      </rPr>
      <t xml:space="preserve">NEW CONSTRUCTION: </t>
    </r>
    <r>
      <rPr>
        <sz val="10"/>
        <rFont val="Calibri"/>
        <family val="2"/>
        <scheme val="minor"/>
      </rPr>
      <t>Integrated water economizer designed to partial cooling and provide 100% of cooling load @ OSA 50deg db and 45deg wb and below</t>
    </r>
  </si>
  <si>
    <t>ADDITION/ALTERATION:  Integrated air economizer designed to partial cooling and provide 100% of cooling load @ OSA 55deg db and below 50deg wb and below &amp; includes FDD per §120.2(i)</t>
  </si>
  <si>
    <t>ADDITION/ALTERATION: Integrated water economizer designed to partial cooling and provide 100% of cooling load @ OSA 40deg db and 35deg wb and below</t>
  </si>
  <si>
    <r>
      <t>NA: New cooling system</t>
    </r>
    <r>
      <rPr>
        <strike/>
        <sz val="10"/>
        <color rgb="FFFF0000"/>
        <rFont val="Calibri"/>
        <family val="2"/>
        <scheme val="minor"/>
      </rPr>
      <t>s</t>
    </r>
    <r>
      <rPr>
        <sz val="10"/>
        <rFont val="Calibri"/>
        <family val="2"/>
        <scheme val="minor"/>
      </rPr>
      <t xml:space="preserve"> </t>
    </r>
    <r>
      <rPr>
        <sz val="10"/>
        <color rgb="FFFF0000"/>
        <rFont val="Calibri"/>
        <family val="2"/>
        <scheme val="minor"/>
      </rPr>
      <t>in existing building</t>
    </r>
    <r>
      <rPr>
        <sz val="10"/>
        <rFont val="Calibri"/>
        <family val="2"/>
        <scheme val="minor"/>
      </rPr>
      <t xml:space="preserve"> </t>
    </r>
    <r>
      <rPr>
        <sz val="10"/>
        <color rgb="FFFF0000"/>
        <rFont val="Calibri"/>
        <family val="2"/>
        <scheme val="minor"/>
      </rPr>
      <t xml:space="preserve">with ITE design load &lt;=50 tons per Exception 2 to 141.1(b)1 </t>
    </r>
    <r>
      <rPr>
        <strike/>
        <sz val="10"/>
        <color rgb="FFFF0000"/>
        <rFont val="Calibri"/>
        <family val="2"/>
        <scheme val="minor"/>
      </rPr>
      <t>serving an existing computer room in an existing building up to a total of 50 tons of new cooling equipment per building</t>
    </r>
  </si>
  <si>
    <r>
      <t xml:space="preserve">NA: New cooling systems serving a new computer room in an existing building up to a total of 20 tons of new cooling equipment per building </t>
    </r>
    <r>
      <rPr>
        <sz val="10"/>
        <color rgb="FFFF0000"/>
        <rFont val="Calibri"/>
        <family val="2"/>
        <scheme val="minor"/>
      </rPr>
      <t>per Exception 3 to 141.1(b)1</t>
    </r>
    <r>
      <rPr>
        <sz val="10"/>
        <rFont val="Calibri"/>
        <family val="2"/>
        <scheme val="minor"/>
      </rPr>
      <t>.</t>
    </r>
  </si>
  <si>
    <r>
      <t xml:space="preserve">This table contains all new or replacement hoods being installed within the scope of the permit application. The inputs within Table N are used to demonstrate </t>
    </r>
    <r>
      <rPr>
        <i/>
        <strike/>
        <sz val="10"/>
        <color rgb="FFFF0000"/>
        <rFont val="Calibri"/>
        <family val="2"/>
      </rPr>
      <t>compliacne</t>
    </r>
    <r>
      <rPr>
        <i/>
        <sz val="10"/>
        <color rgb="FFFF0000"/>
        <rFont val="Calibri"/>
        <family val="2"/>
      </rPr>
      <t>compliance</t>
    </r>
    <r>
      <rPr>
        <i/>
        <sz val="10"/>
        <rFont val="Calibri"/>
        <family val="2"/>
      </rPr>
      <t xml:space="preserve"> within §140.9(b).</t>
    </r>
    <r>
      <rPr>
        <b/>
        <i/>
        <sz val="10"/>
        <rFont val="Calibri"/>
        <family val="2"/>
      </rPr>
      <t xml:space="preserve"> </t>
    </r>
  </si>
  <si>
    <t>Exhaust Air Heat Recovery Compliance Method §140.9(c6</t>
  </si>
  <si>
    <t>NA: Licensed healthcare facility</t>
  </si>
  <si>
    <t>NA: Systems that meet dew point criteria, heat/cool at each zone, and do not cool per Exception 4 to 140.9(c)5</t>
  </si>
  <si>
    <t>NA: Air Handler does not serve multiple laboratory zones</t>
  </si>
  <si>
    <t>NA: Exhaust air heat recovery &amp; heat recovery chiller with &gt;=40% heat recovery per Exception 4 to 140.9(c)6</t>
  </si>
  <si>
    <r>
      <rPr>
        <b/>
        <sz val="10"/>
        <rFont val="Calibri"/>
        <family val="2"/>
        <scheme val="minor"/>
      </rPr>
      <t xml:space="preserve"> </t>
    </r>
    <r>
      <rPr>
        <i/>
        <sz val="10"/>
        <rFont val="Calibri"/>
        <family val="2"/>
        <scheme val="minor"/>
      </rPr>
      <t>This table is used to demonstrate compliance with prescriptive requirements found in §140.4(c), §140.4(e) §140.4(m), §170.2(c)3 &amp; §170.2(c)4A for fan systems.  Fan systems serving only process loads are exempt from these requirements and do not need to be included in Table H</t>
    </r>
  </si>
  <si>
    <t>Quantity</t>
  </si>
  <si>
    <t>Fan System Status:</t>
  </si>
  <si>
    <t>System Zoning</t>
  </si>
  <si>
    <t xml:space="preserve"> Serving Dwelling Units</t>
  </si>
  <si>
    <t>Fan System Airflow(cfm)</t>
  </si>
  <si>
    <t>Site Elevation</t>
  </si>
  <si>
    <t>Economizer</t>
  </si>
  <si>
    <t>Allowance</t>
  </si>
  <si>
    <t>Design</t>
  </si>
  <si>
    <t>Fan Name or Item Tag</t>
  </si>
  <si>
    <t>Fan Type</t>
  </si>
  <si>
    <t>Qty</t>
  </si>
  <si>
    <t>Components</t>
  </si>
  <si>
    <t>Airflow Through Component (%)</t>
  </si>
  <si>
    <t>Water Gauge (w.g)</t>
  </si>
  <si>
    <t>Component Allowance</t>
  </si>
  <si>
    <r>
      <t>Fan Allowance(watt/cfm)</t>
    </r>
    <r>
      <rPr>
        <vertAlign val="superscript"/>
        <sz val="9"/>
        <rFont val="Calibri"/>
        <family val="2"/>
        <scheme val="minor"/>
      </rPr>
      <t>3</t>
    </r>
  </si>
  <si>
    <t xml:space="preserve"> Design Electrical Input Power Method</t>
  </si>
  <si>
    <t>Motor Nameplate Horsepower</t>
  </si>
  <si>
    <t xml:space="preserve"> Design Electrical Input Power (kW)</t>
  </si>
  <si>
    <t>(fan 1)</t>
  </si>
  <si>
    <t>dropdown</t>
  </si>
  <si>
    <r>
      <t xml:space="preserve">Dropdown
</t>
    </r>
    <r>
      <rPr>
        <sz val="10"/>
        <rFont val="Calibri"/>
        <family val="2"/>
        <scheme val="minor"/>
      </rPr>
      <t>(component 1)</t>
    </r>
  </si>
  <si>
    <t>component 1 allowance</t>
  </si>
  <si>
    <t>Fan Allowance</t>
  </si>
  <si>
    <t>(component2)</t>
  </si>
  <si>
    <t>component 2 allowance</t>
  </si>
  <si>
    <t>(fan 2)</t>
  </si>
  <si>
    <t>Supply Fan Base Allowance(kW):</t>
  </si>
  <si>
    <t>Exhuast/Return/Relief/Transfer Fan Base Allowance(kW):</t>
  </si>
  <si>
    <r>
      <t>Total Fan System Allowance(kW)</t>
    </r>
    <r>
      <rPr>
        <vertAlign val="superscript"/>
        <sz val="11"/>
        <color theme="1"/>
        <rFont val="Calibri"/>
        <family val="2"/>
        <scheme val="minor"/>
      </rPr>
      <t>3</t>
    </r>
    <r>
      <rPr>
        <sz val="11"/>
        <color theme="1"/>
        <rFont val="Calibri"/>
        <family val="2"/>
        <scheme val="minor"/>
      </rPr>
      <t>:</t>
    </r>
  </si>
  <si>
    <t>Fan System Electrical Input Power (kW)</t>
  </si>
  <si>
    <t>All new for 2025. This is 90% the same as Table H of the CC-MCH</t>
  </si>
  <si>
    <t>All new for 2025</t>
  </si>
  <si>
    <t>Exhuast System Name or Item Tag</t>
  </si>
  <si>
    <t>Sum of occupied minimum circulation rates for spaces served</t>
  </si>
  <si>
    <t>Exhaust Fan System Airflow (cfm)</t>
  </si>
  <si>
    <t>Design Exhaust Fan System Power (watts)</t>
  </si>
  <si>
    <t>Variable Speed Controls per 140.9©3D</t>
  </si>
  <si>
    <t>Draw no more than 40% of the design fan power when exhaust airflow is 60% of the design airflow rate</t>
  </si>
  <si>
    <r>
      <t xml:space="preserve">&lt;&lt; Moves to "Yes" if Table O04 </t>
    </r>
    <r>
      <rPr>
        <i/>
        <sz val="10"/>
        <color rgb="FFFF0000"/>
        <rFont val="Calibri"/>
        <family val="2"/>
        <scheme val="minor"/>
      </rPr>
      <t>== Exhaust system designed  per 140.9(c)3C</t>
    </r>
  </si>
  <si>
    <t>Minimum Acceptable Exhuast Airflow Rate</t>
  </si>
  <si>
    <t xml:space="preserve">This table includes all laboratory and factory exhaust and fume hoods within the scope of the permit application. The inputs within Table O are used to demonstrate compliance with the requirements within §140.9(c)3D. </t>
  </si>
  <si>
    <t>O. Exhaust Systems 140.9(c)3D</t>
  </si>
  <si>
    <t>BEN  - ONCE FINALIZED MODIFY TABLE C COMPLIANCE TO FACTOR IN THE NEW TABLES AND ALSO MAKE SURE 05 &lt;= larger of 04 and 03 and also that 03 is &lt; 60% of 05.</t>
  </si>
  <si>
    <t>NA: No Greenhouse</t>
  </si>
  <si>
    <r>
      <t xml:space="preserve">NA: No dehumidification systems </t>
    </r>
    <r>
      <rPr>
        <strike/>
        <sz val="9"/>
        <color rgb="FFFF0000"/>
        <rFont val="Calibri"/>
        <family val="2"/>
        <scheme val="minor"/>
      </rPr>
      <t>or greenhouse</t>
    </r>
  </si>
  <si>
    <r>
      <t xml:space="preserve">Photosynthetic Photon Efficacy (PPE)
</t>
    </r>
    <r>
      <rPr>
        <strike/>
        <sz val="10"/>
        <color rgb="FFFF0000"/>
        <rFont val="Calibri"/>
        <family val="2"/>
        <scheme val="minor"/>
      </rPr>
      <t>§120.6(h)2A &amp; 6A</t>
    </r>
    <r>
      <rPr>
        <sz val="10"/>
        <color rgb="FFFF0000"/>
        <rFont val="Calibri"/>
        <family val="2"/>
        <scheme val="minor"/>
      </rPr>
      <t xml:space="preserve"> §120.6(h)5A</t>
    </r>
  </si>
  <si>
    <t>Multilevel Switch</t>
  </si>
  <si>
    <r>
      <rPr>
        <b/>
        <sz val="11"/>
        <color rgb="FFFF0000"/>
        <rFont val="Calibri"/>
        <family val="2"/>
      </rPr>
      <t xml:space="preserve">Greenhouse </t>
    </r>
    <r>
      <rPr>
        <b/>
        <strike/>
        <sz val="11"/>
        <color rgb="FFFF0000"/>
        <rFont val="Calibri"/>
        <family val="2"/>
      </rPr>
      <t>Opaque and Non-Opaque</t>
    </r>
    <r>
      <rPr>
        <b/>
        <sz val="11"/>
        <color rgb="FFFF0000"/>
        <rFont val="Calibri"/>
        <family val="2"/>
      </rPr>
      <t xml:space="preserve"> </t>
    </r>
    <r>
      <rPr>
        <b/>
        <sz val="11"/>
        <rFont val="Calibri"/>
        <family val="2"/>
      </rPr>
      <t>Envelopes</t>
    </r>
  </si>
  <si>
    <t>Opaque Envelope Compliance Method
§120.6(h) 43A</t>
  </si>
  <si>
    <t>Frame Type</t>
  </si>
  <si>
    <t>Frame Type Dropdown</t>
  </si>
  <si>
    <t>Metal Building</t>
  </si>
  <si>
    <t>Wood Framed And Others</t>
  </si>
  <si>
    <t>Metal Framed</t>
  </si>
  <si>
    <t>Light Mass</t>
  </si>
  <si>
    <t>Heavy Mass</t>
  </si>
  <si>
    <t>Spandrel and Curtain Wall</t>
  </si>
  <si>
    <t>Demising Wall</t>
  </si>
  <si>
    <t>Double-pane with air fill</t>
  </si>
  <si>
    <t>Double-pane with gas fill</t>
  </si>
  <si>
    <t>Available if 02 == Roof</t>
  </si>
  <si>
    <t>Available if 02 == wall</t>
  </si>
  <si>
    <t>Available if 02 == Roof or Wall</t>
  </si>
  <si>
    <t>Available if 02 == non-opaque envelope</t>
  </si>
  <si>
    <t>Design U-factor</t>
  </si>
  <si>
    <t>user input</t>
  </si>
  <si>
    <t>Required Min U-factor</t>
  </si>
  <si>
    <t>look up</t>
  </si>
  <si>
    <r>
      <rPr>
        <b/>
        <sz val="11"/>
        <color theme="1"/>
        <rFont val="Calibri"/>
        <family val="2"/>
        <scheme val="minor"/>
      </rPr>
      <t>H. FAN SYSTEMS</t>
    </r>
    <r>
      <rPr>
        <b/>
        <strike/>
        <sz val="11"/>
        <color rgb="FFFF0000"/>
        <rFont val="Calibri"/>
        <family val="2"/>
        <scheme val="minor"/>
      </rPr>
      <t xml:space="preserve"> &amp; AIR ECONOMIZERS</t>
    </r>
  </si>
  <si>
    <r>
      <t>Laboratory Exhaust/Factory Exhaust &amp; Fume Hood (prescriptive §140.9(c))</t>
    </r>
    <r>
      <rPr>
        <vertAlign val="superscript"/>
        <sz val="10"/>
        <rFont val="Calibri"/>
        <family val="2"/>
        <scheme val="minor"/>
      </rPr>
      <t>1</t>
    </r>
  </si>
  <si>
    <r>
      <rPr>
        <sz val="10"/>
        <color rgb="FFFF0000"/>
        <rFont val="Calibri"/>
        <family val="2"/>
        <scheme val="minor"/>
      </rPr>
      <t xml:space="preserve">Exhaust </t>
    </r>
    <r>
      <rPr>
        <sz val="10"/>
        <color theme="1"/>
        <rFont val="Calibri"/>
        <family val="2"/>
        <scheme val="minor"/>
      </rPr>
      <t xml:space="preserve">Fan </t>
    </r>
    <r>
      <rPr>
        <sz val="10"/>
        <color rgb="FFFF0000"/>
        <rFont val="Calibri"/>
        <family val="2"/>
        <scheme val="minor"/>
      </rPr>
      <t>System</t>
    </r>
    <r>
      <rPr>
        <sz val="10"/>
        <color theme="1"/>
        <rFont val="Calibri"/>
        <family val="2"/>
        <scheme val="minor"/>
      </rPr>
      <t xml:space="preserve"> Power Compliance Method
§140.9(c)3</t>
    </r>
  </si>
  <si>
    <t>NA: Add/alt to existing AH serving zones with no heat/cool capacity per Exception 1 to 140.9(c)5</t>
  </si>
  <si>
    <t>NA: Vivarium or space classified as biosafety level 3 or higher per Exception 3 to 140.9(c)5</t>
  </si>
  <si>
    <t>NA: Addition/alteration to existing system without exhaust air heat recovery per Exception 1 to 140.9(c)6</t>
  </si>
  <si>
    <r>
      <t>NA: Total lab exhaust rate &gt; 20 cfm/ft</t>
    </r>
    <r>
      <rPr>
        <vertAlign val="superscript"/>
        <sz val="10"/>
        <color rgb="FFFF0000"/>
        <rFont val="Calibri"/>
        <family val="2"/>
        <scheme val="minor"/>
      </rPr>
      <t xml:space="preserve">2 </t>
    </r>
    <r>
      <rPr>
        <sz val="10"/>
        <color rgb="FFFF0000"/>
        <rFont val="Calibri"/>
        <family val="2"/>
        <scheme val="minor"/>
      </rPr>
      <t>of</t>
    </r>
    <r>
      <rPr>
        <vertAlign val="superscript"/>
        <sz val="10"/>
        <color rgb="FFFF0000"/>
        <rFont val="Calibri"/>
        <family val="2"/>
        <scheme val="minor"/>
      </rPr>
      <t xml:space="preserve"> </t>
    </r>
    <r>
      <rPr>
        <sz val="10"/>
        <color rgb="FFFF0000"/>
        <rFont val="Calibri"/>
        <family val="2"/>
        <scheme val="minor"/>
      </rPr>
      <t>roof area per Exception 2 to 140.9(c)6</t>
    </r>
  </si>
  <si>
    <t>NA: Exhaust system requiring wash down system per Exception 5 to 140.9(c)6</t>
  </si>
  <si>
    <t>NA: CZ 6 or 7 where gas heating is allowed per Exception 3 to 140.9(c)6</t>
  </si>
  <si>
    <r>
      <t xml:space="preserve">System includes sensible energy recovery (heat </t>
    </r>
    <r>
      <rPr>
        <sz val="10"/>
        <color rgb="FFFF0000"/>
        <rFont val="Aptos Narrow"/>
        <family val="2"/>
      </rPr>
      <t>≥</t>
    </r>
    <r>
      <rPr>
        <sz val="10"/>
        <color rgb="FFFF0000"/>
        <rFont val="Calibri"/>
        <family val="2"/>
      </rPr>
      <t xml:space="preserve">45%/cool </t>
    </r>
    <r>
      <rPr>
        <sz val="10"/>
        <color rgb="FFFF0000"/>
        <rFont val="Aptos Narrow"/>
        <family val="2"/>
      </rPr>
      <t>≥</t>
    </r>
    <r>
      <rPr>
        <sz val="10"/>
        <color rgb="FFFF0000"/>
        <rFont val="Calibri"/>
        <family val="2"/>
      </rPr>
      <t>25%); rec</t>
    </r>
    <r>
      <rPr>
        <sz val="10"/>
        <color rgb="FFFF0000"/>
        <rFont val="Calibri"/>
        <family val="2"/>
        <scheme val="minor"/>
      </rPr>
      <t xml:space="preserve">overed heat </t>
    </r>
    <r>
      <rPr>
        <sz val="10"/>
        <color rgb="FFFF0000"/>
        <rFont val="Aptos Narrow"/>
        <family val="2"/>
      </rPr>
      <t>≥</t>
    </r>
    <r>
      <rPr>
        <sz val="10"/>
        <color rgb="FFFF0000"/>
        <rFont val="Calibri"/>
        <family val="2"/>
      </rPr>
      <t>75% w/</t>
    </r>
    <r>
      <rPr>
        <sz val="10"/>
        <color rgb="FFFF0000"/>
        <rFont val="Calibri"/>
        <family val="2"/>
        <scheme val="minor"/>
      </rPr>
      <t xml:space="preserve">ability to disable; pressure drop </t>
    </r>
    <r>
      <rPr>
        <sz val="10"/>
        <color rgb="FFFF0000"/>
        <rFont val="Aptos Narrow"/>
        <family val="2"/>
      </rPr>
      <t>≤</t>
    </r>
    <r>
      <rPr>
        <sz val="10"/>
        <color rgb="FFFF0000"/>
        <rFont val="Calibri"/>
        <family val="2"/>
      </rPr>
      <t>0.4"w.g.</t>
    </r>
  </si>
  <si>
    <t>Air handler shall not cool air &lt; 80 °F nor heat &gt;50 °F per §140.9(c)5</t>
  </si>
  <si>
    <r>
      <t xml:space="preserve">NA: Computer room </t>
    </r>
    <r>
      <rPr>
        <sz val="10"/>
        <color rgb="FFFF0000"/>
        <rFont val="Calibri"/>
        <family val="2"/>
        <scheme val="minor"/>
      </rPr>
      <t>w/</t>
    </r>
    <r>
      <rPr>
        <sz val="10"/>
        <rFont val="Calibri"/>
        <family val="2"/>
        <scheme val="minor"/>
      </rPr>
      <t xml:space="preserve">ITE design load &lt; 5 tons &amp; </t>
    </r>
    <r>
      <rPr>
        <strike/>
        <sz val="10"/>
        <color rgb="FFFF0000"/>
        <rFont val="Calibri"/>
        <family val="2"/>
        <scheme val="minor"/>
      </rPr>
      <t xml:space="preserve">building HVAC does </t>
    </r>
    <r>
      <rPr>
        <sz val="10"/>
        <rFont val="Calibri"/>
        <family val="2"/>
        <scheme val="minor"/>
      </rPr>
      <t>no</t>
    </r>
    <r>
      <rPr>
        <strike/>
        <sz val="10"/>
        <color rgb="FFFF0000"/>
        <rFont val="Calibri"/>
        <family val="2"/>
        <scheme val="minor"/>
      </rPr>
      <t>t have any</t>
    </r>
    <r>
      <rPr>
        <sz val="10"/>
        <rFont val="Calibri"/>
        <family val="2"/>
        <scheme val="minor"/>
      </rPr>
      <t xml:space="preserve"> </t>
    </r>
    <r>
      <rPr>
        <sz val="10"/>
        <color rgb="FFFF0000"/>
        <rFont val="Calibri"/>
        <family val="2"/>
        <scheme val="minor"/>
      </rPr>
      <t>existing</t>
    </r>
    <r>
      <rPr>
        <sz val="10"/>
        <rFont val="Calibri"/>
        <family val="2"/>
        <scheme val="minor"/>
      </rPr>
      <t xml:space="preserve"> economizers </t>
    </r>
    <r>
      <rPr>
        <sz val="10"/>
        <color rgb="FFFF0000"/>
        <rFont val="Calibri"/>
        <family val="2"/>
        <scheme val="minor"/>
      </rPr>
      <t>per Exception 1 to 140.9(a)1 or Exception 1 to 141.1(b)1</t>
    </r>
  </si>
  <si>
    <r>
      <rPr>
        <strike/>
        <sz val="10"/>
        <color rgb="FFFF0000"/>
        <rFont val="Calibri"/>
        <family val="2"/>
        <scheme val="minor"/>
      </rPr>
      <t>NA: A computer room being served by a fan system (not economizer) meeting the requirements of Exception 2 to §140.9(a)1.</t>
    </r>
    <r>
      <rPr>
        <sz val="10"/>
        <color rgb="FFFF0000"/>
        <rFont val="Calibri"/>
        <family val="2"/>
        <scheme val="minor"/>
      </rPr>
      <t xml:space="preserve"> ITE design load &lt;20 tons and served by economizer meeting Exception 2 to 140.9(a)1</t>
    </r>
  </si>
  <si>
    <r>
      <t>NRCA-PRC-01</t>
    </r>
    <r>
      <rPr>
        <u/>
        <sz val="10"/>
        <color rgb="FFFF0000"/>
        <rFont val="Calibri"/>
        <family val="2"/>
        <scheme val="minor"/>
      </rPr>
      <t>a</t>
    </r>
    <r>
      <rPr>
        <sz val="10"/>
        <color theme="1"/>
        <rFont val="Calibri"/>
        <family val="2"/>
        <scheme val="minor"/>
      </rPr>
      <t>-F Compressed Air Systems</t>
    </r>
  </si>
  <si>
    <t>NRCA-PRC-01b-F Compressed Air Systems</t>
  </si>
  <si>
    <r>
      <t xml:space="preserve">NRCA-PRC-02-F </t>
    </r>
    <r>
      <rPr>
        <u/>
        <sz val="10"/>
        <color rgb="FFFF0000"/>
        <rFont val="Calibri"/>
        <family val="2"/>
        <scheme val="minor"/>
      </rPr>
      <t>Commercial</t>
    </r>
    <r>
      <rPr>
        <sz val="10"/>
        <color theme="1"/>
        <rFont val="Calibri"/>
        <family val="2"/>
        <scheme val="minor"/>
      </rPr>
      <t xml:space="preserve"> Kitchen Exhaust</t>
    </r>
  </si>
  <si>
    <r>
      <t xml:space="preserve">NRCA-PRC-03-F </t>
    </r>
    <r>
      <rPr>
        <u/>
        <sz val="10"/>
        <color rgb="FFFF0000"/>
        <rFont val="Calibri"/>
        <family val="2"/>
        <scheme val="minor"/>
      </rPr>
      <t>Parking</t>
    </r>
    <r>
      <rPr>
        <sz val="10"/>
        <color theme="1"/>
        <rFont val="Calibri"/>
        <family val="2"/>
        <scheme val="minor"/>
      </rPr>
      <t xml:space="preserve"> Garage Exhaust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</si>
</sst>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9">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sz val="10"/>
      <color rgb="FF000000"/>
      <name val="Calibri"/>
      <family val="2"/>
      <scheme val="minor"/>
    </font>
    <font>
      <sz val="10"/>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231F20"/>
      <name val="Calibri"/>
      <family val="2"/>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b/>
      <sz val="9"/>
      <name val="Calibri"/>
      <family val="2"/>
      <scheme val="minor"/>
    </font>
    <font>
      <b/>
      <sz val="9"/>
      <color theme="1"/>
      <name val="Calibri"/>
      <family val="2"/>
      <scheme val="minor"/>
    </font>
    <font>
      <vertAlign val="superscript"/>
      <sz val="10"/>
      <color theme="1"/>
      <name val="Calibri"/>
      <family val="2"/>
      <scheme val="minor"/>
    </font>
    <font>
      <b/>
      <sz val="12"/>
      <color rgb="FF000000"/>
      <name val="Calibri"/>
      <family val="2"/>
      <scheme val="minor"/>
    </font>
    <font>
      <sz val="9"/>
      <color theme="1"/>
      <name val="Calibri"/>
      <family val="2"/>
    </font>
    <font>
      <i/>
      <sz val="9"/>
      <name val="Calibri"/>
      <family val="2"/>
      <scheme val="minor"/>
    </font>
    <font>
      <sz val="8"/>
      <name val="Arial"/>
      <family val="2"/>
    </font>
    <font>
      <b/>
      <sz val="8"/>
      <name val="Arial"/>
      <family val="2"/>
    </font>
    <font>
      <i/>
      <sz val="10"/>
      <name val="Calibri"/>
      <family val="2"/>
    </font>
    <font>
      <sz val="9"/>
      <color theme="1"/>
      <name val="Arial"/>
      <family val="2"/>
    </font>
    <font>
      <b/>
      <sz val="8"/>
      <color theme="1"/>
      <name val="Calibri"/>
      <family val="2"/>
      <scheme val="minor"/>
    </font>
    <font>
      <b/>
      <sz val="10"/>
      <color rgb="FF231F20"/>
      <name val="Calibri"/>
      <family val="2"/>
    </font>
    <font>
      <sz val="8"/>
      <color theme="1"/>
      <name val="Calibri"/>
      <family val="2"/>
      <scheme val="minor"/>
    </font>
    <font>
      <vertAlign val="superscript"/>
      <sz val="11"/>
      <color theme="1"/>
      <name val="Calibri"/>
      <family val="2"/>
      <scheme val="minor"/>
    </font>
    <font>
      <sz val="11"/>
      <color theme="1"/>
      <name val="Wingdings"/>
      <charset val="2"/>
    </font>
    <font>
      <sz val="11"/>
      <color theme="1"/>
      <name val="Calibri"/>
      <family val="2"/>
    </font>
    <font>
      <sz val="9"/>
      <color rgb="FF231F20"/>
      <name val="Wingdings"/>
      <charset val="2"/>
    </font>
    <font>
      <sz val="10"/>
      <color rgb="FF231F20"/>
      <name val="Calibri"/>
      <family val="2"/>
    </font>
    <font>
      <u/>
      <sz val="8"/>
      <color theme="1"/>
      <name val="Calibri"/>
      <family val="2"/>
      <scheme val="minor"/>
    </font>
    <font>
      <b/>
      <sz val="10"/>
      <color rgb="FF231F20"/>
      <name val="Wingdings"/>
      <charset val="2"/>
    </font>
    <font>
      <sz val="11"/>
      <name val="Wingdings"/>
      <charset val="2"/>
    </font>
    <font>
      <b/>
      <sz val="11"/>
      <color rgb="FF000000"/>
      <name val="Calibri"/>
      <family val="2"/>
    </font>
    <font>
      <i/>
      <vertAlign val="superscript"/>
      <sz val="11"/>
      <color theme="1"/>
      <name val="Calibri"/>
      <family val="2"/>
      <scheme val="minor"/>
    </font>
    <font>
      <u/>
      <sz val="9"/>
      <color theme="1"/>
      <name val="Calibri"/>
      <family val="2"/>
      <scheme val="minor"/>
    </font>
    <font>
      <sz val="12.1"/>
      <color theme="1"/>
      <name val="Calibri"/>
      <family val="2"/>
    </font>
    <font>
      <i/>
      <vertAlign val="superscript"/>
      <sz val="9"/>
      <name val="Calibri"/>
      <family val="2"/>
      <scheme val="minor"/>
    </font>
    <font>
      <i/>
      <vertAlign val="superscript"/>
      <sz val="10"/>
      <color theme="1"/>
      <name val="Calibri"/>
      <family val="2"/>
      <scheme val="minor"/>
    </font>
    <font>
      <i/>
      <sz val="10"/>
      <name val="Calibri"/>
      <family val="2"/>
      <scheme val="minor"/>
    </font>
    <font>
      <i/>
      <vertAlign val="superscript"/>
      <sz val="10"/>
      <name val="Calibri"/>
      <family val="2"/>
      <scheme val="minor"/>
    </font>
    <font>
      <u/>
      <sz val="11"/>
      <color theme="10"/>
      <name val="Calibri"/>
      <family val="2"/>
      <scheme val="minor"/>
    </font>
    <font>
      <vertAlign val="subscript"/>
      <sz val="8"/>
      <color theme="1"/>
      <name val="Calibri"/>
      <family val="2"/>
      <scheme val="minor"/>
    </font>
    <font>
      <vertAlign val="superscript"/>
      <sz val="10"/>
      <color rgb="FF231F20"/>
      <name val="Calibri"/>
      <family val="2"/>
    </font>
    <font>
      <i/>
      <sz val="11"/>
      <name val="Calibri"/>
      <family val="2"/>
      <scheme val="minor"/>
    </font>
    <font>
      <b/>
      <sz val="10"/>
      <color theme="9" tint="-0.249977111117893"/>
      <name val="Calibri"/>
      <family val="2"/>
    </font>
    <font>
      <b/>
      <sz val="10"/>
      <color rgb="FF00B050"/>
      <name val="Calibri"/>
      <family val="2"/>
      <scheme val="minor"/>
    </font>
    <font>
      <sz val="11"/>
      <name val="Calibri"/>
      <family val="2"/>
      <scheme val="minor"/>
    </font>
    <font>
      <b/>
      <i/>
      <sz val="11"/>
      <name val="Calibri"/>
      <family val="2"/>
      <scheme val="minor"/>
    </font>
    <font>
      <b/>
      <sz val="10"/>
      <name val="Calibri"/>
      <family val="2"/>
    </font>
    <font>
      <sz val="9"/>
      <name val="Calibri"/>
      <family val="2"/>
      <scheme val="minor"/>
    </font>
    <font>
      <b/>
      <sz val="11"/>
      <name val="Calibri"/>
      <family val="2"/>
      <scheme val="minor"/>
    </font>
    <font>
      <vertAlign val="superscript"/>
      <sz val="9"/>
      <name val="Calibri"/>
      <family val="2"/>
      <scheme val="minor"/>
    </font>
    <font>
      <sz val="11"/>
      <color theme="1"/>
      <name val="Calibri"/>
      <family val="2"/>
      <charset val="2"/>
    </font>
    <font>
      <vertAlign val="subscript"/>
      <sz val="11"/>
      <color theme="1"/>
      <name val="Calibri"/>
      <family val="2"/>
    </font>
    <font>
      <vertAlign val="superscript"/>
      <sz val="10"/>
      <name val="Calibri"/>
      <family val="2"/>
      <scheme val="minor"/>
    </font>
    <font>
      <i/>
      <sz val="9"/>
      <color indexed="81"/>
      <name val="Tahoma"/>
      <family val="2"/>
    </font>
    <font>
      <b/>
      <i/>
      <sz val="10"/>
      <name val="Calibri"/>
      <family val="2"/>
    </font>
    <font>
      <b/>
      <sz val="10"/>
      <name val="Calibri"/>
      <family val="2"/>
      <scheme val="minor"/>
    </font>
    <font>
      <vertAlign val="subscript"/>
      <sz val="10"/>
      <color theme="1"/>
      <name val="Calibri"/>
      <family val="2"/>
      <scheme val="minor"/>
    </font>
    <font>
      <vertAlign val="subscript"/>
      <sz val="10"/>
      <name val="Calibri"/>
      <family val="2"/>
      <scheme val="minor"/>
    </font>
    <font>
      <sz val="10"/>
      <color theme="1"/>
      <name val="Calibri"/>
      <family val="2"/>
    </font>
    <font>
      <b/>
      <i/>
      <sz val="10"/>
      <color theme="1"/>
      <name val="Calibri"/>
      <family val="2"/>
      <scheme val="minor"/>
    </font>
    <font>
      <b/>
      <i/>
      <strike/>
      <sz val="11"/>
      <color theme="8"/>
      <name val="Calibri"/>
      <family val="2"/>
      <scheme val="minor"/>
    </font>
    <font>
      <sz val="10"/>
      <name val="Wingdings"/>
      <charset val="2"/>
    </font>
    <font>
      <i/>
      <sz val="11"/>
      <name val="Calibri"/>
      <family val="2"/>
    </font>
    <font>
      <sz val="8"/>
      <name val="Calibri"/>
      <family val="2"/>
      <scheme val="minor"/>
    </font>
    <font>
      <b/>
      <vertAlign val="subscript"/>
      <sz val="11"/>
      <name val="Calibri"/>
      <family val="2"/>
    </font>
    <font>
      <b/>
      <sz val="10"/>
      <name val="Arial"/>
      <family val="2"/>
    </font>
    <font>
      <i/>
      <vertAlign val="superscript"/>
      <sz val="10"/>
      <name val="Calibri"/>
      <family val="2"/>
    </font>
    <font>
      <b/>
      <strike/>
      <sz val="10"/>
      <name val="Calibri"/>
      <family val="2"/>
      <scheme val="minor"/>
    </font>
    <font>
      <i/>
      <strike/>
      <sz val="9"/>
      <name val="Calibri"/>
      <family val="2"/>
      <scheme val="minor"/>
    </font>
    <font>
      <u/>
      <sz val="11"/>
      <name val="Calibri"/>
      <family val="2"/>
      <scheme val="minor"/>
    </font>
    <font>
      <sz val="10"/>
      <color rgb="FFFF0000"/>
      <name val="Calibri"/>
      <family val="2"/>
      <scheme val="minor"/>
    </font>
    <font>
      <strike/>
      <sz val="10"/>
      <color rgb="FFFF0000"/>
      <name val="Calibri"/>
      <family val="2"/>
      <scheme val="minor"/>
    </font>
    <font>
      <b/>
      <sz val="10"/>
      <color rgb="FFFF0000"/>
      <name val="Calibri"/>
      <family val="2"/>
      <scheme val="minor"/>
    </font>
    <font>
      <sz val="11"/>
      <color rgb="FFFF0000"/>
      <name val="Calibri"/>
      <family val="2"/>
      <scheme val="minor"/>
    </font>
    <font>
      <i/>
      <sz val="10"/>
      <color rgb="FFFF0000"/>
      <name val="Calibri"/>
      <family val="2"/>
      <scheme val="minor"/>
    </font>
    <font>
      <b/>
      <sz val="9"/>
      <color indexed="10"/>
      <name val="Tahoma"/>
      <family val="2"/>
    </font>
    <font>
      <sz val="9"/>
      <color indexed="10"/>
      <name val="Tahoma"/>
      <family val="2"/>
    </font>
    <font>
      <sz val="9"/>
      <color rgb="FFFF0000"/>
      <name val="Calibri"/>
      <family val="2"/>
      <scheme val="minor"/>
    </font>
    <font>
      <b/>
      <strike/>
      <sz val="10"/>
      <color rgb="FFFF0000"/>
      <name val="Calibri"/>
      <family val="2"/>
      <scheme val="minor"/>
    </font>
    <font>
      <strike/>
      <sz val="9"/>
      <color rgb="FFFF0000"/>
      <name val="Calibri"/>
      <family val="2"/>
      <scheme val="minor"/>
    </font>
    <font>
      <b/>
      <sz val="11"/>
      <color rgb="FFFF0000"/>
      <name val="Calibri"/>
      <family val="2"/>
    </font>
    <font>
      <b/>
      <strike/>
      <sz val="11"/>
      <color rgb="FFFF0000"/>
      <name val="Calibri"/>
      <family val="2"/>
    </font>
    <font>
      <b/>
      <sz val="11"/>
      <color rgb="FFFF0000"/>
      <name val="Calibri"/>
      <family val="2"/>
      <scheme val="minor"/>
    </font>
    <font>
      <sz val="11"/>
      <color rgb="FFFF0000"/>
      <name val="Calibri"/>
      <family val="2"/>
      <charset val="2"/>
    </font>
    <font>
      <sz val="11"/>
      <color rgb="FFFF0000"/>
      <name val="Wingdings"/>
      <charset val="2"/>
    </font>
    <font>
      <sz val="11"/>
      <color rgb="FFFF0000"/>
      <name val="Calibri"/>
      <family val="2"/>
    </font>
    <font>
      <vertAlign val="superscript"/>
      <sz val="10"/>
      <color rgb="FFFF0000"/>
      <name val="Calibri"/>
      <family val="2"/>
      <scheme val="minor"/>
    </font>
    <font>
      <i/>
      <sz val="11"/>
      <color rgb="FFFF0000"/>
      <name val="Calibri"/>
      <family val="2"/>
      <scheme val="minor"/>
    </font>
    <font>
      <b/>
      <sz val="9"/>
      <color rgb="FFFF0000"/>
      <name val="Calibri"/>
      <family val="2"/>
      <scheme val="minor"/>
    </font>
    <font>
      <vertAlign val="subscript"/>
      <sz val="10"/>
      <color rgb="FFFF0000"/>
      <name val="Calibri"/>
      <family val="2"/>
      <scheme val="minor"/>
    </font>
    <font>
      <sz val="10"/>
      <color rgb="FFFF0000"/>
      <name val="Calibri"/>
      <family val="2"/>
    </font>
    <font>
      <i/>
      <strike/>
      <sz val="10"/>
      <color rgb="FFFF0000"/>
      <name val="Calibri"/>
      <family val="2"/>
      <scheme val="minor"/>
    </font>
    <font>
      <i/>
      <strike/>
      <vertAlign val="superscript"/>
      <sz val="10"/>
      <color rgb="FFFF0000"/>
      <name val="Calibri"/>
      <family val="2"/>
      <scheme val="minor"/>
    </font>
    <font>
      <strike/>
      <vertAlign val="superscript"/>
      <sz val="10"/>
      <color rgb="FFFF0000"/>
      <name val="Calibri"/>
      <family val="2"/>
      <scheme val="minor"/>
    </font>
    <font>
      <strike/>
      <sz val="10"/>
      <color rgb="FFFF0000"/>
      <name val="Wingdings"/>
      <charset val="2"/>
    </font>
    <font>
      <i/>
      <strike/>
      <sz val="10"/>
      <color rgb="FF231F20"/>
      <name val="Calibri"/>
      <family val="2"/>
    </font>
    <font>
      <strike/>
      <sz val="10"/>
      <color rgb="FFFF0000"/>
      <name val="Calibri"/>
      <family val="2"/>
    </font>
    <font>
      <b/>
      <strike/>
      <sz val="11"/>
      <color rgb="FFFF0000"/>
      <name val="Calibri"/>
      <family val="2"/>
      <scheme val="minor"/>
    </font>
    <font>
      <i/>
      <strike/>
      <sz val="10"/>
      <color rgb="FFFF0000"/>
      <name val="Calibri"/>
      <family val="2"/>
    </font>
    <font>
      <b/>
      <strike/>
      <sz val="9"/>
      <color indexed="10"/>
      <name val="Tahoma"/>
      <family val="2"/>
    </font>
    <font>
      <strike/>
      <sz val="9"/>
      <color indexed="10"/>
      <name val="Tahoma"/>
      <family val="2"/>
    </font>
    <font>
      <i/>
      <sz val="10"/>
      <color rgb="FFFF0000"/>
      <name val="Calibri"/>
      <family val="2"/>
    </font>
    <font>
      <strike/>
      <sz val="11"/>
      <color rgb="FFFF0000"/>
      <name val="Calibri"/>
      <family val="2"/>
      <scheme val="minor"/>
    </font>
    <font>
      <b/>
      <strike/>
      <sz val="11"/>
      <color theme="1"/>
      <name val="Calibri"/>
      <family val="2"/>
      <scheme val="minor"/>
    </font>
    <font>
      <strike/>
      <sz val="10"/>
      <color rgb="FFFF0000"/>
      <name val="Arial"/>
      <family val="2"/>
    </font>
    <font>
      <sz val="8"/>
      <color rgb="FFFF0000"/>
      <name val="Arial"/>
      <family val="2"/>
    </font>
    <font>
      <sz val="10"/>
      <color rgb="FFFF0000"/>
      <name val="Aptos Narrow"/>
      <family val="2"/>
    </font>
    <font>
      <u/>
      <sz val="10"/>
      <color rgb="FFFF0000"/>
      <name val="Calibri"/>
      <family val="2"/>
      <scheme val="minor"/>
    </font>
  </fonts>
  <fills count="23">
    <fill>
      <patternFill patternType="none"/>
    </fill>
    <fill>
      <patternFill patternType="gray125"/>
    </fill>
    <fill>
      <patternFill patternType="solid">
        <fgColor rgb="FFE2E3E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00B0F0"/>
        <bgColor indexed="64"/>
      </patternFill>
    </fill>
    <fill>
      <patternFill patternType="solid">
        <fgColor rgb="FFFF7C8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C99FF"/>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33" fillId="0" borderId="0"/>
    <xf numFmtId="0" fontId="37" fillId="0" borderId="0"/>
    <xf numFmtId="0" fontId="38" fillId="0" borderId="0"/>
    <xf numFmtId="0" fontId="19" fillId="0" borderId="0"/>
    <xf numFmtId="0" fontId="18" fillId="0" borderId="0"/>
    <xf numFmtId="0" fontId="47" fillId="0" borderId="0"/>
    <xf numFmtId="0" fontId="17" fillId="0" borderId="0"/>
    <xf numFmtId="0" fontId="33" fillId="0" borderId="0"/>
    <xf numFmtId="0" fontId="17" fillId="0" borderId="0"/>
    <xf numFmtId="0" fontId="54" fillId="0" borderId="0"/>
    <xf numFmtId="0" fontId="53" fillId="0" borderId="0"/>
    <xf numFmtId="0" fontId="16" fillId="0" borderId="0"/>
    <xf numFmtId="0" fontId="16" fillId="0" borderId="0"/>
    <xf numFmtId="0" fontId="33"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9" fillId="0" borderId="0" applyNumberFormat="0" applyFill="0" applyBorder="0" applyAlignment="0" applyProtection="0"/>
    <xf numFmtId="0" fontId="1" fillId="0" borderId="0"/>
  </cellStyleXfs>
  <cellXfs count="946">
    <xf numFmtId="0" fontId="0" fillId="0" borderId="0" xfId="0"/>
    <xf numFmtId="0" fontId="0" fillId="0" borderId="0" xfId="0" applyAlignment="1">
      <alignment horizontal="left" vertical="top"/>
    </xf>
    <xf numFmtId="0" fontId="23" fillId="0" borderId="0" xfId="0" applyFont="1" applyAlignment="1">
      <alignment horizontal="left" vertical="top"/>
    </xf>
    <xf numFmtId="0" fontId="24" fillId="0" borderId="0" xfId="0" applyFont="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Alignment="1">
      <alignment horizontal="center"/>
    </xf>
    <xf numFmtId="0" fontId="38" fillId="0" borderId="0" xfId="3" applyAlignment="1">
      <alignment horizontal="left" vertical="top"/>
    </xf>
    <xf numFmtId="0" fontId="32" fillId="0" borderId="0" xfId="3" applyFont="1" applyAlignment="1">
      <alignment horizontal="left" vertical="top"/>
    </xf>
    <xf numFmtId="0" fontId="34" fillId="0" borderId="0" xfId="3" applyFont="1" applyAlignment="1">
      <alignment horizontal="left" vertical="top"/>
    </xf>
    <xf numFmtId="0" fontId="38" fillId="0" borderId="0" xfId="3" applyAlignment="1">
      <alignment horizontal="left" vertical="center"/>
    </xf>
    <xf numFmtId="0" fontId="36" fillId="0" borderId="0" xfId="3" applyFont="1" applyAlignment="1">
      <alignment vertical="center" wrapText="1"/>
    </xf>
    <xf numFmtId="0" fontId="40" fillId="0" borderId="0" xfId="3" applyFont="1" applyAlignment="1">
      <alignment vertical="center" wrapText="1"/>
    </xf>
    <xf numFmtId="0" fontId="35" fillId="0" borderId="0" xfId="3" applyFont="1" applyAlignment="1">
      <alignment horizontal="right" vertical="center" wrapText="1"/>
    </xf>
    <xf numFmtId="0" fontId="40" fillId="0" borderId="0" xfId="3" applyFont="1" applyAlignment="1">
      <alignment horizontal="left" vertical="center" wrapText="1"/>
    </xf>
    <xf numFmtId="0" fontId="42" fillId="0" borderId="0" xfId="0" applyFont="1" applyAlignment="1">
      <alignment horizontal="center" vertical="center"/>
    </xf>
    <xf numFmtId="0" fontId="43" fillId="4" borderId="0" xfId="4" applyFont="1" applyFill="1"/>
    <xf numFmtId="0" fontId="19" fillId="0" borderId="0" xfId="4"/>
    <xf numFmtId="0" fontId="27" fillId="0" borderId="0" xfId="0" applyFont="1" applyAlignment="1">
      <alignment horizontal="right"/>
    </xf>
    <xf numFmtId="0" fontId="21" fillId="0" borderId="0" xfId="0" applyFont="1" applyAlignment="1">
      <alignment horizontal="left" vertical="top"/>
    </xf>
    <xf numFmtId="0" fontId="0" fillId="8" borderId="0" xfId="0" applyFill="1"/>
    <xf numFmtId="0" fontId="0" fillId="6" borderId="0" xfId="0" applyFill="1"/>
    <xf numFmtId="0" fontId="0" fillId="3" borderId="0" xfId="0" applyFill="1"/>
    <xf numFmtId="0" fontId="27" fillId="6" borderId="2" xfId="0" applyFont="1" applyFill="1" applyBorder="1" applyAlignment="1">
      <alignment horizontal="right" vertical="center"/>
    </xf>
    <xf numFmtId="0" fontId="0" fillId="0" borderId="0" xfId="0" applyAlignment="1">
      <alignment horizontal="center"/>
    </xf>
    <xf numFmtId="0" fontId="48" fillId="0" borderId="0" xfId="0" applyFont="1"/>
    <xf numFmtId="0" fontId="0" fillId="0" borderId="0" xfId="0" applyAlignment="1">
      <alignment wrapText="1"/>
    </xf>
    <xf numFmtId="0" fontId="0" fillId="12" borderId="0" xfId="0" applyFill="1" applyAlignment="1">
      <alignment horizontal="center"/>
    </xf>
    <xf numFmtId="0" fontId="46" fillId="0" borderId="0" xfId="0" applyFont="1" applyAlignment="1">
      <alignment vertical="top" wrapText="1"/>
    </xf>
    <xf numFmtId="0" fontId="28" fillId="0" borderId="0" xfId="0" applyFont="1" applyAlignment="1">
      <alignment vertical="top" wrapText="1"/>
    </xf>
    <xf numFmtId="0" fontId="42" fillId="0" borderId="2" xfId="0" applyFont="1" applyBorder="1" applyAlignment="1">
      <alignment horizontal="center" vertical="center"/>
    </xf>
    <xf numFmtId="0" fontId="0" fillId="9" borderId="2" xfId="0" applyFill="1" applyBorder="1" applyAlignment="1">
      <alignment horizontal="center"/>
    </xf>
    <xf numFmtId="0" fontId="0" fillId="8" borderId="2" xfId="0" applyFill="1" applyBorder="1" applyAlignment="1">
      <alignment horizontal="center"/>
    </xf>
    <xf numFmtId="0" fontId="15" fillId="0" borderId="0" xfId="4" applyFont="1"/>
    <xf numFmtId="0" fontId="20" fillId="0" borderId="0" xfId="0" applyFont="1"/>
    <xf numFmtId="0" fontId="52" fillId="0" borderId="0" xfId="0" applyFont="1"/>
    <xf numFmtId="0" fontId="41" fillId="0" borderId="0" xfId="0" applyFont="1" applyAlignment="1">
      <alignment vertical="top" wrapText="1"/>
    </xf>
    <xf numFmtId="0" fontId="48" fillId="0" borderId="0" xfId="0" applyFont="1" applyAlignment="1">
      <alignment vertical="top" wrapText="1"/>
    </xf>
    <xf numFmtId="0" fontId="55" fillId="0" borderId="0" xfId="11" applyFont="1"/>
    <xf numFmtId="0" fontId="53" fillId="0" borderId="0" xfId="11"/>
    <xf numFmtId="0" fontId="53" fillId="0" borderId="0" xfId="11" applyAlignment="1" applyProtection="1">
      <alignment horizontal="center"/>
      <protection locked="0"/>
    </xf>
    <xf numFmtId="0" fontId="53" fillId="0" borderId="0" xfId="11" applyAlignment="1">
      <alignment horizontal="center"/>
    </xf>
    <xf numFmtId="164" fontId="53" fillId="0" borderId="0" xfId="11" applyNumberFormat="1" applyAlignment="1" applyProtection="1">
      <alignment horizontal="center"/>
      <protection locked="0"/>
    </xf>
    <xf numFmtId="164" fontId="53" fillId="0" borderId="0" xfId="11" applyNumberFormat="1" applyAlignment="1">
      <alignment horizontal="center"/>
    </xf>
    <xf numFmtId="0" fontId="53" fillId="0" borderId="0" xfId="11" applyAlignment="1">
      <alignment horizontal="center" wrapText="1"/>
    </xf>
    <xf numFmtId="165" fontId="53" fillId="0" borderId="0" xfId="11" applyNumberFormat="1" applyAlignment="1" applyProtection="1">
      <alignment horizontal="center"/>
      <protection locked="0"/>
    </xf>
    <xf numFmtId="165" fontId="53" fillId="0" borderId="0" xfId="11" applyNumberFormat="1" applyAlignment="1">
      <alignment horizontal="center"/>
    </xf>
    <xf numFmtId="164" fontId="53" fillId="0" borderId="0" xfId="11" applyNumberFormat="1"/>
    <xf numFmtId="0" fontId="56" fillId="0" borderId="0" xfId="11" applyFont="1"/>
    <xf numFmtId="1" fontId="53" fillId="0" borderId="0" xfId="11" applyNumberFormat="1" applyAlignment="1">
      <alignment horizontal="center"/>
    </xf>
    <xf numFmtId="0" fontId="54" fillId="0" borderId="0" xfId="11" applyFont="1" applyAlignment="1">
      <alignment horizontal="center"/>
    </xf>
    <xf numFmtId="0" fontId="14" fillId="0" borderId="0" xfId="4" applyFont="1"/>
    <xf numFmtId="0" fontId="13" fillId="0" borderId="0" xfId="4" applyFont="1"/>
    <xf numFmtId="0" fontId="12" fillId="0" borderId="0" xfId="4" applyFont="1"/>
    <xf numFmtId="0" fontId="52" fillId="0" borderId="0" xfId="0" applyFont="1" applyAlignment="1">
      <alignment vertical="center" wrapText="1"/>
    </xf>
    <xf numFmtId="0" fontId="27" fillId="13" borderId="2" xfId="0" applyFont="1" applyFill="1" applyBorder="1" applyAlignment="1">
      <alignment horizontal="center" vertical="center"/>
    </xf>
    <xf numFmtId="0" fontId="11" fillId="0" borderId="0" xfId="4" applyFont="1"/>
    <xf numFmtId="49" fontId="0" fillId="0" borderId="0" xfId="0" applyNumberFormat="1" applyAlignment="1">
      <alignment horizontal="center" vertical="center"/>
    </xf>
    <xf numFmtId="0" fontId="49" fillId="0" borderId="0" xfId="4" applyFont="1"/>
    <xf numFmtId="0" fontId="30" fillId="0" borderId="0" xfId="0" applyFont="1"/>
    <xf numFmtId="0" fontId="27" fillId="0" borderId="0" xfId="0" applyFont="1" applyAlignment="1">
      <alignment horizontal="left" vertical="center" wrapText="1"/>
    </xf>
    <xf numFmtId="0" fontId="10" fillId="0" borderId="0" xfId="4" applyFont="1"/>
    <xf numFmtId="0" fontId="9" fillId="0" borderId="0" xfId="4" applyFont="1"/>
    <xf numFmtId="0" fontId="52" fillId="0" borderId="2" xfId="0" applyFont="1" applyBorder="1" applyAlignment="1">
      <alignment horizontal="center" vertical="center"/>
    </xf>
    <xf numFmtId="49" fontId="27" fillId="13" borderId="2" xfId="0" applyNumberFormat="1" applyFont="1" applyFill="1" applyBorder="1" applyAlignment="1">
      <alignment horizontal="center" vertical="center"/>
    </xf>
    <xf numFmtId="0" fontId="33" fillId="0" borderId="0" xfId="3" applyFont="1" applyAlignment="1">
      <alignment horizontal="left" vertical="top" wrapText="1"/>
    </xf>
    <xf numFmtId="0" fontId="20" fillId="0" borderId="0" xfId="0" applyFont="1" applyAlignment="1">
      <alignment vertical="center"/>
    </xf>
    <xf numFmtId="0" fontId="8" fillId="0" borderId="0" xfId="4" applyFont="1"/>
    <xf numFmtId="0" fontId="33" fillId="0" borderId="0" xfId="3" applyFont="1" applyAlignment="1">
      <alignment horizontal="left" vertical="top"/>
    </xf>
    <xf numFmtId="49" fontId="27" fillId="13" borderId="2" xfId="0" applyNumberFormat="1" applyFont="1" applyFill="1" applyBorder="1" applyAlignment="1">
      <alignment horizontal="center"/>
    </xf>
    <xf numFmtId="0" fontId="7" fillId="0" borderId="0" xfId="4" applyFont="1"/>
    <xf numFmtId="0" fontId="33" fillId="0" borderId="0" xfId="8" applyAlignment="1">
      <alignment horizontal="left" vertical="top"/>
    </xf>
    <xf numFmtId="0" fontId="33" fillId="0" borderId="0" xfId="8" applyAlignment="1">
      <alignment horizontal="center" vertical="center"/>
    </xf>
    <xf numFmtId="0" fontId="33" fillId="0" borderId="0" xfId="8" applyAlignment="1">
      <alignment horizontal="left" vertical="center"/>
    </xf>
    <xf numFmtId="0" fontId="32" fillId="0" borderId="0" xfId="8" applyFont="1" applyAlignment="1">
      <alignment horizontal="left" vertical="top"/>
    </xf>
    <xf numFmtId="0" fontId="34" fillId="0" borderId="0" xfId="8" applyFont="1" applyAlignment="1">
      <alignment horizontal="left" vertical="top"/>
    </xf>
    <xf numFmtId="0" fontId="0" fillId="0" borderId="0" xfId="0" applyAlignment="1">
      <alignment horizontal="right"/>
    </xf>
    <xf numFmtId="0" fontId="32" fillId="0" borderId="0" xfId="8" applyFont="1" applyAlignment="1">
      <alignment horizontal="center" vertical="center"/>
    </xf>
    <xf numFmtId="0" fontId="5" fillId="0" borderId="0" xfId="4" applyFont="1"/>
    <xf numFmtId="0" fontId="27" fillId="0" borderId="0" xfId="0" applyFont="1" applyAlignment="1">
      <alignment horizontal="left" vertical="center"/>
    </xf>
    <xf numFmtId="0" fontId="27" fillId="12" borderId="2" xfId="0" applyFont="1" applyFill="1" applyBorder="1" applyAlignment="1">
      <alignment horizontal="left" vertical="center" wrapText="1"/>
    </xf>
    <xf numFmtId="0" fontId="65" fillId="0" borderId="0" xfId="0" applyFont="1" applyAlignment="1">
      <alignment horizontal="left" vertical="center" wrapText="1"/>
    </xf>
    <xf numFmtId="0" fontId="0" fillId="9" borderId="0" xfId="0" applyFill="1" applyAlignment="1">
      <alignment horizontal="center"/>
    </xf>
    <xf numFmtId="0" fontId="52" fillId="0" borderId="0" xfId="0" applyFont="1" applyAlignment="1">
      <alignment horizontal="center" vertical="center" wrapText="1"/>
    </xf>
    <xf numFmtId="0" fontId="0" fillId="0" borderId="0" xfId="0" applyAlignment="1">
      <alignment horizontal="center" vertical="center"/>
    </xf>
    <xf numFmtId="0" fontId="55" fillId="0" borderId="0" xfId="11" applyFont="1" applyAlignment="1">
      <alignment horizontal="center"/>
    </xf>
    <xf numFmtId="0" fontId="66" fillId="0" borderId="0" xfId="0" applyFont="1" applyAlignment="1">
      <alignment vertical="center"/>
    </xf>
    <xf numFmtId="0" fontId="66" fillId="0" borderId="0" xfId="0" applyFont="1" applyAlignment="1">
      <alignment horizontal="center" vertical="center"/>
    </xf>
    <xf numFmtId="49" fontId="27" fillId="13" borderId="2" xfId="0" quotePrefix="1" applyNumberFormat="1" applyFont="1" applyFill="1" applyBorder="1" applyAlignment="1">
      <alignment horizontal="center"/>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vertical="top" wrapText="1"/>
    </xf>
    <xf numFmtId="0" fontId="20" fillId="0" borderId="0" xfId="0" applyFont="1" applyAlignment="1">
      <alignment horizontal="left" vertical="center"/>
    </xf>
    <xf numFmtId="49" fontId="0" fillId="0" borderId="0" xfId="0" applyNumberFormat="1" applyAlignment="1">
      <alignment horizontal="center"/>
    </xf>
    <xf numFmtId="0" fontId="41" fillId="0" borderId="0" xfId="0" applyFont="1"/>
    <xf numFmtId="0" fontId="0" fillId="0" borderId="0" xfId="0" applyAlignment="1">
      <alignment vertical="center" wrapText="1"/>
    </xf>
    <xf numFmtId="0" fontId="51" fillId="0" borderId="0" xfId="0" applyFont="1" applyAlignment="1">
      <alignment horizontal="left"/>
    </xf>
    <xf numFmtId="0" fontId="0" fillId="8" borderId="2" xfId="0" applyFill="1" applyBorder="1"/>
    <xf numFmtId="0" fontId="20" fillId="8" borderId="2" xfId="0" applyFont="1" applyFill="1" applyBorder="1"/>
    <xf numFmtId="0" fontId="58" fillId="0" borderId="0" xfId="0" applyFont="1"/>
    <xf numFmtId="0" fontId="27" fillId="14" borderId="0" xfId="0" applyFont="1" applyFill="1" applyAlignment="1">
      <alignment horizontal="center"/>
    </xf>
    <xf numFmtId="0" fontId="66" fillId="0" borderId="0" xfId="0" applyFont="1" applyAlignment="1">
      <alignment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0" fillId="6" borderId="2" xfId="0" quotePrefix="1" applyFill="1" applyBorder="1"/>
    <xf numFmtId="0" fontId="52" fillId="0" borderId="0" xfId="0" applyFont="1" applyAlignment="1">
      <alignment wrapText="1"/>
    </xf>
    <xf numFmtId="0" fontId="64" fillId="0" borderId="0" xfId="0" applyFont="1" applyAlignment="1">
      <alignment horizontal="left" vertical="center"/>
    </xf>
    <xf numFmtId="0" fontId="52" fillId="0" borderId="0" xfId="0" applyFont="1" applyAlignment="1">
      <alignment horizontal="left"/>
    </xf>
    <xf numFmtId="0" fontId="70" fillId="3" borderId="2" xfId="0" applyFont="1" applyFill="1" applyBorder="1" applyAlignment="1">
      <alignment vertical="center" wrapText="1"/>
    </xf>
    <xf numFmtId="0" fontId="27" fillId="11" borderId="0" xfId="0" applyFont="1" applyFill="1" applyAlignment="1">
      <alignment horizontal="center"/>
    </xf>
    <xf numFmtId="0" fontId="20" fillId="0" borderId="0" xfId="0" applyFont="1" applyAlignment="1">
      <alignment horizontal="left"/>
    </xf>
    <xf numFmtId="49" fontId="27" fillId="13" borderId="2" xfId="0" quotePrefix="1" applyNumberFormat="1" applyFont="1" applyFill="1" applyBorder="1" applyAlignment="1">
      <alignment horizontal="center" vertical="center"/>
    </xf>
    <xf numFmtId="0" fontId="70" fillId="3" borderId="10" xfId="0" applyFont="1" applyFill="1" applyBorder="1" applyAlignment="1">
      <alignment horizontal="center" vertical="center" wrapText="1"/>
    </xf>
    <xf numFmtId="0" fontId="72" fillId="0" borderId="14" xfId="0" applyFont="1" applyBorder="1" applyAlignment="1">
      <alignment horizontal="center" vertical="center" wrapText="1"/>
    </xf>
    <xf numFmtId="0" fontId="27" fillId="11" borderId="16" xfId="0" applyFont="1" applyFill="1" applyBorder="1" applyAlignment="1">
      <alignment horizontal="center"/>
    </xf>
    <xf numFmtId="0" fontId="72" fillId="0" borderId="2" xfId="0" applyFont="1" applyBorder="1" applyAlignment="1">
      <alignment horizontal="center" vertical="center"/>
    </xf>
    <xf numFmtId="0" fontId="70" fillId="3" borderId="2" xfId="0" applyFont="1" applyFill="1" applyBorder="1" applyAlignment="1">
      <alignment horizontal="center" vertical="center" wrapText="1"/>
    </xf>
    <xf numFmtId="49" fontId="27" fillId="13" borderId="10" xfId="0" applyNumberFormat="1" applyFont="1" applyFill="1" applyBorder="1" applyAlignment="1">
      <alignment horizontal="center" vertical="center"/>
    </xf>
    <xf numFmtId="49" fontId="27" fillId="13" borderId="12" xfId="0" applyNumberFormat="1" applyFont="1" applyFill="1" applyBorder="1" applyAlignment="1">
      <alignment horizontal="center" vertical="center"/>
    </xf>
    <xf numFmtId="0" fontId="52" fillId="13" borderId="2" xfId="0" applyFont="1" applyFill="1" applyBorder="1" applyAlignment="1">
      <alignment horizontal="center" vertical="center" wrapText="1"/>
    </xf>
    <xf numFmtId="0" fontId="52" fillId="0" borderId="2" xfId="0" applyFont="1" applyBorder="1" applyAlignment="1">
      <alignment horizontal="center" wrapText="1"/>
    </xf>
    <xf numFmtId="0" fontId="46" fillId="0" borderId="0" xfId="0" applyFont="1" applyAlignment="1">
      <alignment horizontal="left" vertical="center" wrapText="1"/>
    </xf>
    <xf numFmtId="0" fontId="27" fillId="10" borderId="0" xfId="0" applyFont="1" applyFill="1" applyAlignment="1">
      <alignment horizontal="center"/>
    </xf>
    <xf numFmtId="0" fontId="64" fillId="0" borderId="2" xfId="0" applyFont="1" applyBorder="1" applyAlignment="1">
      <alignment horizontal="center" vertical="center"/>
    </xf>
    <xf numFmtId="0" fontId="2" fillId="0" borderId="0" xfId="4" applyFont="1"/>
    <xf numFmtId="0" fontId="64" fillId="0" borderId="0" xfId="0" applyFont="1" applyAlignment="1">
      <alignment vertical="center" wrapText="1"/>
    </xf>
    <xf numFmtId="0" fontId="61" fillId="0" borderId="0" xfId="0" applyFont="1" applyAlignment="1">
      <alignment vertical="center" wrapText="1"/>
    </xf>
    <xf numFmtId="0" fontId="72" fillId="0" borderId="0" xfId="0" applyFont="1" applyAlignment="1">
      <alignment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2" fillId="0" borderId="2" xfId="0" applyFont="1" applyBorder="1" applyAlignment="1">
      <alignment horizontal="center" wrapText="1"/>
    </xf>
    <xf numFmtId="49" fontId="77" fillId="13" borderId="2" xfId="0" applyNumberFormat="1" applyFont="1" applyFill="1" applyBorder="1" applyAlignment="1">
      <alignment horizontal="center" vertical="center"/>
    </xf>
    <xf numFmtId="0" fontId="72" fillId="0" borderId="0" xfId="0" applyFont="1" applyAlignment="1">
      <alignment wrapText="1"/>
    </xf>
    <xf numFmtId="49" fontId="27" fillId="0" borderId="0" xfId="0" applyNumberFormat="1" applyFont="1" applyAlignment="1">
      <alignment vertical="center"/>
    </xf>
    <xf numFmtId="49" fontId="27" fillId="0" borderId="0" xfId="0" applyNumberFormat="1" applyFont="1" applyAlignment="1">
      <alignment horizontal="center" vertical="center"/>
    </xf>
    <xf numFmtId="0" fontId="77" fillId="0" borderId="0" xfId="0" applyFont="1" applyAlignment="1">
      <alignment vertical="center" wrapText="1"/>
    </xf>
    <xf numFmtId="0" fontId="71" fillId="0" borderId="0" xfId="0" applyFont="1" applyAlignment="1">
      <alignment vertical="center" wrapText="1"/>
    </xf>
    <xf numFmtId="0" fontId="79" fillId="8" borderId="2" xfId="0" applyFont="1" applyFill="1" applyBorder="1" applyAlignment="1">
      <alignment horizontal="center" vertical="center"/>
    </xf>
    <xf numFmtId="0" fontId="60" fillId="0" borderId="0" xfId="0" applyFont="1"/>
    <xf numFmtId="0" fontId="80" fillId="8" borderId="2" xfId="0" applyFont="1" applyFill="1" applyBorder="1" applyAlignment="1">
      <alignment horizontal="center" vertical="center"/>
    </xf>
    <xf numFmtId="0" fontId="20" fillId="0" borderId="0" xfId="0" applyFont="1" applyAlignment="1">
      <alignment horizontal="center"/>
    </xf>
    <xf numFmtId="0" fontId="31" fillId="0" borderId="0" xfId="0" applyFont="1" applyAlignment="1">
      <alignment horizontal="left" vertical="center"/>
    </xf>
    <xf numFmtId="0" fontId="52" fillId="0" borderId="0" xfId="0" applyFont="1" applyAlignment="1">
      <alignment vertical="top" wrapText="1"/>
    </xf>
    <xf numFmtId="0" fontId="0" fillId="0" borderId="0" xfId="0" applyAlignment="1">
      <alignment vertical="center"/>
    </xf>
    <xf numFmtId="49" fontId="0" fillId="13" borderId="2" xfId="0" applyNumberFormat="1" applyFill="1" applyBorder="1" applyAlignment="1">
      <alignment horizontal="center" vertical="center"/>
    </xf>
    <xf numFmtId="0" fontId="75" fillId="8" borderId="2" xfId="0" applyFont="1" applyFill="1" applyBorder="1" applyAlignment="1">
      <alignment horizontal="center" vertical="center"/>
    </xf>
    <xf numFmtId="0" fontId="75" fillId="0" borderId="0" xfId="0" applyFont="1" applyAlignment="1">
      <alignment horizontal="center" vertical="center"/>
    </xf>
    <xf numFmtId="49" fontId="48" fillId="0" borderId="0" xfId="0" applyNumberFormat="1" applyFont="1" applyAlignment="1">
      <alignment horizontal="left" vertical="center"/>
    </xf>
    <xf numFmtId="0" fontId="20" fillId="17" borderId="2" xfId="0" applyFont="1" applyFill="1" applyBorder="1" applyAlignment="1">
      <alignment horizontal="center" vertical="center"/>
    </xf>
    <xf numFmtId="0" fontId="70" fillId="0" borderId="0" xfId="0" applyFont="1" applyAlignment="1">
      <alignment horizontal="center" vertical="center" wrapText="1"/>
    </xf>
    <xf numFmtId="0" fontId="72" fillId="0" borderId="0" xfId="0" applyFont="1" applyAlignment="1">
      <alignment horizontal="center" wrapText="1"/>
    </xf>
    <xf numFmtId="49" fontId="27" fillId="0" borderId="0" xfId="0" quotePrefix="1" applyNumberFormat="1" applyFont="1" applyAlignment="1">
      <alignment horizontal="center"/>
    </xf>
    <xf numFmtId="0" fontId="46" fillId="0" borderId="0" xfId="0" applyFont="1" applyAlignment="1">
      <alignment vertical="center" wrapText="1"/>
    </xf>
    <xf numFmtId="0" fontId="52" fillId="0" borderId="0" xfId="0" applyFont="1" applyAlignment="1">
      <alignment horizontal="center" vertical="center"/>
    </xf>
    <xf numFmtId="0" fontId="27" fillId="0" borderId="10" xfId="0" applyFont="1" applyBorder="1" applyAlignment="1">
      <alignment horizontal="center" vertical="center"/>
    </xf>
    <xf numFmtId="49" fontId="27" fillId="0" borderId="0" xfId="0" quotePrefix="1" applyNumberFormat="1" applyFont="1"/>
    <xf numFmtId="0" fontId="74" fillId="0" borderId="0" xfId="0" applyFont="1" applyAlignment="1">
      <alignment vertical="center"/>
    </xf>
    <xf numFmtId="0" fontId="27" fillId="10" borderId="0" xfId="0" applyFont="1" applyFill="1" applyAlignment="1">
      <alignment horizontal="center" vertical="center"/>
    </xf>
    <xf numFmtId="0" fontId="27" fillId="11" borderId="0" xfId="0" applyFont="1" applyFill="1" applyAlignment="1">
      <alignment horizontal="center" vertical="center"/>
    </xf>
    <xf numFmtId="0" fontId="61" fillId="3" borderId="2" xfId="0" applyFont="1" applyFill="1" applyBorder="1" applyAlignment="1">
      <alignment horizontal="center" vertical="center" wrapText="1"/>
    </xf>
    <xf numFmtId="49" fontId="52" fillId="13" borderId="2" xfId="0" applyNumberFormat="1" applyFont="1" applyFill="1" applyBorder="1" applyAlignment="1">
      <alignment horizontal="center" vertical="center"/>
    </xf>
    <xf numFmtId="0" fontId="52" fillId="0" borderId="0" xfId="0" applyFont="1" applyAlignment="1">
      <alignment horizontal="left" wrapText="1"/>
    </xf>
    <xf numFmtId="0" fontId="1" fillId="0" borderId="0" xfId="4" applyFont="1"/>
    <xf numFmtId="0" fontId="60" fillId="0" borderId="2" xfId="8" applyFont="1" applyBorder="1" applyAlignment="1">
      <alignment horizontal="center" vertical="center" wrapText="1"/>
    </xf>
    <xf numFmtId="0" fontId="65" fillId="0" borderId="0" xfId="0" applyFont="1" applyAlignment="1">
      <alignment vertical="top" wrapText="1"/>
    </xf>
    <xf numFmtId="0" fontId="27" fillId="0" borderId="0" xfId="0" applyFont="1" applyAlignment="1">
      <alignment wrapText="1"/>
    </xf>
    <xf numFmtId="0" fontId="20" fillId="8" borderId="2" xfId="0" applyFont="1" applyFill="1" applyBorder="1" applyAlignment="1">
      <alignment horizontal="center"/>
    </xf>
    <xf numFmtId="49" fontId="27" fillId="13" borderId="10" xfId="0" quotePrefix="1" applyNumberFormat="1" applyFont="1" applyFill="1" applyBorder="1" applyAlignment="1">
      <alignment horizontal="center" vertical="center"/>
    </xf>
    <xf numFmtId="49" fontId="26" fillId="13" borderId="2" xfId="8" applyNumberFormat="1" applyFont="1" applyFill="1" applyBorder="1" applyAlignment="1">
      <alignment horizontal="center" vertical="center"/>
    </xf>
    <xf numFmtId="0" fontId="26" fillId="13" borderId="2" xfId="8" applyFont="1" applyFill="1" applyBorder="1" applyAlignment="1">
      <alignment horizontal="center" vertical="center" wrapText="1"/>
    </xf>
    <xf numFmtId="49" fontId="77" fillId="13" borderId="2" xfId="0" applyNumberFormat="1" applyFont="1" applyFill="1" applyBorder="1" applyAlignment="1">
      <alignment horizontal="center" vertical="center" wrapText="1"/>
    </xf>
    <xf numFmtId="0" fontId="74" fillId="7" borderId="2" xfId="0" applyFont="1" applyFill="1" applyBorder="1" applyAlignment="1">
      <alignment horizontal="center" vertical="center"/>
    </xf>
    <xf numFmtId="49" fontId="30" fillId="0" borderId="0" xfId="0" applyNumberFormat="1" applyFont="1" applyAlignment="1">
      <alignment vertical="center"/>
    </xf>
    <xf numFmtId="0" fontId="27" fillId="0" borderId="2" xfId="0" applyFont="1" applyBorder="1" applyAlignment="1">
      <alignment horizontal="center" vertical="center" wrapText="1"/>
    </xf>
    <xf numFmtId="0" fontId="27" fillId="0" borderId="2" xfId="0" applyFont="1" applyBorder="1" applyAlignment="1">
      <alignment horizontal="center"/>
    </xf>
    <xf numFmtId="0" fontId="75" fillId="8" borderId="10" xfId="0" applyFont="1" applyFill="1" applyBorder="1" applyAlignment="1">
      <alignment horizontal="center" vertical="center"/>
    </xf>
    <xf numFmtId="0" fontId="87" fillId="0" borderId="0" xfId="0" applyFont="1" applyAlignment="1">
      <alignment horizontal="left"/>
    </xf>
    <xf numFmtId="0" fontId="52" fillId="0" borderId="12" xfId="0" applyFont="1" applyBorder="1" applyAlignment="1">
      <alignment horizontal="center" vertical="center"/>
    </xf>
    <xf numFmtId="0" fontId="67" fillId="0" borderId="0" xfId="0" applyFont="1" applyAlignment="1">
      <alignment horizontal="center" vertical="center"/>
    </xf>
    <xf numFmtId="0" fontId="71" fillId="0" borderId="0" xfId="0" applyFont="1" applyAlignment="1">
      <alignment vertical="center"/>
    </xf>
    <xf numFmtId="49" fontId="27" fillId="0" borderId="0" xfId="0" quotePrefix="1" applyNumberFormat="1" applyFont="1" applyAlignment="1">
      <alignment vertical="center"/>
    </xf>
    <xf numFmtId="0" fontId="43" fillId="7" borderId="0" xfId="4" applyFont="1" applyFill="1"/>
    <xf numFmtId="0" fontId="10" fillId="0" borderId="0" xfId="4" applyFont="1" applyAlignment="1">
      <alignment horizontal="left"/>
    </xf>
    <xf numFmtId="0" fontId="1" fillId="0" borderId="0" xfId="4" applyFont="1" applyAlignment="1">
      <alignment horizontal="left"/>
    </xf>
    <xf numFmtId="49" fontId="27" fillId="13" borderId="0" xfId="0" applyNumberFormat="1" applyFont="1" applyFill="1" applyAlignment="1">
      <alignment horizontal="center" vertical="center"/>
    </xf>
    <xf numFmtId="0" fontId="36" fillId="0" borderId="0" xfId="0" applyFont="1" applyAlignment="1">
      <alignment horizontal="left" vertical="center" wrapText="1"/>
    </xf>
    <xf numFmtId="0" fontId="32" fillId="0" borderId="0" xfId="8" applyFont="1" applyAlignment="1">
      <alignment horizontal="left" vertical="top" wrapText="1"/>
    </xf>
    <xf numFmtId="0" fontId="27" fillId="0" borderId="0" xfId="0" applyFont="1" applyAlignment="1">
      <alignment horizontal="left" vertical="top" wrapText="1"/>
    </xf>
    <xf numFmtId="0" fontId="27" fillId="0" borderId="14" xfId="0" applyFont="1" applyBorder="1" applyAlignment="1">
      <alignment horizontal="center"/>
    </xf>
    <xf numFmtId="0" fontId="20" fillId="0" borderId="0" xfId="61" applyFont="1" applyAlignment="1">
      <alignment vertical="center"/>
    </xf>
    <xf numFmtId="0" fontId="27" fillId="0" borderId="2" xfId="0" applyFont="1" applyBorder="1"/>
    <xf numFmtId="49" fontId="27" fillId="0" borderId="4" xfId="0" quotePrefix="1" applyNumberFormat="1" applyFont="1" applyBorder="1" applyAlignment="1">
      <alignment vertical="center"/>
    </xf>
    <xf numFmtId="49" fontId="27" fillId="0" borderId="6" xfId="0" quotePrefix="1" applyNumberFormat="1" applyFont="1" applyBorder="1" applyAlignment="1">
      <alignment vertical="center"/>
    </xf>
    <xf numFmtId="0" fontId="0" fillId="8" borderId="10" xfId="0" applyFill="1" applyBorder="1"/>
    <xf numFmtId="0" fontId="0" fillId="8" borderId="14" xfId="0" applyFill="1" applyBorder="1"/>
    <xf numFmtId="0" fontId="0" fillId="8" borderId="12" xfId="0" applyFill="1" applyBorder="1"/>
    <xf numFmtId="0" fontId="31" fillId="0" borderId="0" xfId="0" applyFont="1"/>
    <xf numFmtId="0" fontId="27" fillId="0" borderId="2" xfId="0" applyFont="1" applyBorder="1" applyAlignment="1">
      <alignment horizontal="left" vertical="center" wrapText="1"/>
    </xf>
    <xf numFmtId="3" fontId="31" fillId="0" borderId="2" xfId="8" applyNumberFormat="1" applyFont="1" applyBorder="1" applyAlignment="1">
      <alignment horizontal="center" vertical="center" wrapText="1"/>
    </xf>
    <xf numFmtId="0" fontId="95" fillId="0" borderId="0" xfId="0" applyFont="1"/>
    <xf numFmtId="0" fontId="96" fillId="0" borderId="0" xfId="0" applyFont="1"/>
    <xf numFmtId="0" fontId="92" fillId="3" borderId="2" xfId="0" applyFont="1" applyFill="1" applyBorder="1"/>
    <xf numFmtId="0" fontId="92" fillId="3" borderId="10" xfId="0" applyFont="1" applyFill="1" applyBorder="1" applyAlignment="1">
      <alignment horizontal="center" vertical="center"/>
    </xf>
    <xf numFmtId="0" fontId="92" fillId="3" borderId="2" xfId="0" applyFont="1" applyFill="1" applyBorder="1" applyAlignment="1">
      <alignment horizontal="center" vertical="center"/>
    </xf>
    <xf numFmtId="0" fontId="65" fillId="3" borderId="2" xfId="0" applyFont="1" applyFill="1" applyBorder="1" applyAlignment="1">
      <alignment horizontal="center" vertical="center" wrapText="1"/>
    </xf>
    <xf numFmtId="0" fontId="92" fillId="3" borderId="2" xfId="0" applyFont="1" applyFill="1" applyBorder="1" applyAlignment="1">
      <alignment horizontal="center"/>
    </xf>
    <xf numFmtId="0" fontId="65" fillId="17" borderId="2" xfId="0" applyFont="1" applyFill="1" applyBorder="1" applyAlignment="1">
      <alignment wrapText="1"/>
    </xf>
    <xf numFmtId="0" fontId="31" fillId="10" borderId="0" xfId="0" applyFont="1" applyFill="1" applyAlignment="1">
      <alignment horizontal="center"/>
    </xf>
    <xf numFmtId="0" fontId="31" fillId="11" borderId="0" xfId="0" applyFont="1" applyFill="1" applyAlignment="1">
      <alignment horizontal="center"/>
    </xf>
    <xf numFmtId="0" fontId="92" fillId="0" borderId="0" xfId="0" applyFont="1" applyAlignment="1">
      <alignment vertical="center" wrapText="1"/>
    </xf>
    <xf numFmtId="0" fontId="76" fillId="8" borderId="2" xfId="0" applyFont="1" applyFill="1" applyBorder="1" applyAlignment="1">
      <alignment horizontal="center" vertical="center" wrapText="1"/>
    </xf>
    <xf numFmtId="49" fontId="52" fillId="13" borderId="17" xfId="0" applyNumberFormat="1" applyFont="1" applyFill="1" applyBorder="1" applyAlignment="1">
      <alignment horizontal="center" vertical="center" wrapText="1"/>
    </xf>
    <xf numFmtId="0" fontId="92" fillId="8" borderId="2" xfId="0" applyFont="1" applyFill="1" applyBorder="1" applyAlignment="1">
      <alignment horizontal="center" vertical="center"/>
    </xf>
    <xf numFmtId="0" fontId="31" fillId="10" borderId="1" xfId="0" applyFont="1" applyFill="1" applyBorder="1" applyAlignment="1">
      <alignment horizontal="center" vertical="center"/>
    </xf>
    <xf numFmtId="0" fontId="27" fillId="10" borderId="1" xfId="0" applyFont="1" applyFill="1" applyBorder="1" applyAlignment="1">
      <alignment horizontal="center" vertical="center"/>
    </xf>
    <xf numFmtId="0" fontId="27" fillId="11" borderId="10" xfId="0" applyFont="1" applyFill="1" applyBorder="1" applyAlignment="1">
      <alignment horizontal="center" vertical="center"/>
    </xf>
    <xf numFmtId="0" fontId="31" fillId="11" borderId="10" xfId="0" applyFont="1" applyFill="1" applyBorder="1" applyAlignment="1">
      <alignment horizontal="center" vertical="center"/>
    </xf>
    <xf numFmtId="0" fontId="77" fillId="13" borderId="2" xfId="0" applyFont="1" applyFill="1" applyBorder="1" applyAlignment="1">
      <alignment vertical="center" wrapText="1"/>
    </xf>
    <xf numFmtId="0" fontId="92" fillId="13" borderId="2" xfId="0" applyFont="1" applyFill="1" applyBorder="1" applyAlignment="1">
      <alignment horizontal="center" vertical="center"/>
    </xf>
    <xf numFmtId="0" fontId="92" fillId="0" borderId="0" xfId="0" applyFont="1"/>
    <xf numFmtId="49" fontId="27" fillId="0" borderId="2" xfId="0" quotePrefix="1" applyNumberFormat="1" applyFont="1" applyBorder="1" applyAlignment="1">
      <alignment horizontal="center" vertical="center"/>
    </xf>
    <xf numFmtId="49" fontId="27" fillId="0" borderId="10" xfId="0" quotePrefix="1" applyNumberFormat="1" applyFont="1" applyBorder="1" applyAlignment="1">
      <alignment horizontal="center" vertical="center"/>
    </xf>
    <xf numFmtId="0" fontId="31" fillId="10" borderId="14" xfId="0" applyFont="1" applyFill="1" applyBorder="1" applyAlignment="1">
      <alignment horizontal="center"/>
    </xf>
    <xf numFmtId="0" fontId="42" fillId="8" borderId="2" xfId="0" applyFont="1" applyFill="1" applyBorder="1" applyAlignment="1">
      <alignment horizontal="center" vertical="center"/>
    </xf>
    <xf numFmtId="0" fontId="59" fillId="8" borderId="2" xfId="0" applyFont="1" applyFill="1" applyBorder="1" applyAlignment="1">
      <alignment horizontal="center" vertical="center"/>
    </xf>
    <xf numFmtId="0" fontId="99" fillId="0" borderId="0" xfId="0" applyFont="1"/>
    <xf numFmtId="0" fontId="52" fillId="0" borderId="2" xfId="0" applyFont="1" applyBorder="1" applyAlignment="1">
      <alignment horizontal="center" vertical="center" wrapText="1"/>
    </xf>
    <xf numFmtId="0" fontId="52" fillId="0" borderId="0" xfId="0" applyFont="1" applyAlignment="1">
      <alignment horizontal="left" vertical="center" wrapText="1"/>
    </xf>
    <xf numFmtId="49" fontId="27" fillId="0" borderId="0" xfId="0" quotePrefix="1" applyNumberFormat="1" applyFont="1" applyAlignment="1">
      <alignment horizontal="center" vertical="center"/>
    </xf>
    <xf numFmtId="0" fontId="29" fillId="0" borderId="0" xfId="0" applyFont="1" applyAlignment="1">
      <alignment vertical="top" wrapText="1"/>
    </xf>
    <xf numFmtId="0" fontId="101" fillId="8" borderId="2" xfId="0" applyFont="1" applyFill="1" applyBorder="1" applyAlignment="1">
      <alignment horizontal="center" vertical="center"/>
    </xf>
    <xf numFmtId="0" fontId="31" fillId="0" borderId="2" xfId="0" applyFont="1" applyBorder="1" applyAlignment="1">
      <alignment vertical="center"/>
    </xf>
    <xf numFmtId="0" fontId="98" fillId="0" borderId="0" xfId="0" applyFont="1" applyAlignment="1">
      <alignment horizontal="center" vertical="center" wrapText="1"/>
    </xf>
    <xf numFmtId="0" fontId="97" fillId="0" borderId="0" xfId="0" applyFont="1" applyAlignment="1">
      <alignment vertical="center" wrapText="1"/>
    </xf>
    <xf numFmtId="0" fontId="92" fillId="0" borderId="0" xfId="0" applyFont="1" applyAlignment="1">
      <alignment horizontal="center"/>
    </xf>
    <xf numFmtId="0" fontId="61" fillId="0" borderId="0" xfId="0" applyFont="1" applyAlignment="1">
      <alignment horizontal="center" vertical="center" wrapText="1"/>
    </xf>
    <xf numFmtId="0" fontId="52" fillId="0" borderId="0" xfId="0" applyFont="1" applyAlignment="1">
      <alignment vertical="center"/>
    </xf>
    <xf numFmtId="0" fontId="20" fillId="0" borderId="0" xfId="0" applyFont="1" applyAlignment="1">
      <alignment vertical="center" wrapText="1"/>
    </xf>
    <xf numFmtId="0" fontId="87" fillId="3" borderId="10" xfId="0" applyFont="1" applyFill="1" applyBorder="1" applyAlignment="1">
      <alignment horizontal="center"/>
    </xf>
    <xf numFmtId="0" fontId="27" fillId="0" borderId="0" xfId="0" applyFont="1" applyAlignment="1">
      <alignment horizontal="left"/>
    </xf>
    <xf numFmtId="0" fontId="27" fillId="13" borderId="2" xfId="0" applyFont="1" applyFill="1" applyBorder="1" applyAlignment="1">
      <alignment horizontal="center" vertical="center" wrapText="1"/>
    </xf>
    <xf numFmtId="49" fontId="27" fillId="13" borderId="6" xfId="0" applyNumberFormat="1" applyFont="1" applyFill="1" applyBorder="1" applyAlignment="1">
      <alignment horizontal="center" vertical="center"/>
    </xf>
    <xf numFmtId="49" fontId="27" fillId="13" borderId="2" xfId="0" quotePrefix="1" applyNumberFormat="1" applyFont="1" applyFill="1" applyBorder="1" applyAlignment="1">
      <alignment horizontal="center" vertical="center" wrapText="1"/>
    </xf>
    <xf numFmtId="0" fontId="27" fillId="0" borderId="0" xfId="0" applyFont="1" applyAlignment="1">
      <alignment horizontal="center" vertical="center" wrapText="1"/>
    </xf>
    <xf numFmtId="0" fontId="33" fillId="0" borderId="0" xfId="1" applyAlignment="1">
      <alignment horizontal="left" vertical="top"/>
    </xf>
    <xf numFmtId="0" fontId="30" fillId="3" borderId="1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14" xfId="0" applyFont="1" applyBorder="1" applyAlignment="1">
      <alignment horizontal="center" vertical="center" wrapText="1"/>
    </xf>
    <xf numFmtId="0" fontId="27" fillId="0" borderId="0" xfId="0" applyFont="1" applyAlignment="1">
      <alignment vertical="center" wrapText="1"/>
    </xf>
    <xf numFmtId="0" fontId="30" fillId="8" borderId="2" xfId="0" applyFont="1" applyFill="1" applyBorder="1"/>
    <xf numFmtId="0" fontId="87" fillId="3" borderId="10" xfId="0" applyFont="1" applyFill="1" applyBorder="1" applyAlignment="1">
      <alignment horizontal="center" vertical="center"/>
    </xf>
    <xf numFmtId="0" fontId="87" fillId="3" borderId="2" xfId="0" applyFont="1" applyFill="1" applyBorder="1" applyAlignment="1">
      <alignment horizontal="center" vertical="center"/>
    </xf>
    <xf numFmtId="0" fontId="87" fillId="3" borderId="2" xfId="0" applyFont="1" applyFill="1" applyBorder="1" applyAlignment="1">
      <alignment horizontal="center" vertical="center" wrapText="1"/>
    </xf>
    <xf numFmtId="0" fontId="30" fillId="8" borderId="2" xfId="0" applyFont="1" applyFill="1" applyBorder="1" applyAlignment="1">
      <alignment horizontal="center"/>
    </xf>
    <xf numFmtId="0" fontId="30" fillId="17" borderId="2" xfId="0" applyFont="1" applyFill="1" applyBorder="1" applyAlignment="1">
      <alignment horizontal="center" vertical="center"/>
    </xf>
    <xf numFmtId="0" fontId="30" fillId="0" borderId="2" xfId="0" applyFont="1" applyBorder="1"/>
    <xf numFmtId="0" fontId="30" fillId="0" borderId="2" xfId="0" applyFont="1" applyBorder="1" applyAlignment="1">
      <alignment horizontal="center" vertical="center"/>
    </xf>
    <xf numFmtId="0" fontId="30" fillId="0" borderId="0" xfId="0" applyFont="1" applyAlignment="1">
      <alignment horizontal="center" vertical="center" wrapText="1"/>
    </xf>
    <xf numFmtId="0" fontId="27" fillId="0" borderId="0" xfId="0" applyFont="1" applyAlignment="1">
      <alignment horizontal="center" wrapText="1"/>
    </xf>
    <xf numFmtId="0" fontId="87" fillId="3" borderId="2" xfId="0" applyFont="1" applyFill="1" applyBorder="1" applyAlignment="1">
      <alignment horizontal="center"/>
    </xf>
    <xf numFmtId="0" fontId="27" fillId="15" borderId="1" xfId="0" applyFont="1" applyFill="1" applyBorder="1" applyAlignment="1">
      <alignment horizontal="center" vertical="center"/>
    </xf>
    <xf numFmtId="0" fontId="27" fillId="16" borderId="1" xfId="0" applyFont="1" applyFill="1" applyBorder="1" applyAlignment="1">
      <alignment horizontal="center" vertical="center"/>
    </xf>
    <xf numFmtId="0" fontId="106" fillId="3" borderId="2"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0" borderId="12" xfId="0" applyFont="1" applyBorder="1" applyAlignment="1">
      <alignment horizontal="center" wrapText="1"/>
    </xf>
    <xf numFmtId="0" fontId="27" fillId="8" borderId="2" xfId="0" applyFont="1" applyFill="1" applyBorder="1" applyAlignment="1">
      <alignment horizontal="center"/>
    </xf>
    <xf numFmtId="0" fontId="31" fillId="0" borderId="2" xfId="0" applyFont="1" applyBorder="1" applyAlignment="1">
      <alignment horizontal="center" vertical="center" wrapText="1"/>
    </xf>
    <xf numFmtId="0" fontId="31" fillId="11" borderId="1" xfId="0" applyFont="1" applyFill="1" applyBorder="1" applyAlignment="1">
      <alignment horizontal="center" vertical="center"/>
    </xf>
    <xf numFmtId="0" fontId="27" fillId="0" borderId="2" xfId="0" applyFont="1" applyBorder="1" applyAlignment="1">
      <alignment horizontal="center" wrapText="1"/>
    </xf>
    <xf numFmtId="49" fontId="27" fillId="0" borderId="11" xfId="0" applyNumberFormat="1" applyFont="1" applyBorder="1" applyAlignment="1">
      <alignment vertical="center"/>
    </xf>
    <xf numFmtId="49" fontId="27" fillId="0" borderId="16" xfId="0" applyNumberFormat="1" applyFont="1" applyBorder="1" applyAlignment="1">
      <alignment vertical="center"/>
    </xf>
    <xf numFmtId="49" fontId="27" fillId="0" borderId="8" xfId="0" applyNumberFormat="1" applyFont="1" applyBorder="1" applyAlignment="1">
      <alignment vertical="center"/>
    </xf>
    <xf numFmtId="0" fontId="27" fillId="13" borderId="6" xfId="0" applyFont="1" applyFill="1" applyBorder="1" applyAlignment="1">
      <alignment horizontal="center" vertical="center" wrapText="1"/>
    </xf>
    <xf numFmtId="0" fontId="27" fillId="8" borderId="2" xfId="0" applyFont="1" applyFill="1" applyBorder="1" applyAlignment="1">
      <alignment vertical="center"/>
    </xf>
    <xf numFmtId="0" fontId="87" fillId="6" borderId="2" xfId="0" applyFont="1" applyFill="1" applyBorder="1" applyAlignment="1">
      <alignment horizontal="center" vertical="center"/>
    </xf>
    <xf numFmtId="0" fontId="87" fillId="6" borderId="2" xfId="0" applyFont="1" applyFill="1" applyBorder="1" applyAlignment="1">
      <alignment horizontal="center"/>
    </xf>
    <xf numFmtId="0" fontId="30" fillId="13" borderId="2" xfId="0" applyFont="1" applyFill="1" applyBorder="1"/>
    <xf numFmtId="49" fontId="27" fillId="0" borderId="0" xfId="0" applyNumberFormat="1" applyFont="1" applyAlignment="1">
      <alignment horizontal="center"/>
    </xf>
    <xf numFmtId="0" fontId="110" fillId="0" borderId="0" xfId="0" applyFont="1" applyAlignment="1">
      <alignment horizontal="left"/>
    </xf>
    <xf numFmtId="0" fontId="31" fillId="0" borderId="0" xfId="0" applyFont="1" applyAlignment="1">
      <alignment horizontal="center"/>
    </xf>
    <xf numFmtId="0" fontId="27" fillId="8" borderId="2" xfId="0" applyFont="1" applyFill="1" applyBorder="1" applyAlignment="1">
      <alignment vertical="center" wrapText="1"/>
    </xf>
    <xf numFmtId="0" fontId="27" fillId="19" borderId="0" xfId="0" applyFont="1" applyFill="1" applyAlignment="1">
      <alignment horizontal="center" vertical="center"/>
    </xf>
    <xf numFmtId="0" fontId="27" fillId="13" borderId="4" xfId="0" applyFont="1" applyFill="1" applyBorder="1" applyAlignment="1">
      <alignment horizontal="center" vertical="center" wrapText="1"/>
    </xf>
    <xf numFmtId="0" fontId="87" fillId="6" borderId="2" xfId="0" quotePrefix="1" applyFont="1" applyFill="1" applyBorder="1" applyAlignment="1">
      <alignment horizontal="center"/>
    </xf>
    <xf numFmtId="0" fontId="31" fillId="13" borderId="2" xfId="0" applyFont="1" applyFill="1" applyBorder="1" applyAlignment="1">
      <alignment horizontal="center" vertical="center" wrapText="1"/>
    </xf>
    <xf numFmtId="0" fontId="87" fillId="9" borderId="2" xfId="0" applyFont="1" applyFill="1" applyBorder="1" applyAlignment="1">
      <alignment wrapText="1"/>
    </xf>
    <xf numFmtId="0" fontId="106" fillId="8" borderId="2" xfId="0" applyFont="1" applyFill="1" applyBorder="1"/>
    <xf numFmtId="0" fontId="27" fillId="6" borderId="2" xfId="0" quotePrefix="1" applyFont="1" applyFill="1" applyBorder="1"/>
    <xf numFmtId="0" fontId="106" fillId="3" borderId="2" xfId="0" applyFont="1" applyFill="1" applyBorder="1" applyAlignment="1">
      <alignment horizontal="center" wrapText="1"/>
    </xf>
    <xf numFmtId="0" fontId="106" fillId="3" borderId="2" xfId="0" applyFont="1" applyFill="1" applyBorder="1" applyAlignment="1">
      <alignment horizontal="center"/>
    </xf>
    <xf numFmtId="0" fontId="27" fillId="8" borderId="2" xfId="0" applyFont="1" applyFill="1" applyBorder="1"/>
    <xf numFmtId="0" fontId="27" fillId="17" borderId="2" xfId="0" applyFont="1" applyFill="1" applyBorder="1" applyAlignment="1">
      <alignment horizontal="center"/>
    </xf>
    <xf numFmtId="0" fontId="30" fillId="3" borderId="12" xfId="0" applyFont="1" applyFill="1" applyBorder="1" applyAlignment="1">
      <alignment horizontal="center" vertical="center" wrapText="1"/>
    </xf>
    <xf numFmtId="0" fontId="27" fillId="0" borderId="10" xfId="0" applyFont="1" applyBorder="1" applyAlignment="1">
      <alignment horizontal="center" vertical="center" wrapText="1"/>
    </xf>
    <xf numFmtId="49" fontId="27" fillId="0" borderId="0" xfId="0" applyNumberFormat="1" applyFont="1" applyAlignment="1">
      <alignment horizontal="left"/>
    </xf>
    <xf numFmtId="0" fontId="30" fillId="0" borderId="0" xfId="0" applyFont="1" applyAlignment="1">
      <alignment horizontal="left" vertical="center"/>
    </xf>
    <xf numFmtId="0" fontId="87" fillId="0" borderId="0" xfId="0" applyFont="1" applyAlignment="1">
      <alignment vertical="center" wrapText="1"/>
    </xf>
    <xf numFmtId="0" fontId="54" fillId="0" borderId="0" xfId="0" applyFont="1" applyAlignment="1">
      <alignment vertical="center"/>
    </xf>
    <xf numFmtId="0" fontId="54" fillId="0" borderId="0" xfId="0" applyFont="1" applyAlignment="1">
      <alignment horizontal="center" vertical="center"/>
    </xf>
    <xf numFmtId="0" fontId="87" fillId="8" borderId="2" xfId="0" applyFont="1" applyFill="1" applyBorder="1" applyAlignment="1">
      <alignment horizontal="center"/>
    </xf>
    <xf numFmtId="0" fontId="27" fillId="17" borderId="2" xfId="0" applyFont="1" applyFill="1" applyBorder="1"/>
    <xf numFmtId="0" fontId="27" fillId="13" borderId="4" xfId="0" applyFont="1" applyFill="1" applyBorder="1" applyAlignment="1">
      <alignment vertical="center" wrapText="1"/>
    </xf>
    <xf numFmtId="0" fontId="87" fillId="3" borderId="10" xfId="0" applyFont="1" applyFill="1" applyBorder="1" applyAlignment="1">
      <alignment horizontal="center" vertical="center" wrapText="1"/>
    </xf>
    <xf numFmtId="0" fontId="30" fillId="3" borderId="2" xfId="0" applyFont="1" applyFill="1" applyBorder="1" applyAlignment="1">
      <alignment horizontal="center" vertical="center"/>
    </xf>
    <xf numFmtId="0" fontId="27" fillId="0" borderId="10" xfId="0" applyFont="1" applyBorder="1" applyAlignment="1">
      <alignment horizontal="left" vertical="center" wrapText="1"/>
    </xf>
    <xf numFmtId="1" fontId="109" fillId="0" borderId="0" xfId="11" applyNumberFormat="1" applyFont="1" applyAlignment="1">
      <alignment horizontal="center"/>
    </xf>
    <xf numFmtId="0" fontId="112" fillId="8" borderId="2" xfId="0" applyFont="1" applyFill="1" applyBorder="1" applyAlignment="1">
      <alignment horizontal="center" vertical="center"/>
    </xf>
    <xf numFmtId="0" fontId="43" fillId="0" borderId="0" xfId="4" applyFont="1"/>
    <xf numFmtId="0" fontId="43" fillId="0" borderId="0" xfId="4" applyFont="1" applyAlignment="1">
      <alignment wrapText="1"/>
    </xf>
    <xf numFmtId="0" fontId="31" fillId="8" borderId="14" xfId="0" applyFont="1" applyFill="1" applyBorder="1"/>
    <xf numFmtId="0" fontId="31" fillId="8" borderId="12" xfId="0" applyFont="1" applyFill="1" applyBorder="1"/>
    <xf numFmtId="0" fontId="101" fillId="8" borderId="2" xfId="0" applyFont="1" applyFill="1" applyBorder="1" applyAlignment="1">
      <alignment horizontal="center" vertical="center" wrapText="1"/>
    </xf>
    <xf numFmtId="0" fontId="31" fillId="0" borderId="2" xfId="0" applyFont="1" applyBorder="1" applyAlignment="1">
      <alignment horizontal="left" vertical="center"/>
    </xf>
    <xf numFmtId="0" fontId="51" fillId="0" borderId="0" xfId="0" applyFont="1"/>
    <xf numFmtId="0" fontId="101" fillId="0" borderId="0" xfId="0" applyFont="1" applyAlignment="1">
      <alignment horizontal="center" vertical="center"/>
    </xf>
    <xf numFmtId="0" fontId="101" fillId="0" borderId="0" xfId="0" applyFont="1" applyAlignment="1">
      <alignment horizontal="center" vertical="center" wrapText="1"/>
    </xf>
    <xf numFmtId="0" fontId="49" fillId="0" borderId="0" xfId="4" applyFont="1" applyAlignment="1">
      <alignment horizontal="left"/>
    </xf>
    <xf numFmtId="0" fontId="111" fillId="0" borderId="0" xfId="0" applyFont="1" applyAlignment="1">
      <alignment wrapText="1"/>
    </xf>
    <xf numFmtId="0" fontId="63" fillId="0" borderId="0" xfId="3" applyFont="1" applyAlignment="1">
      <alignment horizontal="left" vertical="top"/>
    </xf>
    <xf numFmtId="0" fontId="50" fillId="13" borderId="12" xfId="0" applyFont="1" applyFill="1" applyBorder="1" applyAlignment="1">
      <alignment horizontal="left" vertical="center"/>
    </xf>
    <xf numFmtId="0" fontId="49" fillId="13" borderId="14" xfId="0" applyFont="1" applyFill="1" applyBorder="1" applyAlignment="1">
      <alignment horizontal="left" vertical="top"/>
    </xf>
    <xf numFmtId="0" fontId="0" fillId="13" borderId="14" xfId="0" applyFill="1" applyBorder="1" applyAlignment="1">
      <alignment horizontal="left" vertical="top"/>
    </xf>
    <xf numFmtId="0" fontId="50" fillId="13" borderId="14" xfId="0" applyFont="1" applyFill="1" applyBorder="1" applyAlignment="1">
      <alignment horizontal="right" vertical="center"/>
    </xf>
    <xf numFmtId="0" fontId="50" fillId="13" borderId="12" xfId="0" applyFont="1" applyFill="1" applyBorder="1" applyAlignment="1">
      <alignment horizontal="right" vertical="center"/>
    </xf>
    <xf numFmtId="0" fontId="95" fillId="13" borderId="12" xfId="0" applyFont="1" applyFill="1" applyBorder="1" applyAlignment="1">
      <alignment horizontal="right" vertical="center"/>
    </xf>
    <xf numFmtId="0" fontId="0" fillId="17" borderId="2" xfId="0" applyFill="1" applyBorder="1" applyAlignment="1">
      <alignment horizontal="center" vertical="center"/>
    </xf>
    <xf numFmtId="49" fontId="31" fillId="13" borderId="6" xfId="0" applyNumberFormat="1" applyFont="1" applyFill="1" applyBorder="1" applyAlignment="1">
      <alignment horizontal="center" vertical="center"/>
    </xf>
    <xf numFmtId="49" fontId="31" fillId="13" borderId="2" xfId="0" quotePrefix="1" applyNumberFormat="1" applyFont="1" applyFill="1" applyBorder="1" applyAlignment="1">
      <alignment horizontal="center"/>
    </xf>
    <xf numFmtId="0" fontId="68" fillId="0" borderId="0" xfId="0" applyFont="1" applyAlignment="1">
      <alignment horizontal="left" vertical="center" wrapText="1"/>
    </xf>
    <xf numFmtId="0" fontId="116" fillId="0" borderId="0" xfId="11" applyFont="1" applyAlignment="1">
      <alignment horizontal="center"/>
    </xf>
    <xf numFmtId="0" fontId="31" fillId="3" borderId="2" xfId="0" applyFont="1" applyFill="1" applyBorder="1" applyAlignment="1">
      <alignment horizontal="center"/>
    </xf>
    <xf numFmtId="0" fontId="31" fillId="0" borderId="0" xfId="0" applyFont="1" applyAlignment="1">
      <alignment horizontal="left" vertical="center" wrapText="1"/>
    </xf>
    <xf numFmtId="0" fontId="87" fillId="0" borderId="0" xfId="0" applyFont="1"/>
    <xf numFmtId="49" fontId="31" fillId="0" borderId="0" xfId="0" applyNumberFormat="1" applyFont="1" applyAlignment="1">
      <alignment horizontal="center"/>
    </xf>
    <xf numFmtId="0" fontId="31" fillId="0" borderId="2" xfId="0" applyFont="1" applyBorder="1" applyAlignment="1">
      <alignment horizontal="left" vertical="center" wrapText="1"/>
    </xf>
    <xf numFmtId="0" fontId="98" fillId="0" borderId="2"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0" xfId="0" applyFont="1" applyAlignment="1">
      <alignment horizontal="center" vertical="center" wrapText="1"/>
    </xf>
    <xf numFmtId="0" fontId="87" fillId="9" borderId="2" xfId="0" applyFont="1" applyFill="1" applyBorder="1" applyAlignment="1">
      <alignment horizontal="center" wrapText="1"/>
    </xf>
    <xf numFmtId="0" fontId="27" fillId="0" borderId="2" xfId="0" applyFont="1" applyBorder="1" applyAlignment="1">
      <alignment horizontal="left" vertical="center"/>
    </xf>
    <xf numFmtId="0" fontId="112" fillId="0" borderId="2" xfId="0" applyFont="1" applyBorder="1" applyAlignment="1">
      <alignment horizontal="center" vertical="center"/>
    </xf>
    <xf numFmtId="0" fontId="112" fillId="8" borderId="17" xfId="0" applyFont="1" applyFill="1" applyBorder="1" applyAlignment="1">
      <alignment horizontal="center" vertical="center"/>
    </xf>
    <xf numFmtId="0" fontId="0" fillId="0" borderId="2" xfId="0" applyBorder="1"/>
    <xf numFmtId="0" fontId="99" fillId="0" borderId="0" xfId="0" applyFont="1" applyAlignment="1">
      <alignment vertical="center"/>
    </xf>
    <xf numFmtId="49" fontId="95" fillId="0" borderId="0" xfId="0" applyNumberFormat="1" applyFont="1" applyAlignment="1">
      <alignment horizontal="center" vertical="center"/>
    </xf>
    <xf numFmtId="0" fontId="27" fillId="13" borderId="2" xfId="0" applyFont="1" applyFill="1" applyBorder="1" applyAlignment="1">
      <alignment vertical="center" wrapText="1"/>
    </xf>
    <xf numFmtId="0" fontId="27" fillId="0" borderId="4" xfId="0" applyFont="1" applyBorder="1" applyAlignment="1">
      <alignment vertical="center" wrapText="1"/>
    </xf>
    <xf numFmtId="0" fontId="27" fillId="0" borderId="5" xfId="0" applyFont="1" applyBorder="1" applyAlignment="1">
      <alignment vertical="center" wrapText="1"/>
    </xf>
    <xf numFmtId="0" fontId="27" fillId="0" borderId="2" xfId="0" applyFont="1" applyBorder="1" applyAlignment="1">
      <alignment vertical="center" wrapText="1"/>
    </xf>
    <xf numFmtId="0" fontId="97" fillId="0" borderId="16" xfId="0" applyFont="1" applyBorder="1" applyAlignment="1">
      <alignment vertical="center" wrapText="1"/>
    </xf>
    <xf numFmtId="49" fontId="31" fillId="0" borderId="0" xfId="0" quotePrefix="1" applyNumberFormat="1" applyFont="1" applyAlignment="1">
      <alignment horizontal="center" vertical="center"/>
    </xf>
    <xf numFmtId="49" fontId="31" fillId="0" borderId="0" xfId="0" quotePrefix="1" applyNumberFormat="1" applyFont="1" applyAlignment="1">
      <alignment horizontal="center"/>
    </xf>
    <xf numFmtId="0" fontId="98" fillId="0" borderId="0" xfId="0" applyFont="1" applyAlignment="1">
      <alignment vertical="center" wrapText="1"/>
    </xf>
    <xf numFmtId="0" fontId="98" fillId="0" borderId="0" xfId="0" applyFont="1" applyAlignment="1">
      <alignment vertical="center"/>
    </xf>
    <xf numFmtId="0" fontId="95" fillId="0" borderId="0" xfId="0" applyFont="1" applyAlignment="1">
      <alignment vertical="center" wrapText="1"/>
    </xf>
    <xf numFmtId="0" fontId="65" fillId="0" borderId="0" xfId="0" applyFont="1"/>
    <xf numFmtId="0" fontId="60" fillId="0" borderId="0" xfId="0" applyFont="1" applyAlignment="1">
      <alignment horizontal="center" vertical="center" wrapText="1"/>
    </xf>
    <xf numFmtId="0" fontId="98" fillId="0" borderId="0" xfId="0" applyFont="1" applyAlignment="1">
      <alignment horizontal="left" vertical="center" wrapText="1"/>
    </xf>
    <xf numFmtId="0" fontId="95" fillId="0" borderId="0" xfId="0" applyFont="1" applyAlignment="1">
      <alignment horizontal="left"/>
    </xf>
    <xf numFmtId="49" fontId="95" fillId="0" borderId="0" xfId="0" applyNumberFormat="1" applyFont="1" applyAlignment="1">
      <alignment horizontal="left"/>
    </xf>
    <xf numFmtId="49" fontId="95" fillId="0" borderId="0" xfId="0" applyNumberFormat="1" applyFont="1" applyAlignment="1">
      <alignment horizontal="center"/>
    </xf>
    <xf numFmtId="0" fontId="95" fillId="0" borderId="0" xfId="0" applyFont="1" applyAlignment="1">
      <alignment horizontal="left" vertical="top" wrapText="1"/>
    </xf>
    <xf numFmtId="0" fontId="99" fillId="0" borderId="0" xfId="0" applyFont="1" applyAlignment="1">
      <alignment horizontal="center" vertical="center" wrapText="1"/>
    </xf>
    <xf numFmtId="0" fontId="99" fillId="0" borderId="0" xfId="0" applyFont="1" applyAlignment="1">
      <alignment horizontal="left" vertical="center"/>
    </xf>
    <xf numFmtId="0" fontId="54" fillId="0" borderId="0" xfId="11" applyFont="1" applyAlignment="1" applyProtection="1">
      <alignment horizontal="center"/>
      <protection locked="0"/>
    </xf>
    <xf numFmtId="0" fontId="54" fillId="0" borderId="0" xfId="11" applyFont="1"/>
    <xf numFmtId="0" fontId="116" fillId="0" borderId="0" xfId="11" applyFont="1"/>
    <xf numFmtId="0" fontId="99" fillId="0" borderId="0" xfId="0" applyFont="1" applyAlignment="1">
      <alignment horizontal="center"/>
    </xf>
    <xf numFmtId="0" fontId="95" fillId="0" borderId="0" xfId="0" applyFont="1" applyAlignment="1">
      <alignment horizontal="center" vertical="center"/>
    </xf>
    <xf numFmtId="0" fontId="120" fillId="0" borderId="0" xfId="60" applyFont="1"/>
    <xf numFmtId="0" fontId="60" fillId="0" borderId="0" xfId="0" applyFont="1" applyAlignment="1">
      <alignment vertical="center" wrapText="1"/>
    </xf>
    <xf numFmtId="49" fontId="31" fillId="0" borderId="2" xfId="0" applyNumberFormat="1" applyFont="1" applyBorder="1" applyAlignment="1">
      <alignment horizontal="center"/>
    </xf>
    <xf numFmtId="0" fontId="92" fillId="0" borderId="2" xfId="0" applyFont="1" applyBorder="1" applyAlignment="1">
      <alignment horizontal="center"/>
    </xf>
    <xf numFmtId="0" fontId="99" fillId="8" borderId="2" xfId="0" applyFont="1" applyFill="1" applyBorder="1"/>
    <xf numFmtId="0" fontId="95" fillId="8" borderId="2" xfId="0" applyFont="1" applyFill="1" applyBorder="1"/>
    <xf numFmtId="0" fontId="95" fillId="6" borderId="2" xfId="0" quotePrefix="1" applyFont="1" applyFill="1" applyBorder="1"/>
    <xf numFmtId="0" fontId="99" fillId="0" borderId="16" xfId="0" applyFont="1" applyBorder="1"/>
    <xf numFmtId="0" fontId="92" fillId="0" borderId="16" xfId="0" applyFont="1" applyBorder="1" applyAlignment="1">
      <alignment horizontal="center"/>
    </xf>
    <xf numFmtId="0" fontId="92" fillId="0" borderId="16" xfId="0" applyFont="1" applyBorder="1" applyAlignment="1">
      <alignment horizontal="center" vertical="center"/>
    </xf>
    <xf numFmtId="0" fontId="95" fillId="0" borderId="16" xfId="0" applyFont="1" applyBorder="1"/>
    <xf numFmtId="0" fontId="95" fillId="0" borderId="16" xfId="0" quotePrefix="1" applyFont="1" applyBorder="1"/>
    <xf numFmtId="0" fontId="121" fillId="20" borderId="0" xfId="0" applyFont="1" applyFill="1"/>
    <xf numFmtId="0" fontId="121" fillId="20" borderId="0" xfId="0" applyFont="1" applyFill="1" applyAlignment="1">
      <alignment horizontal="left"/>
    </xf>
    <xf numFmtId="16" fontId="0" fillId="0" borderId="0" xfId="0" applyNumberFormat="1"/>
    <xf numFmtId="0" fontId="124" fillId="20" borderId="0" xfId="0" applyFont="1" applyFill="1"/>
    <xf numFmtId="14" fontId="0" fillId="0" borderId="0" xfId="0" applyNumberFormat="1"/>
    <xf numFmtId="0" fontId="27" fillId="20" borderId="2" xfId="0" applyFont="1" applyFill="1" applyBorder="1"/>
    <xf numFmtId="0" fontId="121" fillId="20" borderId="2" xfId="0" applyFont="1" applyFill="1" applyBorder="1"/>
    <xf numFmtId="0" fontId="121" fillId="20" borderId="2" xfId="0" applyFont="1" applyFill="1" applyBorder="1" applyAlignment="1">
      <alignment horizontal="center" vertical="center" wrapText="1"/>
    </xf>
    <xf numFmtId="0" fontId="122" fillId="20" borderId="2" xfId="0" applyFont="1" applyFill="1" applyBorder="1" applyAlignment="1">
      <alignment horizontal="center" vertical="center" wrapText="1"/>
    </xf>
    <xf numFmtId="0" fontId="129" fillId="20" borderId="2" xfId="0" applyFont="1" applyFill="1" applyBorder="1" applyAlignment="1">
      <alignment horizontal="center" vertical="center" wrapText="1"/>
    </xf>
    <xf numFmtId="0" fontId="27" fillId="20" borderId="2" xfId="0" applyFont="1" applyFill="1" applyBorder="1" applyAlignment="1">
      <alignment horizontal="center" vertical="center" wrapText="1"/>
    </xf>
    <xf numFmtId="0" fontId="134" fillId="0" borderId="0" xfId="0" applyFont="1" applyAlignment="1">
      <alignment horizontal="left" vertical="center"/>
    </xf>
    <xf numFmtId="49" fontId="124" fillId="20" borderId="2" xfId="0" applyNumberFormat="1" applyFont="1" applyFill="1" applyBorder="1" applyAlignment="1">
      <alignment horizontal="center" vertical="center"/>
    </xf>
    <xf numFmtId="0" fontId="134" fillId="20" borderId="2" xfId="0" applyFont="1" applyFill="1" applyBorder="1" applyAlignment="1">
      <alignment horizontal="left" vertical="center" wrapText="1"/>
    </xf>
    <xf numFmtId="0" fontId="121" fillId="20" borderId="0" xfId="0" applyFont="1" applyFill="1" applyAlignment="1">
      <alignment horizontal="center" vertical="center" wrapText="1"/>
    </xf>
    <xf numFmtId="0" fontId="124" fillId="20" borderId="2" xfId="0" applyFont="1" applyFill="1" applyBorder="1" applyAlignment="1">
      <alignment vertical="center"/>
    </xf>
    <xf numFmtId="0" fontId="124" fillId="20" borderId="2" xfId="0" applyFont="1" applyFill="1" applyBorder="1" applyAlignment="1">
      <alignment horizontal="center" vertical="center"/>
    </xf>
    <xf numFmtId="0" fontId="135" fillId="20" borderId="2" xfId="0" applyFont="1" applyFill="1" applyBorder="1" applyAlignment="1">
      <alignment horizontal="center" vertical="center" wrapText="1"/>
    </xf>
    <xf numFmtId="0" fontId="124" fillId="0" borderId="0" xfId="0" applyFont="1"/>
    <xf numFmtId="49" fontId="27" fillId="13" borderId="6" xfId="0" quotePrefix="1" applyNumberFormat="1" applyFont="1" applyFill="1" applyBorder="1" applyAlignment="1">
      <alignment horizontal="center" vertical="center"/>
    </xf>
    <xf numFmtId="0" fontId="27" fillId="20" borderId="2" xfId="0" applyFont="1" applyFill="1" applyBorder="1" applyAlignment="1">
      <alignment horizontal="left" vertical="center" wrapText="1"/>
    </xf>
    <xf numFmtId="0" fontId="121" fillId="20" borderId="2" xfId="0" applyFont="1" applyFill="1" applyBorder="1" applyAlignment="1">
      <alignment horizontal="left" vertical="center" wrapText="1"/>
    </xf>
    <xf numFmtId="0" fontId="122" fillId="20" borderId="2" xfId="0" applyFont="1" applyFill="1" applyBorder="1" applyAlignment="1">
      <alignment horizontal="left" vertical="center" wrapText="1"/>
    </xf>
    <xf numFmtId="0" fontId="123" fillId="20" borderId="2" xfId="0" applyFont="1" applyFill="1" applyBorder="1" applyAlignment="1">
      <alignment horizontal="center" vertical="center"/>
    </xf>
    <xf numFmtId="0" fontId="30" fillId="3" borderId="10" xfId="0" applyFont="1" applyFill="1" applyBorder="1" applyAlignment="1">
      <alignment horizontal="center" vertical="center"/>
    </xf>
    <xf numFmtId="0" fontId="27" fillId="0" borderId="14" xfId="0" applyFont="1" applyBorder="1" applyAlignment="1">
      <alignment horizontal="left" vertical="center" wrapText="1"/>
    </xf>
    <xf numFmtId="49" fontId="121" fillId="20" borderId="2" xfId="0" quotePrefix="1" applyNumberFormat="1" applyFont="1" applyFill="1" applyBorder="1" applyAlignment="1">
      <alignment horizontal="center" vertical="center"/>
    </xf>
    <xf numFmtId="14" fontId="0" fillId="0" borderId="0" xfId="0" applyNumberFormat="1" applyAlignment="1">
      <alignment vertical="center"/>
    </xf>
    <xf numFmtId="0" fontId="123" fillId="20" borderId="2" xfId="0" applyFont="1" applyFill="1" applyBorder="1" applyAlignment="1">
      <alignment horizontal="center" vertical="center" wrapText="1"/>
    </xf>
    <xf numFmtId="49" fontId="122" fillId="20" borderId="2" xfId="0" quotePrefix="1" applyNumberFormat="1" applyFont="1" applyFill="1" applyBorder="1" applyAlignment="1">
      <alignment horizontal="center"/>
    </xf>
    <xf numFmtId="0" fontId="122" fillId="20" borderId="0" xfId="0" applyFont="1" applyFill="1" applyAlignment="1">
      <alignment horizontal="center"/>
    </xf>
    <xf numFmtId="0" fontId="122" fillId="0" borderId="0" xfId="0" applyFont="1"/>
    <xf numFmtId="0" fontId="142" fillId="20" borderId="0" xfId="0" applyFont="1" applyFill="1"/>
    <xf numFmtId="0" fontId="145" fillId="20" borderId="2" xfId="0" applyFont="1" applyFill="1" applyBorder="1" applyAlignment="1">
      <alignment horizontal="center" vertical="center"/>
    </xf>
    <xf numFmtId="49" fontId="122" fillId="20" borderId="2" xfId="0" applyNumberFormat="1" applyFont="1" applyFill="1" applyBorder="1" applyAlignment="1">
      <alignment horizontal="center" vertical="center"/>
    </xf>
    <xf numFmtId="49" fontId="121" fillId="0" borderId="0" xfId="0" quotePrefix="1" applyNumberFormat="1" applyFont="1" applyAlignment="1">
      <alignment horizontal="center"/>
    </xf>
    <xf numFmtId="0" fontId="121" fillId="0" borderId="0" xfId="0" applyFont="1" applyAlignment="1">
      <alignment horizontal="center" vertical="center" wrapText="1"/>
    </xf>
    <xf numFmtId="0" fontId="125" fillId="0" borderId="0" xfId="0" applyFont="1" applyAlignment="1">
      <alignment horizontal="center"/>
    </xf>
    <xf numFmtId="0" fontId="123" fillId="0" borderId="0" xfId="0" applyFont="1" applyAlignment="1">
      <alignment horizontal="center" vertical="center" wrapText="1"/>
    </xf>
    <xf numFmtId="0" fontId="27" fillId="0" borderId="9" xfId="0" applyFont="1" applyBorder="1"/>
    <xf numFmtId="0" fontId="146" fillId="0" borderId="0" xfId="0" applyFont="1" applyAlignment="1">
      <alignment horizontal="left" vertical="center" wrapText="1"/>
    </xf>
    <xf numFmtId="0" fontId="142" fillId="20" borderId="2" xfId="0" applyFont="1" applyFill="1" applyBorder="1" applyAlignment="1">
      <alignment horizontal="center" vertical="center"/>
    </xf>
    <xf numFmtId="0" fontId="68" fillId="0" borderId="0" xfId="0" applyFont="1" applyAlignment="1">
      <alignment vertical="center" wrapText="1"/>
    </xf>
    <xf numFmtId="0" fontId="106" fillId="0" borderId="0" xfId="0" applyFont="1" applyAlignment="1">
      <alignment horizontal="center" vertical="center" wrapText="1"/>
    </xf>
    <xf numFmtId="0" fontId="106" fillId="0" borderId="0" xfId="0" applyFont="1" applyAlignment="1">
      <alignment horizontal="center" wrapText="1"/>
    </xf>
    <xf numFmtId="0" fontId="118" fillId="0" borderId="0" xfId="0" applyFont="1" applyAlignment="1">
      <alignment horizontal="center"/>
    </xf>
    <xf numFmtId="0" fontId="0" fillId="13" borderId="0" xfId="0" applyFill="1" applyAlignment="1">
      <alignment horizontal="center" vertical="center"/>
    </xf>
    <xf numFmtId="0" fontId="95" fillId="13" borderId="2" xfId="0" applyFont="1" applyFill="1" applyBorder="1" applyAlignment="1">
      <alignment horizontal="center" vertical="center"/>
    </xf>
    <xf numFmtId="0" fontId="52" fillId="20" borderId="2" xfId="0" applyFont="1" applyFill="1" applyBorder="1" applyAlignment="1">
      <alignment horizontal="center" vertical="center" wrapText="1"/>
    </xf>
    <xf numFmtId="49" fontId="122" fillId="20" borderId="2" xfId="0" applyNumberFormat="1" applyFont="1" applyFill="1" applyBorder="1" applyAlignment="1">
      <alignment horizontal="center"/>
    </xf>
    <xf numFmtId="0" fontId="149" fillId="20" borderId="2" xfId="0" applyFont="1" applyFill="1" applyBorder="1" applyAlignment="1">
      <alignment horizontal="left" vertical="center" wrapText="1"/>
    </xf>
    <xf numFmtId="0" fontId="142" fillId="20" borderId="2" xfId="0" applyFont="1" applyFill="1" applyBorder="1" applyAlignment="1">
      <alignment horizontal="center"/>
    </xf>
    <xf numFmtId="0" fontId="122" fillId="20" borderId="0" xfId="0" applyFont="1" applyFill="1"/>
    <xf numFmtId="0" fontId="122" fillId="20" borderId="9" xfId="0" applyFont="1" applyFill="1" applyBorder="1"/>
    <xf numFmtId="0" fontId="122" fillId="20" borderId="0" xfId="0" applyFont="1" applyFill="1" applyAlignment="1">
      <alignment vertical="center" wrapText="1"/>
    </xf>
    <xf numFmtId="0" fontId="129" fillId="20" borderId="2" xfId="61" applyFont="1" applyFill="1" applyBorder="1" applyAlignment="1">
      <alignment horizontal="left" vertical="center"/>
    </xf>
    <xf numFmtId="49" fontId="147" fillId="20" borderId="4" xfId="0" applyNumberFormat="1" applyFont="1" applyFill="1" applyBorder="1" applyAlignment="1">
      <alignment horizontal="center" vertical="center" wrapText="1"/>
    </xf>
    <xf numFmtId="0" fontId="122" fillId="20" borderId="2" xfId="0" applyFont="1" applyFill="1" applyBorder="1" applyAlignment="1">
      <alignment vertical="center"/>
    </xf>
    <xf numFmtId="49" fontId="147" fillId="20" borderId="2" xfId="8" applyNumberFormat="1" applyFont="1" applyFill="1" applyBorder="1" applyAlignment="1">
      <alignment horizontal="center" vertical="center"/>
    </xf>
    <xf numFmtId="0" fontId="147" fillId="20" borderId="2" xfId="8" applyFont="1" applyFill="1" applyBorder="1" applyAlignment="1">
      <alignment horizontal="center" vertical="center" wrapText="1"/>
    </xf>
    <xf numFmtId="3" fontId="122" fillId="20" borderId="2" xfId="8" applyNumberFormat="1" applyFont="1" applyFill="1" applyBorder="1" applyAlignment="1">
      <alignment horizontal="center" vertical="center" wrapText="1"/>
    </xf>
    <xf numFmtId="49" fontId="141" fillId="20" borderId="2" xfId="8" applyNumberFormat="1" applyFont="1" applyFill="1" applyBorder="1" applyAlignment="1">
      <alignment horizontal="center" vertical="center" wrapText="1"/>
    </xf>
    <xf numFmtId="0" fontId="101" fillId="8" borderId="6" xfId="0" applyFont="1" applyFill="1" applyBorder="1" applyAlignment="1">
      <alignment horizontal="center" vertical="center" wrapText="1"/>
    </xf>
    <xf numFmtId="0" fontId="101" fillId="8" borderId="6" xfId="0" applyFont="1" applyFill="1" applyBorder="1" applyAlignment="1">
      <alignment horizontal="center" vertical="center"/>
    </xf>
    <xf numFmtId="49" fontId="141" fillId="20" borderId="2" xfId="0" applyNumberFormat="1" applyFont="1" applyFill="1" applyBorder="1" applyAlignment="1">
      <alignment horizontal="center" vertical="center" wrapText="1"/>
    </xf>
    <xf numFmtId="0" fontId="135" fillId="20" borderId="2" xfId="0" applyFont="1" applyFill="1" applyBorder="1" applyAlignment="1">
      <alignment horizontal="center" vertical="center"/>
    </xf>
    <xf numFmtId="0" fontId="0" fillId="20" borderId="0" xfId="0" applyFill="1"/>
    <xf numFmtId="49" fontId="121" fillId="20" borderId="2" xfId="0" applyNumberFormat="1" applyFont="1" applyFill="1" applyBorder="1" applyAlignment="1">
      <alignment horizontal="center" vertical="center"/>
    </xf>
    <xf numFmtId="0" fontId="121" fillId="0" borderId="2" xfId="0" applyFont="1" applyFill="1" applyBorder="1" applyAlignment="1">
      <alignment horizontal="center" vertical="center" wrapText="1"/>
    </xf>
    <xf numFmtId="0" fontId="134" fillId="20" borderId="6" xfId="0" applyFont="1" applyFill="1" applyBorder="1" applyAlignment="1">
      <alignment horizontal="center" vertical="center" wrapText="1"/>
    </xf>
    <xf numFmtId="0" fontId="134" fillId="20" borderId="2" xfId="0" applyFont="1" applyFill="1" applyBorder="1" applyAlignment="1">
      <alignment horizontal="center" vertical="center" wrapText="1"/>
    </xf>
    <xf numFmtId="0" fontId="31" fillId="20" borderId="2" xfId="0" applyFont="1" applyFill="1" applyBorder="1" applyAlignment="1">
      <alignment horizontal="left" vertical="center" wrapText="1"/>
    </xf>
    <xf numFmtId="0" fontId="27" fillId="0" borderId="0" xfId="0" applyFont="1" applyBorder="1" applyAlignment="1">
      <alignment horizontal="center" vertical="center" wrapText="1"/>
    </xf>
    <xf numFmtId="0" fontId="87" fillId="13" borderId="10" xfId="0" applyFont="1" applyFill="1" applyBorder="1" applyAlignment="1">
      <alignment horizontal="left" vertical="center" wrapText="1"/>
    </xf>
    <xf numFmtId="0" fontId="87" fillId="13" borderId="14" xfId="0" applyFont="1" applyFill="1" applyBorder="1" applyAlignment="1">
      <alignment horizontal="left" vertical="center" wrapText="1"/>
    </xf>
    <xf numFmtId="0" fontId="87" fillId="13" borderId="12" xfId="0" applyFont="1" applyFill="1" applyBorder="1" applyAlignment="1">
      <alignment horizontal="left" vertical="center" wrapText="1"/>
    </xf>
    <xf numFmtId="0" fontId="95" fillId="13" borderId="10" xfId="0" applyFont="1" applyFill="1" applyBorder="1" applyAlignment="1">
      <alignment horizontal="center" vertical="center"/>
    </xf>
    <xf numFmtId="0" fontId="99" fillId="21" borderId="2" xfId="0" applyFont="1" applyFill="1" applyBorder="1" applyAlignment="1">
      <alignment vertical="center"/>
    </xf>
    <xf numFmtId="0" fontId="95" fillId="8" borderId="12" xfId="0" applyFont="1" applyFill="1" applyBorder="1" applyAlignment="1">
      <alignment vertical="center"/>
    </xf>
    <xf numFmtId="0" fontId="95" fillId="3" borderId="2" xfId="0" applyFont="1" applyFill="1" applyBorder="1" applyAlignment="1">
      <alignment horizontal="center" vertical="center"/>
    </xf>
    <xf numFmtId="0" fontId="95" fillId="13" borderId="2" xfId="0" applyFont="1" applyFill="1" applyBorder="1" applyAlignment="1">
      <alignment horizontal="center" vertical="center" wrapText="1"/>
    </xf>
    <xf numFmtId="0" fontId="95" fillId="8" borderId="2" xfId="0" applyFont="1" applyFill="1" applyBorder="1" applyAlignment="1">
      <alignment vertical="center"/>
    </xf>
    <xf numFmtId="49" fontId="31" fillId="13" borderId="4" xfId="0" applyNumberFormat="1" applyFont="1" applyFill="1" applyBorder="1" applyAlignment="1">
      <alignment horizontal="center" vertical="center"/>
    </xf>
    <xf numFmtId="0" fontId="0" fillId="17" borderId="2" xfId="0" applyFill="1" applyBorder="1"/>
    <xf numFmtId="0" fontId="0" fillId="0" borderId="10" xfId="0" applyBorder="1" applyAlignment="1">
      <alignment horizontal="right"/>
    </xf>
    <xf numFmtId="0" fontId="0" fillId="17" borderId="14" xfId="0" applyFill="1" applyBorder="1"/>
    <xf numFmtId="0" fontId="0" fillId="0" borderId="14" xfId="0" applyBorder="1"/>
    <xf numFmtId="0" fontId="0" fillId="0" borderId="12" xfId="0" applyBorder="1"/>
    <xf numFmtId="0" fontId="0" fillId="0" borderId="12" xfId="0" applyBorder="1" applyAlignment="1">
      <alignment horizontal="right"/>
    </xf>
    <xf numFmtId="0" fontId="153" fillId="20" borderId="10" xfId="0" applyFont="1" applyFill="1" applyBorder="1" applyAlignment="1">
      <alignment horizontal="center" vertical="center"/>
    </xf>
    <xf numFmtId="0" fontId="153" fillId="20" borderId="2" xfId="0" applyFont="1" applyFill="1" applyBorder="1" applyAlignment="1">
      <alignment horizontal="center" vertical="center"/>
    </xf>
    <xf numFmtId="0" fontId="153" fillId="20" borderId="2" xfId="0" applyFont="1" applyFill="1" applyBorder="1" applyAlignment="1">
      <alignment horizontal="center" vertical="center" wrapText="1"/>
    </xf>
    <xf numFmtId="0" fontId="154" fillId="20" borderId="10" xfId="0" applyFont="1" applyFill="1" applyBorder="1" applyAlignment="1">
      <alignment horizontal="left"/>
    </xf>
    <xf numFmtId="0" fontId="154" fillId="20" borderId="14" xfId="0" applyFont="1" applyFill="1" applyBorder="1" applyAlignment="1">
      <alignment horizontal="left"/>
    </xf>
    <xf numFmtId="0" fontId="154" fillId="20" borderId="12" xfId="0" applyFont="1" applyFill="1" applyBorder="1" applyAlignment="1">
      <alignment horizontal="left"/>
    </xf>
    <xf numFmtId="0" fontId="153" fillId="20" borderId="2" xfId="0" applyFont="1" applyFill="1" applyBorder="1"/>
    <xf numFmtId="0" fontId="0" fillId="0" borderId="2" xfId="0" applyBorder="1" applyAlignment="1">
      <alignment horizontal="center" vertical="center" wrapText="1"/>
    </xf>
    <xf numFmtId="0" fontId="20" fillId="0" borderId="0" xfId="0" applyFont="1" applyFill="1" applyBorder="1" applyAlignment="1"/>
    <xf numFmtId="0" fontId="128" fillId="20" borderId="0" xfId="0" applyFont="1" applyFill="1" applyAlignment="1">
      <alignment horizontal="center" vertical="center" wrapText="1"/>
    </xf>
    <xf numFmtId="0" fontId="121" fillId="0" borderId="0" xfId="0" applyFont="1" applyFill="1" applyBorder="1" applyAlignment="1">
      <alignment horizontal="center" vertical="center" wrapText="1"/>
    </xf>
    <xf numFmtId="0" fontId="30" fillId="20" borderId="10" xfId="0" applyFont="1" applyFill="1" applyBorder="1" applyAlignment="1">
      <alignment horizontal="center" vertical="center" wrapText="1"/>
    </xf>
    <xf numFmtId="0" fontId="155" fillId="20" borderId="0" xfId="0" applyFont="1" applyFill="1" applyAlignment="1">
      <alignment vertical="center"/>
    </xf>
    <xf numFmtId="49" fontId="122" fillId="20" borderId="2" xfId="0" quotePrefix="1" applyNumberFormat="1" applyFont="1" applyFill="1" applyBorder="1" applyAlignment="1">
      <alignment horizontal="center" vertical="center"/>
    </xf>
    <xf numFmtId="0" fontId="122" fillId="20" borderId="10" xfId="0" applyFont="1" applyFill="1" applyBorder="1" applyAlignment="1">
      <alignment horizontal="center" vertical="center" wrapText="1"/>
    </xf>
    <xf numFmtId="0" fontId="141" fillId="20" borderId="2" xfId="0" applyFont="1" applyFill="1" applyBorder="1" applyAlignment="1">
      <alignment horizontal="center" vertical="center" wrapText="1"/>
    </xf>
    <xf numFmtId="0" fontId="121" fillId="20" borderId="2" xfId="0" applyFont="1" applyFill="1" applyBorder="1" applyAlignment="1">
      <alignment horizontal="center" vertical="center"/>
    </xf>
    <xf numFmtId="0" fontId="121" fillId="20" borderId="0" xfId="0" applyFont="1" applyFill="1" applyAlignment="1">
      <alignment horizontal="center"/>
    </xf>
    <xf numFmtId="0" fontId="156" fillId="20" borderId="0" xfId="0" applyFont="1" applyFill="1" applyAlignment="1">
      <alignment horizontal="center" vertical="center"/>
    </xf>
    <xf numFmtId="0" fontId="139" fillId="20" borderId="2" xfId="0" applyFont="1" applyFill="1" applyBorder="1" applyAlignment="1">
      <alignment horizontal="center" vertical="center" wrapText="1"/>
    </xf>
    <xf numFmtId="0" fontId="95" fillId="8" borderId="4" xfId="0" applyFont="1" applyFill="1" applyBorder="1" applyAlignment="1">
      <alignment horizontal="center" vertical="center"/>
    </xf>
    <xf numFmtId="0" fontId="95" fillId="8" borderId="6" xfId="0" applyFont="1" applyFill="1" applyBorder="1" applyAlignment="1">
      <alignment horizontal="center" vertical="center"/>
    </xf>
    <xf numFmtId="0" fontId="95" fillId="8" borderId="4" xfId="0" applyFont="1" applyFill="1" applyBorder="1" applyAlignment="1">
      <alignment horizontal="center"/>
    </xf>
    <xf numFmtId="0" fontId="95" fillId="8" borderId="6" xfId="0" applyFont="1" applyFill="1" applyBorder="1" applyAlignment="1">
      <alignment horizontal="center"/>
    </xf>
    <xf numFmtId="0" fontId="98" fillId="13" borderId="4" xfId="0" applyFont="1" applyFill="1" applyBorder="1" applyAlignment="1">
      <alignment horizontal="center" vertical="center" wrapText="1"/>
    </xf>
    <xf numFmtId="0" fontId="98" fillId="13" borderId="6" xfId="0" applyFont="1" applyFill="1" applyBorder="1" applyAlignment="1">
      <alignment horizontal="center" vertical="center" wrapText="1"/>
    </xf>
    <xf numFmtId="49" fontId="31" fillId="13" borderId="4" xfId="0" applyNumberFormat="1" applyFont="1" applyFill="1" applyBorder="1" applyAlignment="1">
      <alignment horizontal="center" vertical="center"/>
    </xf>
    <xf numFmtId="49" fontId="31" fillId="13" borderId="6" xfId="0" applyNumberFormat="1" applyFont="1" applyFill="1" applyBorder="1" applyAlignment="1">
      <alignment horizontal="center" vertical="center"/>
    </xf>
    <xf numFmtId="0" fontId="27" fillId="20" borderId="0" xfId="0" applyFont="1" applyFill="1" applyAlignment="1">
      <alignment horizontal="center" vertical="center" wrapText="1"/>
    </xf>
    <xf numFmtId="49" fontId="31" fillId="13" borderId="10" xfId="0" applyNumberFormat="1" applyFont="1" applyFill="1" applyBorder="1" applyAlignment="1">
      <alignment horizontal="center" vertical="center"/>
    </xf>
    <xf numFmtId="49" fontId="31" fillId="13" borderId="12" xfId="0" applyNumberFormat="1" applyFont="1" applyFill="1" applyBorder="1" applyAlignment="1">
      <alignment horizontal="center" vertical="center"/>
    </xf>
    <xf numFmtId="0" fontId="65" fillId="17" borderId="10" xfId="0" applyFont="1" applyFill="1" applyBorder="1" applyAlignment="1">
      <alignment horizontal="center" vertical="center"/>
    </xf>
    <xf numFmtId="0" fontId="65" fillId="17" borderId="12" xfId="0" applyFont="1" applyFill="1" applyBorder="1" applyAlignment="1">
      <alignment horizontal="center" vertical="center"/>
    </xf>
    <xf numFmtId="0" fontId="98" fillId="13" borderId="11" xfId="0" applyFont="1" applyFill="1" applyBorder="1" applyAlignment="1">
      <alignment vertical="center" wrapText="1"/>
    </xf>
    <xf numFmtId="0" fontId="141" fillId="20" borderId="2" xfId="0" quotePrefix="1" applyNumberFormat="1" applyFont="1" applyFill="1" applyBorder="1" applyAlignment="1">
      <alignment horizontal="center" vertical="center" wrapText="1"/>
    </xf>
    <xf numFmtId="0" fontId="27" fillId="0" borderId="10" xfId="0" applyFont="1" applyBorder="1"/>
    <xf numFmtId="0" fontId="27" fillId="0" borderId="12" xfId="0" applyFont="1" applyBorder="1"/>
    <xf numFmtId="0" fontId="31" fillId="8" borderId="10" xfId="0" applyFont="1" applyFill="1" applyBorder="1" applyAlignment="1">
      <alignment horizontal="left"/>
    </xf>
    <xf numFmtId="0" fontId="31" fillId="8" borderId="14" xfId="0" applyFont="1" applyFill="1" applyBorder="1" applyAlignment="1">
      <alignment horizontal="left"/>
    </xf>
    <xf numFmtId="0" fontId="31" fillId="8" borderId="12" xfId="0" applyFont="1" applyFill="1" applyBorder="1" applyAlignment="1">
      <alignment horizontal="left"/>
    </xf>
    <xf numFmtId="0" fontId="27" fillId="0" borderId="10" xfId="0" applyFont="1" applyBorder="1" applyAlignment="1">
      <alignment horizontal="right"/>
    </xf>
    <xf numFmtId="0" fontId="27" fillId="0" borderId="12" xfId="0" applyFont="1" applyBorder="1" applyAlignment="1">
      <alignment horizontal="right"/>
    </xf>
    <xf numFmtId="0" fontId="114" fillId="0" borderId="1" xfId="0" applyFont="1" applyBorder="1" applyAlignment="1">
      <alignment horizontal="left" vertical="center"/>
    </xf>
    <xf numFmtId="0" fontId="25" fillId="0" borderId="1" xfId="0" applyFont="1" applyBorder="1" applyAlignment="1">
      <alignment horizontal="right" vertical="center"/>
    </xf>
    <xf numFmtId="0" fontId="27" fillId="8" borderId="10" xfId="0" applyFont="1" applyFill="1" applyBorder="1"/>
    <xf numFmtId="0" fontId="27" fillId="8" borderId="14" xfId="0" applyFont="1" applyFill="1" applyBorder="1"/>
    <xf numFmtId="0" fontId="0" fillId="8" borderId="10" xfId="0" applyFill="1" applyBorder="1" applyAlignment="1">
      <alignment horizontal="center"/>
    </xf>
    <xf numFmtId="0" fontId="0" fillId="8" borderId="14" xfId="0" applyFill="1" applyBorder="1" applyAlignment="1">
      <alignment horizontal="center"/>
    </xf>
    <xf numFmtId="0" fontId="0" fillId="8" borderId="12" xfId="0" applyFill="1" applyBorder="1" applyAlignment="1">
      <alignment horizontal="center"/>
    </xf>
    <xf numFmtId="0" fontId="0" fillId="9" borderId="0" xfId="0" applyFill="1" applyAlignment="1">
      <alignment horizontal="center"/>
    </xf>
    <xf numFmtId="0" fontId="68" fillId="13" borderId="10" xfId="0" applyFont="1" applyFill="1" applyBorder="1" applyAlignment="1">
      <alignment horizontal="left" vertical="top" wrapText="1"/>
    </xf>
    <xf numFmtId="0" fontId="68" fillId="13" borderId="14" xfId="0" applyFont="1" applyFill="1" applyBorder="1" applyAlignment="1">
      <alignment horizontal="left" vertical="top" wrapText="1"/>
    </xf>
    <xf numFmtId="0" fontId="68" fillId="13" borderId="12" xfId="0" applyFont="1" applyFill="1" applyBorder="1" applyAlignment="1">
      <alignment horizontal="left" vertical="top" wrapText="1"/>
    </xf>
    <xf numFmtId="0" fontId="30" fillId="0" borderId="0" xfId="0" applyFont="1" applyAlignment="1">
      <alignment horizontal="right"/>
    </xf>
    <xf numFmtId="0" fontId="106" fillId="0" borderId="0" xfId="0" applyFont="1" applyAlignment="1">
      <alignment horizontal="right"/>
    </xf>
    <xf numFmtId="0" fontId="106" fillId="0" borderId="0" xfId="0" applyFont="1" applyAlignment="1">
      <alignment horizontal="center"/>
    </xf>
    <xf numFmtId="0" fontId="0" fillId="0" borderId="2" xfId="0" applyBorder="1" applyAlignment="1">
      <alignment horizontal="center"/>
    </xf>
    <xf numFmtId="0" fontId="28" fillId="2" borderId="3"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5" xfId="0" applyFont="1" applyFill="1" applyBorder="1" applyAlignment="1">
      <alignment horizontal="left" vertical="top" wrapText="1"/>
    </xf>
    <xf numFmtId="0" fontId="27" fillId="13" borderId="2" xfId="0" applyFont="1" applyFill="1" applyBorder="1"/>
    <xf numFmtId="0" fontId="27" fillId="8" borderId="2" xfId="0" applyFont="1" applyFill="1" applyBorder="1"/>
    <xf numFmtId="0" fontId="31" fillId="13" borderId="2" xfId="0" applyFont="1" applyFill="1" applyBorder="1" applyAlignment="1">
      <alignment horizontal="left"/>
    </xf>
    <xf numFmtId="0" fontId="0" fillId="8" borderId="2" xfId="0" applyFill="1" applyBorder="1" applyAlignment="1">
      <alignment horizontal="center"/>
    </xf>
    <xf numFmtId="0" fontId="27" fillId="3" borderId="2" xfId="0" applyFont="1" applyFill="1" applyBorder="1" applyAlignment="1">
      <alignment horizontal="center"/>
    </xf>
    <xf numFmtId="49" fontId="27" fillId="17" borderId="2" xfId="0" applyNumberFormat="1" applyFont="1" applyFill="1" applyBorder="1" applyAlignment="1">
      <alignment horizontal="left" vertical="center"/>
    </xf>
    <xf numFmtId="49" fontId="122" fillId="20" borderId="14" xfId="0" applyNumberFormat="1" applyFont="1" applyFill="1" applyBorder="1" applyAlignment="1">
      <alignment horizontal="left" vertical="center" wrapText="1"/>
    </xf>
    <xf numFmtId="0" fontId="92" fillId="0" borderId="16" xfId="0" applyFont="1" applyBorder="1" applyAlignment="1">
      <alignment horizontal="left" wrapText="1"/>
    </xf>
    <xf numFmtId="0" fontId="87" fillId="3" borderId="10" xfId="0" applyFont="1" applyFill="1" applyBorder="1" applyAlignment="1">
      <alignment horizontal="center"/>
    </xf>
    <xf numFmtId="0" fontId="87" fillId="3" borderId="12" xfId="0" applyFont="1" applyFill="1" applyBorder="1" applyAlignment="1">
      <alignment horizontal="center"/>
    </xf>
    <xf numFmtId="0" fontId="27" fillId="8" borderId="2" xfId="0" applyFont="1" applyFill="1" applyBorder="1" applyAlignment="1">
      <alignment horizontal="center"/>
    </xf>
    <xf numFmtId="0" fontId="27" fillId="13" borderId="10" xfId="0" applyFont="1" applyFill="1" applyBorder="1" applyAlignment="1">
      <alignment horizontal="left"/>
    </xf>
    <xf numFmtId="0" fontId="27" fillId="13" borderId="14" xfId="0" applyFont="1" applyFill="1" applyBorder="1" applyAlignment="1">
      <alignment horizontal="left"/>
    </xf>
    <xf numFmtId="0" fontId="27" fillId="13" borderId="12" xfId="0" applyFont="1" applyFill="1" applyBorder="1" applyAlignment="1">
      <alignment horizontal="left"/>
    </xf>
    <xf numFmtId="0" fontId="27" fillId="13" borderId="2" xfId="0" applyFont="1" applyFill="1" applyBorder="1" applyAlignment="1">
      <alignment horizontal="left"/>
    </xf>
    <xf numFmtId="0" fontId="48" fillId="0" borderId="0" xfId="0" applyFont="1" applyAlignment="1">
      <alignment horizontal="left" wrapText="1"/>
    </xf>
    <xf numFmtId="0" fontId="20" fillId="0" borderId="0" xfId="0" applyFont="1" applyAlignment="1">
      <alignment horizontal="center"/>
    </xf>
    <xf numFmtId="0" fontId="28" fillId="2" borderId="2" xfId="0" applyFont="1" applyFill="1" applyBorder="1" applyAlignment="1">
      <alignment horizontal="left" vertical="top" wrapText="1"/>
    </xf>
    <xf numFmtId="0" fontId="68" fillId="13" borderId="2" xfId="0" applyFont="1" applyFill="1" applyBorder="1" applyAlignment="1">
      <alignment horizontal="left" vertical="top" wrapText="1"/>
    </xf>
    <xf numFmtId="0" fontId="20" fillId="13" borderId="2" xfId="0" applyFont="1" applyFill="1" applyBorder="1" applyAlignment="1">
      <alignment horizontal="left" vertical="center"/>
    </xf>
    <xf numFmtId="0" fontId="65" fillId="0" borderId="16" xfId="0" applyFont="1" applyBorder="1" applyAlignment="1">
      <alignment horizontal="left" vertical="top" wrapText="1"/>
    </xf>
    <xf numFmtId="49" fontId="27" fillId="13" borderId="10" xfId="0" applyNumberFormat="1" applyFont="1" applyFill="1" applyBorder="1" applyAlignment="1">
      <alignment horizontal="center" vertical="center"/>
    </xf>
    <xf numFmtId="49" fontId="27" fillId="13" borderId="14" xfId="0" applyNumberFormat="1" applyFont="1" applyFill="1" applyBorder="1" applyAlignment="1">
      <alignment horizontal="center" vertical="center"/>
    </xf>
    <xf numFmtId="49" fontId="27" fillId="13" borderId="1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xf>
    <xf numFmtId="0" fontId="32" fillId="0" borderId="0" xfId="3" applyFont="1" applyAlignment="1">
      <alignment horizontal="left" vertical="top" wrapText="1"/>
    </xf>
    <xf numFmtId="0" fontId="28" fillId="2" borderId="13" xfId="3" applyFont="1" applyFill="1" applyBorder="1" applyAlignment="1">
      <alignment horizontal="left" vertical="top" wrapText="1"/>
    </xf>
    <xf numFmtId="0" fontId="39" fillId="2" borderId="20" xfId="3" applyFont="1" applyFill="1" applyBorder="1" applyAlignment="1">
      <alignment horizontal="left" vertical="top" wrapText="1"/>
    </xf>
    <xf numFmtId="0" fontId="39" fillId="2" borderId="21" xfId="3" applyFont="1" applyFill="1" applyBorder="1" applyAlignment="1">
      <alignment horizontal="left" vertical="top" wrapText="1"/>
    </xf>
    <xf numFmtId="0" fontId="68" fillId="13" borderId="13" xfId="3" applyFont="1" applyFill="1" applyBorder="1" applyAlignment="1">
      <alignment horizontal="left" vertical="top" wrapText="1"/>
    </xf>
    <xf numFmtId="0" fontId="68" fillId="13" borderId="20" xfId="3" applyFont="1" applyFill="1" applyBorder="1" applyAlignment="1">
      <alignment horizontal="left" vertical="top" wrapText="1"/>
    </xf>
    <xf numFmtId="0" fontId="68" fillId="13" borderId="21" xfId="3" applyFont="1" applyFill="1" applyBorder="1" applyAlignment="1">
      <alignment horizontal="left" vertical="top" wrapText="1"/>
    </xf>
    <xf numFmtId="0" fontId="29" fillId="13" borderId="2" xfId="8" applyFont="1" applyFill="1" applyBorder="1" applyAlignment="1">
      <alignment horizontal="center" vertical="center" wrapText="1"/>
    </xf>
    <xf numFmtId="0" fontId="31" fillId="0" borderId="0" xfId="0" applyFont="1" applyAlignment="1">
      <alignment horizontal="left"/>
    </xf>
    <xf numFmtId="0" fontId="31" fillId="0" borderId="0" xfId="0" applyFont="1" applyAlignment="1">
      <alignment horizontal="left" wrapText="1"/>
    </xf>
    <xf numFmtId="0" fontId="28" fillId="2" borderId="10" xfId="0" applyFont="1" applyFill="1" applyBorder="1" applyAlignment="1">
      <alignment horizontal="left" vertical="top" wrapText="1"/>
    </xf>
    <xf numFmtId="0" fontId="28" fillId="2" borderId="14" xfId="0" applyFont="1" applyFill="1" applyBorder="1" applyAlignment="1">
      <alignment horizontal="left" vertical="top" wrapText="1"/>
    </xf>
    <xf numFmtId="0" fontId="28" fillId="2" borderId="12" xfId="0" applyFont="1" applyFill="1" applyBorder="1" applyAlignment="1">
      <alignment horizontal="left" vertical="top" wrapText="1"/>
    </xf>
    <xf numFmtId="0" fontId="27" fillId="3" borderId="11" xfId="0" applyFont="1" applyFill="1" applyBorder="1" applyAlignment="1">
      <alignment horizontal="left" vertical="top" wrapText="1"/>
    </xf>
    <xf numFmtId="0" fontId="27" fillId="3" borderId="16" xfId="0" applyFont="1" applyFill="1" applyBorder="1" applyAlignment="1">
      <alignment horizontal="left" vertical="top" wrapText="1"/>
    </xf>
    <xf numFmtId="0" fontId="27" fillId="3" borderId="17" xfId="0" applyFont="1" applyFill="1" applyBorder="1" applyAlignment="1">
      <alignment horizontal="left" vertical="top" wrapText="1"/>
    </xf>
    <xf numFmtId="0" fontId="27" fillId="3" borderId="19" xfId="0" applyFont="1" applyFill="1" applyBorder="1" applyAlignment="1">
      <alignment horizontal="left" vertical="top" wrapText="1"/>
    </xf>
    <xf numFmtId="0" fontId="27" fillId="3" borderId="1" xfId="0" applyFont="1" applyFill="1" applyBorder="1" applyAlignment="1">
      <alignment horizontal="left" vertical="top" wrapText="1"/>
    </xf>
    <xf numFmtId="0" fontId="27" fillId="3" borderId="18" xfId="0" applyFont="1" applyFill="1" applyBorder="1" applyAlignment="1">
      <alignment horizontal="left" vertical="top" wrapText="1"/>
    </xf>
    <xf numFmtId="0" fontId="46" fillId="0" borderId="10" xfId="0" applyFont="1" applyBorder="1" applyAlignment="1">
      <alignment horizontal="left" vertical="top" wrapText="1"/>
    </xf>
    <xf numFmtId="0" fontId="46" fillId="0" borderId="14" xfId="0" applyFont="1" applyBorder="1" applyAlignment="1">
      <alignment horizontal="left" vertical="top" wrapText="1"/>
    </xf>
    <xf numFmtId="0" fontId="46" fillId="0" borderId="12" xfId="0" applyFont="1" applyBorder="1" applyAlignment="1">
      <alignment horizontal="left" vertical="top" wrapText="1"/>
    </xf>
    <xf numFmtId="0" fontId="27" fillId="8" borderId="11" xfId="0" applyFont="1" applyFill="1" applyBorder="1" applyAlignment="1">
      <alignment horizontal="left" vertical="top" wrapText="1"/>
    </xf>
    <xf numFmtId="0" fontId="27" fillId="8" borderId="16" xfId="0" applyFont="1" applyFill="1" applyBorder="1" applyAlignment="1">
      <alignment horizontal="left" vertical="top" wrapText="1"/>
    </xf>
    <xf numFmtId="0" fontId="27" fillId="8" borderId="17" xfId="0" applyFont="1" applyFill="1" applyBorder="1" applyAlignment="1">
      <alignment horizontal="left" vertical="top" wrapText="1"/>
    </xf>
    <xf numFmtId="0" fontId="27" fillId="8" borderId="19"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8" xfId="0" applyFont="1" applyFill="1" applyBorder="1" applyAlignment="1">
      <alignment horizontal="left" vertical="top" wrapText="1"/>
    </xf>
    <xf numFmtId="0" fontId="71" fillId="13" borderId="10" xfId="0" applyFont="1" applyFill="1" applyBorder="1" applyAlignment="1">
      <alignment horizontal="left" vertical="center" wrapText="1"/>
    </xf>
    <xf numFmtId="0" fontId="71" fillId="13" borderId="14" xfId="0" applyFont="1" applyFill="1" applyBorder="1" applyAlignment="1">
      <alignment horizontal="left" vertical="center" wrapText="1"/>
    </xf>
    <xf numFmtId="0" fontId="71" fillId="13" borderId="12" xfId="0" applyFont="1" applyFill="1" applyBorder="1" applyAlignment="1">
      <alignment horizontal="left" vertical="center" wrapText="1"/>
    </xf>
    <xf numFmtId="0" fontId="46" fillId="20" borderId="2" xfId="0" applyFont="1" applyFill="1" applyBorder="1" applyAlignment="1">
      <alignment horizontal="left" vertical="center" wrapText="1"/>
    </xf>
    <xf numFmtId="0" fontId="20" fillId="13" borderId="2" xfId="0" applyFont="1" applyFill="1" applyBorder="1" applyAlignment="1">
      <alignment horizontal="left"/>
    </xf>
    <xf numFmtId="0" fontId="128" fillId="20" borderId="2" xfId="0" applyFont="1" applyFill="1" applyBorder="1" applyAlignment="1">
      <alignment horizontal="left" vertical="center" wrapText="1"/>
    </xf>
    <xf numFmtId="49" fontId="121" fillId="20" borderId="2" xfId="0" applyNumberFormat="1" applyFont="1" applyFill="1" applyBorder="1" applyAlignment="1">
      <alignment horizontal="center" vertical="center"/>
    </xf>
    <xf numFmtId="49" fontId="141" fillId="20" borderId="2" xfId="0" applyNumberFormat="1" applyFont="1" applyFill="1" applyBorder="1" applyAlignment="1">
      <alignment horizontal="center" vertical="center" wrapText="1"/>
    </xf>
    <xf numFmtId="0" fontId="125" fillId="20" borderId="2" xfId="0" applyFont="1" applyFill="1" applyBorder="1" applyAlignment="1">
      <alignment horizontal="left" vertical="center" wrapText="1"/>
    </xf>
    <xf numFmtId="0" fontId="133" fillId="20" borderId="2" xfId="0" applyFont="1" applyFill="1" applyBorder="1" applyAlignment="1">
      <alignment horizontal="left"/>
    </xf>
    <xf numFmtId="0" fontId="128" fillId="20" borderId="10" xfId="0" applyFont="1" applyFill="1" applyBorder="1" applyAlignment="1">
      <alignment horizontal="center" vertical="center" wrapText="1"/>
    </xf>
    <xf numFmtId="0" fontId="128" fillId="20" borderId="14" xfId="0" applyFont="1" applyFill="1" applyBorder="1" applyAlignment="1">
      <alignment horizontal="center" vertical="center" wrapText="1"/>
    </xf>
    <xf numFmtId="0" fontId="128" fillId="20" borderId="12" xfId="0" applyFont="1" applyFill="1" applyBorder="1" applyAlignment="1">
      <alignment horizontal="center" vertical="center" wrapText="1"/>
    </xf>
    <xf numFmtId="49" fontId="124" fillId="20" borderId="2" xfId="0" quotePrefix="1" applyNumberFormat="1" applyFont="1" applyFill="1" applyBorder="1" applyAlignment="1">
      <alignment horizontal="center"/>
    </xf>
    <xf numFmtId="0" fontId="52" fillId="13" borderId="4" xfId="0" applyFont="1" applyFill="1" applyBorder="1" applyAlignment="1">
      <alignment horizontal="center" vertical="center" wrapText="1"/>
    </xf>
    <xf numFmtId="0" fontId="52" fillId="13" borderId="5" xfId="0" applyFont="1" applyFill="1" applyBorder="1" applyAlignment="1">
      <alignment horizontal="center" vertical="center" wrapText="1"/>
    </xf>
    <xf numFmtId="0" fontId="52" fillId="13" borderId="11" xfId="0" applyFont="1" applyFill="1" applyBorder="1" applyAlignment="1">
      <alignment horizontal="center" vertical="center" wrapText="1"/>
    </xf>
    <xf numFmtId="0" fontId="52" fillId="13" borderId="8" xfId="0" applyFont="1" applyFill="1" applyBorder="1" applyAlignment="1">
      <alignment horizontal="center" vertical="center" wrapText="1"/>
    </xf>
    <xf numFmtId="0" fontId="52" fillId="13" borderId="2" xfId="0" applyFont="1" applyFill="1" applyBorder="1" applyAlignment="1">
      <alignment horizontal="center" vertical="center" wrapText="1"/>
    </xf>
    <xf numFmtId="0" fontId="52" fillId="13" borderId="10" xfId="0" applyFont="1" applyFill="1" applyBorder="1" applyAlignment="1">
      <alignment horizontal="center" vertical="center" wrapText="1"/>
    </xf>
    <xf numFmtId="0" fontId="52" fillId="13" borderId="12" xfId="0" applyFont="1" applyFill="1" applyBorder="1" applyAlignment="1">
      <alignment horizontal="center" vertical="center" wrapText="1"/>
    </xf>
    <xf numFmtId="0" fontId="29" fillId="13" borderId="2" xfId="1" applyFont="1" applyFill="1" applyBorder="1" applyAlignment="1">
      <alignment horizontal="left" vertical="center"/>
    </xf>
    <xf numFmtId="0" fontId="0" fillId="13" borderId="10" xfId="0" applyFill="1" applyBorder="1" applyAlignment="1">
      <alignment horizontal="left" vertical="center"/>
    </xf>
    <xf numFmtId="0" fontId="0" fillId="13" borderId="14" xfId="0" applyFill="1" applyBorder="1" applyAlignment="1">
      <alignment horizontal="left" vertical="center"/>
    </xf>
    <xf numFmtId="0" fontId="0" fillId="13" borderId="12" xfId="0" applyFill="1" applyBorder="1" applyAlignment="1">
      <alignment horizontal="left" vertical="center"/>
    </xf>
    <xf numFmtId="0" fontId="101" fillId="8" borderId="10" xfId="0" applyFont="1" applyFill="1" applyBorder="1" applyAlignment="1">
      <alignment horizontal="left" vertical="center"/>
    </xf>
    <xf numFmtId="0" fontId="75" fillId="8" borderId="12" xfId="0" applyFont="1" applyFill="1" applyBorder="1" applyAlignment="1">
      <alignment horizontal="left" vertical="center"/>
    </xf>
    <xf numFmtId="0" fontId="27" fillId="13" borderId="2" xfId="0" applyFont="1" applyFill="1" applyBorder="1" applyAlignment="1">
      <alignment horizontal="center" vertical="center" wrapText="1"/>
    </xf>
    <xf numFmtId="0" fontId="27" fillId="0" borderId="2" xfId="0" applyFont="1" applyBorder="1" applyAlignment="1">
      <alignment horizontal="center" wrapText="1"/>
    </xf>
    <xf numFmtId="0" fontId="72" fillId="0" borderId="0" xfId="0" applyFont="1" applyAlignment="1">
      <alignment horizontal="center" wrapText="1"/>
    </xf>
    <xf numFmtId="0" fontId="139" fillId="20" borderId="2" xfId="0" applyFont="1" applyFill="1" applyBorder="1" applyAlignment="1">
      <alignment horizontal="center" vertical="center"/>
    </xf>
    <xf numFmtId="0" fontId="128" fillId="20" borderId="2" xfId="0" applyFont="1" applyFill="1" applyBorder="1" applyAlignment="1">
      <alignment horizontal="center" vertical="center"/>
    </xf>
    <xf numFmtId="0" fontId="128" fillId="20" borderId="2" xfId="0" applyFont="1" applyFill="1" applyBorder="1" applyAlignment="1">
      <alignment horizontal="center" vertical="center" wrapText="1"/>
    </xf>
    <xf numFmtId="0" fontId="92" fillId="3" borderId="2" xfId="0" applyFont="1" applyFill="1" applyBorder="1" applyAlignment="1">
      <alignment horizontal="center"/>
    </xf>
    <xf numFmtId="0" fontId="52" fillId="13" borderId="14" xfId="0" applyFont="1" applyFill="1" applyBorder="1" applyAlignment="1">
      <alignment horizontal="center" vertical="center"/>
    </xf>
    <xf numFmtId="0" fontId="52" fillId="13" borderId="12" xfId="0" applyFont="1" applyFill="1" applyBorder="1" applyAlignment="1">
      <alignment horizontal="center" vertical="center"/>
    </xf>
    <xf numFmtId="0" fontId="52" fillId="0" borderId="10"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12" xfId="0" applyFont="1" applyBorder="1" applyAlignment="1">
      <alignment horizontal="center" vertical="center" wrapText="1"/>
    </xf>
    <xf numFmtId="0" fontId="72" fillId="0" borderId="10" xfId="0" applyFont="1" applyBorder="1" applyAlignment="1">
      <alignment horizontal="center" vertical="center"/>
    </xf>
    <xf numFmtId="0" fontId="72" fillId="0" borderId="12" xfId="0" applyFont="1" applyBorder="1" applyAlignment="1">
      <alignment horizontal="center" vertical="center"/>
    </xf>
    <xf numFmtId="0" fontId="64" fillId="0" borderId="2" xfId="0" applyFont="1" applyBorder="1" applyAlignment="1">
      <alignment horizontal="center" vertical="center"/>
    </xf>
    <xf numFmtId="0" fontId="52" fillId="0" borderId="10" xfId="0" applyFont="1" applyBorder="1" applyAlignment="1">
      <alignment horizontal="left" wrapText="1"/>
    </xf>
    <xf numFmtId="0" fontId="52" fillId="0" borderId="14" xfId="0" applyFont="1" applyBorder="1" applyAlignment="1">
      <alignment horizontal="left" wrapText="1"/>
    </xf>
    <xf numFmtId="0" fontId="52" fillId="0" borderId="12" xfId="0" applyFont="1" applyBorder="1" applyAlignment="1">
      <alignment horizontal="left" wrapText="1"/>
    </xf>
    <xf numFmtId="0" fontId="52" fillId="0" borderId="10" xfId="0" applyFont="1" applyBorder="1" applyAlignment="1">
      <alignment horizontal="left" vertical="center" wrapText="1"/>
    </xf>
    <xf numFmtId="0" fontId="52" fillId="0" borderId="14" xfId="0" applyFont="1" applyBorder="1" applyAlignment="1">
      <alignment horizontal="left" vertical="center" wrapText="1"/>
    </xf>
    <xf numFmtId="0" fontId="52" fillId="0" borderId="12" xfId="0" applyFont="1" applyBorder="1" applyAlignment="1">
      <alignment horizontal="left" vertical="center" wrapText="1"/>
    </xf>
    <xf numFmtId="0" fontId="52" fillId="0" borderId="2" xfId="0" applyFont="1" applyBorder="1" applyAlignment="1">
      <alignment horizontal="left" wrapText="1"/>
    </xf>
    <xf numFmtId="0" fontId="70" fillId="3" borderId="2" xfId="0" applyFont="1" applyFill="1" applyBorder="1" applyAlignment="1">
      <alignment horizontal="center" vertical="center" wrapText="1"/>
    </xf>
    <xf numFmtId="49" fontId="124" fillId="20" borderId="2" xfId="0" applyNumberFormat="1" applyFont="1" applyFill="1" applyBorder="1" applyAlignment="1">
      <alignment horizontal="center"/>
    </xf>
    <xf numFmtId="0" fontId="71" fillId="13" borderId="2" xfId="0" applyFont="1" applyFill="1" applyBorder="1" applyAlignment="1">
      <alignment horizontal="left" vertical="center" wrapText="1"/>
    </xf>
    <xf numFmtId="0" fontId="139" fillId="20" borderId="10" xfId="0" applyFont="1" applyFill="1" applyBorder="1" applyAlignment="1">
      <alignment horizontal="center" vertical="center" wrapText="1"/>
    </xf>
    <xf numFmtId="0" fontId="139" fillId="20" borderId="14" xfId="0" applyFont="1" applyFill="1" applyBorder="1" applyAlignment="1">
      <alignment horizontal="center" vertical="center" wrapText="1"/>
    </xf>
    <xf numFmtId="0" fontId="139" fillId="20" borderId="12" xfId="0" applyFont="1" applyFill="1" applyBorder="1" applyAlignment="1">
      <alignment horizontal="center" vertical="center" wrapText="1"/>
    </xf>
    <xf numFmtId="0" fontId="138" fillId="20" borderId="2" xfId="0" applyFont="1" applyFill="1" applyBorder="1" applyAlignment="1">
      <alignment horizontal="center"/>
    </xf>
    <xf numFmtId="0" fontId="133" fillId="20" borderId="2" xfId="0" applyFont="1" applyFill="1" applyBorder="1" applyAlignment="1">
      <alignment horizontal="center"/>
    </xf>
    <xf numFmtId="0" fontId="124" fillId="20" borderId="2" xfId="0" applyFont="1" applyFill="1" applyBorder="1" applyAlignment="1">
      <alignment horizontal="center"/>
    </xf>
    <xf numFmtId="0" fontId="51" fillId="0" borderId="16" xfId="0" applyFont="1" applyBorder="1" applyAlignment="1">
      <alignment horizontal="left" vertical="center" wrapText="1"/>
    </xf>
    <xf numFmtId="49" fontId="27" fillId="0" borderId="0" xfId="0" applyNumberFormat="1" applyFont="1" applyAlignment="1">
      <alignment horizontal="center" vertical="center"/>
    </xf>
    <xf numFmtId="49" fontId="31" fillId="13" borderId="10" xfId="0" quotePrefix="1" applyNumberFormat="1" applyFont="1" applyFill="1" applyBorder="1" applyAlignment="1">
      <alignment horizontal="center" vertical="center"/>
    </xf>
    <xf numFmtId="49" fontId="31" fillId="13" borderId="14" xfId="0" quotePrefix="1" applyNumberFormat="1" applyFont="1" applyFill="1" applyBorder="1" applyAlignment="1">
      <alignment horizontal="center" vertical="center"/>
    </xf>
    <xf numFmtId="49" fontId="31" fillId="13" borderId="12" xfId="0" quotePrefix="1" applyNumberFormat="1" applyFont="1" applyFill="1" applyBorder="1" applyAlignment="1">
      <alignment horizontal="center" vertical="center"/>
    </xf>
    <xf numFmtId="0" fontId="31" fillId="13" borderId="11" xfId="0" applyFont="1" applyFill="1" applyBorder="1" applyAlignment="1">
      <alignment horizontal="center" vertical="center" wrapText="1"/>
    </xf>
    <xf numFmtId="0" fontId="31" fillId="13" borderId="16" xfId="0" applyFont="1" applyFill="1" applyBorder="1" applyAlignment="1">
      <alignment horizontal="center" vertical="center" wrapText="1"/>
    </xf>
    <xf numFmtId="0" fontId="31" fillId="13" borderId="17" xfId="0" applyFont="1" applyFill="1" applyBorder="1" applyAlignment="1">
      <alignment horizontal="center" vertical="center" wrapText="1"/>
    </xf>
    <xf numFmtId="0" fontId="31" fillId="13" borderId="19" xfId="0" applyFont="1" applyFill="1" applyBorder="1" applyAlignment="1">
      <alignment horizontal="center" vertical="center" wrapText="1"/>
    </xf>
    <xf numFmtId="0" fontId="31" fillId="13" borderId="1" xfId="0" applyFont="1" applyFill="1" applyBorder="1" applyAlignment="1">
      <alignment horizontal="center" vertical="center" wrapText="1"/>
    </xf>
    <xf numFmtId="0" fontId="31" fillId="13" borderId="18" xfId="0" applyFont="1" applyFill="1" applyBorder="1" applyAlignment="1">
      <alignment horizontal="center" vertical="center" wrapText="1"/>
    </xf>
    <xf numFmtId="0" fontId="87" fillId="3" borderId="14" xfId="0" applyFont="1" applyFill="1" applyBorder="1" applyAlignment="1">
      <alignment horizontal="center"/>
    </xf>
    <xf numFmtId="0" fontId="106" fillId="3" borderId="10" xfId="0" applyFont="1" applyFill="1" applyBorder="1" applyAlignment="1">
      <alignment horizontal="center" vertical="center" wrapText="1"/>
    </xf>
    <xf numFmtId="0" fontId="106" fillId="3" borderId="14" xfId="0" applyFont="1" applyFill="1" applyBorder="1" applyAlignment="1">
      <alignment horizontal="center" vertical="center" wrapText="1"/>
    </xf>
    <xf numFmtId="0" fontId="106" fillId="3" borderId="12" xfId="0" applyFont="1" applyFill="1" applyBorder="1" applyAlignment="1">
      <alignment horizontal="center" vertical="center" wrapText="1"/>
    </xf>
    <xf numFmtId="0" fontId="31" fillId="0" borderId="2" xfId="0" applyFont="1" applyBorder="1" applyAlignment="1">
      <alignment horizontal="left" vertical="center" wrapText="1"/>
    </xf>
    <xf numFmtId="0" fontId="31" fillId="0" borderId="2" xfId="0" applyFont="1" applyBorder="1" applyAlignment="1">
      <alignment horizontal="left" wrapText="1"/>
    </xf>
    <xf numFmtId="0" fontId="95" fillId="0" borderId="1" xfId="0" applyFont="1" applyBorder="1" applyAlignment="1">
      <alignment horizontal="left"/>
    </xf>
    <xf numFmtId="49" fontId="27" fillId="13" borderId="10" xfId="0" quotePrefix="1" applyNumberFormat="1" applyFont="1" applyFill="1" applyBorder="1" applyAlignment="1">
      <alignment horizontal="center" vertical="center"/>
    </xf>
    <xf numFmtId="49" fontId="27" fillId="13" borderId="14" xfId="0" quotePrefix="1" applyNumberFormat="1" applyFont="1" applyFill="1" applyBorder="1" applyAlignment="1">
      <alignment horizontal="center" vertical="center"/>
    </xf>
    <xf numFmtId="49" fontId="27" fillId="13" borderId="12" xfId="0" quotePrefix="1" applyNumberFormat="1" applyFont="1" applyFill="1" applyBorder="1" applyAlignment="1">
      <alignment horizontal="center" vertical="center"/>
    </xf>
    <xf numFmtId="0" fontId="30" fillId="3" borderId="10" xfId="0" applyFont="1" applyFill="1" applyBorder="1" applyAlignment="1">
      <alignment horizontal="center" vertical="center" wrapText="1"/>
    </xf>
    <xf numFmtId="0" fontId="30" fillId="3" borderId="14" xfId="0" applyFont="1" applyFill="1" applyBorder="1" applyAlignment="1">
      <alignment horizontal="center" vertical="center" wrapText="1"/>
    </xf>
    <xf numFmtId="0" fontId="30" fillId="3" borderId="12" xfId="0" applyFont="1" applyFill="1" applyBorder="1" applyAlignment="1">
      <alignment horizontal="center" vertical="center" wrapText="1"/>
    </xf>
    <xf numFmtId="0" fontId="27" fillId="0" borderId="10" xfId="0" applyFont="1" applyBorder="1" applyAlignment="1">
      <alignment horizontal="left" wrapText="1"/>
    </xf>
    <xf numFmtId="0" fontId="27" fillId="0" borderId="14" xfId="0" applyFont="1" applyBorder="1" applyAlignment="1">
      <alignment horizontal="left" wrapText="1"/>
    </xf>
    <xf numFmtId="0" fontId="27" fillId="0" borderId="12" xfId="0" applyFont="1" applyBorder="1" applyAlignment="1">
      <alignment horizontal="left" wrapText="1"/>
    </xf>
    <xf numFmtId="0" fontId="27" fillId="0" borderId="10" xfId="0" applyFont="1" applyBorder="1" applyAlignment="1">
      <alignment horizontal="left"/>
    </xf>
    <xf numFmtId="0" fontId="27" fillId="0" borderId="14" xfId="0" applyFont="1" applyBorder="1" applyAlignment="1">
      <alignment horizontal="left"/>
    </xf>
    <xf numFmtId="0" fontId="27" fillId="0" borderId="12" xfId="0" applyFont="1" applyBorder="1" applyAlignment="1">
      <alignment horizontal="left"/>
    </xf>
    <xf numFmtId="0" fontId="27" fillId="0" borderId="2" xfId="0" applyFont="1" applyBorder="1" applyAlignment="1">
      <alignment horizontal="left" wrapText="1"/>
    </xf>
    <xf numFmtId="0" fontId="101" fillId="8" borderId="10" xfId="0" applyFont="1" applyFill="1" applyBorder="1" applyAlignment="1">
      <alignment horizontal="left" vertical="center" wrapText="1"/>
    </xf>
    <xf numFmtId="0" fontId="75" fillId="8" borderId="12" xfId="0" applyFont="1" applyFill="1" applyBorder="1" applyAlignment="1">
      <alignment horizontal="left" vertical="center" wrapText="1"/>
    </xf>
    <xf numFmtId="0" fontId="106" fillId="3" borderId="10" xfId="0" applyFont="1" applyFill="1" applyBorder="1" applyAlignment="1">
      <alignment horizontal="center"/>
    </xf>
    <xf numFmtId="0" fontId="106" fillId="3" borderId="14" xfId="0" applyFont="1" applyFill="1" applyBorder="1" applyAlignment="1">
      <alignment horizontal="center"/>
    </xf>
    <xf numFmtId="0" fontId="106" fillId="3" borderId="12" xfId="0" applyFont="1" applyFill="1" applyBorder="1" applyAlignment="1">
      <alignment horizontal="center"/>
    </xf>
    <xf numFmtId="0" fontId="75" fillId="8" borderId="2" xfId="0" applyFont="1" applyFill="1" applyBorder="1" applyAlignment="1">
      <alignment horizontal="left" vertical="center"/>
    </xf>
    <xf numFmtId="0" fontId="30" fillId="8" borderId="2" xfId="0" applyFont="1" applyFill="1" applyBorder="1" applyAlignment="1">
      <alignment horizontal="center"/>
    </xf>
    <xf numFmtId="0" fontId="87" fillId="3" borderId="2" xfId="0" applyFont="1" applyFill="1" applyBorder="1" applyAlignment="1">
      <alignment horizontal="center"/>
    </xf>
    <xf numFmtId="0" fontId="31" fillId="13" borderId="2" xfId="0" applyFont="1" applyFill="1" applyBorder="1" applyAlignment="1">
      <alignment horizontal="center" vertical="center" wrapText="1"/>
    </xf>
    <xf numFmtId="0" fontId="41" fillId="0" borderId="16" xfId="0" applyFont="1" applyBorder="1" applyAlignment="1">
      <alignment horizontal="left" wrapText="1"/>
    </xf>
    <xf numFmtId="0" fontId="41" fillId="0" borderId="0" xfId="0" applyFont="1" applyAlignment="1">
      <alignment horizontal="left" wrapText="1"/>
    </xf>
    <xf numFmtId="0" fontId="31" fillId="13" borderId="4" xfId="0" applyFont="1" applyFill="1" applyBorder="1" applyAlignment="1">
      <alignment horizontal="center" vertical="center" wrapText="1"/>
    </xf>
    <xf numFmtId="0" fontId="31" fillId="13" borderId="6" xfId="0" applyFont="1" applyFill="1" applyBorder="1" applyAlignment="1">
      <alignment horizontal="center" vertical="center" wrapText="1"/>
    </xf>
    <xf numFmtId="0" fontId="0" fillId="13" borderId="2" xfId="0" applyFill="1" applyBorder="1" applyAlignment="1">
      <alignment horizontal="left"/>
    </xf>
    <xf numFmtId="0" fontId="97" fillId="13" borderId="2" xfId="0" applyFont="1" applyFill="1" applyBorder="1" applyAlignment="1">
      <alignment horizontal="left" vertical="center" wrapText="1"/>
    </xf>
    <xf numFmtId="49" fontId="27" fillId="13" borderId="6" xfId="0" quotePrefix="1" applyNumberFormat="1" applyFont="1" applyFill="1" applyBorder="1" applyAlignment="1">
      <alignment horizontal="center" vertical="center"/>
    </xf>
    <xf numFmtId="49" fontId="0" fillId="13" borderId="6" xfId="0" quotePrefix="1" applyNumberFormat="1" applyFill="1" applyBorder="1" applyAlignment="1">
      <alignment horizontal="center"/>
    </xf>
    <xf numFmtId="0" fontId="52" fillId="13" borderId="2" xfId="0" applyFont="1" applyFill="1" applyBorder="1" applyAlignment="1">
      <alignment horizontal="center" vertical="center"/>
    </xf>
    <xf numFmtId="0" fontId="81" fillId="13" borderId="2" xfId="1" applyFont="1" applyFill="1" applyBorder="1" applyAlignment="1">
      <alignment horizontal="left" vertical="center"/>
    </xf>
    <xf numFmtId="0" fontId="27" fillId="13" borderId="4"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8" xfId="0" applyFont="1" applyFill="1" applyBorder="1" applyAlignment="1">
      <alignment horizontal="center" vertical="center" wrapText="1"/>
    </xf>
    <xf numFmtId="0" fontId="52" fillId="0" borderId="2" xfId="0" applyFont="1" applyBorder="1" applyAlignment="1">
      <alignment horizontal="left"/>
    </xf>
    <xf numFmtId="0" fontId="52" fillId="0" borderId="0" xfId="0" applyFont="1" applyAlignment="1">
      <alignment horizontal="center" vertical="center" wrapText="1"/>
    </xf>
    <xf numFmtId="0" fontId="27" fillId="13" borderId="6" xfId="0" applyFont="1" applyFill="1" applyBorder="1" applyAlignment="1">
      <alignment horizontal="center" vertical="center" wrapText="1"/>
    </xf>
    <xf numFmtId="0" fontId="0" fillId="13" borderId="10" xfId="0" applyFill="1" applyBorder="1" applyAlignment="1">
      <alignment horizontal="left"/>
    </xf>
    <xf numFmtId="0" fontId="0" fillId="13" borderId="14" xfId="0" applyFill="1" applyBorder="1" applyAlignment="1">
      <alignment horizontal="left"/>
    </xf>
    <xf numFmtId="0" fontId="0" fillId="13" borderId="12" xfId="0" applyFill="1" applyBorder="1" applyAlignment="1">
      <alignment horizontal="left"/>
    </xf>
    <xf numFmtId="0" fontId="75" fillId="8" borderId="10" xfId="0" applyFont="1" applyFill="1" applyBorder="1" applyAlignment="1">
      <alignment horizontal="left" vertical="center"/>
    </xf>
    <xf numFmtId="0" fontId="52" fillId="0" borderId="19" xfId="0" applyFont="1" applyBorder="1" applyAlignment="1">
      <alignment horizontal="left" wrapText="1"/>
    </xf>
    <xf numFmtId="0" fontId="52" fillId="0" borderId="1" xfId="0" applyFont="1" applyBorder="1" applyAlignment="1">
      <alignment horizontal="left" wrapText="1"/>
    </xf>
    <xf numFmtId="0" fontId="52" fillId="0" borderId="18" xfId="0" applyFont="1" applyBorder="1" applyAlignment="1">
      <alignment horizontal="left" wrapText="1"/>
    </xf>
    <xf numFmtId="0" fontId="52" fillId="0" borderId="19" xfId="0" applyFont="1" applyBorder="1" applyAlignment="1">
      <alignment horizontal="center" vertical="center" wrapText="1"/>
    </xf>
    <xf numFmtId="0" fontId="52" fillId="0" borderId="1" xfId="0" applyFont="1" applyBorder="1" applyAlignment="1">
      <alignment horizontal="center" vertical="center" wrapText="1"/>
    </xf>
    <xf numFmtId="0" fontId="52" fillId="0" borderId="18" xfId="0" applyFont="1" applyBorder="1" applyAlignment="1">
      <alignment horizontal="center" vertical="center" wrapText="1"/>
    </xf>
    <xf numFmtId="0" fontId="70" fillId="3" borderId="10" xfId="0" applyFont="1" applyFill="1" applyBorder="1" applyAlignment="1">
      <alignment horizontal="center" vertical="center" wrapText="1"/>
    </xf>
    <xf numFmtId="0" fontId="70" fillId="3" borderId="12" xfId="0" applyFont="1" applyFill="1" applyBorder="1" applyAlignment="1">
      <alignment horizontal="center" vertical="center" wrapText="1"/>
    </xf>
    <xf numFmtId="0" fontId="98" fillId="20" borderId="2" xfId="0" applyFont="1" applyFill="1" applyBorder="1" applyAlignment="1">
      <alignment horizontal="left" vertical="center" wrapText="1"/>
    </xf>
    <xf numFmtId="0" fontId="52" fillId="0" borderId="10" xfId="0" applyFont="1" applyBorder="1" applyAlignment="1">
      <alignment wrapText="1"/>
    </xf>
    <xf numFmtId="0" fontId="52" fillId="0" borderId="14" xfId="0" applyFont="1" applyBorder="1" applyAlignment="1">
      <alignment wrapText="1"/>
    </xf>
    <xf numFmtId="0" fontId="52" fillId="0" borderId="12" xfId="0" applyFont="1" applyBorder="1" applyAlignment="1">
      <alignment wrapText="1"/>
    </xf>
    <xf numFmtId="49" fontId="27" fillId="0" borderId="0" xfId="0" quotePrefix="1" applyNumberFormat="1" applyFont="1" applyAlignment="1">
      <alignment horizontal="center" vertical="center"/>
    </xf>
    <xf numFmtId="0" fontId="98" fillId="13" borderId="6" xfId="0" applyFont="1" applyFill="1" applyBorder="1" applyAlignment="1">
      <alignment horizontal="left" vertical="center" wrapText="1"/>
    </xf>
    <xf numFmtId="0" fontId="27" fillId="0" borderId="2" xfId="0" applyFont="1" applyBorder="1" applyAlignment="1">
      <alignment horizontal="center" vertical="center" wrapText="1"/>
    </xf>
    <xf numFmtId="49" fontId="30" fillId="13" borderId="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49" fontId="27" fillId="0" borderId="2" xfId="0" applyNumberFormat="1" applyFont="1" applyBorder="1" applyAlignment="1">
      <alignment horizontal="center" vertical="center"/>
    </xf>
    <xf numFmtId="49" fontId="27" fillId="0" borderId="2" xfId="0" applyNumberFormat="1" applyFont="1" applyBorder="1" applyAlignment="1">
      <alignment horizontal="center" vertical="center" wrapText="1"/>
    </xf>
    <xf numFmtId="0" fontId="27" fillId="0" borderId="2" xfId="0" applyFont="1" applyBorder="1" applyAlignment="1">
      <alignment horizontal="center"/>
    </xf>
    <xf numFmtId="49" fontId="41" fillId="0" borderId="16" xfId="0" applyNumberFormat="1" applyFont="1" applyBorder="1" applyAlignment="1">
      <alignment horizontal="left" vertical="center" wrapText="1"/>
    </xf>
    <xf numFmtId="0" fontId="68" fillId="20" borderId="2" xfId="0" applyFont="1" applyFill="1" applyBorder="1" applyAlignment="1">
      <alignment horizontal="left" vertical="center" wrapText="1"/>
    </xf>
    <xf numFmtId="0" fontId="20" fillId="5" borderId="2" xfId="0" applyFont="1" applyFill="1" applyBorder="1" applyAlignment="1">
      <alignment horizontal="left"/>
    </xf>
    <xf numFmtId="49" fontId="27" fillId="13" borderId="6" xfId="0" applyNumberFormat="1" applyFont="1" applyFill="1" applyBorder="1" applyAlignment="1">
      <alignment horizontal="center" vertical="center"/>
    </xf>
    <xf numFmtId="0" fontId="101" fillId="8" borderId="2" xfId="0" applyFont="1" applyFill="1" applyBorder="1" applyAlignment="1">
      <alignment horizontal="center" vertical="center" wrapText="1"/>
    </xf>
    <xf numFmtId="0" fontId="0" fillId="13" borderId="2" xfId="0" applyFill="1" applyBorder="1" applyAlignment="1">
      <alignment horizontal="left" vertical="center"/>
    </xf>
    <xf numFmtId="0" fontId="101" fillId="8" borderId="2" xfId="0" applyFont="1" applyFill="1" applyBorder="1" applyAlignment="1">
      <alignment horizontal="left" vertical="center" wrapText="1"/>
    </xf>
    <xf numFmtId="0" fontId="75" fillId="8" borderId="2" xfId="0" applyFont="1" applyFill="1" applyBorder="1" applyAlignment="1">
      <alignment horizontal="left" vertical="center" wrapText="1"/>
    </xf>
    <xf numFmtId="0" fontId="27" fillId="0" borderId="2" xfId="0" applyFont="1" applyBorder="1" applyAlignment="1">
      <alignment horizontal="left"/>
    </xf>
    <xf numFmtId="0" fontId="30" fillId="3" borderId="2" xfId="0" applyFont="1" applyFill="1" applyBorder="1" applyAlignment="1">
      <alignment horizontal="center" vertical="center" wrapText="1"/>
    </xf>
    <xf numFmtId="0" fontId="95" fillId="0" borderId="0" xfId="0" applyFont="1" applyAlignment="1">
      <alignment horizontal="left"/>
    </xf>
    <xf numFmtId="0" fontId="77" fillId="0" borderId="2" xfId="0" applyFont="1" applyBorder="1" applyAlignment="1">
      <alignment horizontal="left" vertical="center" wrapText="1"/>
    </xf>
    <xf numFmtId="0" fontId="71" fillId="13" borderId="2" xfId="0" applyFont="1" applyFill="1" applyBorder="1" applyAlignment="1">
      <alignment horizontal="left" vertical="center"/>
    </xf>
    <xf numFmtId="0" fontId="0" fillId="0" borderId="0" xfId="0" applyAlignment="1">
      <alignment horizontal="center"/>
    </xf>
    <xf numFmtId="0" fontId="27" fillId="13" borderId="10" xfId="0" applyFont="1" applyFill="1" applyBorder="1" applyAlignment="1">
      <alignment horizontal="center" vertical="center" wrapText="1"/>
    </xf>
    <xf numFmtId="0" fontId="27" fillId="13" borderId="12" xfId="0" applyFont="1" applyFill="1" applyBorder="1" applyAlignment="1">
      <alignment horizontal="center" vertical="center" wrapText="1"/>
    </xf>
    <xf numFmtId="49" fontId="31" fillId="0" borderId="2" xfId="0" quotePrefix="1" applyNumberFormat="1" applyFont="1" applyBorder="1" applyAlignment="1">
      <alignment horizontal="left" vertical="center" wrapText="1"/>
    </xf>
    <xf numFmtId="0" fontId="31" fillId="0" borderId="2" xfId="0" applyFont="1" applyBorder="1" applyAlignment="1">
      <alignment horizontal="left"/>
    </xf>
    <xf numFmtId="0" fontId="101" fillId="8" borderId="2" xfId="0" applyFont="1" applyFill="1" applyBorder="1" applyAlignment="1">
      <alignment horizontal="center" vertical="center"/>
    </xf>
    <xf numFmtId="0" fontId="75" fillId="8" borderId="2" xfId="0" applyFont="1" applyFill="1" applyBorder="1" applyAlignment="1">
      <alignment horizontal="center" vertical="center"/>
    </xf>
    <xf numFmtId="0" fontId="72" fillId="13" borderId="2" xfId="0" applyFont="1" applyFill="1" applyBorder="1" applyAlignment="1">
      <alignment horizontal="center" vertical="center" wrapText="1"/>
    </xf>
    <xf numFmtId="0" fontId="68" fillId="0" borderId="2" xfId="0" applyFont="1" applyBorder="1" applyAlignment="1">
      <alignment horizontal="left" vertical="center" wrapText="1"/>
    </xf>
    <xf numFmtId="49" fontId="31" fillId="0" borderId="2" xfId="0" applyNumberFormat="1" applyFont="1" applyBorder="1" applyAlignment="1">
      <alignment horizontal="left" vertical="center" wrapText="1"/>
    </xf>
    <xf numFmtId="49" fontId="31" fillId="13" borderId="2" xfId="0" applyNumberFormat="1" applyFont="1" applyFill="1" applyBorder="1" applyAlignment="1">
      <alignment horizontal="center" vertical="center"/>
    </xf>
    <xf numFmtId="0" fontId="31" fillId="12" borderId="2" xfId="0" applyFont="1" applyFill="1" applyBorder="1" applyAlignment="1">
      <alignment horizontal="left" vertical="center" wrapText="1"/>
    </xf>
    <xf numFmtId="0" fontId="30" fillId="0" borderId="0" xfId="0" applyFont="1" applyAlignment="1">
      <alignment horizontal="center"/>
    </xf>
    <xf numFmtId="0" fontId="31" fillId="12" borderId="2" xfId="0" applyFont="1" applyFill="1" applyBorder="1" applyAlignment="1">
      <alignment horizontal="left" vertical="center"/>
    </xf>
    <xf numFmtId="0" fontId="31" fillId="0" borderId="2" xfId="0" applyFont="1" applyBorder="1" applyAlignment="1">
      <alignment horizontal="left" vertical="center"/>
    </xf>
    <xf numFmtId="49" fontId="27" fillId="8" borderId="2" xfId="0" applyNumberFormat="1" applyFont="1" applyFill="1" applyBorder="1" applyAlignment="1">
      <alignment horizontal="center" vertical="center"/>
    </xf>
    <xf numFmtId="0" fontId="55" fillId="0" borderId="0" xfId="11" applyFont="1" applyAlignment="1">
      <alignment horizontal="center"/>
    </xf>
    <xf numFmtId="0" fontId="66" fillId="0" borderId="0" xfId="0" applyFont="1" applyAlignment="1">
      <alignment horizontal="left" vertical="center"/>
    </xf>
    <xf numFmtId="0" fontId="31" fillId="0" borderId="0" xfId="0" applyFont="1" applyAlignment="1">
      <alignment horizontal="left" vertical="center"/>
    </xf>
    <xf numFmtId="0" fontId="106" fillId="20" borderId="10" xfId="0" applyFont="1" applyFill="1" applyBorder="1" applyAlignment="1">
      <alignment horizontal="center" vertical="center" wrapText="1"/>
    </xf>
    <xf numFmtId="0" fontId="106" fillId="20" borderId="12" xfId="0" applyFont="1" applyFill="1" applyBorder="1" applyAlignment="1">
      <alignment horizontal="center" vertical="center" wrapText="1"/>
    </xf>
    <xf numFmtId="0" fontId="31" fillId="0" borderId="10" xfId="0" applyFont="1" applyBorder="1" applyAlignment="1">
      <alignment horizontal="center" vertical="center" wrapText="1"/>
    </xf>
    <xf numFmtId="0" fontId="31" fillId="0" borderId="12" xfId="0" applyFont="1" applyBorder="1" applyAlignment="1">
      <alignment horizontal="center" vertical="center" wrapText="1"/>
    </xf>
    <xf numFmtId="0" fontId="121" fillId="20" borderId="2" xfId="0" applyFont="1" applyFill="1" applyBorder="1" applyAlignment="1">
      <alignment horizontal="center" vertical="center" wrapText="1"/>
    </xf>
    <xf numFmtId="49" fontId="31" fillId="20" borderId="10" xfId="0" quotePrefix="1" applyNumberFormat="1" applyFont="1" applyFill="1" applyBorder="1" applyAlignment="1">
      <alignment horizontal="center"/>
    </xf>
    <xf numFmtId="49" fontId="31" fillId="20" borderId="12" xfId="0" quotePrefix="1" applyNumberFormat="1" applyFont="1" applyFill="1" applyBorder="1" applyAlignment="1">
      <alignment horizontal="center"/>
    </xf>
    <xf numFmtId="0" fontId="87" fillId="0" borderId="16" xfId="0" applyFont="1" applyBorder="1" applyAlignment="1">
      <alignment horizontal="left"/>
    </xf>
    <xf numFmtId="0" fontId="87" fillId="3" borderId="10" xfId="0" applyFont="1" applyFill="1" applyBorder="1" applyAlignment="1">
      <alignment horizontal="center" vertical="center"/>
    </xf>
    <xf numFmtId="0" fontId="87" fillId="3" borderId="12" xfId="0" applyFont="1" applyFill="1" applyBorder="1" applyAlignment="1">
      <alignment horizontal="center" vertical="center"/>
    </xf>
    <xf numFmtId="0" fontId="31" fillId="10" borderId="16" xfId="0" applyFont="1" applyFill="1" applyBorder="1" applyAlignment="1">
      <alignment horizontal="center"/>
    </xf>
    <xf numFmtId="0" fontId="121" fillId="20" borderId="10" xfId="0" applyFont="1" applyFill="1" applyBorder="1" applyAlignment="1">
      <alignment horizontal="center" vertical="center" wrapText="1"/>
    </xf>
    <xf numFmtId="0" fontId="121" fillId="20" borderId="12" xfId="0" applyFont="1" applyFill="1" applyBorder="1" applyAlignment="1">
      <alignment horizontal="center" vertical="center" wrapText="1"/>
    </xf>
    <xf numFmtId="0" fontId="31" fillId="13" borderId="10" xfId="0" applyFont="1" applyFill="1" applyBorder="1" applyAlignment="1">
      <alignment horizontal="center" vertical="center" wrapText="1"/>
    </xf>
    <xf numFmtId="0" fontId="31" fillId="13" borderId="14" xfId="0" applyFont="1" applyFill="1" applyBorder="1" applyAlignment="1">
      <alignment horizontal="center" vertical="center" wrapText="1"/>
    </xf>
    <xf numFmtId="0" fontId="31" fillId="13" borderId="12" xfId="0" applyFont="1" applyFill="1" applyBorder="1" applyAlignment="1">
      <alignment horizontal="center" vertical="center" wrapText="1"/>
    </xf>
    <xf numFmtId="49" fontId="31" fillId="13" borderId="2" xfId="0" quotePrefix="1" applyNumberFormat="1" applyFont="1" applyFill="1" applyBorder="1" applyAlignment="1">
      <alignment horizontal="center" vertical="center"/>
    </xf>
    <xf numFmtId="0" fontId="68" fillId="13" borderId="2" xfId="0" applyFont="1" applyFill="1" applyBorder="1" applyAlignment="1">
      <alignment horizontal="left" vertical="center" wrapText="1"/>
    </xf>
    <xf numFmtId="0" fontId="66" fillId="0" borderId="0" xfId="0" applyFont="1" applyAlignment="1">
      <alignment horizontal="left" vertical="center" wrapText="1"/>
    </xf>
    <xf numFmtId="49" fontId="27" fillId="0" borderId="10" xfId="0" applyNumberFormat="1" applyFont="1" applyBorder="1" applyAlignment="1">
      <alignment horizontal="center" vertical="center"/>
    </xf>
    <xf numFmtId="49" fontId="27" fillId="0" borderId="14" xfId="0" applyNumberFormat="1" applyFont="1" applyBorder="1" applyAlignment="1">
      <alignment horizontal="center" vertical="center"/>
    </xf>
    <xf numFmtId="49" fontId="27" fillId="0" borderId="12" xfId="0" applyNumberFormat="1" applyFont="1" applyBorder="1" applyAlignment="1">
      <alignment horizontal="center" vertical="center"/>
    </xf>
    <xf numFmtId="0" fontId="87" fillId="0" borderId="16" xfId="0" applyFont="1" applyBorder="1" applyAlignment="1">
      <alignment horizontal="left" vertical="center" wrapText="1"/>
    </xf>
    <xf numFmtId="0" fontId="87" fillId="0" borderId="1" xfId="0" applyFont="1" applyBorder="1" applyAlignment="1">
      <alignment horizontal="left" vertical="center" wrapText="1"/>
    </xf>
    <xf numFmtId="49" fontId="27" fillId="13" borderId="4" xfId="0" applyNumberFormat="1" applyFont="1" applyFill="1" applyBorder="1" applyAlignment="1">
      <alignment horizontal="center" vertical="center" wrapText="1"/>
    </xf>
    <xf numFmtId="49" fontId="27" fillId="13" borderId="6" xfId="0" applyNumberFormat="1" applyFont="1" applyFill="1" applyBorder="1" applyAlignment="1">
      <alignment horizontal="center" vertical="center" wrapText="1"/>
    </xf>
    <xf numFmtId="0" fontId="27" fillId="0" borderId="0" xfId="0" applyFont="1" applyAlignment="1">
      <alignment horizontal="left" wrapText="1"/>
    </xf>
    <xf numFmtId="0" fontId="27" fillId="0" borderId="0" xfId="0" applyFont="1" applyAlignment="1">
      <alignment horizontal="left"/>
    </xf>
    <xf numFmtId="0" fontId="27" fillId="13" borderId="2" xfId="0" applyFont="1" applyFill="1" applyBorder="1" applyAlignment="1">
      <alignment horizontal="center" vertical="center"/>
    </xf>
    <xf numFmtId="0" fontId="31" fillId="13" borderId="2" xfId="0" applyFont="1" applyFill="1" applyBorder="1" applyAlignment="1">
      <alignment horizontal="center" vertical="center"/>
    </xf>
    <xf numFmtId="0" fontId="0" fillId="0" borderId="8" xfId="0" applyBorder="1" applyAlignment="1">
      <alignment horizontal="center" vertical="center" wrapText="1"/>
    </xf>
    <xf numFmtId="0" fontId="26" fillId="13" borderId="10" xfId="0" applyFont="1" applyFill="1" applyBorder="1" applyAlignment="1">
      <alignment horizontal="left" vertical="center" wrapText="1"/>
    </xf>
    <xf numFmtId="0" fontId="26" fillId="13" borderId="14" xfId="0" applyFont="1" applyFill="1" applyBorder="1" applyAlignment="1">
      <alignment horizontal="left" vertical="center" wrapText="1"/>
    </xf>
    <xf numFmtId="0" fontId="26" fillId="13" borderId="12" xfId="0" applyFont="1" applyFill="1" applyBorder="1" applyAlignment="1">
      <alignment horizontal="left" vertical="center" wrapText="1"/>
    </xf>
    <xf numFmtId="0" fontId="30" fillId="0" borderId="0" xfId="0" applyFont="1" applyAlignment="1">
      <alignment horizontal="center" vertical="center" wrapText="1"/>
    </xf>
    <xf numFmtId="0" fontId="124" fillId="20" borderId="2" xfId="0" applyFont="1" applyFill="1" applyBorder="1" applyAlignment="1">
      <alignment horizontal="left" vertical="center" wrapText="1"/>
    </xf>
    <xf numFmtId="0" fontId="131" fillId="20" borderId="2" xfId="0" applyFont="1" applyFill="1" applyBorder="1" applyAlignment="1">
      <alignment horizontal="left" vertical="top"/>
    </xf>
    <xf numFmtId="0" fontId="133" fillId="20" borderId="2" xfId="0" applyFont="1" applyFill="1" applyBorder="1" applyAlignment="1">
      <alignment horizontal="left" vertical="center" wrapText="1"/>
    </xf>
    <xf numFmtId="0" fontId="124" fillId="20" borderId="2" xfId="0" applyFont="1" applyFill="1" applyBorder="1" applyAlignment="1">
      <alignment horizontal="center" vertical="center"/>
    </xf>
    <xf numFmtId="0" fontId="124" fillId="20" borderId="10" xfId="0" applyFont="1" applyFill="1" applyBorder="1" applyAlignment="1">
      <alignment horizontal="left" vertical="center"/>
    </xf>
    <xf numFmtId="0" fontId="124" fillId="20" borderId="14" xfId="0" applyFont="1" applyFill="1" applyBorder="1" applyAlignment="1">
      <alignment horizontal="left" vertical="center"/>
    </xf>
    <xf numFmtId="0" fontId="124" fillId="20" borderId="12" xfId="0" applyFont="1" applyFill="1" applyBorder="1" applyAlignment="1">
      <alignment horizontal="left" vertical="center"/>
    </xf>
    <xf numFmtId="0" fontId="36" fillId="0" borderId="2" xfId="0" applyFont="1" applyBorder="1" applyAlignment="1">
      <alignment horizontal="left" vertical="center" wrapText="1"/>
    </xf>
    <xf numFmtId="0" fontId="98" fillId="13" borderId="2" xfId="0" applyFont="1" applyFill="1" applyBorder="1" applyAlignment="1">
      <alignment horizontal="center" vertical="center" wrapText="1"/>
    </xf>
    <xf numFmtId="0" fontId="98" fillId="0" borderId="2" xfId="0" applyFont="1" applyBorder="1" applyAlignment="1">
      <alignment horizontal="center" vertical="center" wrapText="1"/>
    </xf>
    <xf numFmtId="0" fontId="68" fillId="3" borderId="10" xfId="0" applyFont="1" applyFill="1" applyBorder="1" applyAlignment="1">
      <alignment horizontal="center" vertical="center" wrapText="1"/>
    </xf>
    <xf numFmtId="0" fontId="68" fillId="3" borderId="14" xfId="0" applyFont="1" applyFill="1" applyBorder="1" applyAlignment="1">
      <alignment horizontal="center" vertical="center" wrapText="1"/>
    </xf>
    <xf numFmtId="0" fontId="68" fillId="3" borderId="12"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4"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0" xfId="0" applyFill="1" applyAlignment="1">
      <alignment horizontal="center" vertical="center"/>
    </xf>
    <xf numFmtId="0" fontId="71" fillId="13" borderId="16" xfId="0" applyFont="1" applyFill="1" applyBorder="1" applyAlignment="1">
      <alignment horizontal="center" vertical="center" wrapText="1"/>
    </xf>
    <xf numFmtId="0" fontId="71" fillId="13" borderId="17" xfId="0" applyFont="1" applyFill="1" applyBorder="1" applyAlignment="1">
      <alignment horizontal="center" vertical="center" wrapText="1"/>
    </xf>
    <xf numFmtId="0" fontId="71" fillId="13" borderId="1" xfId="0" applyFont="1" applyFill="1" applyBorder="1" applyAlignment="1">
      <alignment horizontal="center" vertical="center" wrapText="1"/>
    </xf>
    <xf numFmtId="0" fontId="71" fillId="13" borderId="18" xfId="0" applyFont="1" applyFill="1" applyBorder="1" applyAlignment="1">
      <alignment horizontal="center" vertical="center" wrapText="1"/>
    </xf>
    <xf numFmtId="49" fontId="52" fillId="13" borderId="4" xfId="0" applyNumberFormat="1" applyFont="1" applyFill="1" applyBorder="1" applyAlignment="1">
      <alignment horizontal="center" vertical="center" wrapText="1"/>
    </xf>
    <xf numFmtId="49" fontId="52" fillId="13" borderId="5" xfId="0" applyNumberFormat="1" applyFont="1" applyFill="1" applyBorder="1" applyAlignment="1">
      <alignment horizontal="center" vertical="center" wrapText="1"/>
    </xf>
    <xf numFmtId="49" fontId="52" fillId="13" borderId="17" xfId="0" applyNumberFormat="1" applyFont="1" applyFill="1" applyBorder="1" applyAlignment="1">
      <alignment horizontal="center" vertical="center"/>
    </xf>
    <xf numFmtId="49" fontId="52" fillId="13" borderId="18" xfId="0" applyNumberFormat="1" applyFont="1" applyFill="1" applyBorder="1" applyAlignment="1">
      <alignment horizontal="center" vertical="center"/>
    </xf>
    <xf numFmtId="0" fontId="36" fillId="3" borderId="14" xfId="0" applyFont="1" applyFill="1" applyBorder="1" applyAlignment="1">
      <alignment horizontal="center" vertical="center" wrapText="1"/>
    </xf>
    <xf numFmtId="0" fontId="36" fillId="3" borderId="12" xfId="0" applyFont="1" applyFill="1" applyBorder="1" applyAlignment="1">
      <alignment horizontal="center"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36" fillId="3" borderId="10" xfId="0" applyFont="1" applyFill="1" applyBorder="1" applyAlignment="1">
      <alignment horizontal="center" vertical="center" wrapText="1"/>
    </xf>
    <xf numFmtId="0" fontId="36" fillId="13" borderId="10" xfId="0" applyFont="1" applyFill="1" applyBorder="1" applyAlignment="1">
      <alignment horizontal="left" vertical="center" wrapText="1"/>
    </xf>
    <xf numFmtId="0" fontId="36" fillId="13" borderId="12" xfId="0" applyFont="1" applyFill="1" applyBorder="1" applyAlignment="1">
      <alignment horizontal="left" vertical="center" wrapText="1"/>
    </xf>
    <xf numFmtId="0" fontId="0" fillId="13" borderId="16" xfId="0" applyFill="1" applyBorder="1" applyAlignment="1">
      <alignment horizontal="left" vertical="center" wrapText="1"/>
    </xf>
    <xf numFmtId="0" fontId="0" fillId="13" borderId="1" xfId="0" applyFill="1" applyBorder="1" applyAlignment="1">
      <alignment horizontal="left" vertical="center" wrapText="1"/>
    </xf>
    <xf numFmtId="49" fontId="72" fillId="13" borderId="4" xfId="0" applyNumberFormat="1" applyFont="1" applyFill="1" applyBorder="1" applyAlignment="1">
      <alignment horizontal="center" vertical="center"/>
    </xf>
    <xf numFmtId="49" fontId="72" fillId="13" borderId="5" xfId="0" applyNumberFormat="1" applyFont="1" applyFill="1" applyBorder="1" applyAlignment="1">
      <alignment horizontal="center" vertical="center"/>
    </xf>
    <xf numFmtId="49" fontId="72" fillId="13" borderId="6" xfId="0" applyNumberFormat="1" applyFont="1" applyFill="1" applyBorder="1" applyAlignment="1">
      <alignment horizontal="center" vertical="center"/>
    </xf>
    <xf numFmtId="0" fontId="36" fillId="0" borderId="10" xfId="0" applyFont="1" applyBorder="1" applyAlignment="1">
      <alignment horizontal="left" vertical="center" wrapText="1"/>
    </xf>
    <xf numFmtId="0" fontId="36" fillId="0" borderId="14" xfId="0" applyFont="1" applyBorder="1" applyAlignment="1">
      <alignment horizontal="left" vertical="center" wrapText="1"/>
    </xf>
    <xf numFmtId="0" fontId="36" fillId="0" borderId="12" xfId="0" applyFont="1" applyBorder="1" applyAlignment="1">
      <alignment horizontal="left" vertical="center" wrapText="1"/>
    </xf>
    <xf numFmtId="0" fontId="61" fillId="3" borderId="10" xfId="0" applyFont="1" applyFill="1" applyBorder="1" applyAlignment="1">
      <alignment horizontal="center"/>
    </xf>
    <xf numFmtId="0" fontId="61" fillId="3" borderId="14" xfId="0" applyFont="1" applyFill="1" applyBorder="1" applyAlignment="1">
      <alignment horizontal="center"/>
    </xf>
    <xf numFmtId="0" fontId="61" fillId="3" borderId="12" xfId="0" applyFont="1" applyFill="1" applyBorder="1" applyAlignment="1">
      <alignment horizontal="center"/>
    </xf>
    <xf numFmtId="0" fontId="92" fillId="0" borderId="10" xfId="0" applyFont="1" applyBorder="1" applyAlignment="1">
      <alignment horizontal="center"/>
    </xf>
    <xf numFmtId="0" fontId="92" fillId="0" borderId="12" xfId="0" applyFont="1" applyBorder="1" applyAlignment="1">
      <alignment horizontal="center"/>
    </xf>
    <xf numFmtId="0" fontId="0" fillId="13" borderId="2" xfId="0" applyFill="1" applyBorder="1" applyAlignment="1">
      <alignment horizontal="center" vertical="center" wrapText="1"/>
    </xf>
    <xf numFmtId="0" fontId="98" fillId="13" borderId="2" xfId="0" applyFont="1" applyFill="1" applyBorder="1" applyAlignment="1">
      <alignment horizontal="center" vertical="center"/>
    </xf>
    <xf numFmtId="0" fontId="95" fillId="13" borderId="2" xfId="0" applyFont="1" applyFill="1" applyBorder="1" applyAlignment="1">
      <alignment horizontal="center" vertical="center"/>
    </xf>
    <xf numFmtId="0" fontId="52" fillId="0" borderId="2" xfId="0" applyFont="1" applyBorder="1" applyAlignment="1">
      <alignment horizontal="center" vertical="center" wrapText="1"/>
    </xf>
    <xf numFmtId="0" fontId="65" fillId="0" borderId="16" xfId="0" applyFont="1" applyBorder="1" applyAlignment="1">
      <alignment horizontal="left" wrapText="1"/>
    </xf>
    <xf numFmtId="0" fontId="61" fillId="3" borderId="2" xfId="0" applyFont="1" applyFill="1" applyBorder="1" applyAlignment="1">
      <alignment horizontal="center"/>
    </xf>
    <xf numFmtId="0" fontId="0" fillId="0" borderId="2" xfId="0" applyBorder="1" applyAlignment="1">
      <alignment horizontal="left"/>
    </xf>
    <xf numFmtId="0" fontId="0" fillId="0" borderId="2" xfId="0" applyBorder="1" applyAlignment="1">
      <alignment horizontal="left" wrapText="1"/>
    </xf>
    <xf numFmtId="0" fontId="87" fillId="8" borderId="2" xfId="0" applyFont="1" applyFill="1" applyBorder="1" applyAlignment="1">
      <alignment horizontal="center" vertical="center"/>
    </xf>
    <xf numFmtId="0" fontId="27" fillId="8" borderId="2" xfId="0" applyFont="1" applyFill="1" applyBorder="1" applyAlignment="1">
      <alignment horizontal="center" vertical="center" wrapText="1"/>
    </xf>
    <xf numFmtId="0" fontId="87" fillId="3" borderId="2" xfId="0" applyFont="1" applyFill="1" applyBorder="1" applyAlignment="1">
      <alignment horizontal="center" vertical="center"/>
    </xf>
    <xf numFmtId="49" fontId="31" fillId="13" borderId="11" xfId="0" applyNumberFormat="1" applyFont="1" applyFill="1" applyBorder="1" applyAlignment="1">
      <alignment horizontal="center" vertical="center"/>
    </xf>
    <xf numFmtId="49" fontId="31" fillId="13" borderId="19" xfId="0" applyNumberFormat="1" applyFont="1" applyFill="1" applyBorder="1" applyAlignment="1">
      <alignment horizontal="center" vertical="center"/>
    </xf>
    <xf numFmtId="0" fontId="153" fillId="20" borderId="2" xfId="0" applyFont="1" applyFill="1" applyBorder="1" applyAlignment="1">
      <alignment horizontal="right"/>
    </xf>
    <xf numFmtId="0" fontId="0" fillId="0" borderId="10" xfId="0" applyBorder="1" applyAlignment="1">
      <alignment horizontal="right"/>
    </xf>
    <xf numFmtId="0" fontId="0" fillId="0" borderId="14" xfId="0" applyBorder="1" applyAlignment="1">
      <alignment horizontal="right"/>
    </xf>
    <xf numFmtId="0" fontId="0" fillId="22" borderId="0" xfId="0" applyFill="1" applyAlignment="1">
      <alignment horizontal="center" wrapText="1"/>
    </xf>
    <xf numFmtId="0" fontId="0" fillId="22" borderId="9" xfId="0" applyFill="1" applyBorder="1" applyAlignment="1">
      <alignment horizontal="center" wrapText="1"/>
    </xf>
    <xf numFmtId="0" fontId="98" fillId="17" borderId="4" xfId="0" applyFont="1" applyFill="1" applyBorder="1" applyAlignment="1">
      <alignment horizontal="center" vertical="center" wrapText="1"/>
    </xf>
    <xf numFmtId="0" fontId="98" fillId="17" borderId="5" xfId="0" applyFont="1" applyFill="1" applyBorder="1" applyAlignment="1">
      <alignment horizontal="center" vertical="center" wrapText="1"/>
    </xf>
    <xf numFmtId="0" fontId="98" fillId="17" borderId="6" xfId="0" applyFont="1" applyFill="1" applyBorder="1" applyAlignment="1">
      <alignment horizontal="center" vertical="center" wrapText="1"/>
    </xf>
    <xf numFmtId="0" fontId="95" fillId="3" borderId="2" xfId="0" applyFont="1" applyFill="1" applyBorder="1" applyAlignment="1">
      <alignment horizontal="center" vertical="center" wrapText="1"/>
    </xf>
    <xf numFmtId="0" fontId="95" fillId="8" borderId="4" xfId="0" applyFont="1" applyFill="1" applyBorder="1" applyAlignment="1">
      <alignment horizontal="center" vertical="center"/>
    </xf>
    <xf numFmtId="0" fontId="95" fillId="8" borderId="6" xfId="0" applyFont="1" applyFill="1" applyBorder="1" applyAlignment="1">
      <alignment horizontal="center" vertical="center"/>
    </xf>
    <xf numFmtId="0" fontId="31" fillId="17" borderId="4" xfId="0" applyFont="1" applyFill="1" applyBorder="1" applyAlignment="1">
      <alignment horizontal="center" wrapText="1"/>
    </xf>
    <xf numFmtId="0" fontId="31" fillId="17" borderId="6" xfId="0" applyFont="1" applyFill="1" applyBorder="1" applyAlignment="1">
      <alignment horizontal="center" wrapText="1"/>
    </xf>
    <xf numFmtId="0" fontId="98" fillId="17" borderId="4" xfId="0" applyFont="1" applyFill="1" applyBorder="1" applyAlignment="1">
      <alignment horizontal="center" vertical="center"/>
    </xf>
    <xf numFmtId="0" fontId="98" fillId="17" borderId="5" xfId="0" applyFont="1" applyFill="1" applyBorder="1" applyAlignment="1">
      <alignment horizontal="center" vertical="center"/>
    </xf>
    <xf numFmtId="0" fontId="98" fillId="17" borderId="6" xfId="0" applyFont="1" applyFill="1" applyBorder="1" applyAlignment="1">
      <alignment horizontal="center" vertical="center"/>
    </xf>
    <xf numFmtId="0" fontId="98" fillId="3" borderId="4" xfId="0" applyFont="1" applyFill="1" applyBorder="1" applyAlignment="1">
      <alignment horizontal="center" vertical="center" wrapText="1"/>
    </xf>
    <xf numFmtId="0" fontId="98" fillId="3" borderId="5" xfId="0" applyFont="1" applyFill="1" applyBorder="1" applyAlignment="1">
      <alignment horizontal="center" vertical="center" wrapText="1"/>
    </xf>
    <xf numFmtId="0" fontId="98" fillId="3" borderId="6" xfId="0" applyFont="1" applyFill="1" applyBorder="1" applyAlignment="1">
      <alignment horizontal="center" vertical="center" wrapText="1"/>
    </xf>
    <xf numFmtId="0" fontId="0" fillId="3" borderId="2" xfId="0" applyFill="1" applyBorder="1" applyAlignment="1">
      <alignment horizontal="center" vertical="center"/>
    </xf>
    <xf numFmtId="0" fontId="95" fillId="8" borderId="2" xfId="0" applyFont="1" applyFill="1" applyBorder="1" applyAlignment="1">
      <alignment horizontal="center" vertical="center"/>
    </xf>
    <xf numFmtId="0" fontId="95" fillId="3" borderId="2" xfId="0" applyFont="1" applyFill="1" applyBorder="1" applyAlignment="1">
      <alignment horizontal="center" vertical="center"/>
    </xf>
    <xf numFmtId="0" fontId="95" fillId="8" borderId="2" xfId="0" applyFont="1" applyFill="1" applyBorder="1" applyAlignment="1">
      <alignment horizontal="center"/>
    </xf>
    <xf numFmtId="0" fontId="95" fillId="3" borderId="2" xfId="0" applyFont="1" applyFill="1" applyBorder="1" applyAlignment="1">
      <alignment horizontal="center" wrapText="1"/>
    </xf>
    <xf numFmtId="0" fontId="95" fillId="8" borderId="4" xfId="0" applyFont="1" applyFill="1" applyBorder="1" applyAlignment="1">
      <alignment horizontal="center"/>
    </xf>
    <xf numFmtId="0" fontId="95" fillId="8" borderId="6" xfId="0" applyFont="1" applyFill="1" applyBorder="1" applyAlignment="1">
      <alignment horizontal="center"/>
    </xf>
    <xf numFmtId="49" fontId="31" fillId="13" borderId="4" xfId="0" applyNumberFormat="1" applyFont="1" applyFill="1" applyBorder="1" applyAlignment="1">
      <alignment horizontal="center" vertical="center"/>
    </xf>
    <xf numFmtId="49" fontId="31" fillId="13" borderId="6" xfId="0" applyNumberFormat="1" applyFont="1" applyFill="1" applyBorder="1" applyAlignment="1">
      <alignment horizontal="center" vertical="center"/>
    </xf>
    <xf numFmtId="0" fontId="95" fillId="13" borderId="2" xfId="0" applyFont="1" applyFill="1" applyBorder="1" applyAlignment="1">
      <alignment vertical="center"/>
    </xf>
    <xf numFmtId="0" fontId="98" fillId="13" borderId="4" xfId="0" applyFont="1" applyFill="1" applyBorder="1" applyAlignment="1">
      <alignment horizontal="center" vertical="center" wrapText="1"/>
    </xf>
    <xf numFmtId="0" fontId="98" fillId="13" borderId="6" xfId="0" applyFont="1" applyFill="1" applyBorder="1" applyAlignment="1">
      <alignment horizontal="center" vertical="center" wrapText="1"/>
    </xf>
    <xf numFmtId="0" fontId="98" fillId="13" borderId="4" xfId="0" applyFont="1" applyFill="1" applyBorder="1" applyAlignment="1">
      <alignment horizontal="center" vertical="center"/>
    </xf>
    <xf numFmtId="0" fontId="98" fillId="13" borderId="6" xfId="0" applyFont="1" applyFill="1" applyBorder="1" applyAlignment="1">
      <alignment horizontal="center" vertical="center"/>
    </xf>
    <xf numFmtId="0" fontId="121" fillId="20" borderId="2" xfId="0" applyFont="1" applyFill="1" applyBorder="1" applyAlignment="1">
      <alignment horizontal="left" vertical="center"/>
    </xf>
    <xf numFmtId="49" fontId="31" fillId="13" borderId="16" xfId="0" applyNumberFormat="1" applyFont="1" applyFill="1" applyBorder="1" applyAlignment="1">
      <alignment horizontal="center" vertical="center"/>
    </xf>
    <xf numFmtId="49" fontId="31" fillId="13" borderId="17" xfId="0" applyNumberFormat="1" applyFont="1" applyFill="1" applyBorder="1" applyAlignment="1">
      <alignment horizontal="center" vertical="center"/>
    </xf>
    <xf numFmtId="49" fontId="31" fillId="13" borderId="1" xfId="0" applyNumberFormat="1" applyFont="1" applyFill="1" applyBorder="1" applyAlignment="1">
      <alignment horizontal="center" vertical="center"/>
    </xf>
    <xf numFmtId="49" fontId="31" fillId="13" borderId="18" xfId="0" applyNumberFormat="1" applyFont="1" applyFill="1" applyBorder="1" applyAlignment="1">
      <alignment horizontal="center" vertical="center"/>
    </xf>
    <xf numFmtId="0" fontId="125" fillId="20" borderId="2" xfId="0" applyFont="1" applyFill="1" applyBorder="1" applyAlignment="1">
      <alignment horizontal="center" vertical="center"/>
    </xf>
    <xf numFmtId="0" fontId="122" fillId="20" borderId="10" xfId="0" applyFont="1" applyFill="1" applyBorder="1" applyAlignment="1">
      <alignment horizontal="left" vertical="center" wrapText="1"/>
    </xf>
    <xf numFmtId="0" fontId="122" fillId="20" borderId="14" xfId="0" applyFont="1" applyFill="1" applyBorder="1" applyAlignment="1">
      <alignment horizontal="left" vertical="center" wrapText="1"/>
    </xf>
    <xf numFmtId="0" fontId="122" fillId="20" borderId="12" xfId="0" applyFont="1" applyFill="1" applyBorder="1" applyAlignment="1">
      <alignment horizontal="left" vertical="center" wrapText="1"/>
    </xf>
    <xf numFmtId="0" fontId="27" fillId="13" borderId="16" xfId="0" applyFont="1" applyFill="1" applyBorder="1" applyAlignment="1">
      <alignment horizontal="center" vertical="center" wrapText="1"/>
    </xf>
    <xf numFmtId="0" fontId="27" fillId="13" borderId="17" xfId="0" applyFont="1" applyFill="1" applyBorder="1" applyAlignment="1">
      <alignment horizontal="center" vertical="center" wrapText="1"/>
    </xf>
    <xf numFmtId="0" fontId="27" fillId="0" borderId="10" xfId="0" applyFont="1" applyBorder="1" applyAlignment="1">
      <alignment wrapText="1"/>
    </xf>
    <xf numFmtId="0" fontId="27" fillId="0" borderId="14" xfId="0" applyFont="1" applyBorder="1" applyAlignment="1">
      <alignment wrapText="1"/>
    </xf>
    <xf numFmtId="0" fontId="27" fillId="0" borderId="12" xfId="0" applyFont="1" applyBorder="1" applyAlignment="1">
      <alignment wrapText="1"/>
    </xf>
    <xf numFmtId="0" fontId="27" fillId="20" borderId="10" xfId="0" applyFont="1" applyFill="1" applyBorder="1" applyAlignment="1">
      <alignment horizontal="left" vertical="center" wrapText="1"/>
    </xf>
    <xf numFmtId="0" fontId="27" fillId="20" borderId="14" xfId="0" applyFont="1" applyFill="1" applyBorder="1" applyAlignment="1">
      <alignment horizontal="left" vertical="center" wrapText="1"/>
    </xf>
    <xf numFmtId="0" fontId="27" fillId="20" borderId="12" xfId="0" applyFont="1" applyFill="1" applyBorder="1" applyAlignment="1">
      <alignment horizontal="left" vertical="center" wrapText="1"/>
    </xf>
    <xf numFmtId="0" fontId="122" fillId="20" borderId="10" xfId="0" applyFont="1" applyFill="1" applyBorder="1" applyAlignment="1">
      <alignment wrapText="1"/>
    </xf>
    <xf numFmtId="0" fontId="122" fillId="20" borderId="14" xfId="0" applyFont="1" applyFill="1" applyBorder="1" applyAlignment="1">
      <alignment wrapText="1"/>
    </xf>
    <xf numFmtId="0" fontId="122" fillId="20" borderId="12" xfId="0" applyFont="1" applyFill="1" applyBorder="1" applyAlignment="1">
      <alignment wrapText="1"/>
    </xf>
    <xf numFmtId="0" fontId="29" fillId="20" borderId="2" xfId="0" applyFont="1" applyFill="1" applyBorder="1" applyAlignment="1">
      <alignment horizontal="left" vertical="center" wrapText="1"/>
    </xf>
    <xf numFmtId="0" fontId="113" fillId="0" borderId="2" xfId="0" applyFont="1" applyBorder="1" applyAlignment="1">
      <alignment horizontal="left" vertical="center" wrapText="1"/>
    </xf>
    <xf numFmtId="0" fontId="27" fillId="20" borderId="4" xfId="0" applyFont="1" applyFill="1" applyBorder="1" applyAlignment="1">
      <alignment horizontal="center" vertical="center" wrapText="1"/>
    </xf>
    <xf numFmtId="0" fontId="27" fillId="20" borderId="6" xfId="0" applyFont="1" applyFill="1" applyBorder="1" applyAlignment="1">
      <alignment horizontal="center" vertical="center" wrapText="1"/>
    </xf>
    <xf numFmtId="0" fontId="27" fillId="20" borderId="10" xfId="0" applyFont="1" applyFill="1" applyBorder="1" applyAlignment="1">
      <alignment horizontal="center" vertical="center" wrapText="1"/>
    </xf>
    <xf numFmtId="0" fontId="27" fillId="20" borderId="12" xfId="0" applyFont="1" applyFill="1" applyBorder="1" applyAlignment="1">
      <alignment horizontal="center" vertical="center"/>
    </xf>
    <xf numFmtId="0" fontId="27" fillId="20" borderId="2" xfId="0" applyFont="1" applyFill="1" applyBorder="1" applyAlignment="1">
      <alignment horizontal="center" vertical="center" wrapText="1"/>
    </xf>
    <xf numFmtId="0" fontId="99" fillId="13" borderId="2" xfId="0" applyFont="1" applyFill="1" applyBorder="1" applyAlignment="1">
      <alignment horizontal="left"/>
    </xf>
    <xf numFmtId="0" fontId="52" fillId="20" borderId="2" xfId="0" applyFont="1" applyFill="1" applyBorder="1" applyAlignment="1">
      <alignment horizontal="center" vertical="center" wrapText="1"/>
    </xf>
    <xf numFmtId="0" fontId="0" fillId="20" borderId="2" xfId="0" applyFill="1" applyBorder="1" applyAlignment="1">
      <alignment horizontal="center" vertical="center" wrapText="1"/>
    </xf>
    <xf numFmtId="0" fontId="29" fillId="20" borderId="10" xfId="0" applyFont="1" applyFill="1" applyBorder="1" applyAlignment="1">
      <alignment horizontal="left" vertical="center" wrapText="1"/>
    </xf>
    <xf numFmtId="0" fontId="29" fillId="20" borderId="14" xfId="0" applyFont="1" applyFill="1" applyBorder="1" applyAlignment="1">
      <alignment horizontal="left" vertical="center" wrapText="1"/>
    </xf>
    <xf numFmtId="0" fontId="29" fillId="20" borderId="12" xfId="0" applyFont="1" applyFill="1" applyBorder="1" applyAlignment="1">
      <alignment horizontal="left" vertical="center" wrapText="1"/>
    </xf>
    <xf numFmtId="0" fontId="122" fillId="20" borderId="2" xfId="0" applyFont="1" applyFill="1" applyBorder="1" applyAlignment="1">
      <alignment horizontal="left" vertical="center" wrapText="1"/>
    </xf>
    <xf numFmtId="49" fontId="147" fillId="20" borderId="2" xfId="0" applyNumberFormat="1" applyFont="1" applyFill="1" applyBorder="1" applyAlignment="1">
      <alignment horizontal="center" vertical="center" wrapText="1"/>
    </xf>
    <xf numFmtId="0" fontId="132" fillId="20" borderId="2" xfId="0" applyFont="1" applyFill="1" applyBorder="1" applyAlignment="1">
      <alignment horizontal="left" vertical="center" wrapText="1"/>
    </xf>
    <xf numFmtId="0" fontId="148" fillId="20" borderId="10" xfId="0" applyFont="1" applyFill="1" applyBorder="1" applyAlignment="1">
      <alignment horizontal="left"/>
    </xf>
    <xf numFmtId="0" fontId="148" fillId="20" borderId="14" xfId="0" applyFont="1" applyFill="1" applyBorder="1" applyAlignment="1">
      <alignment horizontal="left"/>
    </xf>
    <xf numFmtId="0" fontId="148" fillId="20" borderId="12" xfId="0" applyFont="1" applyFill="1" applyBorder="1" applyAlignment="1">
      <alignment horizontal="left"/>
    </xf>
    <xf numFmtId="0" fontId="149" fillId="20" borderId="10" xfId="0" applyFont="1" applyFill="1" applyBorder="1" applyAlignment="1">
      <alignment horizontal="left" vertical="center" wrapText="1"/>
    </xf>
    <xf numFmtId="0" fontId="149" fillId="20" borderId="14" xfId="0" applyFont="1" applyFill="1" applyBorder="1" applyAlignment="1">
      <alignment horizontal="left" vertical="center" wrapText="1"/>
    </xf>
    <xf numFmtId="0" fontId="149" fillId="20" borderId="12" xfId="0" applyFont="1" applyFill="1" applyBorder="1" applyAlignment="1">
      <alignment horizontal="left" vertical="center" wrapText="1"/>
    </xf>
    <xf numFmtId="0" fontId="29" fillId="13" borderId="10" xfId="0" applyFont="1" applyFill="1" applyBorder="1" applyAlignment="1">
      <alignment horizontal="left" vertical="top" wrapText="1"/>
    </xf>
    <xf numFmtId="0" fontId="29" fillId="13" borderId="14" xfId="0" applyFont="1" applyFill="1" applyBorder="1" applyAlignment="1">
      <alignment horizontal="left" vertical="top" wrapText="1"/>
    </xf>
    <xf numFmtId="0" fontId="29" fillId="13" borderId="12" xfId="0" applyFont="1" applyFill="1" applyBorder="1" applyAlignment="1">
      <alignment horizontal="left" vertical="top" wrapText="1"/>
    </xf>
    <xf numFmtId="0" fontId="26" fillId="20" borderId="2" xfId="0" applyFont="1" applyFill="1" applyBorder="1" applyAlignment="1">
      <alignment horizontal="left" vertical="top" wrapText="1"/>
    </xf>
    <xf numFmtId="0" fontId="26" fillId="13" borderId="2" xfId="0" applyFont="1" applyFill="1" applyBorder="1" applyAlignment="1">
      <alignment horizontal="left" vertical="top" wrapText="1"/>
    </xf>
    <xf numFmtId="0" fontId="87" fillId="0" borderId="8" xfId="0" applyFont="1" applyBorder="1" applyAlignment="1">
      <alignment horizontal="left" vertical="center" wrapText="1"/>
    </xf>
    <xf numFmtId="0" fontId="87" fillId="0" borderId="0" xfId="0" applyFont="1" applyAlignment="1">
      <alignment horizontal="left" vertical="center" wrapText="1"/>
    </xf>
    <xf numFmtId="0" fontId="87" fillId="20" borderId="8" xfId="0" applyFont="1" applyFill="1" applyBorder="1" applyAlignment="1">
      <alignment horizontal="left" vertical="center" wrapText="1"/>
    </xf>
    <xf numFmtId="0" fontId="87" fillId="20" borderId="0" xfId="0" applyFont="1" applyFill="1" applyAlignment="1">
      <alignment horizontal="left" vertical="center" wrapText="1"/>
    </xf>
    <xf numFmtId="0" fontId="77" fillId="0" borderId="10" xfId="0" applyFont="1" applyBorder="1" applyAlignment="1">
      <alignment horizontal="left" vertical="top" wrapText="1"/>
    </xf>
    <xf numFmtId="0" fontId="20" fillId="18" borderId="10" xfId="61" applyFont="1" applyFill="1" applyBorder="1" applyAlignment="1">
      <alignment horizontal="left" vertical="center"/>
    </xf>
    <xf numFmtId="0" fontId="20" fillId="18" borderId="14" xfId="61" applyFont="1" applyFill="1" applyBorder="1" applyAlignment="1">
      <alignment horizontal="left" vertical="center"/>
    </xf>
    <xf numFmtId="0" fontId="20" fillId="18" borderId="12" xfId="61" applyFont="1" applyFill="1" applyBorder="1" applyAlignment="1">
      <alignment horizontal="left" vertical="center"/>
    </xf>
    <xf numFmtId="0" fontId="30" fillId="0" borderId="8" xfId="0" applyFont="1" applyBorder="1" applyAlignment="1">
      <alignment horizontal="left" vertical="center" wrapText="1"/>
    </xf>
    <xf numFmtId="0" fontId="30" fillId="0" borderId="0" xfId="0" applyFont="1" applyAlignment="1">
      <alignment horizontal="left" vertical="center" wrapText="1"/>
    </xf>
    <xf numFmtId="0" fontId="30" fillId="0" borderId="9" xfId="0" applyFont="1" applyBorder="1" applyAlignment="1">
      <alignment horizontal="left" vertical="center" wrapText="1"/>
    </xf>
    <xf numFmtId="0" fontId="121" fillId="20" borderId="10" xfId="0" applyFont="1" applyFill="1" applyBorder="1" applyAlignment="1">
      <alignment horizontal="left"/>
    </xf>
    <xf numFmtId="0" fontId="121" fillId="20" borderId="14" xfId="0" applyFont="1" applyFill="1" applyBorder="1" applyAlignment="1">
      <alignment horizontal="left"/>
    </xf>
    <xf numFmtId="0" fontId="121" fillId="20" borderId="12" xfId="0" applyFont="1" applyFill="1" applyBorder="1" applyAlignment="1">
      <alignment horizontal="left"/>
    </xf>
    <xf numFmtId="0" fontId="158" fillId="12" borderId="2" xfId="0" applyFont="1" applyFill="1" applyBorder="1" applyAlignment="1">
      <alignment horizontal="left" vertical="center" wrapText="1"/>
    </xf>
  </cellXfs>
  <cellStyles count="62">
    <cellStyle name="Hyperlink" xfId="60" builtinId="8"/>
    <cellStyle name="Normal" xfId="0" builtinId="0"/>
    <cellStyle name="Normal 2" xfId="1" xr:uid="{00000000-0005-0000-0000-000002000000}"/>
    <cellStyle name="Normal 2 2" xfId="10" xr:uid="{00000000-0005-0000-0000-000003000000}"/>
    <cellStyle name="Normal 3" xfId="2" xr:uid="{00000000-0005-0000-0000-000004000000}"/>
    <cellStyle name="Normal 3 2" xfId="11" xr:uid="{00000000-0005-0000-0000-000005000000}"/>
    <cellStyle name="Normal 4" xfId="3" xr:uid="{00000000-0005-0000-0000-000006000000}"/>
    <cellStyle name="Normal 4 2" xfId="8" xr:uid="{00000000-0005-0000-0000-000007000000}"/>
    <cellStyle name="Normal 4 3" xfId="6" xr:uid="{00000000-0005-0000-0000-000008000000}"/>
    <cellStyle name="Normal 4 3 2" xfId="14" xr:uid="{00000000-0005-0000-0000-000009000000}"/>
    <cellStyle name="Normal 5" xfId="4" xr:uid="{00000000-0005-0000-0000-00000A000000}"/>
    <cellStyle name="Normal 5 2" xfId="9" xr:uid="{00000000-0005-0000-0000-00000B000000}"/>
    <cellStyle name="Normal 5 2 2" xfId="16" xr:uid="{00000000-0005-0000-0000-00000C000000}"/>
    <cellStyle name="Normal 5 2 2 2" xfId="24" xr:uid="{00000000-0005-0000-0000-00000D000000}"/>
    <cellStyle name="Normal 5 2 2 2 2" xfId="41" xr:uid="{00000000-0005-0000-0000-00000E000000}"/>
    <cellStyle name="Normal 5 2 2 2 3" xfId="58" xr:uid="{00000000-0005-0000-0000-00000F000000}"/>
    <cellStyle name="Normal 5 2 2 3" xfId="33" xr:uid="{00000000-0005-0000-0000-000010000000}"/>
    <cellStyle name="Normal 5 2 2 4" xfId="50" xr:uid="{00000000-0005-0000-0000-000011000000}"/>
    <cellStyle name="Normal 5 2 3" xfId="20" xr:uid="{00000000-0005-0000-0000-000012000000}"/>
    <cellStyle name="Normal 5 2 3 2" xfId="37" xr:uid="{00000000-0005-0000-0000-000013000000}"/>
    <cellStyle name="Normal 5 2 3 3" xfId="54" xr:uid="{00000000-0005-0000-0000-000014000000}"/>
    <cellStyle name="Normal 5 2 4" xfId="29" xr:uid="{00000000-0005-0000-0000-000015000000}"/>
    <cellStyle name="Normal 5 2 5" xfId="46" xr:uid="{00000000-0005-0000-0000-000016000000}"/>
    <cellStyle name="Normal 5 3" xfId="12" xr:uid="{00000000-0005-0000-0000-000017000000}"/>
    <cellStyle name="Normal 5 3 2" xfId="21" xr:uid="{00000000-0005-0000-0000-000018000000}"/>
    <cellStyle name="Normal 5 3 2 2" xfId="38" xr:uid="{00000000-0005-0000-0000-000019000000}"/>
    <cellStyle name="Normal 5 3 2 3" xfId="55" xr:uid="{00000000-0005-0000-0000-00001A000000}"/>
    <cellStyle name="Normal 5 3 3" xfId="30" xr:uid="{00000000-0005-0000-0000-00001B000000}"/>
    <cellStyle name="Normal 5 3 4" xfId="47" xr:uid="{00000000-0005-0000-0000-00001C000000}"/>
    <cellStyle name="Normal 5 4" xfId="17" xr:uid="{00000000-0005-0000-0000-00001D000000}"/>
    <cellStyle name="Normal 5 4 2" xfId="34" xr:uid="{00000000-0005-0000-0000-00001E000000}"/>
    <cellStyle name="Normal 5 4 3" xfId="51" xr:uid="{00000000-0005-0000-0000-00001F000000}"/>
    <cellStyle name="Normal 5 5" xfId="25" xr:uid="{00000000-0005-0000-0000-000020000000}"/>
    <cellStyle name="Normal 5 5 2" xfId="42" xr:uid="{00000000-0005-0000-0000-000021000000}"/>
    <cellStyle name="Normal 5 5 3" xfId="59" xr:uid="{00000000-0005-0000-0000-000022000000}"/>
    <cellStyle name="Normal 5 6" xfId="26" xr:uid="{00000000-0005-0000-0000-000023000000}"/>
    <cellStyle name="Normal 5 7" xfId="43" xr:uid="{00000000-0005-0000-0000-000024000000}"/>
    <cellStyle name="Normal 6" xfId="5" xr:uid="{00000000-0005-0000-0000-000025000000}"/>
    <cellStyle name="Normal 6 2" xfId="7" xr:uid="{00000000-0005-0000-0000-000026000000}"/>
    <cellStyle name="Normal 6 2 2" xfId="15" xr:uid="{00000000-0005-0000-0000-000027000000}"/>
    <cellStyle name="Normal 6 2 2 2" xfId="23" xr:uid="{00000000-0005-0000-0000-000028000000}"/>
    <cellStyle name="Normal 6 2 2 2 2" xfId="40" xr:uid="{00000000-0005-0000-0000-000029000000}"/>
    <cellStyle name="Normal 6 2 2 2 3" xfId="57" xr:uid="{00000000-0005-0000-0000-00002A000000}"/>
    <cellStyle name="Normal 6 2 2 3" xfId="32" xr:uid="{00000000-0005-0000-0000-00002B000000}"/>
    <cellStyle name="Normal 6 2 2 4" xfId="49" xr:uid="{00000000-0005-0000-0000-00002C000000}"/>
    <cellStyle name="Normal 6 2 2 5" xfId="61" xr:uid="{00000000-0005-0000-0000-00002D000000}"/>
    <cellStyle name="Normal 6 2 3" xfId="19" xr:uid="{00000000-0005-0000-0000-00002E000000}"/>
    <cellStyle name="Normal 6 2 3 2" xfId="36" xr:uid="{00000000-0005-0000-0000-00002F000000}"/>
    <cellStyle name="Normal 6 2 3 3" xfId="53" xr:uid="{00000000-0005-0000-0000-000030000000}"/>
    <cellStyle name="Normal 6 2 4" xfId="28" xr:uid="{00000000-0005-0000-0000-000031000000}"/>
    <cellStyle name="Normal 6 2 5" xfId="45" xr:uid="{00000000-0005-0000-0000-000032000000}"/>
    <cellStyle name="Normal 6 3" xfId="13" xr:uid="{00000000-0005-0000-0000-000033000000}"/>
    <cellStyle name="Normal 6 3 2" xfId="22" xr:uid="{00000000-0005-0000-0000-000034000000}"/>
    <cellStyle name="Normal 6 3 2 2" xfId="39" xr:uid="{00000000-0005-0000-0000-000035000000}"/>
    <cellStyle name="Normal 6 3 2 3" xfId="56" xr:uid="{00000000-0005-0000-0000-000036000000}"/>
    <cellStyle name="Normal 6 3 3" xfId="31" xr:uid="{00000000-0005-0000-0000-000037000000}"/>
    <cellStyle name="Normal 6 3 4" xfId="48" xr:uid="{00000000-0005-0000-0000-000038000000}"/>
    <cellStyle name="Normal 6 4" xfId="18" xr:uid="{00000000-0005-0000-0000-000039000000}"/>
    <cellStyle name="Normal 6 4 2" xfId="35" xr:uid="{00000000-0005-0000-0000-00003A000000}"/>
    <cellStyle name="Normal 6 4 3" xfId="52" xr:uid="{00000000-0005-0000-0000-00003B000000}"/>
    <cellStyle name="Normal 6 5" xfId="27" xr:uid="{00000000-0005-0000-0000-00003C000000}"/>
    <cellStyle name="Normal 6 6" xfId="44" xr:uid="{00000000-0005-0000-0000-00003D000000}"/>
  </cellStyles>
  <dxfs count="0"/>
  <tableStyles count="0" defaultTableStyle="TableStyleMedium2" defaultPivotStyle="PivotStyleLight16"/>
  <colors>
    <mruColors>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alcChain" Target="calcChain.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3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438037"/>
          <a:ext cx="352981" cy="305435"/>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6732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00000000-0008-0000-0400-000004000000}"/>
            </a:ext>
          </a:extLst>
        </xdr:cNvPr>
        <xdr:cNvSpPr/>
      </xdr:nvSpPr>
      <xdr:spPr>
        <a:xfrm>
          <a:off x="9096375" y="473075"/>
          <a:ext cx="2838450" cy="15748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00000000-0008-0000-0400-000005000000}"/>
            </a:ext>
          </a:extLst>
        </xdr:cNvPr>
        <xdr:cNvSpPr/>
      </xdr:nvSpPr>
      <xdr:spPr>
        <a:xfrm>
          <a:off x="9058275" y="2590800"/>
          <a:ext cx="2838450" cy="12096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10</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533176</xdr:colOff>
      <xdr:row>3</xdr:row>
      <xdr:rowOff>109818</xdr:rowOff>
    </xdr:from>
    <xdr:to>
      <xdr:col>19</xdr:col>
      <xdr:colOff>43928</xdr:colOff>
      <xdr:row>9</xdr:row>
      <xdr:rowOff>148142</xdr:rowOff>
    </xdr:to>
    <xdr:sp macro="" textlink="">
      <xdr:nvSpPr>
        <xdr:cNvPr id="2" name="Left Arrow 5">
          <a:extLst>
            <a:ext uri="{FF2B5EF4-FFF2-40B4-BE49-F238E27FC236}">
              <a16:creationId xmlns:a16="http://schemas.microsoft.com/office/drawing/2014/main" id="{00000000-0008-0000-0600-000002000000}"/>
            </a:ext>
          </a:extLst>
        </xdr:cNvPr>
        <xdr:cNvSpPr/>
      </xdr:nvSpPr>
      <xdr:spPr>
        <a:xfrm>
          <a:off x="8691058" y="647700"/>
          <a:ext cx="3141458" cy="111408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358588</xdr:colOff>
      <xdr:row>155</xdr:row>
      <xdr:rowOff>62372</xdr:rowOff>
    </xdr:from>
    <xdr:to>
      <xdr:col>5</xdr:col>
      <xdr:colOff>711580</xdr:colOff>
      <xdr:row>176</xdr:row>
      <xdr:rowOff>35494</xdr:rowOff>
    </xdr:to>
    <xdr:pic>
      <xdr:nvPicPr>
        <xdr:cNvPr id="2" name="Picture 1">
          <a:extLst>
            <a:ext uri="{FF2B5EF4-FFF2-40B4-BE49-F238E27FC236}">
              <a16:creationId xmlns:a16="http://schemas.microsoft.com/office/drawing/2014/main" id="{E4F534F6-E3F4-4A39-AA0B-1C4835D913AD}"/>
            </a:ext>
          </a:extLst>
        </xdr:cNvPr>
        <xdr:cNvPicPr>
          <a:picLocks noChangeAspect="1"/>
        </xdr:cNvPicPr>
      </xdr:nvPicPr>
      <xdr:blipFill>
        <a:blip xmlns:r="http://schemas.openxmlformats.org/officeDocument/2006/relationships" r:embed="rId1"/>
        <a:stretch>
          <a:fillRect/>
        </a:stretch>
      </xdr:blipFill>
      <xdr:spPr>
        <a:xfrm>
          <a:off x="358588" y="42095637"/>
          <a:ext cx="7502345" cy="3973622"/>
        </a:xfrm>
        <a:prstGeom prst="rect">
          <a:avLst/>
        </a:prstGeom>
      </xdr:spPr>
    </xdr:pic>
    <xdr:clientData/>
  </xdr:twoCellAnchor>
  <xdr:twoCellAnchor editAs="oneCell">
    <xdr:from>
      <xdr:col>0</xdr:col>
      <xdr:colOff>510988</xdr:colOff>
      <xdr:row>134</xdr:row>
      <xdr:rowOff>44823</xdr:rowOff>
    </xdr:from>
    <xdr:to>
      <xdr:col>5</xdr:col>
      <xdr:colOff>791547</xdr:colOff>
      <xdr:row>155</xdr:row>
      <xdr:rowOff>69148</xdr:rowOff>
    </xdr:to>
    <xdr:pic>
      <xdr:nvPicPr>
        <xdr:cNvPr id="3" name="Picture 2">
          <a:extLst>
            <a:ext uri="{FF2B5EF4-FFF2-40B4-BE49-F238E27FC236}">
              <a16:creationId xmlns:a16="http://schemas.microsoft.com/office/drawing/2014/main" id="{2E98B630-A573-4851-8E66-9CF736CD7507}"/>
            </a:ext>
          </a:extLst>
        </xdr:cNvPr>
        <xdr:cNvPicPr>
          <a:picLocks noChangeAspect="1"/>
        </xdr:cNvPicPr>
      </xdr:nvPicPr>
      <xdr:blipFill>
        <a:blip xmlns:r="http://schemas.openxmlformats.org/officeDocument/2006/relationships" r:embed="rId2"/>
        <a:stretch>
          <a:fillRect/>
        </a:stretch>
      </xdr:blipFill>
      <xdr:spPr>
        <a:xfrm>
          <a:off x="510988" y="38077588"/>
          <a:ext cx="7429912" cy="4024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104</xdr:row>
      <xdr:rowOff>17549</xdr:rowOff>
    </xdr:from>
    <xdr:to>
      <xdr:col>8</xdr:col>
      <xdr:colOff>128874</xdr:colOff>
      <xdr:row>124</xdr:row>
      <xdr:rowOff>181171</xdr:rowOff>
    </xdr:to>
    <xdr:pic>
      <xdr:nvPicPr>
        <xdr:cNvPr id="2" name="Picture 1">
          <a:extLst>
            <a:ext uri="{FF2B5EF4-FFF2-40B4-BE49-F238E27FC236}">
              <a16:creationId xmlns:a16="http://schemas.microsoft.com/office/drawing/2014/main" id="{4FEF5D7D-B229-48B3-BDD0-5E63AA3B3644}"/>
            </a:ext>
          </a:extLst>
        </xdr:cNvPr>
        <xdr:cNvPicPr>
          <a:picLocks noChangeAspect="1"/>
        </xdr:cNvPicPr>
      </xdr:nvPicPr>
      <xdr:blipFill>
        <a:blip xmlns:r="http://schemas.openxmlformats.org/officeDocument/2006/relationships" r:embed="rId1"/>
        <a:stretch>
          <a:fillRect/>
        </a:stretch>
      </xdr:blipFill>
      <xdr:spPr>
        <a:xfrm>
          <a:off x="1322294" y="29040784"/>
          <a:ext cx="7502345" cy="3973622"/>
        </a:xfrm>
        <a:prstGeom prst="rect">
          <a:avLst/>
        </a:prstGeom>
      </xdr:spPr>
    </xdr:pic>
    <xdr:clientData/>
  </xdr:twoCellAnchor>
  <xdr:twoCellAnchor editAs="oneCell">
    <xdr:from>
      <xdr:col>2</xdr:col>
      <xdr:colOff>152400</xdr:colOff>
      <xdr:row>83</xdr:row>
      <xdr:rowOff>0</xdr:rowOff>
    </xdr:from>
    <xdr:to>
      <xdr:col>8</xdr:col>
      <xdr:colOff>208841</xdr:colOff>
      <xdr:row>104</xdr:row>
      <xdr:rowOff>24325</xdr:rowOff>
    </xdr:to>
    <xdr:pic>
      <xdr:nvPicPr>
        <xdr:cNvPr id="3" name="Picture 2">
          <a:extLst>
            <a:ext uri="{FF2B5EF4-FFF2-40B4-BE49-F238E27FC236}">
              <a16:creationId xmlns:a16="http://schemas.microsoft.com/office/drawing/2014/main" id="{1D7DE92F-ABF2-45A9-AE73-CC0DCAF396F6}"/>
            </a:ext>
          </a:extLst>
        </xdr:cNvPr>
        <xdr:cNvPicPr>
          <a:picLocks noChangeAspect="1"/>
        </xdr:cNvPicPr>
      </xdr:nvPicPr>
      <xdr:blipFill>
        <a:blip xmlns:r="http://schemas.openxmlformats.org/officeDocument/2006/relationships" r:embed="rId2"/>
        <a:stretch>
          <a:fillRect/>
        </a:stretch>
      </xdr:blipFill>
      <xdr:spPr>
        <a:xfrm>
          <a:off x="1474694" y="25022735"/>
          <a:ext cx="7429912" cy="4024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672353</xdr:colOff>
      <xdr:row>26</xdr:row>
      <xdr:rowOff>149617</xdr:rowOff>
    </xdr:from>
    <xdr:to>
      <xdr:col>11</xdr:col>
      <xdr:colOff>277860</xdr:colOff>
      <xdr:row>34</xdr:row>
      <xdr:rowOff>88477</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srcRect b="42414"/>
        <a:stretch/>
      </xdr:blipFill>
      <xdr:spPr>
        <a:xfrm>
          <a:off x="10641853" y="7378034"/>
          <a:ext cx="8121280" cy="2284550"/>
        </a:xfrm>
        <a:prstGeom prst="rect">
          <a:avLst/>
        </a:prstGeom>
      </xdr:spPr>
    </xdr:pic>
    <xdr:clientData/>
  </xdr:twoCellAnchor>
  <xdr:twoCellAnchor editAs="oneCell">
    <xdr:from>
      <xdr:col>6</xdr:col>
      <xdr:colOff>656167</xdr:colOff>
      <xdr:row>34</xdr:row>
      <xdr:rowOff>169334</xdr:rowOff>
    </xdr:from>
    <xdr:to>
      <xdr:col>10</xdr:col>
      <xdr:colOff>741181</xdr:colOff>
      <xdr:row>43</xdr:row>
      <xdr:rowOff>65228</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10625667" y="9747251"/>
          <a:ext cx="6950634" cy="16671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5" name="Option Button 1" hidden="1">
              <a:extLst>
                <a:ext uri="{63B3BB69-23CF-44E3-9099-C40C66FF867C}">
                  <a14:compatExt spid="_x0000_s236545"/>
                </a:ext>
                <a:ext uri="{FF2B5EF4-FFF2-40B4-BE49-F238E27FC236}">
                  <a16:creationId xmlns:a16="http://schemas.microsoft.com/office/drawing/2014/main" id="{00000000-0008-0000-1600-000001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6" name="Option Button 2" hidden="1">
              <a:extLst>
                <a:ext uri="{63B3BB69-23CF-44E3-9099-C40C66FF867C}">
                  <a14:compatExt spid="_x0000_s236546"/>
                </a:ext>
                <a:ext uri="{FF2B5EF4-FFF2-40B4-BE49-F238E27FC236}">
                  <a16:creationId xmlns:a16="http://schemas.microsoft.com/office/drawing/2014/main" id="{00000000-0008-0000-1600-000002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7" name="Option Button 3" hidden="1">
              <a:extLst>
                <a:ext uri="{63B3BB69-23CF-44E3-9099-C40C66FF867C}">
                  <a14:compatExt spid="_x0000_s236547"/>
                </a:ext>
                <a:ext uri="{FF2B5EF4-FFF2-40B4-BE49-F238E27FC236}">
                  <a16:creationId xmlns:a16="http://schemas.microsoft.com/office/drawing/2014/main" id="{00000000-0008-0000-1600-000003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E00-000002000000}"/>
            </a:ext>
          </a:extLst>
        </xdr:cNvPr>
        <xdr:cNvSpPr/>
      </xdr:nvSpPr>
      <xdr:spPr>
        <a:xfrm>
          <a:off x="8960672" y="374725"/>
          <a:ext cx="182880" cy="17590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1553135</xdr:colOff>
      <xdr:row>13</xdr:row>
      <xdr:rowOff>24653</xdr:rowOff>
    </xdr:from>
    <xdr:to>
      <xdr:col>4</xdr:col>
      <xdr:colOff>1146699</xdr:colOff>
      <xdr:row>13</xdr:row>
      <xdr:rowOff>188259</xdr:rowOff>
    </xdr:to>
    <xdr:sp macro="" textlink="">
      <xdr:nvSpPr>
        <xdr:cNvPr id="3" name="Rectangle 2">
          <a:extLst>
            <a:ext uri="{FF2B5EF4-FFF2-40B4-BE49-F238E27FC236}">
              <a16:creationId xmlns:a16="http://schemas.microsoft.com/office/drawing/2014/main" id="{00000000-0008-0000-1E00-000003000000}"/>
            </a:ext>
          </a:extLst>
        </xdr:cNvPr>
        <xdr:cNvSpPr/>
      </xdr:nvSpPr>
      <xdr:spPr>
        <a:xfrm>
          <a:off x="6248400" y="4439771"/>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1165412</xdr:colOff>
      <xdr:row>13</xdr:row>
      <xdr:rowOff>11206</xdr:rowOff>
    </xdr:from>
    <xdr:to>
      <xdr:col>5</xdr:col>
      <xdr:colOff>24430</xdr:colOff>
      <xdr:row>13</xdr:row>
      <xdr:rowOff>174812</xdr:rowOff>
    </xdr:to>
    <xdr:sp macro="" textlink="">
      <xdr:nvSpPr>
        <xdr:cNvPr id="4" name="Rectangle 3">
          <a:extLst>
            <a:ext uri="{FF2B5EF4-FFF2-40B4-BE49-F238E27FC236}">
              <a16:creationId xmlns:a16="http://schemas.microsoft.com/office/drawing/2014/main" id="{00000000-0008-0000-1E00-000004000000}"/>
            </a:ext>
          </a:extLst>
        </xdr:cNvPr>
        <xdr:cNvSpPr/>
      </xdr:nvSpPr>
      <xdr:spPr>
        <a:xfrm>
          <a:off x="7720853" y="4426324"/>
          <a:ext cx="1234665"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Mand Measures"/>
      <sheetName val="F.HVAC Systems"/>
      <sheetName val="G. Pumps"/>
      <sheetName val="H. Fan Systems"/>
      <sheetName val="Sys Controls"/>
      <sheetName val="I. Ventilation"/>
      <sheetName val="J. VAV Controls"/>
      <sheetName val="K. Distribution"/>
      <sheetName val="L.Cooling Tower"/>
      <sheetName val="M. NRCI"/>
      <sheetName val="N.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Gina Rodda" id="{B46E7BDE-AC7D-4322-815D-65DC7B8923E6}" userId="Gina Rodda" providerId="None"/>
  <person displayName="Lalor, Ben" id="{74719C38-ACA6-4EC7-BE0E-B4D5D314EA12}" userId="S::BLalor@noresco.com::a3212d07-7930-4f40-95be-8060f96511fa" providerId="AD"/>
  <person displayName="Blair, Sally" id="{B2D16AA0-7477-4A1A-9CD5-9C1E22CF54EE}" userId="S::sblair@Noresco.com::0bd7f904-39e9-4562-92e9-8cfb348a22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5" dT="2025-02-11T23:44:35.21" personId="{74719C38-ACA6-4EC7-BE0E-B4D5D314EA12}" id="{142C074B-F144-4D4F-B0D9-E232D626E0F7}">
    <text>Gina said “We need to add Pipe Insulation and support the new requirements of Table 120.3-A-1”</text>
  </threadedComment>
  <threadedComment ref="L5" dT="2025-02-12T17:12:10.45" personId="{74719C38-ACA6-4EC7-BE0E-B4D5D314EA12}" id="{11E08FD2-45A7-4B18-B307-4D93AD407CE7}" parentId="{142C074B-F144-4D4F-B0D9-E232D626E0F7}">
    <text>Gina - I’ve added the same table we use in PLB to support this. Do you have any problems with this?</text>
  </threadedComment>
  <threadedComment ref="M42" dT="2025-02-12T17:15:52.03" personId="{74719C38-ACA6-4EC7-BE0E-B4D5D314EA12}" id="{DF4806B8-129A-43AB-9F99-FDA40FD99726}">
    <text xml:space="preserve">Gina said “Where is this exception?  I cannot find”
</text>
  </threadedComment>
  <threadedComment ref="M42" dT="2025-02-12T17:17:40.04" personId="{74719C38-ACA6-4EC7-BE0E-B4D5D314EA12}" id="{FF1156C9-D68A-47EC-8386-6C13C43B5F39}" parentId="{DF4806B8-129A-43AB-9F99-FDA40FD99726}">
    <text>120.6a)3D says “Fan-powered evaporators utilizing volatile refrigerants shall ….” However, there is no definition for what is a volatile refrigerant. Should this be removed?</text>
  </threadedComment>
</ThreadedComments>
</file>

<file path=xl/threadedComments/threadedComment2.xml><?xml version="1.0" encoding="utf-8"?>
<ThreadedComments xmlns="http://schemas.microsoft.com/office/spreadsheetml/2018/threadedcomments" xmlns:x="http://schemas.openxmlformats.org/spreadsheetml/2006/main">
  <threadedComment ref="N4" dT="2025-02-12T17:12:58.72" personId="{74719C38-ACA6-4EC7-BE0E-B4D5D314EA12}" id="{DD0D540A-55AC-4826-A3B5-FDE68DBE7635}">
    <text>Gina said “We need to add Pipe Insulation and support the new requirements of Table 120.3-A-1”</text>
  </threadedComment>
  <threadedComment ref="N4" dT="2025-02-12T17:13:05.78" personId="{74719C38-ACA6-4EC7-BE0E-B4D5D314EA12}" id="{A8253BFE-8AFC-425E-A4AD-71149E8B028E}" parentId="{DD0D540A-55AC-4826-A3B5-FDE68DBE7635}">
    <text>Gina - I’ve added the same table we use in PLB to support this. Do you have any problems with this?</text>
  </threadedComment>
</ThreadedComments>
</file>

<file path=xl/threadedComments/threadedComment3.xml><?xml version="1.0" encoding="utf-8"?>
<ThreadedComments xmlns="http://schemas.microsoft.com/office/spreadsheetml/2018/threadedcomments" xmlns:x="http://schemas.openxmlformats.org/spreadsheetml/2006/main">
  <threadedComment ref="E30" dT="2025-02-12T17:22:49.12" personId="{74719C38-ACA6-4EC7-BE0E-B4D5D314EA12}" id="{BBBCEC22-B53E-455B-A17E-ECE6700BF7F6}">
    <text>Gina said “I don’t know what this would be?  Demand responsive controls and daylighting controls are considered multilevel controls, and THOSE should be the options we provide.”</text>
  </threadedComment>
  <threadedComment ref="E30" dT="2025-02-12T17:22:51.84" personId="{74719C38-ACA6-4EC7-BE0E-B4D5D314EA12}" id="{891B0F1F-E6FE-42CF-8C3A-1CFEFB93ABA5}" parentId="{BBBCEC22-B53E-455B-A17E-ECE6700BF7F6}">
    <text xml:space="preserve">Multilevel control is not the same as DR or daylighting controls. Per 100.1, multilevel control enables intensity of lighting to be adjusted upward and downward. Daylighting and demand response require the adjustment IN RESPONSE TO AVAILABLE DAYLIGHT OR DR SIGNAL. THESE ARE THE SAME OPTIONS WE OFFER IN LTI for Multivelel controls
</text>
  </threadedComment>
</ThreadedComments>
</file>

<file path=xl/threadedComments/threadedComment4.xml><?xml version="1.0" encoding="utf-8"?>
<ThreadedComments xmlns="http://schemas.microsoft.com/office/spreadsheetml/2018/threadedcomments" xmlns:x="http://schemas.openxmlformats.org/spreadsheetml/2006/main">
  <threadedComment ref="C8" dT="2021-12-07T23:51:07.23" personId="{B46E7BDE-AC7D-4322-815D-65DC7B8923E6}" id="{713B87E0-D885-43D1-971E-E04630EE0541}">
    <text>Will leak testing be added to this form?</text>
  </threadedComment>
  <threadedComment ref="C8" dT="2022-02-02T17:58:10.98" personId="{B2D16AA0-7477-4A1A-9CD5-9C1E22CF54EE}" id="{D8AF98BB-D48E-4425-84D6-17AAE4ED5910}" parentId="{713B87E0-D885-43D1-971E-E04630EE0541}">
    <text>It should be, we can ask SCO</text>
  </threadedComment>
  <threadedComment ref="C9" dT="2021-12-07T23:51:07.23" personId="{B46E7BDE-AC7D-4322-815D-65DC7B8923E6}" id="{15FD5C17-26E0-474C-9D06-100D2DBABDF5}">
    <text>Will leak testing be added to this form?</text>
  </threadedComment>
  <threadedComment ref="C9" dT="2022-02-02T17:58:10.98" personId="{B2D16AA0-7477-4A1A-9CD5-9C1E22CF54EE}" id="{0D76C36A-D63F-4210-B549-553C4968E90F}" parentId="{15FD5C17-26E0-474C-9D06-100D2DBABDF5}">
    <text>It should be, we can ask SCO</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5.bin"/><Relationship Id="rId5" Type="http://schemas.microsoft.com/office/2017/10/relationships/threadedComment" Target="../threadedComments/threadedComment1.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16.bin"/><Relationship Id="rId5" Type="http://schemas.microsoft.com/office/2017/10/relationships/threadedComment" Target="../threadedComments/threadedComment2.xml"/><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7" Type="http://schemas.openxmlformats.org/officeDocument/2006/relationships/comments" Target="../comments16.xml"/><Relationship Id="rId2" Type="http://schemas.openxmlformats.org/officeDocument/2006/relationships/drawing" Target="../drawings/drawing8.xml"/><Relationship Id="rId1" Type="http://schemas.openxmlformats.org/officeDocument/2006/relationships/printerSettings" Target="../printerSettings/printerSettings2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 Id="rId4" Type="http://schemas.microsoft.com/office/2017/10/relationships/threadedComment" Target="../threadedComments/threadedComment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 Id="rId4" Type="http://schemas.microsoft.com/office/2017/10/relationships/threadedComment" Target="../threadedComments/threadedComment4.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9.xml"/><Relationship Id="rId1" Type="http://schemas.openxmlformats.org/officeDocument/2006/relationships/printerSettings" Target="../printerSettings/printerSettings31.bin"/><Relationship Id="rId4" Type="http://schemas.openxmlformats.org/officeDocument/2006/relationships/comments" Target="../comments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E45-7D4D-4540-AC0B-1C8319861619}">
  <dimension ref="A1:D31"/>
  <sheetViews>
    <sheetView zoomScale="50" zoomScaleNormal="50" workbookViewId="0">
      <selection activeCell="C19" sqref="C19"/>
    </sheetView>
  </sheetViews>
  <sheetFormatPr defaultRowHeight="14.5"/>
  <cols>
    <col min="1" max="1" width="11" customWidth="1"/>
    <col min="2" max="2" width="37.26953125" customWidth="1"/>
    <col min="3" max="3" width="66.81640625" style="26" customWidth="1"/>
    <col min="4" max="4" width="18.453125" customWidth="1"/>
  </cols>
  <sheetData>
    <row r="1" spans="1:4">
      <c r="A1" s="308" t="s">
        <v>720</v>
      </c>
      <c r="B1" s="308" t="s">
        <v>797</v>
      </c>
      <c r="C1" s="309" t="s">
        <v>721</v>
      </c>
      <c r="D1" s="308" t="s">
        <v>722</v>
      </c>
    </row>
    <row r="3" spans="1:4">
      <c r="A3" s="386">
        <v>45572</v>
      </c>
      <c r="B3" t="s">
        <v>857</v>
      </c>
      <c r="C3" s="26" t="s">
        <v>858</v>
      </c>
      <c r="D3" s="385" t="s">
        <v>798</v>
      </c>
    </row>
    <row r="4" spans="1:4">
      <c r="A4" s="386">
        <v>45572</v>
      </c>
      <c r="B4" t="s">
        <v>859</v>
      </c>
      <c r="C4" s="26" t="s">
        <v>860</v>
      </c>
      <c r="D4" s="385" t="s">
        <v>798</v>
      </c>
    </row>
    <row r="5" spans="1:4">
      <c r="A5" s="386">
        <v>45674</v>
      </c>
      <c r="B5" t="s">
        <v>918</v>
      </c>
      <c r="C5" s="26" t="s">
        <v>919</v>
      </c>
      <c r="D5" s="385" t="s">
        <v>798</v>
      </c>
    </row>
    <row r="6" spans="1:4">
      <c r="A6" s="386" t="s">
        <v>922</v>
      </c>
      <c r="B6" t="s">
        <v>921</v>
      </c>
      <c r="C6" s="26" t="s">
        <v>920</v>
      </c>
      <c r="D6" s="385" t="s">
        <v>798</v>
      </c>
    </row>
    <row r="7" spans="1:4" ht="28.5" customHeight="1">
      <c r="A7" s="386">
        <v>45631</v>
      </c>
      <c r="B7" s="26" t="s">
        <v>861</v>
      </c>
      <c r="C7" s="26" t="s">
        <v>804</v>
      </c>
      <c r="D7" s="385" t="s">
        <v>798</v>
      </c>
    </row>
    <row r="8" spans="1:4">
      <c r="A8" s="386">
        <v>45631</v>
      </c>
      <c r="B8" t="s">
        <v>862</v>
      </c>
      <c r="C8" s="26" t="s">
        <v>863</v>
      </c>
      <c r="D8" s="385" t="s">
        <v>798</v>
      </c>
    </row>
    <row r="9" spans="1:4">
      <c r="A9" s="386">
        <v>45631</v>
      </c>
      <c r="B9" t="s">
        <v>862</v>
      </c>
      <c r="C9" s="26" t="s">
        <v>864</v>
      </c>
      <c r="D9" s="385" t="s">
        <v>798</v>
      </c>
    </row>
    <row r="10" spans="1:4">
      <c r="A10" s="386">
        <v>45631</v>
      </c>
      <c r="B10" t="s">
        <v>865</v>
      </c>
      <c r="C10" s="26" t="s">
        <v>834</v>
      </c>
      <c r="D10" s="385" t="s">
        <v>798</v>
      </c>
    </row>
    <row r="11" spans="1:4">
      <c r="A11" s="386">
        <v>45572</v>
      </c>
      <c r="B11" s="384" t="s">
        <v>866</v>
      </c>
      <c r="C11" s="26" t="s">
        <v>799</v>
      </c>
      <c r="D11" s="385" t="s">
        <v>798</v>
      </c>
    </row>
    <row r="12" spans="1:4" ht="17.149999999999999" customHeight="1">
      <c r="A12" s="386">
        <v>45572</v>
      </c>
      <c r="B12" s="384" t="s">
        <v>867</v>
      </c>
      <c r="C12" s="26" t="s">
        <v>800</v>
      </c>
      <c r="D12" s="385" t="s">
        <v>798</v>
      </c>
    </row>
    <row r="13" spans="1:4" ht="19.5" customHeight="1">
      <c r="A13" s="409">
        <v>45638</v>
      </c>
      <c r="B13" s="143" t="s">
        <v>868</v>
      </c>
      <c r="C13" s="26" t="s">
        <v>869</v>
      </c>
      <c r="D13" s="385" t="s">
        <v>798</v>
      </c>
    </row>
    <row r="14" spans="1:4" ht="17.149999999999999" customHeight="1">
      <c r="A14" s="386">
        <v>45635</v>
      </c>
      <c r="B14" t="s">
        <v>870</v>
      </c>
      <c r="C14" s="26" t="s">
        <v>854</v>
      </c>
      <c r="D14" s="385" t="s">
        <v>798</v>
      </c>
    </row>
    <row r="15" spans="1:4" ht="17.149999999999999" customHeight="1">
      <c r="A15" s="386">
        <v>45639</v>
      </c>
      <c r="B15" t="s">
        <v>871</v>
      </c>
      <c r="C15" s="26" t="s">
        <v>872</v>
      </c>
      <c r="D15" s="385" t="s">
        <v>798</v>
      </c>
    </row>
    <row r="16" spans="1:4" ht="17.149999999999999" customHeight="1">
      <c r="A16" s="386">
        <v>45640</v>
      </c>
      <c r="B16" t="s">
        <v>871</v>
      </c>
      <c r="C16" s="26" t="s">
        <v>873</v>
      </c>
      <c r="D16" s="385" t="s">
        <v>798</v>
      </c>
    </row>
    <row r="17" spans="1:4" ht="17.149999999999999" customHeight="1">
      <c r="A17" s="386">
        <v>45641</v>
      </c>
      <c r="B17" t="s">
        <v>871</v>
      </c>
      <c r="C17" s="26" t="s">
        <v>878</v>
      </c>
      <c r="D17" s="385" t="s">
        <v>798</v>
      </c>
    </row>
    <row r="18" spans="1:4" ht="17.149999999999999" customHeight="1">
      <c r="A18" s="386">
        <v>45642</v>
      </c>
      <c r="B18" t="s">
        <v>874</v>
      </c>
      <c r="C18" s="26" t="s">
        <v>876</v>
      </c>
      <c r="D18" s="385" t="s">
        <v>798</v>
      </c>
    </row>
    <row r="19" spans="1:4" ht="17.149999999999999" customHeight="1">
      <c r="A19" s="386">
        <v>45642</v>
      </c>
      <c r="B19" t="s">
        <v>875</v>
      </c>
      <c r="C19" s="26" t="s">
        <v>877</v>
      </c>
      <c r="D19" s="385" t="s">
        <v>798</v>
      </c>
    </row>
    <row r="20" spans="1:4">
      <c r="A20" s="386">
        <v>45636</v>
      </c>
      <c r="B20" t="s">
        <v>879</v>
      </c>
      <c r="C20" s="26" t="s">
        <v>880</v>
      </c>
      <c r="D20" s="385" t="s">
        <v>798</v>
      </c>
    </row>
    <row r="21" spans="1:4" ht="29">
      <c r="A21" s="386">
        <v>45636</v>
      </c>
      <c r="B21" s="26" t="s">
        <v>881</v>
      </c>
      <c r="C21" s="26" t="s">
        <v>882</v>
      </c>
      <c r="D21" s="385" t="s">
        <v>798</v>
      </c>
    </row>
    <row r="22" spans="1:4" ht="29">
      <c r="A22" s="386">
        <v>45636</v>
      </c>
      <c r="B22" s="26" t="s">
        <v>881</v>
      </c>
      <c r="C22" s="26" t="s">
        <v>888</v>
      </c>
      <c r="D22" s="385" t="s">
        <v>798</v>
      </c>
    </row>
    <row r="23" spans="1:4" ht="29">
      <c r="A23" s="386">
        <v>45636</v>
      </c>
      <c r="B23" s="26" t="s">
        <v>881</v>
      </c>
      <c r="C23" s="26" t="s">
        <v>884</v>
      </c>
      <c r="D23" s="385" t="s">
        <v>798</v>
      </c>
    </row>
    <row r="24" spans="1:4" ht="29">
      <c r="A24" s="386">
        <v>45636</v>
      </c>
      <c r="B24" s="26" t="s">
        <v>881</v>
      </c>
      <c r="C24" s="26" t="s">
        <v>883</v>
      </c>
      <c r="D24" s="385" t="s">
        <v>798</v>
      </c>
    </row>
    <row r="25" spans="1:4" ht="29">
      <c r="A25" s="386">
        <v>45636</v>
      </c>
      <c r="B25" s="26" t="s">
        <v>881</v>
      </c>
      <c r="C25" s="26" t="s">
        <v>885</v>
      </c>
      <c r="D25" s="385" t="s">
        <v>798</v>
      </c>
    </row>
    <row r="26" spans="1:4" ht="29">
      <c r="A26" s="386">
        <v>45636</v>
      </c>
      <c r="B26" s="26" t="s">
        <v>881</v>
      </c>
      <c r="C26" s="26" t="s">
        <v>886</v>
      </c>
      <c r="D26" s="385" t="s">
        <v>798</v>
      </c>
    </row>
    <row r="27" spans="1:4">
      <c r="A27" s="386">
        <v>45674</v>
      </c>
      <c r="B27" t="s">
        <v>887</v>
      </c>
      <c r="C27" s="26" t="s">
        <v>902</v>
      </c>
      <c r="D27" s="385" t="s">
        <v>798</v>
      </c>
    </row>
    <row r="28" spans="1:4">
      <c r="A28" s="386"/>
      <c r="D28" s="385" t="s">
        <v>798</v>
      </c>
    </row>
    <row r="29" spans="1:4">
      <c r="A29" s="386"/>
    </row>
    <row r="30" spans="1:4" ht="29.15" customHeight="1">
      <c r="A30" s="386"/>
      <c r="B30" s="26"/>
    </row>
    <row r="31" spans="1:4">
      <c r="A31" s="386"/>
      <c r="B31" s="26"/>
    </row>
  </sheetData>
  <phoneticPr fontId="1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zoomScale="80" zoomScaleNormal="80" workbookViewId="0">
      <selection activeCell="B23" sqref="B23"/>
    </sheetView>
  </sheetViews>
  <sheetFormatPr defaultColWidth="9.1796875" defaultRowHeight="14"/>
  <cols>
    <col min="1" max="1" width="16.1796875" style="17" customWidth="1"/>
    <col min="2" max="2" width="63.453125" style="17" customWidth="1"/>
    <col min="3" max="3" width="17.1796875" style="17" customWidth="1"/>
    <col min="4" max="16384" width="9.1796875" style="17"/>
  </cols>
  <sheetData>
    <row r="1" spans="1:6">
      <c r="A1" s="16" t="s">
        <v>20</v>
      </c>
      <c r="B1" s="16" t="s">
        <v>21</v>
      </c>
      <c r="C1" s="16" t="s">
        <v>22</v>
      </c>
    </row>
    <row r="2" spans="1:6">
      <c r="A2" s="17" t="s">
        <v>23</v>
      </c>
      <c r="B2" s="17" t="s">
        <v>24</v>
      </c>
      <c r="C2" s="17" t="s">
        <v>25</v>
      </c>
    </row>
    <row r="3" spans="1:6">
      <c r="A3" s="17" t="s">
        <v>26</v>
      </c>
      <c r="B3" s="17" t="s">
        <v>27</v>
      </c>
      <c r="C3" s="17" t="s">
        <v>25</v>
      </c>
    </row>
    <row r="4" spans="1:6">
      <c r="A4" s="17" t="s">
        <v>28</v>
      </c>
      <c r="B4" s="17" t="s">
        <v>29</v>
      </c>
      <c r="C4" s="17" t="s">
        <v>25</v>
      </c>
    </row>
    <row r="5" spans="1:6">
      <c r="A5" s="17" t="s">
        <v>30</v>
      </c>
      <c r="B5" s="17" t="s">
        <v>31</v>
      </c>
      <c r="C5" s="17" t="s">
        <v>25</v>
      </c>
    </row>
    <row r="6" spans="1:6">
      <c r="A6" s="17" t="s">
        <v>32</v>
      </c>
      <c r="B6" s="17" t="s">
        <v>33</v>
      </c>
      <c r="C6" s="17" t="s">
        <v>25</v>
      </c>
    </row>
    <row r="7" spans="1:6">
      <c r="A7" s="78" t="s">
        <v>34</v>
      </c>
      <c r="B7" s="124" t="s">
        <v>157</v>
      </c>
      <c r="C7" s="78" t="s">
        <v>80</v>
      </c>
    </row>
    <row r="8" spans="1:6">
      <c r="A8" s="78" t="s">
        <v>35</v>
      </c>
      <c r="B8" s="124" t="s">
        <v>100</v>
      </c>
      <c r="C8" s="78" t="s">
        <v>80</v>
      </c>
    </row>
    <row r="9" spans="1:6">
      <c r="A9" s="78" t="s">
        <v>36</v>
      </c>
      <c r="B9" s="124" t="s">
        <v>115</v>
      </c>
      <c r="C9" s="67" t="s">
        <v>80</v>
      </c>
      <c r="F9" s="162"/>
    </row>
    <row r="10" spans="1:6">
      <c r="A10" s="78" t="s">
        <v>77</v>
      </c>
      <c r="B10" s="124" t="s">
        <v>99</v>
      </c>
      <c r="C10" s="67" t="s">
        <v>80</v>
      </c>
    </row>
    <row r="11" spans="1:6">
      <c r="A11" s="78" t="s">
        <v>37</v>
      </c>
      <c r="B11" s="124" t="s">
        <v>158</v>
      </c>
      <c r="C11" s="78" t="s">
        <v>26</v>
      </c>
    </row>
    <row r="12" spans="1:6">
      <c r="A12" s="78" t="s">
        <v>78</v>
      </c>
      <c r="B12" s="124" t="s">
        <v>159</v>
      </c>
      <c r="C12" s="51" t="s">
        <v>26</v>
      </c>
    </row>
    <row r="13" spans="1:6">
      <c r="A13" s="78" t="s">
        <v>38</v>
      </c>
      <c r="B13" s="124" t="s">
        <v>160</v>
      </c>
      <c r="C13" s="62" t="s">
        <v>26</v>
      </c>
    </row>
    <row r="14" spans="1:6">
      <c r="A14" s="78" t="s">
        <v>39</v>
      </c>
      <c r="B14" s="124" t="s">
        <v>156</v>
      </c>
      <c r="C14" s="70" t="s">
        <v>26</v>
      </c>
    </row>
    <row r="15" spans="1:6">
      <c r="A15" s="78" t="s">
        <v>82</v>
      </c>
      <c r="B15" s="124" t="s">
        <v>155</v>
      </c>
      <c r="C15" s="33" t="s">
        <v>26</v>
      </c>
    </row>
    <row r="16" spans="1:6">
      <c r="A16" s="124" t="s">
        <v>89</v>
      </c>
      <c r="B16" s="124" t="s">
        <v>98</v>
      </c>
      <c r="C16" s="124" t="s">
        <v>26</v>
      </c>
    </row>
    <row r="17" spans="1:3">
      <c r="A17" s="58" t="s">
        <v>90</v>
      </c>
      <c r="B17" s="58" t="s">
        <v>600</v>
      </c>
      <c r="C17" s="58" t="s">
        <v>26</v>
      </c>
    </row>
    <row r="18" spans="1:3">
      <c r="A18" s="58" t="s">
        <v>161</v>
      </c>
      <c r="B18" s="58" t="s">
        <v>601</v>
      </c>
      <c r="C18" s="58" t="s">
        <v>26</v>
      </c>
    </row>
    <row r="19" spans="1:3">
      <c r="A19" s="58" t="s">
        <v>636</v>
      </c>
      <c r="B19" s="58" t="s">
        <v>712</v>
      </c>
      <c r="C19" s="58" t="s">
        <v>26</v>
      </c>
    </row>
    <row r="20" spans="1:3">
      <c r="A20" s="58" t="s">
        <v>736</v>
      </c>
      <c r="B20" s="58" t="s">
        <v>40</v>
      </c>
      <c r="C20" s="58" t="s">
        <v>25</v>
      </c>
    </row>
    <row r="21" spans="1:3">
      <c r="A21" s="58" t="s">
        <v>737</v>
      </c>
      <c r="B21" s="58" t="s">
        <v>41</v>
      </c>
      <c r="C21" s="58" t="s">
        <v>25</v>
      </c>
    </row>
    <row r="22" spans="1:3">
      <c r="A22" s="58"/>
      <c r="B22" s="58" t="s">
        <v>42</v>
      </c>
      <c r="C22" s="58" t="s">
        <v>25</v>
      </c>
    </row>
    <row r="24" spans="1:3">
      <c r="C24" s="51"/>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D16" sqref="D16"/>
    </sheetView>
  </sheetViews>
  <sheetFormatPr defaultColWidth="9.1796875" defaultRowHeight="14"/>
  <cols>
    <col min="1" max="1" width="26.81640625" style="17" customWidth="1"/>
    <col min="2" max="2" width="23.81640625" style="17" customWidth="1"/>
    <col min="3" max="16384" width="9.1796875" style="17"/>
  </cols>
  <sheetData>
    <row r="1" spans="1:2">
      <c r="A1" s="181" t="s">
        <v>79</v>
      </c>
    </row>
    <row r="2" spans="1:2">
      <c r="A2" s="182" t="s">
        <v>393</v>
      </c>
      <c r="B2" s="162" t="s">
        <v>397</v>
      </c>
    </row>
    <row r="3" spans="1:2">
      <c r="A3" s="182">
        <v>140.9</v>
      </c>
      <c r="B3" s="162" t="s">
        <v>394</v>
      </c>
    </row>
    <row r="4" spans="1:2">
      <c r="A4" s="183" t="s">
        <v>446</v>
      </c>
      <c r="B4" s="162" t="s">
        <v>395</v>
      </c>
    </row>
    <row r="5" spans="1:2">
      <c r="A5" s="183" t="s">
        <v>447</v>
      </c>
      <c r="B5" s="162"/>
    </row>
    <row r="6" spans="1:2">
      <c r="A6" s="183" t="s">
        <v>448</v>
      </c>
      <c r="B6" s="162"/>
    </row>
    <row r="7" spans="1:2">
      <c r="A7" s="183" t="s">
        <v>453</v>
      </c>
      <c r="B7" s="162"/>
    </row>
    <row r="8" spans="1:2">
      <c r="A8" s="183" t="s">
        <v>449</v>
      </c>
      <c r="B8" s="162"/>
    </row>
    <row r="9" spans="1:2">
      <c r="A9" s="183" t="s">
        <v>452</v>
      </c>
      <c r="B9" s="162" t="s">
        <v>395</v>
      </c>
    </row>
    <row r="10" spans="1:2">
      <c r="A10" s="183" t="s">
        <v>451</v>
      </c>
      <c r="B10" s="162"/>
    </row>
    <row r="11" spans="1:2">
      <c r="A11" s="183" t="s">
        <v>450</v>
      </c>
      <c r="B11" s="162"/>
    </row>
    <row r="12" spans="1:2">
      <c r="A12" s="182" t="s">
        <v>396</v>
      </c>
      <c r="B12" s="162" t="s">
        <v>398</v>
      </c>
    </row>
    <row r="13" spans="1:2">
      <c r="A13" s="183" t="s">
        <v>399</v>
      </c>
      <c r="B13" s="162" t="s">
        <v>398</v>
      </c>
    </row>
    <row r="14" spans="1:2">
      <c r="A14" s="183" t="s">
        <v>400</v>
      </c>
      <c r="B14" s="162" t="s">
        <v>398</v>
      </c>
    </row>
    <row r="15" spans="1:2">
      <c r="A15" s="183" t="s">
        <v>401</v>
      </c>
      <c r="B15" s="162" t="s">
        <v>398</v>
      </c>
    </row>
    <row r="16" spans="1:2">
      <c r="A16" s="183" t="s">
        <v>402</v>
      </c>
      <c r="B16" s="162" t="s">
        <v>398</v>
      </c>
    </row>
    <row r="17" spans="1:2">
      <c r="A17" s="183" t="s">
        <v>403</v>
      </c>
      <c r="B17" s="162" t="s">
        <v>398</v>
      </c>
    </row>
    <row r="18" spans="1:2">
      <c r="A18" s="182" t="s">
        <v>404</v>
      </c>
      <c r="B18" s="162" t="s">
        <v>398</v>
      </c>
    </row>
    <row r="19" spans="1:2">
      <c r="A19" s="183" t="s">
        <v>405</v>
      </c>
      <c r="B19" s="58" t="s">
        <v>398</v>
      </c>
    </row>
    <row r="20" spans="1:2">
      <c r="A20" s="183" t="s">
        <v>406</v>
      </c>
      <c r="B20" s="162" t="s">
        <v>398</v>
      </c>
    </row>
    <row r="21" spans="1:2">
      <c r="A21" s="182" t="s">
        <v>407</v>
      </c>
      <c r="B21" s="162" t="s">
        <v>398</v>
      </c>
    </row>
    <row r="22" spans="1:2">
      <c r="A22" s="183" t="s">
        <v>430</v>
      </c>
    </row>
    <row r="23" spans="1:2">
      <c r="A23" s="183" t="s">
        <v>431</v>
      </c>
    </row>
    <row r="24" spans="1:2">
      <c r="A24" s="317">
        <v>160.69999999999999</v>
      </c>
    </row>
    <row r="25" spans="1:2">
      <c r="A25" s="182"/>
    </row>
    <row r="26" spans="1:2">
      <c r="A26" s="182"/>
      <c r="B26" s="51"/>
    </row>
    <row r="27" spans="1:2">
      <c r="A27" s="182"/>
    </row>
    <row r="28" spans="1:2">
      <c r="A28" s="182"/>
    </row>
    <row r="29" spans="1:2">
      <c r="A29" s="182"/>
    </row>
    <row r="30" spans="1:2">
      <c r="A30" s="182"/>
    </row>
    <row r="31" spans="1:2">
      <c r="A31" s="182"/>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zoomScale="60" zoomScaleNormal="60" workbookViewId="0">
      <selection activeCell="K29" sqref="K29"/>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2">
      <c r="A1" s="20"/>
      <c r="B1" t="s">
        <v>59</v>
      </c>
      <c r="C1" s="21"/>
      <c r="D1" t="s">
        <v>60</v>
      </c>
      <c r="F1" s="520"/>
      <c r="G1" s="520"/>
      <c r="H1" t="s">
        <v>61</v>
      </c>
      <c r="J1" s="22"/>
      <c r="K1" t="s">
        <v>62</v>
      </c>
    </row>
    <row r="2" spans="1:12">
      <c r="A2" s="19" t="s">
        <v>0</v>
      </c>
      <c r="B2" s="19"/>
      <c r="C2" s="19"/>
      <c r="F2" s="24"/>
      <c r="G2" s="24"/>
    </row>
    <row r="3" spans="1:12" ht="15.5">
      <c r="A3" s="2" t="s">
        <v>162</v>
      </c>
      <c r="B3" s="3"/>
      <c r="C3" s="3"/>
      <c r="D3" s="1"/>
      <c r="E3" s="19"/>
      <c r="F3" s="19"/>
      <c r="G3" s="19"/>
      <c r="H3" s="1"/>
      <c r="I3" s="1"/>
      <c r="J3" s="1"/>
      <c r="K3" s="1"/>
    </row>
    <row r="4" spans="1:12" ht="15.5">
      <c r="A4" s="513" t="s">
        <v>163</v>
      </c>
      <c r="B4" s="513"/>
      <c r="C4" s="513"/>
      <c r="D4" s="1"/>
      <c r="E4" s="3"/>
      <c r="F4" s="3"/>
      <c r="G4" s="3"/>
      <c r="H4" s="1"/>
      <c r="I4" s="514" t="s">
        <v>10</v>
      </c>
      <c r="J4" s="514"/>
      <c r="K4" s="514"/>
    </row>
    <row r="5" spans="1:12">
      <c r="A5" s="320" t="s">
        <v>63</v>
      </c>
      <c r="B5" s="321"/>
      <c r="C5" s="321"/>
      <c r="D5" s="322"/>
      <c r="E5" s="321"/>
      <c r="F5" s="321"/>
      <c r="G5" s="321"/>
      <c r="H5" s="322"/>
      <c r="I5" s="323"/>
      <c r="J5" s="323"/>
      <c r="K5" s="324" t="s">
        <v>163</v>
      </c>
    </row>
    <row r="6" spans="1:12" ht="43.5" customHeight="1">
      <c r="A6" s="521" t="s">
        <v>746</v>
      </c>
      <c r="B6" s="522"/>
      <c r="C6" s="522"/>
      <c r="D6" s="522"/>
      <c r="E6" s="522"/>
      <c r="F6" s="522"/>
      <c r="G6" s="522"/>
      <c r="H6" s="522"/>
      <c r="I6" s="522"/>
      <c r="J6" s="522"/>
      <c r="K6" s="523"/>
    </row>
    <row r="7" spans="1:12">
      <c r="A7" s="506" t="s">
        <v>1</v>
      </c>
      <c r="B7" s="507"/>
      <c r="C7" s="517"/>
      <c r="D7" s="518"/>
      <c r="E7" s="518"/>
      <c r="F7" s="518"/>
      <c r="G7" s="518"/>
      <c r="H7" s="519"/>
      <c r="I7" s="511" t="s">
        <v>9</v>
      </c>
      <c r="J7" s="512"/>
      <c r="K7" s="23" t="s">
        <v>2</v>
      </c>
    </row>
    <row r="8" spans="1:12">
      <c r="A8" s="506" t="s">
        <v>3</v>
      </c>
      <c r="B8" s="507"/>
      <c r="C8" s="517"/>
      <c r="D8" s="518"/>
      <c r="E8" s="518"/>
      <c r="F8" s="518"/>
      <c r="G8" s="518"/>
      <c r="H8" s="519"/>
      <c r="I8" s="511" t="s">
        <v>4</v>
      </c>
      <c r="J8" s="512"/>
      <c r="K8" s="32"/>
      <c r="L8" s="27"/>
    </row>
    <row r="9" spans="1:12">
      <c r="A9" s="4"/>
      <c r="B9" s="4"/>
      <c r="C9" s="4"/>
      <c r="D9" s="4"/>
      <c r="E9" s="4"/>
      <c r="F9" s="4"/>
      <c r="G9" s="4"/>
      <c r="H9" s="4"/>
      <c r="I9" s="18"/>
      <c r="J9" s="18"/>
      <c r="K9" s="4"/>
    </row>
    <row r="10" spans="1:12">
      <c r="A10" s="4"/>
      <c r="B10" s="196" t="s">
        <v>74</v>
      </c>
      <c r="C10" s="4"/>
      <c r="D10" s="4"/>
      <c r="E10" s="4"/>
      <c r="F10" s="4"/>
      <c r="G10" s="4"/>
      <c r="H10" s="4"/>
      <c r="I10" s="18"/>
      <c r="J10" s="18"/>
      <c r="K10" s="4"/>
    </row>
    <row r="11" spans="1:12">
      <c r="A11" s="4"/>
      <c r="B11" s="4"/>
      <c r="C11" s="4"/>
      <c r="D11" s="4"/>
      <c r="E11" s="4"/>
      <c r="F11" s="4"/>
      <c r="G11" s="4"/>
      <c r="H11" s="4"/>
      <c r="I11" s="18"/>
      <c r="J11" s="18"/>
      <c r="K11" s="4"/>
    </row>
    <row r="12" spans="1:12">
      <c r="A12" s="19" t="s">
        <v>0</v>
      </c>
      <c r="B12" s="19"/>
      <c r="C12" s="19"/>
      <c r="F12" s="24"/>
      <c r="G12" s="24"/>
    </row>
    <row r="13" spans="1:12" ht="15.5">
      <c r="A13" s="2" t="s">
        <v>162</v>
      </c>
      <c r="B13" s="3"/>
      <c r="C13" s="3"/>
      <c r="D13" s="1"/>
      <c r="E13" s="19"/>
      <c r="F13" s="19"/>
      <c r="G13" s="19"/>
      <c r="H13" s="1"/>
      <c r="I13" s="1"/>
      <c r="J13" s="1"/>
      <c r="K13" s="1"/>
    </row>
    <row r="14" spans="1:12" ht="15.5">
      <c r="A14" s="513" t="s">
        <v>163</v>
      </c>
      <c r="B14" s="513"/>
      <c r="C14" s="513"/>
      <c r="D14" s="1"/>
      <c r="E14" s="3"/>
      <c r="F14" s="3"/>
      <c r="G14" s="3"/>
      <c r="H14" s="1"/>
      <c r="I14" s="514" t="s">
        <v>10</v>
      </c>
      <c r="J14" s="514"/>
      <c r="K14" s="514"/>
    </row>
    <row r="15" spans="1:12">
      <c r="A15" s="320" t="s">
        <v>63</v>
      </c>
      <c r="B15" s="321"/>
      <c r="C15" s="321"/>
      <c r="D15" s="322"/>
      <c r="E15" s="321"/>
      <c r="F15" s="321"/>
      <c r="G15" s="321"/>
      <c r="H15" s="322"/>
      <c r="I15" s="323"/>
      <c r="J15" s="323"/>
      <c r="K15" s="324" t="s">
        <v>163</v>
      </c>
    </row>
    <row r="16" spans="1:12">
      <c r="A16" s="506" t="s">
        <v>1</v>
      </c>
      <c r="B16" s="507"/>
      <c r="C16" s="515"/>
      <c r="D16" s="516"/>
      <c r="E16" s="516"/>
      <c r="F16" s="516"/>
      <c r="G16" s="310"/>
      <c r="H16" s="311"/>
      <c r="I16" s="511" t="s">
        <v>9</v>
      </c>
      <c r="J16" s="512"/>
      <c r="K16" s="23" t="s">
        <v>2</v>
      </c>
    </row>
    <row r="17" spans="1:11">
      <c r="A17" s="506" t="s">
        <v>3</v>
      </c>
      <c r="B17" s="507"/>
      <c r="C17" s="508" t="s">
        <v>724</v>
      </c>
      <c r="D17" s="509"/>
      <c r="E17" s="509"/>
      <c r="F17" s="509"/>
      <c r="G17" s="509"/>
      <c r="H17" s="510"/>
      <c r="I17" s="511" t="s">
        <v>4</v>
      </c>
      <c r="J17" s="512"/>
      <c r="K17" s="31"/>
    </row>
    <row r="18" spans="1:11">
      <c r="A18" s="4"/>
      <c r="B18" s="4"/>
      <c r="C18" s="4"/>
      <c r="D18" s="4"/>
      <c r="E18" s="4"/>
      <c r="F18" s="4"/>
      <c r="G18" s="4"/>
      <c r="H18" s="4"/>
      <c r="I18" s="18"/>
      <c r="J18" s="18"/>
      <c r="K18" s="4"/>
    </row>
    <row r="19" spans="1:11">
      <c r="A19" s="4"/>
      <c r="B19" s="196"/>
      <c r="C19" s="4"/>
      <c r="D19" s="4"/>
      <c r="E19" s="4"/>
      <c r="F19" s="4"/>
      <c r="G19" s="4"/>
      <c r="H19" s="4"/>
      <c r="I19" s="18"/>
      <c r="J19" s="18"/>
      <c r="K19" s="4"/>
    </row>
    <row r="20" spans="1:11">
      <c r="A20" s="15"/>
      <c r="B20" s="4"/>
      <c r="C20" s="4"/>
      <c r="D20" s="4"/>
      <c r="E20" s="4"/>
      <c r="F20" s="4"/>
      <c r="G20" s="15"/>
      <c r="H20" s="4"/>
      <c r="I20" s="4"/>
      <c r="J20" s="6"/>
      <c r="K20" s="6"/>
    </row>
    <row r="21" spans="1:11">
      <c r="A21" s="15"/>
      <c r="B21" s="4"/>
      <c r="C21" s="4"/>
      <c r="D21" s="4"/>
      <c r="E21" s="4"/>
      <c r="F21" s="4"/>
      <c r="G21" s="15"/>
      <c r="H21" s="4"/>
      <c r="I21" s="4"/>
      <c r="J21" s="6"/>
      <c r="K21" s="6"/>
    </row>
    <row r="22" spans="1:11" ht="15" customHeight="1">
      <c r="A22" s="5"/>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C7:H7"/>
    <mergeCell ref="C8:H8"/>
    <mergeCell ref="F1:G1"/>
    <mergeCell ref="A6:K6"/>
    <mergeCell ref="I4:K4"/>
    <mergeCell ref="I7:J7"/>
    <mergeCell ref="I8:J8"/>
    <mergeCell ref="A7:B7"/>
    <mergeCell ref="A8:B8"/>
    <mergeCell ref="A4:C4"/>
    <mergeCell ref="A17:B17"/>
    <mergeCell ref="C17:H17"/>
    <mergeCell ref="I17:J17"/>
    <mergeCell ref="A14:C14"/>
    <mergeCell ref="I14:K14"/>
    <mergeCell ref="A16:B16"/>
    <mergeCell ref="I16:J16"/>
    <mergeCell ref="C16:F16"/>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216C-B0B4-43DC-9557-5B568DBE4956}">
  <dimension ref="A1:L28"/>
  <sheetViews>
    <sheetView zoomScaleNormal="100" workbookViewId="0">
      <selection activeCell="B19" sqref="B19"/>
    </sheetView>
  </sheetViews>
  <sheetFormatPr defaultColWidth="8.81640625"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2">
      <c r="A1" s="20"/>
      <c r="B1" t="s">
        <v>59</v>
      </c>
      <c r="C1" s="21"/>
      <c r="D1" t="s">
        <v>60</v>
      </c>
      <c r="F1" s="520"/>
      <c r="G1" s="520"/>
      <c r="H1" t="s">
        <v>61</v>
      </c>
      <c r="J1" s="22"/>
      <c r="K1" t="s">
        <v>62</v>
      </c>
    </row>
    <row r="2" spans="1:12">
      <c r="A2" s="19" t="s">
        <v>0</v>
      </c>
      <c r="B2" s="19"/>
      <c r="C2" s="19"/>
      <c r="F2" s="24"/>
      <c r="G2" s="24"/>
    </row>
    <row r="3" spans="1:12" ht="15.5">
      <c r="A3" s="2" t="s">
        <v>162</v>
      </c>
      <c r="B3" s="3"/>
      <c r="C3" s="3"/>
      <c r="D3" s="1"/>
      <c r="E3" s="19"/>
      <c r="F3" s="19"/>
      <c r="G3" s="19"/>
      <c r="H3" s="1"/>
      <c r="I3" s="1"/>
      <c r="J3" s="1"/>
      <c r="K3" s="1"/>
    </row>
    <row r="4" spans="1:12" ht="15.5">
      <c r="A4" s="513" t="s">
        <v>747</v>
      </c>
      <c r="B4" s="513"/>
      <c r="C4" s="513"/>
      <c r="D4" s="1"/>
      <c r="E4" s="3"/>
      <c r="F4" s="3"/>
      <c r="G4" s="3"/>
      <c r="H4" s="1"/>
      <c r="I4" s="514" t="s">
        <v>10</v>
      </c>
      <c r="J4" s="514"/>
      <c r="K4" s="514"/>
    </row>
    <row r="5" spans="1:12">
      <c r="A5" s="320" t="s">
        <v>63</v>
      </c>
      <c r="B5" s="321"/>
      <c r="C5" s="321"/>
      <c r="D5" s="322"/>
      <c r="E5" s="321"/>
      <c r="F5" s="321"/>
      <c r="G5" s="321"/>
      <c r="H5" s="322"/>
      <c r="I5" s="323"/>
      <c r="J5" s="323"/>
      <c r="K5" s="325" t="s">
        <v>747</v>
      </c>
    </row>
    <row r="6" spans="1:12" ht="43.5" customHeight="1">
      <c r="A6" s="521" t="s">
        <v>746</v>
      </c>
      <c r="B6" s="522"/>
      <c r="C6" s="522"/>
      <c r="D6" s="522"/>
      <c r="E6" s="522"/>
      <c r="F6" s="522"/>
      <c r="G6" s="522"/>
      <c r="H6" s="522"/>
      <c r="I6" s="522"/>
      <c r="J6" s="522"/>
      <c r="K6" s="523"/>
    </row>
    <row r="7" spans="1:12">
      <c r="A7" s="506" t="s">
        <v>1</v>
      </c>
      <c r="B7" s="507"/>
      <c r="C7" s="517"/>
      <c r="D7" s="518"/>
      <c r="E7" s="518"/>
      <c r="F7" s="518"/>
      <c r="G7" s="518"/>
      <c r="H7" s="519"/>
      <c r="I7" s="511" t="s">
        <v>9</v>
      </c>
      <c r="J7" s="512"/>
      <c r="K7" s="23" t="s">
        <v>2</v>
      </c>
    </row>
    <row r="8" spans="1:12">
      <c r="A8" s="506" t="s">
        <v>3</v>
      </c>
      <c r="B8" s="507"/>
      <c r="C8" s="517"/>
      <c r="D8" s="518"/>
      <c r="E8" s="518"/>
      <c r="F8" s="518"/>
      <c r="G8" s="518"/>
      <c r="H8" s="519"/>
      <c r="I8" s="511" t="s">
        <v>4</v>
      </c>
      <c r="J8" s="512"/>
      <c r="K8" s="32"/>
      <c r="L8" s="27"/>
    </row>
    <row r="9" spans="1:12">
      <c r="A9" s="4"/>
      <c r="B9" s="4"/>
      <c r="C9" s="4"/>
      <c r="D9" s="4"/>
      <c r="E9" s="4"/>
      <c r="F9" s="4"/>
      <c r="G9" s="4"/>
      <c r="H9" s="4"/>
      <c r="I9" s="18"/>
      <c r="J9" s="18"/>
      <c r="K9" s="4"/>
    </row>
    <row r="10" spans="1:12">
      <c r="A10" s="4"/>
      <c r="B10" s="196" t="s">
        <v>74</v>
      </c>
      <c r="C10" s="4"/>
      <c r="D10" s="4"/>
      <c r="E10" s="4"/>
      <c r="F10" s="4"/>
      <c r="G10" s="4"/>
      <c r="H10" s="4"/>
      <c r="I10" s="18"/>
      <c r="J10" s="18"/>
      <c r="K10" s="4"/>
    </row>
    <row r="11" spans="1:12">
      <c r="A11" s="4"/>
      <c r="B11" s="4"/>
      <c r="C11" s="4"/>
      <c r="D11" s="4"/>
      <c r="E11" s="4"/>
      <c r="F11" s="4"/>
      <c r="G11" s="4"/>
      <c r="H11" s="4"/>
      <c r="I11" s="18"/>
      <c r="J11" s="18"/>
      <c r="K11" s="4"/>
    </row>
    <row r="12" spans="1:12">
      <c r="A12" s="19" t="s">
        <v>0</v>
      </c>
      <c r="B12" s="19"/>
      <c r="C12" s="19"/>
      <c r="F12" s="24"/>
      <c r="G12" s="24"/>
    </row>
    <row r="13" spans="1:12" ht="15.5">
      <c r="A13" s="2" t="s">
        <v>162</v>
      </c>
      <c r="B13" s="3"/>
      <c r="C13" s="3"/>
      <c r="D13" s="1"/>
      <c r="E13" s="19"/>
      <c r="F13" s="19"/>
      <c r="G13" s="19"/>
      <c r="H13" s="1"/>
      <c r="I13" s="1"/>
      <c r="J13" s="1"/>
      <c r="K13" s="1"/>
    </row>
    <row r="14" spans="1:12" ht="15.5">
      <c r="A14" s="513" t="s">
        <v>747</v>
      </c>
      <c r="B14" s="513"/>
      <c r="C14" s="513"/>
      <c r="D14" s="1"/>
      <c r="E14" s="3"/>
      <c r="F14" s="3"/>
      <c r="G14" s="3"/>
      <c r="H14" s="1"/>
      <c r="I14" s="514" t="s">
        <v>10</v>
      </c>
      <c r="J14" s="514"/>
      <c r="K14" s="514"/>
    </row>
    <row r="15" spans="1:12">
      <c r="A15" s="320" t="s">
        <v>63</v>
      </c>
      <c r="B15" s="321"/>
      <c r="C15" s="321"/>
      <c r="D15" s="322"/>
      <c r="E15" s="321"/>
      <c r="F15" s="321"/>
      <c r="G15" s="321"/>
      <c r="H15" s="322"/>
      <c r="I15" s="323"/>
      <c r="J15" s="323"/>
      <c r="K15" s="325" t="s">
        <v>747</v>
      </c>
    </row>
    <row r="16" spans="1:12">
      <c r="A16" s="506" t="s">
        <v>1</v>
      </c>
      <c r="B16" s="507"/>
      <c r="C16" s="515"/>
      <c r="D16" s="516"/>
      <c r="E16" s="516"/>
      <c r="F16" s="516"/>
      <c r="G16" s="310"/>
      <c r="H16" s="311"/>
      <c r="I16" s="511" t="s">
        <v>9</v>
      </c>
      <c r="J16" s="512"/>
      <c r="K16" s="23" t="s">
        <v>2</v>
      </c>
    </row>
    <row r="17" spans="1:11">
      <c r="A17" s="506" t="s">
        <v>3</v>
      </c>
      <c r="B17" s="507"/>
      <c r="C17" s="508" t="s">
        <v>724</v>
      </c>
      <c r="D17" s="509"/>
      <c r="E17" s="509"/>
      <c r="F17" s="509"/>
      <c r="G17" s="509"/>
      <c r="H17" s="510"/>
      <c r="I17" s="511" t="s">
        <v>4</v>
      </c>
      <c r="J17" s="512"/>
      <c r="K17" s="31"/>
    </row>
    <row r="18" spans="1:11">
      <c r="A18" s="4"/>
      <c r="B18" s="4"/>
      <c r="C18" s="4"/>
      <c r="D18" s="4"/>
      <c r="E18" s="4"/>
      <c r="F18" s="4"/>
      <c r="G18" s="4"/>
      <c r="H18" s="4"/>
      <c r="I18" s="18"/>
      <c r="J18" s="18"/>
      <c r="K18" s="4"/>
    </row>
    <row r="19" spans="1:11">
      <c r="A19" s="4"/>
      <c r="B19" s="196"/>
      <c r="C19" s="4"/>
      <c r="D19" s="4"/>
      <c r="E19" s="4"/>
      <c r="F19" s="4"/>
      <c r="G19" s="4"/>
      <c r="H19" s="4"/>
      <c r="I19" s="18"/>
      <c r="J19" s="18"/>
      <c r="K19" s="4"/>
    </row>
    <row r="20" spans="1:11">
      <c r="A20" s="15"/>
      <c r="B20" s="4"/>
      <c r="C20" s="4"/>
      <c r="D20" s="4"/>
      <c r="E20" s="4"/>
      <c r="F20" s="4"/>
      <c r="G20" s="15"/>
      <c r="H20" s="4"/>
      <c r="I20" s="4"/>
      <c r="J20" s="6"/>
      <c r="K20" s="6"/>
    </row>
    <row r="21" spans="1:11">
      <c r="A21" s="15"/>
      <c r="B21" s="4"/>
      <c r="C21" s="4"/>
      <c r="D21" s="4"/>
      <c r="E21" s="4"/>
      <c r="F21" s="4"/>
      <c r="G21" s="15"/>
      <c r="H21" s="4"/>
      <c r="I21" s="4"/>
      <c r="J21" s="6"/>
      <c r="K21" s="6"/>
    </row>
    <row r="22" spans="1:11" ht="15" customHeight="1">
      <c r="A22" s="5"/>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A17:B17"/>
    <mergeCell ref="C17:H17"/>
    <mergeCell ref="I17:J17"/>
    <mergeCell ref="A8:B8"/>
    <mergeCell ref="C8:H8"/>
    <mergeCell ref="I8:J8"/>
    <mergeCell ref="A14:C14"/>
    <mergeCell ref="I14:K14"/>
    <mergeCell ref="A16:B16"/>
    <mergeCell ref="I16:J16"/>
    <mergeCell ref="C16:F16"/>
    <mergeCell ref="F1:G1"/>
    <mergeCell ref="A4:C4"/>
    <mergeCell ref="I4:K4"/>
    <mergeCell ref="A6:K6"/>
    <mergeCell ref="A7:B7"/>
    <mergeCell ref="C7:H7"/>
    <mergeCell ref="I7:J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18B6-764F-4BB9-9AF2-664BF6A35032}">
  <dimension ref="A1:L9"/>
  <sheetViews>
    <sheetView zoomScaleNormal="100" workbookViewId="0">
      <selection activeCell="H13" sqref="H13"/>
    </sheetView>
  </sheetViews>
  <sheetFormatPr defaultColWidth="8.81640625" defaultRowHeight="14.5"/>
  <cols>
    <col min="2" max="2" width="10.453125" customWidth="1"/>
    <col min="5" max="5" width="7.81640625" customWidth="1"/>
    <col min="6" max="6" width="10.1796875" customWidth="1"/>
    <col min="8" max="8" width="9.54296875" customWidth="1"/>
    <col min="11" max="11" width="10.453125" customWidth="1"/>
  </cols>
  <sheetData>
    <row r="1" spans="1:12">
      <c r="A1" s="20"/>
      <c r="B1" t="s">
        <v>59</v>
      </c>
      <c r="C1" s="21"/>
      <c r="D1" t="s">
        <v>60</v>
      </c>
      <c r="F1" s="82"/>
      <c r="G1" t="s">
        <v>61</v>
      </c>
      <c r="I1" s="22"/>
      <c r="J1" t="s">
        <v>62</v>
      </c>
    </row>
    <row r="4" spans="1:12">
      <c r="A4" s="196" t="s">
        <v>713</v>
      </c>
      <c r="B4" s="4"/>
      <c r="C4" s="4"/>
      <c r="D4" s="4"/>
      <c r="E4" s="4"/>
      <c r="F4" s="15"/>
      <c r="G4" s="4"/>
      <c r="H4" s="4"/>
      <c r="I4" s="6"/>
      <c r="J4" s="6"/>
    </row>
    <row r="5" spans="1:12">
      <c r="A5" s="196"/>
      <c r="B5" s="4"/>
      <c r="C5" s="4"/>
      <c r="D5" s="4"/>
      <c r="E5" s="4"/>
      <c r="F5" s="15"/>
      <c r="G5" s="4"/>
      <c r="H5" s="4"/>
      <c r="I5" s="6"/>
      <c r="J5" s="6"/>
    </row>
    <row r="6" spans="1:12">
      <c r="A6" s="525" t="s">
        <v>714</v>
      </c>
      <c r="B6" s="525"/>
      <c r="C6" s="21"/>
      <c r="E6" s="526" t="s">
        <v>715</v>
      </c>
      <c r="F6" s="526"/>
      <c r="G6" s="21"/>
      <c r="I6" s="525" t="s">
        <v>716</v>
      </c>
      <c r="J6" s="525"/>
      <c r="K6" s="21"/>
    </row>
    <row r="7" spans="1:12">
      <c r="A7" s="196"/>
      <c r="B7" s="4"/>
      <c r="E7" s="525" t="s">
        <v>717</v>
      </c>
      <c r="F7" s="525"/>
      <c r="G7" s="21"/>
      <c r="I7" s="525" t="s">
        <v>738</v>
      </c>
      <c r="J7" s="525"/>
      <c r="K7" s="21"/>
    </row>
    <row r="8" spans="1:12">
      <c r="A8" s="196"/>
      <c r="B8" s="4"/>
      <c r="C8" s="4"/>
      <c r="D8" s="4"/>
      <c r="E8" s="524" t="s">
        <v>718</v>
      </c>
      <c r="F8" s="524"/>
      <c r="G8" s="21"/>
      <c r="H8" s="4"/>
      <c r="I8" s="524" t="s">
        <v>719</v>
      </c>
      <c r="J8" s="524"/>
      <c r="K8" s="21"/>
    </row>
    <row r="9" spans="1:12">
      <c r="A9" s="382" t="s">
        <v>795</v>
      </c>
      <c r="B9" s="383"/>
      <c r="C9" s="383"/>
      <c r="D9" s="383"/>
      <c r="E9" s="383"/>
      <c r="F9" s="383"/>
      <c r="G9" s="383"/>
      <c r="H9" s="383"/>
      <c r="I9" s="383"/>
      <c r="J9" s="383"/>
      <c r="K9" s="383"/>
      <c r="L9" s="4"/>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5333-A696-4D7D-BA2D-8231A21812BB}">
  <dimension ref="A1:L9"/>
  <sheetViews>
    <sheetView zoomScaleNormal="100" workbookViewId="0">
      <selection activeCell="A9" sqref="A9:H9"/>
    </sheetView>
  </sheetViews>
  <sheetFormatPr defaultColWidth="8.81640625" defaultRowHeight="14.5"/>
  <cols>
    <col min="2" max="2" width="10.453125" customWidth="1"/>
    <col min="5" max="5" width="7.81640625" customWidth="1"/>
    <col min="6" max="6" width="10.1796875" customWidth="1"/>
    <col min="8" max="8" width="9.54296875" customWidth="1"/>
    <col min="11" max="11" width="10.453125" customWidth="1"/>
  </cols>
  <sheetData>
    <row r="1" spans="1:12">
      <c r="A1" s="20"/>
      <c r="B1" t="s">
        <v>59</v>
      </c>
      <c r="C1" s="21"/>
      <c r="D1" t="s">
        <v>60</v>
      </c>
      <c r="F1" s="82"/>
      <c r="G1" t="s">
        <v>61</v>
      </c>
      <c r="I1" s="22"/>
      <c r="J1" t="s">
        <v>62</v>
      </c>
    </row>
    <row r="4" spans="1:12">
      <c r="A4" s="196" t="s">
        <v>713</v>
      </c>
      <c r="B4" s="4"/>
      <c r="C4" s="4"/>
      <c r="D4" s="4"/>
      <c r="E4" s="4"/>
      <c r="F4" s="15"/>
      <c r="G4" s="4"/>
      <c r="H4" s="4"/>
      <c r="I4" s="6"/>
      <c r="J4" s="6"/>
    </row>
    <row r="5" spans="1:12">
      <c r="A5" s="196"/>
      <c r="B5" s="4"/>
      <c r="C5" s="4"/>
      <c r="D5" s="4"/>
      <c r="E5" s="4"/>
      <c r="F5" s="15"/>
      <c r="G5" s="4"/>
      <c r="H5" s="4"/>
      <c r="I5" s="6"/>
      <c r="J5" s="6"/>
    </row>
    <row r="6" spans="1:12">
      <c r="A6" s="525" t="s">
        <v>714</v>
      </c>
      <c r="B6" s="525"/>
      <c r="C6" s="21"/>
      <c r="E6" s="526" t="s">
        <v>715</v>
      </c>
      <c r="F6" s="526"/>
      <c r="G6" s="21"/>
      <c r="I6" s="525" t="s">
        <v>716</v>
      </c>
      <c r="J6" s="525"/>
      <c r="K6" s="21"/>
    </row>
    <row r="7" spans="1:12">
      <c r="A7" s="196"/>
      <c r="B7" s="4"/>
      <c r="E7" s="525" t="s">
        <v>717</v>
      </c>
      <c r="F7" s="525"/>
      <c r="G7" s="21"/>
      <c r="I7" s="525" t="s">
        <v>738</v>
      </c>
      <c r="J7" s="525"/>
      <c r="K7" s="21"/>
    </row>
    <row r="8" spans="1:12">
      <c r="A8" s="196"/>
      <c r="B8" s="4"/>
      <c r="C8" s="4"/>
      <c r="D8" s="4"/>
      <c r="E8" s="524" t="s">
        <v>718</v>
      </c>
      <c r="F8" s="524"/>
      <c r="G8" s="21"/>
      <c r="H8" s="4"/>
      <c r="I8" s="524" t="s">
        <v>719</v>
      </c>
      <c r="J8" s="524"/>
      <c r="K8" s="21"/>
    </row>
    <row r="9" spans="1:12">
      <c r="A9" s="382" t="s">
        <v>796</v>
      </c>
      <c r="B9" s="383"/>
      <c r="C9" s="383"/>
      <c r="D9" s="383"/>
      <c r="E9" s="383"/>
      <c r="F9" s="383"/>
      <c r="G9" s="383"/>
      <c r="H9" s="383"/>
      <c r="I9" s="239"/>
      <c r="J9" s="239"/>
      <c r="K9" s="239"/>
      <c r="L9" s="4"/>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zoomScale="70" zoomScaleNormal="70" workbookViewId="0">
      <selection activeCell="A9" sqref="A9:K9"/>
    </sheetView>
  </sheetViews>
  <sheetFormatPr defaultRowHeight="14.5"/>
  <cols>
    <col min="1" max="1" width="4.81640625" customWidth="1"/>
    <col min="2" max="4" width="10.81640625" customWidth="1"/>
    <col min="5" max="5" width="5" customWidth="1"/>
    <col min="6" max="6" width="29.54296875" customWidth="1"/>
    <col min="7" max="7" width="4.81640625" customWidth="1"/>
    <col min="8" max="8" width="3.81640625" customWidth="1"/>
    <col min="9" max="9" width="28.1796875" customWidth="1"/>
    <col min="10" max="10" width="3.81640625" customWidth="1"/>
    <col min="11" max="11" width="42.81640625" customWidth="1"/>
  </cols>
  <sheetData>
    <row r="1" spans="1:12">
      <c r="B1" s="20"/>
      <c r="C1" t="s">
        <v>59</v>
      </c>
      <c r="D1" s="21"/>
      <c r="E1" t="s">
        <v>60</v>
      </c>
      <c r="G1" s="520"/>
      <c r="H1" s="520"/>
      <c r="I1" t="s">
        <v>61</v>
      </c>
      <c r="K1" s="22"/>
      <c r="L1" t="s">
        <v>62</v>
      </c>
    </row>
    <row r="2" spans="1:12">
      <c r="A2" s="4"/>
      <c r="B2" s="4"/>
      <c r="C2" s="4"/>
      <c r="D2" s="4"/>
      <c r="E2" s="4"/>
      <c r="F2" s="4"/>
      <c r="G2" s="4"/>
      <c r="H2" s="4"/>
      <c r="I2" s="4"/>
      <c r="J2" s="4"/>
      <c r="K2" s="4"/>
    </row>
    <row r="3" spans="1:12">
      <c r="A3" s="528" t="s">
        <v>16</v>
      </c>
      <c r="B3" s="529"/>
      <c r="C3" s="529"/>
      <c r="D3" s="529"/>
      <c r="E3" s="529"/>
      <c r="F3" s="529"/>
      <c r="G3" s="529"/>
      <c r="H3" s="529"/>
      <c r="I3" s="529"/>
      <c r="J3" s="529"/>
      <c r="K3" s="530"/>
    </row>
    <row r="4" spans="1:12">
      <c r="A4" s="64" t="s">
        <v>44</v>
      </c>
      <c r="B4" s="531" t="s">
        <v>6</v>
      </c>
      <c r="C4" s="531"/>
      <c r="D4" s="531"/>
      <c r="E4" s="532"/>
      <c r="F4" s="532"/>
      <c r="G4" s="64" t="s">
        <v>47</v>
      </c>
      <c r="H4" s="533" t="s">
        <v>704</v>
      </c>
      <c r="I4" s="533"/>
      <c r="J4" s="534"/>
      <c r="K4" s="534"/>
    </row>
    <row r="5" spans="1:12">
      <c r="A5" s="64" t="s">
        <v>45</v>
      </c>
      <c r="B5" s="531" t="s">
        <v>5</v>
      </c>
      <c r="C5" s="531"/>
      <c r="D5" s="531"/>
      <c r="E5" s="539" t="s">
        <v>12</v>
      </c>
      <c r="F5" s="540"/>
      <c r="G5" s="69" t="s">
        <v>48</v>
      </c>
      <c r="H5" s="533" t="s">
        <v>11</v>
      </c>
      <c r="I5" s="533"/>
      <c r="J5" s="541"/>
      <c r="K5" s="541"/>
    </row>
    <row r="6" spans="1:12">
      <c r="A6" s="64" t="s">
        <v>46</v>
      </c>
      <c r="B6" s="542" t="s">
        <v>13</v>
      </c>
      <c r="C6" s="543"/>
      <c r="D6" s="543"/>
      <c r="E6" s="543"/>
      <c r="F6" s="544"/>
      <c r="G6" s="69" t="s">
        <v>53</v>
      </c>
      <c r="H6" s="545" t="s">
        <v>8</v>
      </c>
      <c r="I6" s="545"/>
      <c r="J6" s="541"/>
      <c r="K6" s="541"/>
    </row>
    <row r="7" spans="1:12">
      <c r="A7" s="536" t="s">
        <v>923</v>
      </c>
      <c r="B7" s="536"/>
      <c r="C7" s="536"/>
      <c r="D7" s="536"/>
      <c r="E7" s="536"/>
      <c r="F7" s="536"/>
      <c r="G7" s="536"/>
      <c r="H7" s="536"/>
      <c r="I7" s="536"/>
      <c r="J7" s="536"/>
      <c r="K7" s="536"/>
    </row>
    <row r="8" spans="1:12" ht="36.75" customHeight="1">
      <c r="A8" s="537" t="s">
        <v>924</v>
      </c>
      <c r="B8" s="537"/>
      <c r="C8" s="537"/>
      <c r="D8" s="537"/>
      <c r="E8" s="537"/>
      <c r="F8" s="537"/>
      <c r="G8" s="537"/>
      <c r="H8" s="537"/>
      <c r="I8" s="537"/>
      <c r="J8" s="537"/>
      <c r="K8" s="537"/>
    </row>
    <row r="9" spans="1:12" ht="57" customHeight="1">
      <c r="A9" s="538" t="s">
        <v>739</v>
      </c>
      <c r="B9" s="538"/>
      <c r="C9" s="538"/>
      <c r="D9" s="538"/>
      <c r="E9" s="538"/>
      <c r="F9" s="538"/>
      <c r="G9" s="538"/>
      <c r="H9" s="538"/>
      <c r="I9" s="538"/>
      <c r="J9" s="538"/>
      <c r="K9" s="538"/>
    </row>
    <row r="10" spans="1:12" ht="15" customHeight="1">
      <c r="A10" s="4"/>
      <c r="B10" s="4"/>
      <c r="C10" s="4"/>
      <c r="D10" s="4"/>
      <c r="E10" s="535" t="s">
        <v>88</v>
      </c>
      <c r="F10" s="535"/>
      <c r="G10" s="4"/>
      <c r="H10" s="4"/>
      <c r="I10" s="4"/>
      <c r="J10" s="4"/>
      <c r="K10" s="4"/>
    </row>
    <row r="11" spans="1:12">
      <c r="E11" s="527">
        <v>1</v>
      </c>
      <c r="F11" s="527"/>
      <c r="L11" s="280"/>
    </row>
    <row r="12" spans="1:12">
      <c r="E12" s="527">
        <v>2</v>
      </c>
      <c r="F12" s="527"/>
      <c r="K12" s="280"/>
      <c r="L12" s="280"/>
    </row>
    <row r="13" spans="1:12">
      <c r="E13" s="527">
        <v>3</v>
      </c>
      <c r="F13" s="527"/>
      <c r="K13" s="280"/>
      <c r="L13" s="368"/>
    </row>
    <row r="14" spans="1:12">
      <c r="E14" s="527">
        <v>4</v>
      </c>
      <c r="F14" s="527"/>
      <c r="I14" t="s">
        <v>424</v>
      </c>
      <c r="K14" s="368"/>
      <c r="L14" s="368"/>
    </row>
    <row r="15" spans="1:12">
      <c r="E15" s="527">
        <v>5</v>
      </c>
      <c r="F15" s="527"/>
      <c r="K15" s="368"/>
      <c r="L15" s="368"/>
    </row>
    <row r="16" spans="1:12">
      <c r="E16" s="527">
        <v>6</v>
      </c>
      <c r="F16" s="527"/>
      <c r="K16" s="368"/>
      <c r="L16" s="368"/>
    </row>
    <row r="17" spans="5:12">
      <c r="E17" s="527">
        <v>7</v>
      </c>
      <c r="F17" s="527"/>
      <c r="K17" s="368"/>
      <c r="L17" s="368"/>
    </row>
    <row r="18" spans="5:12">
      <c r="E18" s="527">
        <v>8</v>
      </c>
      <c r="F18" s="527"/>
      <c r="K18" s="368"/>
      <c r="L18" s="368"/>
    </row>
    <row r="19" spans="5:12">
      <c r="E19" s="527">
        <v>9</v>
      </c>
      <c r="F19" s="527"/>
      <c r="K19" s="368"/>
      <c r="L19" s="368"/>
    </row>
    <row r="20" spans="5:12">
      <c r="E20" s="527">
        <v>10</v>
      </c>
      <c r="F20" s="527"/>
      <c r="K20" s="368"/>
      <c r="L20" s="368"/>
    </row>
    <row r="21" spans="5:12">
      <c r="E21" s="527">
        <v>11</v>
      </c>
      <c r="F21" s="527"/>
      <c r="K21" s="368"/>
      <c r="L21" s="368"/>
    </row>
    <row r="22" spans="5:12">
      <c r="E22" s="527">
        <v>12</v>
      </c>
      <c r="F22" s="527"/>
      <c r="K22" s="368"/>
      <c r="L22" s="368"/>
    </row>
    <row r="23" spans="5:12">
      <c r="E23" s="527">
        <v>13</v>
      </c>
      <c r="F23" s="527"/>
      <c r="K23" s="368"/>
      <c r="L23" s="368"/>
    </row>
    <row r="24" spans="5:12">
      <c r="E24" s="527">
        <v>14</v>
      </c>
      <c r="F24" s="527"/>
      <c r="K24" s="368"/>
      <c r="L24" s="368"/>
    </row>
    <row r="25" spans="5:12">
      <c r="E25" s="527">
        <v>15</v>
      </c>
      <c r="F25" s="527"/>
      <c r="K25" s="368"/>
      <c r="L25" s="368"/>
    </row>
    <row r="26" spans="5:12">
      <c r="E26" s="527">
        <v>16</v>
      </c>
      <c r="F26" s="527"/>
      <c r="K26" s="368"/>
      <c r="L26" s="368"/>
    </row>
    <row r="27" spans="5:12">
      <c r="K27" s="368"/>
      <c r="L27" s="368"/>
    </row>
    <row r="28" spans="5:12">
      <c r="K28" s="368"/>
      <c r="L28" s="425"/>
    </row>
    <row r="29" spans="5:12">
      <c r="K29" s="425"/>
      <c r="L29" s="426"/>
    </row>
    <row r="30" spans="5:12">
      <c r="K30" s="426"/>
      <c r="L30" s="426"/>
    </row>
    <row r="31" spans="5:12">
      <c r="K31" s="426"/>
      <c r="L31" s="426"/>
    </row>
    <row r="32" spans="5:12">
      <c r="K32" s="426"/>
      <c r="L32" s="426"/>
    </row>
    <row r="33" spans="11:12">
      <c r="K33" s="426"/>
      <c r="L33" s="427"/>
    </row>
    <row r="34" spans="11:12">
      <c r="K34" s="427"/>
      <c r="L34" s="280"/>
    </row>
    <row r="35" spans="11:12">
      <c r="K35" s="280"/>
      <c r="L35" s="280"/>
    </row>
    <row r="36" spans="11:12">
      <c r="K36" s="280"/>
      <c r="L36" s="199"/>
    </row>
    <row r="37" spans="11:12">
      <c r="K37" s="199"/>
      <c r="L37" s="199"/>
    </row>
    <row r="38" spans="11:12">
      <c r="K38" s="199"/>
      <c r="L38" s="199"/>
    </row>
    <row r="39" spans="11:12">
      <c r="K39" s="199"/>
    </row>
  </sheetData>
  <mergeCells count="33">
    <mergeCell ref="H5:I5"/>
    <mergeCell ref="J5:K5"/>
    <mergeCell ref="B6:F6"/>
    <mergeCell ref="H6:I6"/>
    <mergeCell ref="J6:K6"/>
    <mergeCell ref="E11:F11"/>
    <mergeCell ref="E12:F12"/>
    <mergeCell ref="E13:F13"/>
    <mergeCell ref="E14:F14"/>
    <mergeCell ref="G1:H1"/>
    <mergeCell ref="A3:K3"/>
    <mergeCell ref="B4:D4"/>
    <mergeCell ref="E4:F4"/>
    <mergeCell ref="H4:I4"/>
    <mergeCell ref="J4:K4"/>
    <mergeCell ref="E10:F10"/>
    <mergeCell ref="A7:K7"/>
    <mergeCell ref="A8:K8"/>
    <mergeCell ref="A9:K9"/>
    <mergeCell ref="B5:D5"/>
    <mergeCell ref="E5:F5"/>
    <mergeCell ref="E15:F15"/>
    <mergeCell ref="E16:F16"/>
    <mergeCell ref="E17:F17"/>
    <mergeCell ref="E18:F18"/>
    <mergeCell ref="E19:F19"/>
    <mergeCell ref="E25:F25"/>
    <mergeCell ref="E26:F26"/>
    <mergeCell ref="E20:F20"/>
    <mergeCell ref="E21:F21"/>
    <mergeCell ref="E22:F22"/>
    <mergeCell ref="E23:F23"/>
    <mergeCell ref="E24:F24"/>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C801-01C4-43F0-BE04-8BDA446AFAD8}">
  <dimension ref="A1:L36"/>
  <sheetViews>
    <sheetView zoomScaleNormal="100" workbookViewId="0">
      <selection activeCell="A8" sqref="A8:K8"/>
    </sheetView>
  </sheetViews>
  <sheetFormatPr defaultColWidth="8.81640625" defaultRowHeight="14.5"/>
  <cols>
    <col min="1" max="1" width="4.81640625" customWidth="1"/>
    <col min="2" max="4" width="10.81640625" customWidth="1"/>
    <col min="5" max="5" width="5" customWidth="1"/>
    <col min="6" max="6" width="29.54296875" customWidth="1"/>
    <col min="7" max="7" width="4.81640625" customWidth="1"/>
    <col min="8" max="8" width="3.81640625" customWidth="1"/>
    <col min="9" max="9" width="25.81640625" customWidth="1"/>
    <col min="10" max="10" width="3.81640625" customWidth="1"/>
    <col min="11" max="11" width="42.81640625" customWidth="1"/>
  </cols>
  <sheetData>
    <row r="1" spans="1:12">
      <c r="B1" s="20"/>
      <c r="C1" t="s">
        <v>59</v>
      </c>
      <c r="D1" s="21"/>
      <c r="E1" t="s">
        <v>60</v>
      </c>
      <c r="G1" s="520"/>
      <c r="H1" s="520"/>
      <c r="I1" t="s">
        <v>61</v>
      </c>
      <c r="K1" s="22"/>
      <c r="L1" t="s">
        <v>62</v>
      </c>
    </row>
    <row r="2" spans="1:12">
      <c r="A2" s="4"/>
      <c r="B2" s="4"/>
      <c r="C2" s="4"/>
      <c r="D2" s="4"/>
      <c r="E2" s="4"/>
      <c r="F2" s="4"/>
      <c r="G2" s="4"/>
      <c r="H2" s="4"/>
      <c r="I2" s="4"/>
      <c r="J2" s="4"/>
      <c r="K2" s="4"/>
    </row>
    <row r="3" spans="1:12">
      <c r="A3" s="528" t="s">
        <v>16</v>
      </c>
      <c r="B3" s="529"/>
      <c r="C3" s="529"/>
      <c r="D3" s="529"/>
      <c r="E3" s="529"/>
      <c r="F3" s="529"/>
      <c r="G3" s="529"/>
      <c r="H3" s="529"/>
      <c r="I3" s="529"/>
      <c r="J3" s="529"/>
      <c r="K3" s="530"/>
    </row>
    <row r="4" spans="1:12">
      <c r="A4" s="64" t="s">
        <v>44</v>
      </c>
      <c r="B4" s="531" t="s">
        <v>6</v>
      </c>
      <c r="C4" s="531"/>
      <c r="D4" s="531"/>
      <c r="E4" s="532"/>
      <c r="F4" s="532"/>
      <c r="G4" s="64" t="s">
        <v>47</v>
      </c>
      <c r="H4" s="545" t="s">
        <v>7</v>
      </c>
      <c r="I4" s="545"/>
      <c r="J4" s="534"/>
      <c r="K4" s="534"/>
    </row>
    <row r="5" spans="1:12">
      <c r="A5" s="64" t="s">
        <v>45</v>
      </c>
      <c r="B5" s="531" t="s">
        <v>5</v>
      </c>
      <c r="C5" s="531"/>
      <c r="D5" s="531"/>
      <c r="E5" s="539" t="s">
        <v>12</v>
      </c>
      <c r="F5" s="540"/>
      <c r="G5" s="69" t="s">
        <v>48</v>
      </c>
      <c r="H5" s="545" t="s">
        <v>11</v>
      </c>
      <c r="I5" s="545"/>
      <c r="J5" s="541"/>
      <c r="K5" s="541"/>
    </row>
    <row r="6" spans="1:12">
      <c r="A6" s="64" t="s">
        <v>46</v>
      </c>
      <c r="B6" s="542" t="s">
        <v>13</v>
      </c>
      <c r="C6" s="543"/>
      <c r="D6" s="543"/>
      <c r="E6" s="543"/>
      <c r="F6" s="544"/>
      <c r="G6" s="69" t="s">
        <v>53</v>
      </c>
      <c r="H6" s="545" t="s">
        <v>8</v>
      </c>
      <c r="I6" s="545"/>
      <c r="J6" s="541"/>
      <c r="K6" s="541"/>
    </row>
    <row r="7" spans="1:12">
      <c r="A7" s="536" t="s">
        <v>923</v>
      </c>
      <c r="B7" s="536"/>
      <c r="C7" s="536"/>
      <c r="D7" s="536"/>
      <c r="E7" s="536"/>
      <c r="F7" s="536"/>
      <c r="G7" s="536"/>
      <c r="H7" s="536"/>
      <c r="I7" s="536"/>
      <c r="J7" s="536"/>
      <c r="K7" s="536"/>
    </row>
    <row r="8" spans="1:12" ht="27.75" customHeight="1">
      <c r="A8" s="537" t="s">
        <v>924</v>
      </c>
      <c r="B8" s="537"/>
      <c r="C8" s="537"/>
      <c r="D8" s="537"/>
      <c r="E8" s="537"/>
      <c r="F8" s="537"/>
      <c r="G8" s="537"/>
      <c r="H8" s="537"/>
      <c r="I8" s="537"/>
      <c r="J8" s="537"/>
      <c r="K8" s="537"/>
    </row>
    <row r="9" spans="1:12" ht="60" customHeight="1">
      <c r="A9" s="538" t="s">
        <v>739</v>
      </c>
      <c r="B9" s="538"/>
      <c r="C9" s="538"/>
      <c r="D9" s="538"/>
      <c r="E9" s="538"/>
      <c r="F9" s="538"/>
      <c r="G9" s="538"/>
      <c r="H9" s="538"/>
      <c r="I9" s="538"/>
      <c r="J9" s="538"/>
      <c r="K9" s="538"/>
    </row>
    <row r="10" spans="1:12">
      <c r="A10" s="4"/>
      <c r="B10" s="4"/>
      <c r="C10" s="4"/>
      <c r="D10" s="4"/>
      <c r="E10" s="535" t="s">
        <v>88</v>
      </c>
      <c r="F10" s="535"/>
      <c r="G10" s="4"/>
      <c r="H10" s="4"/>
      <c r="I10" s="4"/>
      <c r="J10" s="4"/>
      <c r="K10" s="4"/>
    </row>
    <row r="11" spans="1:12" ht="15" customHeight="1">
      <c r="E11" s="527">
        <v>1</v>
      </c>
      <c r="F11" s="527"/>
      <c r="K11" s="199"/>
      <c r="L11" s="199"/>
    </row>
    <row r="12" spans="1:12">
      <c r="E12" s="527">
        <v>2</v>
      </c>
      <c r="F12" s="527"/>
      <c r="K12" s="199"/>
      <c r="L12" s="199"/>
    </row>
    <row r="13" spans="1:12">
      <c r="E13" s="527">
        <v>3</v>
      </c>
      <c r="F13" s="527"/>
      <c r="K13" s="199"/>
      <c r="L13" s="199"/>
    </row>
    <row r="14" spans="1:12">
      <c r="E14" s="527">
        <v>4</v>
      </c>
      <c r="F14" s="527"/>
      <c r="I14" t="s">
        <v>424</v>
      </c>
      <c r="K14" s="199"/>
      <c r="L14" s="199"/>
    </row>
    <row r="15" spans="1:12">
      <c r="E15" s="527">
        <v>5</v>
      </c>
      <c r="F15" s="527"/>
      <c r="K15" s="199"/>
      <c r="L15" s="199"/>
    </row>
    <row r="16" spans="1:12">
      <c r="E16" s="527">
        <v>6</v>
      </c>
      <c r="F16" s="527"/>
      <c r="K16" s="199"/>
      <c r="L16" s="199"/>
    </row>
    <row r="17" spans="5:12">
      <c r="E17" s="527">
        <v>7</v>
      </c>
      <c r="F17" s="527"/>
      <c r="K17" s="199"/>
      <c r="L17" s="199"/>
    </row>
    <row r="18" spans="5:12">
      <c r="E18" s="527">
        <v>8</v>
      </c>
      <c r="F18" s="527"/>
      <c r="K18" s="199"/>
      <c r="L18" s="199"/>
    </row>
    <row r="19" spans="5:12">
      <c r="E19" s="527">
        <v>9</v>
      </c>
      <c r="F19" s="527"/>
      <c r="K19" s="199"/>
      <c r="L19" s="199"/>
    </row>
    <row r="20" spans="5:12">
      <c r="E20" s="527">
        <v>10</v>
      </c>
      <c r="F20" s="527"/>
      <c r="K20" s="199"/>
      <c r="L20" s="199"/>
    </row>
    <row r="21" spans="5:12">
      <c r="E21" s="527">
        <v>11</v>
      </c>
      <c r="F21" s="527"/>
      <c r="K21" s="199"/>
      <c r="L21" s="199"/>
    </row>
    <row r="22" spans="5:12">
      <c r="E22" s="527">
        <v>12</v>
      </c>
      <c r="F22" s="527"/>
      <c r="K22" s="199"/>
      <c r="L22" s="199"/>
    </row>
    <row r="23" spans="5:12">
      <c r="E23" s="527">
        <v>13</v>
      </c>
      <c r="F23" s="527"/>
      <c r="K23" s="199"/>
      <c r="L23" s="199"/>
    </row>
    <row r="24" spans="5:12">
      <c r="E24" s="527">
        <v>14</v>
      </c>
      <c r="F24" s="527"/>
      <c r="K24" s="199"/>
      <c r="L24" s="199"/>
    </row>
    <row r="25" spans="5:12">
      <c r="E25" s="527">
        <v>15</v>
      </c>
      <c r="F25" s="527"/>
      <c r="K25" s="199"/>
      <c r="L25" s="199"/>
    </row>
    <row r="26" spans="5:12">
      <c r="E26" s="527">
        <v>16</v>
      </c>
      <c r="F26" s="527"/>
      <c r="K26" s="199"/>
      <c r="L26" s="199"/>
    </row>
    <row r="27" spans="5:12">
      <c r="K27" s="199"/>
      <c r="L27" s="199"/>
    </row>
    <row r="28" spans="5:12">
      <c r="K28" s="199"/>
      <c r="L28" s="199"/>
    </row>
    <row r="29" spans="5:12">
      <c r="K29" s="199"/>
      <c r="L29" s="199"/>
    </row>
    <row r="30" spans="5:12">
      <c r="K30" s="199"/>
      <c r="L30" s="199"/>
    </row>
    <row r="31" spans="5:12">
      <c r="K31" s="199"/>
      <c r="L31" s="199"/>
    </row>
    <row r="32" spans="5:12">
      <c r="K32" s="199"/>
      <c r="L32" s="199"/>
    </row>
    <row r="33" spans="11:12">
      <c r="K33" s="199"/>
      <c r="L33" s="199"/>
    </row>
    <row r="34" spans="11:12">
      <c r="K34" s="199"/>
      <c r="L34" s="199"/>
    </row>
    <row r="35" spans="11:12">
      <c r="K35" s="199"/>
      <c r="L35" s="199"/>
    </row>
    <row r="36" spans="11:12">
      <c r="K36" s="199"/>
      <c r="L36" s="199"/>
    </row>
  </sheetData>
  <mergeCells count="33">
    <mergeCell ref="E24:F24"/>
    <mergeCell ref="E25:F25"/>
    <mergeCell ref="E26:F26"/>
    <mergeCell ref="E19:F19"/>
    <mergeCell ref="E20:F20"/>
    <mergeCell ref="E21:F21"/>
    <mergeCell ref="E22:F22"/>
    <mergeCell ref="E23:F23"/>
    <mergeCell ref="E14:F14"/>
    <mergeCell ref="E15:F15"/>
    <mergeCell ref="E16:F16"/>
    <mergeCell ref="E17:F17"/>
    <mergeCell ref="E18:F18"/>
    <mergeCell ref="A7:K7"/>
    <mergeCell ref="A9:K9"/>
    <mergeCell ref="A8:K8"/>
    <mergeCell ref="E13:F13"/>
    <mergeCell ref="E10:F10"/>
    <mergeCell ref="E11:F11"/>
    <mergeCell ref="E12:F12"/>
    <mergeCell ref="B5:D5"/>
    <mergeCell ref="E5:F5"/>
    <mergeCell ref="H5:I5"/>
    <mergeCell ref="J5:K5"/>
    <mergeCell ref="B6:F6"/>
    <mergeCell ref="H6:I6"/>
    <mergeCell ref="J6:K6"/>
    <mergeCell ref="G1:H1"/>
    <mergeCell ref="A3:K3"/>
    <mergeCell ref="B4:D4"/>
    <mergeCell ref="E4:F4"/>
    <mergeCell ref="H4:I4"/>
    <mergeCell ref="J4:K4"/>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31"/>
  <sheetViews>
    <sheetView tabSelected="1" topLeftCell="B1" zoomScale="85" zoomScaleNormal="85" workbookViewId="0">
      <selection activeCell="D10" sqref="D10"/>
    </sheetView>
  </sheetViews>
  <sheetFormatPr defaultRowHeight="14.5"/>
  <cols>
    <col min="1" max="1" width="7.1796875" customWidth="1"/>
    <col min="2" max="2" width="67.1796875" customWidth="1"/>
    <col min="3" max="3" width="10.1796875" customWidth="1"/>
    <col min="4" max="4" width="59.7265625" customWidth="1"/>
    <col min="5" max="5" width="10.1796875" customWidth="1"/>
    <col min="6" max="6" width="37.81640625" customWidth="1"/>
    <col min="7" max="7" width="15.1796875" customWidth="1"/>
    <col min="8" max="8" width="15.81640625" customWidth="1"/>
    <col min="9" max="9" width="10.54296875" customWidth="1"/>
    <col min="10" max="10" width="10.81640625" customWidth="1"/>
    <col min="17" max="17" width="22.54296875" customWidth="1"/>
  </cols>
  <sheetData>
    <row r="1" spans="1:14">
      <c r="B1" s="20"/>
      <c r="C1" t="s">
        <v>59</v>
      </c>
      <c r="E1" s="21"/>
      <c r="F1" t="s">
        <v>60</v>
      </c>
      <c r="H1" s="520"/>
      <c r="I1" s="520"/>
      <c r="J1" t="s">
        <v>61</v>
      </c>
      <c r="L1" s="22"/>
      <c r="M1" t="s">
        <v>62</v>
      </c>
    </row>
    <row r="2" spans="1:14">
      <c r="A2" s="4"/>
      <c r="B2" s="4"/>
      <c r="C2" s="4"/>
      <c r="D2" s="4"/>
      <c r="E2" s="4"/>
      <c r="F2" s="4"/>
      <c r="G2" s="4"/>
      <c r="H2" s="4"/>
      <c r="I2" s="4"/>
      <c r="J2" s="4"/>
    </row>
    <row r="3" spans="1:14" ht="15" customHeight="1">
      <c r="A3" s="548" t="s">
        <v>19</v>
      </c>
      <c r="B3" s="548"/>
      <c r="C3" s="548"/>
      <c r="D3" s="548"/>
      <c r="E3" s="29"/>
      <c r="F3" s="29"/>
      <c r="G3" s="29"/>
      <c r="H3" s="29"/>
      <c r="I3" s="29"/>
      <c r="J3" s="29"/>
    </row>
    <row r="4" spans="1:14" ht="31.5" customHeight="1">
      <c r="A4" s="549" t="s">
        <v>789</v>
      </c>
      <c r="B4" s="549"/>
      <c r="C4" s="549"/>
      <c r="D4" s="549"/>
      <c r="E4" s="28"/>
      <c r="F4" s="28"/>
      <c r="G4" s="28"/>
      <c r="H4" s="28"/>
      <c r="I4" s="28"/>
      <c r="J4" s="28"/>
    </row>
    <row r="5" spans="1:14" ht="16.5" customHeight="1">
      <c r="A5" s="550" t="s">
        <v>333</v>
      </c>
      <c r="B5" s="550"/>
      <c r="C5" s="550"/>
      <c r="D5" s="550"/>
      <c r="E5" s="344"/>
      <c r="F5" s="66"/>
      <c r="H5" s="547"/>
      <c r="I5" s="547"/>
      <c r="J5" s="547"/>
    </row>
    <row r="6" spans="1:14">
      <c r="A6" s="552" t="s">
        <v>44</v>
      </c>
      <c r="B6" s="553"/>
      <c r="C6" s="553"/>
      <c r="D6" s="554"/>
      <c r="E6" s="345"/>
      <c r="F6" s="57"/>
      <c r="G6" s="4"/>
    </row>
    <row r="7" spans="1:14" ht="15" customHeight="1">
      <c r="A7" s="307" t="s">
        <v>14</v>
      </c>
      <c r="B7" s="231" t="s">
        <v>784</v>
      </c>
      <c r="C7" s="307" t="s">
        <v>14</v>
      </c>
      <c r="D7" s="231" t="s">
        <v>530</v>
      </c>
      <c r="E7" s="199"/>
      <c r="G7" s="4"/>
      <c r="H7" s="25"/>
      <c r="I7" s="25"/>
      <c r="J7" s="25"/>
      <c r="K7" s="25"/>
      <c r="L7" s="25"/>
      <c r="M7" s="25"/>
      <c r="N7" s="25"/>
    </row>
    <row r="8" spans="1:14" ht="15" customHeight="1">
      <c r="A8" s="307" t="s">
        <v>14</v>
      </c>
      <c r="B8" s="231" t="s">
        <v>526</v>
      </c>
      <c r="C8" s="307" t="s">
        <v>14</v>
      </c>
      <c r="D8" s="313" t="s">
        <v>787</v>
      </c>
      <c r="E8" s="199"/>
      <c r="G8" s="4"/>
      <c r="H8" s="25"/>
      <c r="I8" s="25"/>
      <c r="J8" s="25"/>
      <c r="K8" s="25"/>
      <c r="L8" s="25"/>
      <c r="M8" s="25"/>
      <c r="N8" s="25"/>
    </row>
    <row r="9" spans="1:14" ht="15.75" customHeight="1">
      <c r="A9" s="307" t="s">
        <v>14</v>
      </c>
      <c r="B9" s="335" t="s">
        <v>785</v>
      </c>
      <c r="C9" s="307" t="s">
        <v>14</v>
      </c>
      <c r="D9" s="313" t="s">
        <v>531</v>
      </c>
      <c r="E9" s="199"/>
      <c r="H9" s="25"/>
      <c r="I9" s="25"/>
      <c r="J9" s="17"/>
      <c r="K9" s="53"/>
      <c r="L9" s="53"/>
      <c r="M9" s="25"/>
      <c r="N9" s="25"/>
    </row>
    <row r="10" spans="1:14">
      <c r="A10" s="307" t="s">
        <v>14</v>
      </c>
      <c r="B10" s="313" t="s">
        <v>527</v>
      </c>
      <c r="C10" s="307" t="s">
        <v>14</v>
      </c>
      <c r="D10" s="231" t="s">
        <v>1019</v>
      </c>
      <c r="E10" s="199"/>
      <c r="H10" s="25"/>
      <c r="I10" s="25"/>
      <c r="J10" s="17"/>
      <c r="K10" s="53"/>
      <c r="L10" s="53"/>
      <c r="M10" s="25"/>
      <c r="N10" s="25"/>
    </row>
    <row r="11" spans="1:14">
      <c r="A11" s="342" t="s">
        <v>14</v>
      </c>
      <c r="B11" s="231" t="s">
        <v>528</v>
      </c>
      <c r="C11" s="415" t="s">
        <v>14</v>
      </c>
      <c r="D11" s="439" t="s">
        <v>711</v>
      </c>
      <c r="E11" s="199"/>
      <c r="I11" s="25"/>
      <c r="J11" s="17"/>
      <c r="K11" s="53"/>
      <c r="L11" s="56"/>
      <c r="M11" s="25"/>
      <c r="N11" s="25"/>
    </row>
    <row r="12" spans="1:14">
      <c r="A12" s="307" t="s">
        <v>14</v>
      </c>
      <c r="B12" s="231" t="s">
        <v>529</v>
      </c>
      <c r="C12" s="307" t="s">
        <v>14</v>
      </c>
      <c r="D12" s="231" t="s">
        <v>788</v>
      </c>
      <c r="E12" s="199"/>
      <c r="J12" s="17"/>
      <c r="K12" s="51"/>
      <c r="L12" s="51"/>
    </row>
    <row r="13" spans="1:14">
      <c r="A13" s="307" t="s">
        <v>14</v>
      </c>
      <c r="B13" s="231" t="s">
        <v>786</v>
      </c>
      <c r="C13" s="307" t="s">
        <v>14</v>
      </c>
      <c r="D13" s="231" t="s">
        <v>616</v>
      </c>
      <c r="E13" s="199"/>
      <c r="J13" s="17"/>
      <c r="K13" s="51"/>
      <c r="L13" s="51"/>
    </row>
    <row r="14" spans="1:14" ht="30.75" customHeight="1">
      <c r="A14" s="551" t="s">
        <v>292</v>
      </c>
      <c r="B14" s="551"/>
      <c r="C14" s="551"/>
      <c r="D14" s="551"/>
      <c r="E14" s="164"/>
      <c r="F14" s="164"/>
      <c r="G14" s="164"/>
      <c r="L14" s="17"/>
      <c r="M14" s="51"/>
      <c r="N14" s="51"/>
    </row>
    <row r="15" spans="1:14">
      <c r="A15" s="81"/>
      <c r="B15" s="81"/>
      <c r="E15" s="81"/>
      <c r="F15" s="81"/>
    </row>
    <row r="16" spans="1:14" ht="45.75" customHeight="1">
      <c r="A16" s="546" t="s">
        <v>459</v>
      </c>
      <c r="B16" s="546"/>
      <c r="C16" s="546"/>
      <c r="D16" s="546"/>
      <c r="E16" s="546"/>
      <c r="F16" s="546"/>
    </row>
    <row r="17" spans="1:6" ht="16.5" customHeight="1">
      <c r="A17" s="66"/>
      <c r="B17" s="66"/>
      <c r="E17" s="54"/>
    </row>
    <row r="18" spans="1:6" ht="15" customHeight="1"/>
    <row r="19" spans="1:6" ht="15" customHeight="1"/>
    <row r="20" spans="1:6" ht="15" customHeight="1"/>
    <row r="24" spans="1:6" ht="15" customHeight="1"/>
    <row r="25" spans="1:6" ht="15" customHeight="1">
      <c r="F25" s="76"/>
    </row>
    <row r="26" spans="1:6" ht="15" customHeight="1"/>
    <row r="28" spans="1:6">
      <c r="B28" s="26"/>
    </row>
    <row r="29" spans="1:6">
      <c r="B29" s="26"/>
    </row>
    <row r="30" spans="1:6">
      <c r="B30" s="26"/>
    </row>
    <row r="31" spans="1:6">
      <c r="B31" s="26"/>
    </row>
  </sheetData>
  <mergeCells count="8">
    <mergeCell ref="A16:F16"/>
    <mergeCell ref="H1:I1"/>
    <mergeCell ref="H5:J5"/>
    <mergeCell ref="A3:D3"/>
    <mergeCell ref="A4:D4"/>
    <mergeCell ref="A5:D5"/>
    <mergeCell ref="A14:D14"/>
    <mergeCell ref="A6:D6"/>
  </mergeCells>
  <pageMargins left="0.5" right="0.5" top="0.75" bottom="0.75" header="0.3" footer="0.3"/>
  <pageSetup scale="95"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CB3-D23F-45EC-9AA5-0ADDDE6F7A5A}">
  <sheetPr>
    <pageSetUpPr fitToPage="1"/>
  </sheetPr>
  <dimension ref="A1:N26"/>
  <sheetViews>
    <sheetView zoomScale="80" zoomScaleNormal="80" workbookViewId="0">
      <selection activeCell="A9" sqref="A9:D9"/>
    </sheetView>
  </sheetViews>
  <sheetFormatPr defaultColWidth="8.81640625" defaultRowHeight="14.5"/>
  <cols>
    <col min="1" max="1" width="7.1796875" customWidth="1"/>
    <col min="2" max="2" width="67.1796875" customWidth="1"/>
    <col min="3" max="3" width="10.1796875" customWidth="1"/>
    <col min="4" max="4" width="57.81640625" customWidth="1"/>
    <col min="5" max="5" width="10.1796875" customWidth="1"/>
    <col min="6" max="6" width="37.81640625" customWidth="1"/>
    <col min="7" max="7" width="15.1796875" customWidth="1"/>
    <col min="8" max="8" width="15.81640625" customWidth="1"/>
    <col min="9" max="9" width="10.54296875" customWidth="1"/>
    <col min="10" max="10" width="10.81640625" customWidth="1"/>
    <col min="17" max="17" width="22.54296875" customWidth="1"/>
  </cols>
  <sheetData>
    <row r="1" spans="1:14">
      <c r="B1" s="20"/>
      <c r="C1" t="s">
        <v>59</v>
      </c>
      <c r="E1" s="21"/>
      <c r="F1" t="s">
        <v>60</v>
      </c>
      <c r="H1" s="520"/>
      <c r="I1" s="520"/>
      <c r="J1" t="s">
        <v>61</v>
      </c>
      <c r="L1" s="22"/>
      <c r="M1" t="s">
        <v>62</v>
      </c>
    </row>
    <row r="2" spans="1:14">
      <c r="A2" s="4"/>
      <c r="B2" s="4"/>
      <c r="C2" s="4"/>
      <c r="D2" s="4"/>
    </row>
    <row r="3" spans="1:14" ht="15" customHeight="1">
      <c r="A3" s="548" t="s">
        <v>19</v>
      </c>
      <c r="B3" s="548"/>
      <c r="C3" s="548"/>
      <c r="D3" s="548"/>
    </row>
    <row r="4" spans="1:14" ht="31.5" customHeight="1">
      <c r="A4" s="549" t="s">
        <v>791</v>
      </c>
      <c r="B4" s="549"/>
      <c r="C4" s="549"/>
      <c r="D4" s="549"/>
    </row>
    <row r="5" spans="1:14" ht="16.5" customHeight="1">
      <c r="A5" s="550" t="s">
        <v>333</v>
      </c>
      <c r="B5" s="550"/>
      <c r="C5" s="550"/>
      <c r="D5" s="550"/>
    </row>
    <row r="6" spans="1:14">
      <c r="A6" s="555" t="s">
        <v>44</v>
      </c>
      <c r="B6" s="555"/>
      <c r="C6" s="555" t="s">
        <v>45</v>
      </c>
      <c r="D6" s="555"/>
    </row>
    <row r="7" spans="1:14">
      <c r="A7" s="307" t="s">
        <v>14</v>
      </c>
      <c r="B7" s="313" t="s">
        <v>527</v>
      </c>
      <c r="C7" s="415" t="s">
        <v>14</v>
      </c>
      <c r="D7" s="439" t="s">
        <v>711</v>
      </c>
      <c r="N7" s="25"/>
    </row>
    <row r="8" spans="1:14">
      <c r="A8" s="223" t="s">
        <v>14</v>
      </c>
      <c r="B8" s="231" t="s">
        <v>786</v>
      </c>
      <c r="C8" s="343"/>
      <c r="D8" s="343"/>
    </row>
    <row r="9" spans="1:14" ht="30.75" customHeight="1">
      <c r="A9" s="551" t="s">
        <v>790</v>
      </c>
      <c r="B9" s="551"/>
      <c r="C9" s="551"/>
      <c r="D9" s="551"/>
      <c r="N9" s="51"/>
    </row>
    <row r="10" spans="1:14">
      <c r="A10" s="81"/>
      <c r="B10" s="81"/>
      <c r="N10" s="51"/>
    </row>
    <row r="11" spans="1:14" ht="45.75" customHeight="1">
      <c r="A11" s="318"/>
      <c r="B11" s="318"/>
      <c r="C11" s="318"/>
      <c r="D11" s="318"/>
      <c r="N11" s="51"/>
    </row>
    <row r="12" spans="1:14" ht="16.5" customHeight="1">
      <c r="A12" s="66"/>
      <c r="B12" s="66"/>
      <c r="N12" s="51"/>
    </row>
    <row r="13" spans="1:14" ht="15" customHeight="1">
      <c r="N13" s="58"/>
    </row>
    <row r="14" spans="1:14" ht="15" customHeight="1">
      <c r="N14" s="52"/>
    </row>
    <row r="15" spans="1:14" ht="15" customHeight="1">
      <c r="N15" s="33"/>
    </row>
    <row r="19" spans="2:2" ht="15" customHeight="1"/>
    <row r="20" spans="2:2" ht="15" customHeight="1"/>
    <row r="21" spans="2:2" ht="15" customHeight="1"/>
    <row r="23" spans="2:2">
      <c r="B23" s="26"/>
    </row>
    <row r="24" spans="2:2">
      <c r="B24" s="26"/>
    </row>
    <row r="25" spans="2:2">
      <c r="B25" s="26"/>
    </row>
    <row r="26" spans="2:2">
      <c r="B26" s="26"/>
    </row>
  </sheetData>
  <mergeCells count="7">
    <mergeCell ref="A9:D9"/>
    <mergeCell ref="H1:I1"/>
    <mergeCell ref="A3:D3"/>
    <mergeCell ref="A4:D4"/>
    <mergeCell ref="A5:D5"/>
    <mergeCell ref="A6:B6"/>
    <mergeCell ref="C6:D6"/>
  </mergeCells>
  <pageMargins left="0.5" right="0.5" top="0.75" bottom="0.75" header="0.3" footer="0.3"/>
  <pageSetup scale="95"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20"/>
  <sheetViews>
    <sheetView topLeftCell="D1" zoomScale="70" zoomScaleNormal="70" workbookViewId="0">
      <selection activeCell="N23" sqref="N23"/>
    </sheetView>
  </sheetViews>
  <sheetFormatPr defaultColWidth="9.1796875" defaultRowHeight="13"/>
  <cols>
    <col min="1" max="1" width="15" style="7" customWidth="1"/>
    <col min="2" max="2" width="14.54296875" style="7" customWidth="1"/>
    <col min="3" max="3" width="12" style="7" customWidth="1"/>
    <col min="4" max="5" width="11.81640625" style="7" customWidth="1"/>
    <col min="6" max="6" width="11.453125" style="7" customWidth="1"/>
    <col min="7" max="7" width="10.453125" style="7" customWidth="1"/>
    <col min="8" max="8" width="11.54296875" style="7" customWidth="1"/>
    <col min="9" max="9" width="13" style="7" customWidth="1"/>
    <col min="10" max="13" width="16.1796875" style="7" customWidth="1"/>
    <col min="14" max="14" width="30" style="7" customWidth="1"/>
    <col min="15" max="15" width="44.81640625" style="7" customWidth="1"/>
    <col min="16" max="16" width="30.1796875" style="7" customWidth="1"/>
    <col min="17" max="16384" width="9.1796875" style="7"/>
  </cols>
  <sheetData>
    <row r="1" spans="1:16" customFormat="1" ht="14.5">
      <c r="A1" s="20"/>
      <c r="C1" t="s">
        <v>60</v>
      </c>
      <c r="D1" s="82"/>
      <c r="E1" t="s">
        <v>61</v>
      </c>
      <c r="G1" t="s">
        <v>62</v>
      </c>
      <c r="I1" t="s">
        <v>62</v>
      </c>
    </row>
    <row r="3" spans="1:16" s="10" customFormat="1" ht="16" customHeight="1" thickBot="1">
      <c r="A3" s="11"/>
      <c r="B3" s="12"/>
      <c r="C3" s="12"/>
      <c r="D3" s="12"/>
      <c r="E3" s="12"/>
      <c r="F3" s="12"/>
      <c r="G3" s="12"/>
      <c r="H3" s="13"/>
      <c r="I3" s="12"/>
      <c r="J3" s="13"/>
      <c r="K3" s="13"/>
      <c r="L3" s="13"/>
      <c r="M3" s="13"/>
      <c r="N3" s="14"/>
    </row>
    <row r="4" spans="1:16" ht="17.149999999999999" customHeight="1" thickBot="1">
      <c r="A4" s="557" t="s">
        <v>15</v>
      </c>
      <c r="B4" s="558"/>
      <c r="C4" s="558"/>
      <c r="D4" s="558"/>
      <c r="E4" s="558"/>
      <c r="F4" s="558"/>
      <c r="G4" s="558"/>
      <c r="H4" s="558"/>
      <c r="I4" s="558"/>
      <c r="J4" s="558"/>
      <c r="K4" s="558"/>
      <c r="L4" s="558"/>
      <c r="M4" s="558"/>
      <c r="N4" s="559"/>
    </row>
    <row r="5" spans="1:16" ht="35.5" customHeight="1" thickBot="1">
      <c r="A5" s="560" t="s">
        <v>793</v>
      </c>
      <c r="B5" s="561"/>
      <c r="C5" s="561"/>
      <c r="D5" s="561"/>
      <c r="E5" s="561"/>
      <c r="F5" s="561"/>
      <c r="G5" s="561"/>
      <c r="H5" s="561"/>
      <c r="I5" s="561"/>
      <c r="J5" s="561"/>
      <c r="K5" s="561"/>
      <c r="L5" s="561"/>
      <c r="M5" s="561"/>
      <c r="N5" s="562"/>
    </row>
    <row r="6" spans="1:16" s="71" customFormat="1" ht="16" customHeight="1">
      <c r="A6" s="168" t="s">
        <v>44</v>
      </c>
      <c r="B6" s="168" t="s">
        <v>45</v>
      </c>
      <c r="C6" s="168" t="s">
        <v>46</v>
      </c>
      <c r="D6" s="168" t="s">
        <v>47</v>
      </c>
      <c r="E6" s="168" t="s">
        <v>48</v>
      </c>
      <c r="F6" s="168" t="s">
        <v>53</v>
      </c>
      <c r="G6" s="168" t="s">
        <v>54</v>
      </c>
      <c r="H6" s="168" t="s">
        <v>55</v>
      </c>
      <c r="I6" s="168" t="s">
        <v>56</v>
      </c>
      <c r="J6" s="168" t="s">
        <v>57</v>
      </c>
      <c r="K6" s="168" t="s">
        <v>58</v>
      </c>
      <c r="L6" s="168" t="s">
        <v>121</v>
      </c>
      <c r="M6" s="440" t="s">
        <v>122</v>
      </c>
      <c r="N6" s="443" t="s">
        <v>917</v>
      </c>
    </row>
    <row r="7" spans="1:16" s="72" customFormat="1" ht="64.5" customHeight="1">
      <c r="A7" s="169" t="s">
        <v>689</v>
      </c>
      <c r="B7" s="169" t="s">
        <v>690</v>
      </c>
      <c r="C7" s="169" t="s">
        <v>691</v>
      </c>
      <c r="D7" s="169" t="s">
        <v>692</v>
      </c>
      <c r="E7" s="169" t="s">
        <v>693</v>
      </c>
      <c r="F7" s="169" t="s">
        <v>792</v>
      </c>
      <c r="G7" s="169" t="s">
        <v>694</v>
      </c>
      <c r="H7" s="169" t="s">
        <v>695</v>
      </c>
      <c r="I7" s="169" t="s">
        <v>696</v>
      </c>
      <c r="J7" s="169" t="s">
        <v>697</v>
      </c>
      <c r="K7" s="169" t="s">
        <v>706</v>
      </c>
      <c r="L7" s="169" t="s">
        <v>702</v>
      </c>
      <c r="M7" s="441" t="s">
        <v>701</v>
      </c>
      <c r="N7" s="563" t="s">
        <v>29</v>
      </c>
    </row>
    <row r="8" spans="1:16" s="72" customFormat="1" ht="15.75" customHeight="1">
      <c r="A8" s="169" t="s">
        <v>293</v>
      </c>
      <c r="B8" s="169" t="s">
        <v>83</v>
      </c>
      <c r="C8" s="169" t="s">
        <v>84</v>
      </c>
      <c r="D8" s="169" t="s">
        <v>52</v>
      </c>
      <c r="E8" s="169" t="s">
        <v>51</v>
      </c>
      <c r="F8" s="169" t="s">
        <v>50</v>
      </c>
      <c r="G8" s="169" t="s">
        <v>49</v>
      </c>
      <c r="H8" s="169" t="s">
        <v>91</v>
      </c>
      <c r="I8" s="169" t="s">
        <v>92</v>
      </c>
      <c r="J8" s="169" t="s">
        <v>294</v>
      </c>
      <c r="K8" s="169" t="s">
        <v>698</v>
      </c>
      <c r="L8" s="169" t="s">
        <v>699</v>
      </c>
      <c r="M8" s="441" t="s">
        <v>700</v>
      </c>
      <c r="N8" s="563"/>
    </row>
    <row r="9" spans="1:16" s="73" customFormat="1" ht="40.5" customHeight="1">
      <c r="A9" s="198" t="s">
        <v>85</v>
      </c>
      <c r="B9" s="198" t="s">
        <v>85</v>
      </c>
      <c r="C9" s="198" t="s">
        <v>85</v>
      </c>
      <c r="D9" s="198" t="s">
        <v>85</v>
      </c>
      <c r="E9" s="198" t="s">
        <v>85</v>
      </c>
      <c r="F9" s="198" t="s">
        <v>85</v>
      </c>
      <c r="G9" s="198" t="s">
        <v>85</v>
      </c>
      <c r="H9" s="198" t="s">
        <v>85</v>
      </c>
      <c r="I9" s="198" t="s">
        <v>85</v>
      </c>
      <c r="J9" s="198" t="s">
        <v>85</v>
      </c>
      <c r="K9" s="198" t="s">
        <v>85</v>
      </c>
      <c r="L9" s="198" t="s">
        <v>85</v>
      </c>
      <c r="M9" s="442" t="s">
        <v>85</v>
      </c>
      <c r="N9" s="163" t="s">
        <v>87</v>
      </c>
    </row>
    <row r="10" spans="1:16" s="71" customFormat="1" ht="18" customHeight="1">
      <c r="A10" s="74"/>
      <c r="B10" s="74"/>
      <c r="C10" s="74"/>
      <c r="D10" s="74"/>
    </row>
    <row r="11" spans="1:16" s="71" customFormat="1" ht="13" customHeight="1">
      <c r="A11" s="75"/>
      <c r="B11" s="75"/>
      <c r="C11" s="75"/>
      <c r="D11" s="75"/>
      <c r="N11" s="77"/>
    </row>
    <row r="12" spans="1:16" ht="16" customHeight="1">
      <c r="A12" s="556"/>
      <c r="B12" s="556"/>
      <c r="C12" s="556"/>
      <c r="D12" s="556"/>
      <c r="E12" s="556"/>
      <c r="F12" s="556"/>
      <c r="G12" s="556"/>
      <c r="H12" s="556"/>
      <c r="I12" s="556"/>
      <c r="J12" s="556"/>
      <c r="K12" s="556"/>
      <c r="L12" s="556"/>
      <c r="M12" s="556"/>
      <c r="N12" s="556"/>
    </row>
    <row r="13" spans="1:16" ht="14.25" customHeight="1">
      <c r="A13" s="8"/>
      <c r="B13" s="8"/>
      <c r="C13" s="8"/>
      <c r="D13" s="8"/>
      <c r="E13" s="8"/>
      <c r="F13" s="8"/>
      <c r="G13" s="8"/>
      <c r="H13" s="8"/>
      <c r="I13" s="8"/>
      <c r="J13" s="8"/>
      <c r="K13" s="8"/>
      <c r="L13" s="8"/>
      <c r="M13" s="8"/>
      <c r="N13" s="8"/>
    </row>
    <row r="14" spans="1:16" ht="17.25" customHeight="1">
      <c r="A14" s="9"/>
      <c r="B14" s="8"/>
      <c r="C14" s="8"/>
      <c r="D14" s="8"/>
      <c r="E14" s="8"/>
      <c r="F14" s="8"/>
      <c r="G14" s="8"/>
      <c r="H14" s="8"/>
      <c r="I14" s="8"/>
      <c r="J14" s="8"/>
      <c r="K14" s="8"/>
      <c r="L14" s="8"/>
      <c r="M14" s="8"/>
      <c r="N14" s="319"/>
      <c r="O14" s="319"/>
      <c r="P14" s="319"/>
    </row>
    <row r="15" spans="1:16" ht="14">
      <c r="A15" s="8"/>
      <c r="B15" s="8"/>
      <c r="C15" s="8"/>
      <c r="D15" s="8"/>
      <c r="E15" s="8"/>
      <c r="F15" s="8"/>
      <c r="G15" s="8"/>
      <c r="H15" s="8"/>
      <c r="I15" s="8"/>
      <c r="J15" s="8"/>
      <c r="K15" s="8"/>
      <c r="L15" s="8"/>
      <c r="M15" s="8"/>
      <c r="N15" s="17"/>
      <c r="O15" s="53"/>
      <c r="P15" s="65"/>
    </row>
    <row r="16" spans="1:16" ht="14">
      <c r="A16" s="8"/>
      <c r="B16" s="8"/>
      <c r="C16" s="8"/>
      <c r="D16" s="8"/>
      <c r="E16" s="8"/>
      <c r="F16" s="8"/>
      <c r="G16" s="8"/>
      <c r="H16" s="8"/>
      <c r="I16" s="8"/>
      <c r="J16" s="8"/>
      <c r="K16" s="8"/>
      <c r="L16" s="8"/>
      <c r="M16" s="8"/>
      <c r="N16" s="17"/>
      <c r="O16" s="53"/>
      <c r="P16" s="65"/>
    </row>
    <row r="17" spans="1:16" ht="14">
      <c r="A17" s="8"/>
      <c r="B17" s="8"/>
      <c r="C17" s="8"/>
      <c r="D17" s="8"/>
      <c r="E17" s="8"/>
      <c r="F17" s="8"/>
      <c r="G17" s="8"/>
      <c r="H17" s="8"/>
      <c r="I17" s="8"/>
      <c r="J17" s="8"/>
      <c r="K17" s="8"/>
      <c r="L17" s="8"/>
      <c r="M17" s="8"/>
      <c r="N17" s="17"/>
      <c r="O17" s="51"/>
      <c r="P17" s="65"/>
    </row>
    <row r="18" spans="1:16" ht="14">
      <c r="A18" s="8"/>
      <c r="B18" s="8"/>
      <c r="C18" s="8"/>
      <c r="D18" s="8"/>
      <c r="E18" s="8"/>
      <c r="F18" s="8"/>
      <c r="G18" s="8"/>
      <c r="H18" s="8"/>
      <c r="I18" s="8"/>
      <c r="J18" s="8"/>
      <c r="K18" s="8"/>
      <c r="L18" s="8"/>
      <c r="M18" s="8"/>
      <c r="N18" s="61"/>
      <c r="O18" s="51"/>
    </row>
    <row r="19" spans="1:16" ht="14">
      <c r="N19" s="61"/>
      <c r="O19" s="61"/>
    </row>
    <row r="20" spans="1:16" ht="14">
      <c r="N20" s="67"/>
      <c r="O20" s="53"/>
      <c r="P20" s="68"/>
    </row>
  </sheetData>
  <mergeCells count="4">
    <mergeCell ref="A12:N12"/>
    <mergeCell ref="A4:N4"/>
    <mergeCell ref="A5:N5"/>
    <mergeCell ref="N7:N8"/>
  </mergeCells>
  <pageMargins left="0.25" right="0.25" top="0.75" bottom="0.75" header="0.3" footer="0.3"/>
  <pageSetup scale="93"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0"/>
  <sheetViews>
    <sheetView zoomScale="115" zoomScaleNormal="115" workbookViewId="0">
      <selection activeCell="C16" sqref="C16"/>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4">
      <c r="A1" s="20"/>
      <c r="B1" t="s">
        <v>59</v>
      </c>
      <c r="D1" s="21"/>
      <c r="E1" t="s">
        <v>60</v>
      </c>
      <c r="G1" s="520"/>
      <c r="H1" s="520"/>
      <c r="I1" t="s">
        <v>61</v>
      </c>
      <c r="L1" s="22"/>
      <c r="M1" t="s">
        <v>62</v>
      </c>
    </row>
    <row r="2" spans="1:14">
      <c r="A2" s="4"/>
      <c r="B2" s="4"/>
      <c r="C2" s="4"/>
      <c r="D2" s="4"/>
      <c r="E2" s="4"/>
      <c r="F2" s="4"/>
      <c r="G2" s="4"/>
      <c r="H2" s="4"/>
      <c r="I2" s="4"/>
      <c r="J2" s="4"/>
      <c r="K2" s="4"/>
    </row>
    <row r="3" spans="1:14" ht="15" customHeight="1">
      <c r="A3" s="566" t="s">
        <v>17</v>
      </c>
      <c r="B3" s="567"/>
      <c r="C3" s="567"/>
      <c r="D3" s="567"/>
      <c r="E3" s="567"/>
      <c r="F3" s="567"/>
      <c r="G3" s="567"/>
      <c r="H3" s="567"/>
      <c r="I3" s="567"/>
      <c r="J3" s="567"/>
      <c r="K3" s="568"/>
    </row>
    <row r="4" spans="1:14" ht="15" customHeight="1">
      <c r="A4" s="575" t="s">
        <v>602</v>
      </c>
      <c r="B4" s="576"/>
      <c r="C4" s="576"/>
      <c r="D4" s="576"/>
      <c r="E4" s="576"/>
      <c r="F4" s="576"/>
      <c r="G4" s="576"/>
      <c r="H4" s="576"/>
      <c r="I4" s="576"/>
      <c r="J4" s="576"/>
      <c r="K4" s="577"/>
    </row>
    <row r="5" spans="1:14" ht="15" customHeight="1">
      <c r="A5" s="569"/>
      <c r="B5" s="570"/>
      <c r="C5" s="570"/>
      <c r="D5" s="570"/>
      <c r="E5" s="570"/>
      <c r="F5" s="570"/>
      <c r="G5" s="570"/>
      <c r="H5" s="570"/>
      <c r="I5" s="570"/>
      <c r="J5" s="570"/>
      <c r="K5" s="571"/>
    </row>
    <row r="6" spans="1:14">
      <c r="A6" s="572"/>
      <c r="B6" s="573"/>
      <c r="C6" s="573"/>
      <c r="D6" s="573"/>
      <c r="E6" s="573"/>
      <c r="F6" s="573"/>
      <c r="G6" s="573"/>
      <c r="H6" s="573"/>
      <c r="I6" s="573"/>
      <c r="J6" s="573"/>
      <c r="K6" s="574"/>
    </row>
    <row r="7" spans="1:14">
      <c r="A7" s="187"/>
      <c r="B7" s="187"/>
      <c r="C7" s="187"/>
      <c r="D7" s="187"/>
      <c r="E7" s="187"/>
      <c r="F7" s="187"/>
      <c r="G7" s="187"/>
      <c r="H7" s="187"/>
      <c r="I7" s="187"/>
      <c r="J7" s="187"/>
      <c r="K7" s="187"/>
    </row>
    <row r="8" spans="1:14" ht="29.15" customHeight="1">
      <c r="A8" s="196">
        <v>1</v>
      </c>
      <c r="B8" s="565" t="s">
        <v>456</v>
      </c>
      <c r="C8" s="565"/>
      <c r="D8" s="565"/>
      <c r="E8" s="565"/>
      <c r="F8" s="565"/>
      <c r="G8" s="565"/>
      <c r="H8" s="565"/>
      <c r="I8" s="565"/>
      <c r="J8" s="565"/>
      <c r="K8" s="565"/>
      <c r="L8" s="565"/>
      <c r="M8" s="565"/>
      <c r="N8" s="565"/>
    </row>
    <row r="9" spans="1:14">
      <c r="A9" s="196">
        <v>2</v>
      </c>
      <c r="B9" s="565" t="s">
        <v>457</v>
      </c>
      <c r="C9" s="565"/>
      <c r="D9" s="565"/>
      <c r="E9" s="565"/>
      <c r="F9" s="565"/>
      <c r="G9" s="565"/>
      <c r="H9" s="565"/>
      <c r="I9" s="565"/>
      <c r="J9" s="565"/>
      <c r="K9" s="565"/>
      <c r="L9" s="565"/>
      <c r="M9" s="565"/>
      <c r="N9" s="565"/>
    </row>
    <row r="10" spans="1:14">
      <c r="A10" s="196">
        <v>3</v>
      </c>
      <c r="B10" s="565" t="s">
        <v>458</v>
      </c>
      <c r="C10" s="565"/>
      <c r="D10" s="565"/>
      <c r="E10" s="565"/>
      <c r="F10" s="565"/>
      <c r="G10" s="565"/>
      <c r="H10" s="565"/>
      <c r="I10" s="565"/>
      <c r="J10" s="565"/>
      <c r="K10" s="565"/>
      <c r="L10" s="565"/>
      <c r="M10" s="565"/>
      <c r="N10" s="565"/>
    </row>
    <row r="11" spans="1:14">
      <c r="A11" s="196">
        <v>4</v>
      </c>
      <c r="B11" s="564" t="s">
        <v>748</v>
      </c>
      <c r="C11" s="564"/>
      <c r="D11" s="564"/>
      <c r="E11" s="564"/>
      <c r="F11" s="564"/>
      <c r="G11" s="564"/>
      <c r="H11" s="564"/>
      <c r="I11" s="564"/>
      <c r="J11" s="564"/>
      <c r="K11" s="564"/>
      <c r="L11" s="199"/>
      <c r="M11" s="199"/>
      <c r="N11" s="199"/>
    </row>
    <row r="12" spans="1:14">
      <c r="A12" s="196">
        <v>5</v>
      </c>
      <c r="B12" s="564" t="s">
        <v>749</v>
      </c>
      <c r="C12" s="564"/>
      <c r="D12" s="564"/>
      <c r="E12" s="564"/>
      <c r="F12" s="564"/>
      <c r="G12" s="564"/>
      <c r="H12" s="564"/>
      <c r="I12" s="564"/>
      <c r="J12" s="564"/>
      <c r="K12" s="564"/>
      <c r="L12" s="199"/>
      <c r="M12" s="199"/>
      <c r="N12" s="199"/>
    </row>
    <row r="13" spans="1:14">
      <c r="C13" t="s">
        <v>805</v>
      </c>
      <c r="J13" s="196"/>
      <c r="K13" s="196"/>
      <c r="L13" s="199"/>
      <c r="M13" s="199"/>
      <c r="N13" s="199"/>
    </row>
    <row r="14" spans="1:14">
      <c r="J14" s="186"/>
      <c r="K14" s="186"/>
      <c r="L14" s="186"/>
      <c r="M14" s="186"/>
    </row>
    <row r="15" spans="1:14">
      <c r="J15" s="4"/>
      <c r="K15" s="4"/>
    </row>
    <row r="16" spans="1:14">
      <c r="J16" s="4"/>
      <c r="K16" s="4"/>
    </row>
    <row r="17" spans="2:11">
      <c r="J17" s="4"/>
      <c r="K17" s="4"/>
    </row>
    <row r="18" spans="2:11">
      <c r="J18" s="4"/>
      <c r="K18" s="4"/>
    </row>
    <row r="19" spans="2:11">
      <c r="J19" s="4"/>
      <c r="K19" s="4"/>
    </row>
    <row r="30" spans="2:11">
      <c r="B30" s="59"/>
    </row>
  </sheetData>
  <mergeCells count="9">
    <mergeCell ref="B11:K11"/>
    <mergeCell ref="B12:K12"/>
    <mergeCell ref="G1:H1"/>
    <mergeCell ref="B8:N8"/>
    <mergeCell ref="B9:N9"/>
    <mergeCell ref="B10:N10"/>
    <mergeCell ref="A3:K3"/>
    <mergeCell ref="A5:K6"/>
    <mergeCell ref="A4:K4"/>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I22" sqref="I22"/>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3">
      <c r="A1" s="20"/>
      <c r="B1" t="s">
        <v>59</v>
      </c>
      <c r="D1" s="21"/>
      <c r="E1" t="s">
        <v>60</v>
      </c>
      <c r="G1" s="520"/>
      <c r="H1" s="520"/>
      <c r="I1" t="s">
        <v>61</v>
      </c>
      <c r="L1" s="22"/>
      <c r="M1" t="s">
        <v>62</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566" t="s">
        <v>18</v>
      </c>
      <c r="B4" s="567"/>
      <c r="C4" s="567"/>
      <c r="D4" s="567"/>
      <c r="E4" s="567"/>
      <c r="F4" s="567"/>
      <c r="G4" s="567"/>
      <c r="H4" s="567"/>
      <c r="I4" s="567"/>
      <c r="J4" s="567"/>
      <c r="K4" s="568"/>
    </row>
    <row r="5" spans="1:13" ht="15" customHeight="1">
      <c r="A5" s="575" t="s">
        <v>662</v>
      </c>
      <c r="B5" s="576"/>
      <c r="C5" s="576"/>
      <c r="D5" s="576"/>
      <c r="E5" s="576"/>
      <c r="F5" s="576"/>
      <c r="G5" s="576"/>
      <c r="H5" s="576"/>
      <c r="I5" s="576"/>
      <c r="J5" s="576"/>
      <c r="K5" s="577"/>
    </row>
    <row r="6" spans="1:13" ht="15" customHeight="1">
      <c r="A6" s="578"/>
      <c r="B6" s="579"/>
      <c r="C6" s="579"/>
      <c r="D6" s="579"/>
      <c r="E6" s="579"/>
      <c r="F6" s="579"/>
      <c r="G6" s="579"/>
      <c r="H6" s="579"/>
      <c r="I6" s="579"/>
      <c r="J6" s="579"/>
      <c r="K6" s="580"/>
    </row>
    <row r="7" spans="1:13">
      <c r="A7" s="581"/>
      <c r="B7" s="582"/>
      <c r="C7" s="582"/>
      <c r="D7" s="582"/>
      <c r="E7" s="582"/>
      <c r="F7" s="582"/>
      <c r="G7" s="582"/>
      <c r="H7" s="582"/>
      <c r="I7" s="582"/>
      <c r="J7" s="582"/>
      <c r="K7" s="583"/>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32"/>
  <sheetViews>
    <sheetView topLeftCell="A103" zoomScale="50" zoomScaleNormal="50" workbookViewId="0">
      <selection activeCell="A86" sqref="A86:G86"/>
    </sheetView>
  </sheetViews>
  <sheetFormatPr defaultColWidth="9.1796875" defaultRowHeight="14.5"/>
  <cols>
    <col min="1" max="1" width="11.1796875" customWidth="1"/>
    <col min="2" max="2" width="16.81640625" customWidth="1"/>
    <col min="3" max="3" width="22.1796875" customWidth="1"/>
    <col min="4" max="4" width="28.1796875" customWidth="1"/>
    <col min="5" max="5" width="29.1796875" customWidth="1"/>
    <col min="6" max="6" width="31.81640625" customWidth="1"/>
    <col min="7" max="7" width="26.81640625" customWidth="1"/>
    <col min="8" max="8" width="28" customWidth="1"/>
    <col min="9" max="9" width="26.1796875" customWidth="1"/>
    <col min="10" max="10" width="20.453125" customWidth="1"/>
    <col min="11" max="11" width="20.1796875" customWidth="1"/>
    <col min="12" max="12" width="15.81640625" customWidth="1"/>
    <col min="13" max="14" width="7" customWidth="1"/>
    <col min="15" max="15" width="8.453125" customWidth="1"/>
    <col min="16" max="17" width="9.81640625" customWidth="1"/>
    <col min="18" max="18" width="8.453125" customWidth="1"/>
  </cols>
  <sheetData>
    <row r="1" spans="1:26">
      <c r="A1" s="20"/>
      <c r="B1" s="20"/>
      <c r="C1" s="20"/>
      <c r="D1" s="20"/>
      <c r="E1" t="s">
        <v>59</v>
      </c>
      <c r="F1" s="21"/>
      <c r="G1" s="21"/>
      <c r="H1" t="s">
        <v>60</v>
      </c>
      <c r="I1" s="82"/>
      <c r="J1" t="s">
        <v>61</v>
      </c>
      <c r="K1" s="22"/>
      <c r="L1" t="s">
        <v>62</v>
      </c>
    </row>
    <row r="2" spans="1:26">
      <c r="P2" s="29"/>
      <c r="Q2" s="229"/>
      <c r="R2" s="229"/>
      <c r="S2" s="229"/>
      <c r="T2" s="229"/>
      <c r="U2" s="229"/>
      <c r="V2" s="229"/>
      <c r="W2" s="229"/>
      <c r="X2" s="229"/>
      <c r="Y2" s="229"/>
      <c r="Z2" s="229"/>
    </row>
    <row r="3" spans="1:26">
      <c r="A3" s="588" t="s">
        <v>418</v>
      </c>
      <c r="B3" s="588"/>
      <c r="C3" s="588"/>
      <c r="D3" s="588"/>
      <c r="E3" s="588"/>
      <c r="F3" s="588"/>
      <c r="G3" s="588"/>
      <c r="H3" s="588"/>
      <c r="I3" s="588"/>
      <c r="J3" s="588"/>
      <c r="K3" s="588"/>
      <c r="L3" s="588"/>
      <c r="N3" s="95"/>
    </row>
    <row r="4" spans="1:26" ht="31.5" customHeight="1">
      <c r="A4" s="587" t="s">
        <v>925</v>
      </c>
      <c r="B4" s="587"/>
      <c r="C4" s="587"/>
      <c r="D4" s="587"/>
      <c r="E4" s="587"/>
      <c r="F4" s="587"/>
      <c r="G4" s="587"/>
      <c r="H4" s="587"/>
      <c r="I4" s="587"/>
      <c r="J4" s="587"/>
      <c r="K4" s="587"/>
      <c r="L4" s="587"/>
      <c r="N4" s="95"/>
    </row>
    <row r="5" spans="1:26" ht="58.5" customHeight="1">
      <c r="A5" s="716" t="s">
        <v>725</v>
      </c>
      <c r="B5" s="716"/>
      <c r="C5" s="716"/>
      <c r="D5" s="716"/>
      <c r="E5" s="444" t="s">
        <v>726</v>
      </c>
      <c r="F5" s="445" t="s">
        <v>727</v>
      </c>
      <c r="G5" s="445" t="s">
        <v>728</v>
      </c>
      <c r="H5" s="445" t="s">
        <v>320</v>
      </c>
      <c r="I5" s="445" t="s">
        <v>321</v>
      </c>
      <c r="J5" s="444" t="s">
        <v>729</v>
      </c>
      <c r="K5" s="444" t="s">
        <v>730</v>
      </c>
      <c r="L5" s="451" t="s">
        <v>933</v>
      </c>
      <c r="N5" s="95"/>
    </row>
    <row r="6" spans="1:26" ht="15" customHeight="1">
      <c r="A6" s="635" t="s">
        <v>144</v>
      </c>
      <c r="B6" s="635"/>
      <c r="C6" s="635"/>
      <c r="D6" s="635"/>
      <c r="E6" s="635"/>
      <c r="F6" s="635"/>
      <c r="G6" s="200"/>
      <c r="H6" s="136"/>
      <c r="I6" s="136"/>
      <c r="J6" s="136"/>
      <c r="K6" s="136"/>
      <c r="N6" s="95"/>
    </row>
    <row r="7" spans="1:26" ht="23.25" customHeight="1">
      <c r="A7" s="170" t="s">
        <v>44</v>
      </c>
      <c r="B7" s="171" t="s">
        <v>14</v>
      </c>
      <c r="C7" s="711" t="s">
        <v>803</v>
      </c>
      <c r="D7" s="711"/>
      <c r="E7" s="711"/>
      <c r="F7" s="711"/>
      <c r="G7" s="54"/>
      <c r="H7" s="54"/>
      <c r="I7" s="54"/>
      <c r="J7" s="95"/>
    </row>
    <row r="8" spans="1:26" ht="17.25" customHeight="1">
      <c r="A8" s="718" t="s">
        <v>419</v>
      </c>
      <c r="B8" s="718"/>
      <c r="C8" s="718"/>
      <c r="D8" s="718"/>
      <c r="E8" s="718"/>
      <c r="F8" s="718"/>
      <c r="G8" s="172"/>
      <c r="H8" s="172"/>
      <c r="I8" s="172"/>
      <c r="J8" s="95"/>
    </row>
    <row r="9" spans="1:26" ht="24.75" customHeight="1">
      <c r="A9" s="719" t="s">
        <v>308</v>
      </c>
      <c r="B9" s="719"/>
      <c r="C9" s="719"/>
      <c r="D9" s="611" t="s">
        <v>309</v>
      </c>
      <c r="E9" s="611"/>
      <c r="F9" s="119" t="s">
        <v>310</v>
      </c>
      <c r="G9" s="54"/>
      <c r="H9" s="54"/>
      <c r="I9" s="54"/>
      <c r="J9" s="95"/>
    </row>
    <row r="10" spans="1:26" ht="13.5" customHeight="1">
      <c r="A10" s="721" t="s">
        <v>118</v>
      </c>
      <c r="B10" s="721"/>
      <c r="C10" s="721"/>
      <c r="D10" s="717" t="s">
        <v>311</v>
      </c>
      <c r="E10" s="717"/>
      <c r="F10" s="173">
        <v>40</v>
      </c>
      <c r="G10" s="54"/>
      <c r="H10" s="54"/>
      <c r="I10" s="54"/>
      <c r="J10" s="95"/>
    </row>
    <row r="11" spans="1:26" ht="17.25" customHeight="1">
      <c r="A11" s="721"/>
      <c r="B11" s="721"/>
      <c r="C11" s="721"/>
      <c r="D11" s="717" t="s">
        <v>312</v>
      </c>
      <c r="E11" s="717"/>
      <c r="F11" s="173">
        <v>36</v>
      </c>
      <c r="G11" s="54"/>
      <c r="H11" s="54"/>
      <c r="I11" s="54"/>
      <c r="J11" s="95"/>
    </row>
    <row r="12" spans="1:26" ht="17.25" customHeight="1">
      <c r="A12" s="721"/>
      <c r="B12" s="721"/>
      <c r="C12" s="721"/>
      <c r="D12" s="717" t="s">
        <v>117</v>
      </c>
      <c r="E12" s="717"/>
      <c r="F12" s="173">
        <v>35</v>
      </c>
      <c r="G12" s="54"/>
      <c r="H12" s="54"/>
      <c r="I12" s="54"/>
      <c r="J12" s="95"/>
    </row>
    <row r="13" spans="1:26" ht="17.25" customHeight="1">
      <c r="A13" s="721"/>
      <c r="B13" s="721"/>
      <c r="C13" s="721"/>
      <c r="D13" s="717" t="s">
        <v>313</v>
      </c>
      <c r="E13" s="717"/>
      <c r="F13" s="173">
        <v>20</v>
      </c>
      <c r="G13" s="54"/>
      <c r="H13" s="54"/>
      <c r="I13" s="54"/>
      <c r="J13" s="95"/>
    </row>
    <row r="14" spans="1:26" ht="17.25" customHeight="1">
      <c r="A14" s="722" t="s">
        <v>119</v>
      </c>
      <c r="B14" s="722"/>
      <c r="C14" s="722"/>
      <c r="D14" s="717" t="s">
        <v>311</v>
      </c>
      <c r="E14" s="717"/>
      <c r="F14" s="173">
        <v>28</v>
      </c>
      <c r="G14" s="54"/>
      <c r="H14" s="54"/>
      <c r="I14" s="54"/>
      <c r="J14" s="95"/>
    </row>
    <row r="15" spans="1:26" ht="17.25" customHeight="1">
      <c r="A15" s="722"/>
      <c r="B15" s="722"/>
      <c r="C15" s="722"/>
      <c r="D15" s="723" t="s">
        <v>312</v>
      </c>
      <c r="E15" s="723"/>
      <c r="F15" s="174">
        <v>28</v>
      </c>
      <c r="G15" s="54"/>
      <c r="H15" s="54"/>
      <c r="I15" s="54"/>
      <c r="J15" s="95"/>
    </row>
    <row r="16" spans="1:26" ht="36.75" customHeight="1">
      <c r="A16" s="724" t="s">
        <v>314</v>
      </c>
      <c r="B16" s="724"/>
      <c r="C16" s="724"/>
      <c r="D16" s="724"/>
      <c r="E16" s="724"/>
      <c r="F16" s="724"/>
      <c r="G16" s="54"/>
      <c r="H16" s="54"/>
      <c r="I16" s="54"/>
      <c r="J16" s="95"/>
    </row>
    <row r="18" spans="1:17" ht="15" customHeight="1">
      <c r="A18" s="635" t="s">
        <v>124</v>
      </c>
      <c r="B18" s="635"/>
      <c r="C18" s="635"/>
      <c r="D18" s="635"/>
      <c r="E18" s="635"/>
      <c r="F18" s="635"/>
      <c r="G18" s="635"/>
      <c r="H18" s="200"/>
      <c r="I18" s="136"/>
      <c r="J18" s="136"/>
      <c r="K18" s="136"/>
      <c r="M18" s="96"/>
      <c r="N18" s="92"/>
    </row>
    <row r="19" spans="1:17">
      <c r="A19" s="111" t="s">
        <v>44</v>
      </c>
      <c r="B19" s="720" t="s">
        <v>45</v>
      </c>
      <c r="C19" s="720"/>
      <c r="D19" s="720"/>
      <c r="E19" s="720"/>
      <c r="F19" s="720"/>
      <c r="G19" s="720"/>
      <c r="H19" s="715"/>
      <c r="I19" s="715"/>
      <c r="J19" s="715"/>
      <c r="K19" s="715"/>
      <c r="L19" s="92"/>
    </row>
    <row r="20" spans="1:17" ht="15" customHeight="1">
      <c r="A20" s="602" t="s">
        <v>209</v>
      </c>
      <c r="B20" s="602" t="s">
        <v>315</v>
      </c>
      <c r="C20" s="690"/>
      <c r="D20" s="690"/>
      <c r="E20" s="690"/>
      <c r="F20" s="690"/>
      <c r="G20" s="690"/>
      <c r="H20" s="54"/>
      <c r="I20" s="54"/>
      <c r="J20" s="54"/>
      <c r="K20" s="54"/>
    </row>
    <row r="21" spans="1:17" ht="28.5" customHeight="1">
      <c r="A21" s="602"/>
      <c r="B21" s="690"/>
      <c r="C21" s="690"/>
      <c r="D21" s="690"/>
      <c r="E21" s="690"/>
      <c r="F21" s="690"/>
      <c r="G21" s="690"/>
      <c r="H21" s="697"/>
      <c r="I21" s="697"/>
      <c r="J21" s="697"/>
      <c r="K21" s="697"/>
    </row>
    <row r="22" spans="1:17" ht="13.5" customHeight="1">
      <c r="A22" s="32"/>
      <c r="B22" s="617" t="s">
        <v>12</v>
      </c>
      <c r="C22" s="617"/>
      <c r="D22" s="617"/>
      <c r="E22" s="617"/>
      <c r="F22" s="617"/>
      <c r="G22" s="617"/>
      <c r="H22" s="547"/>
      <c r="I22" s="547"/>
      <c r="J22" s="547"/>
      <c r="K22" s="547"/>
    </row>
    <row r="23" spans="1:17">
      <c r="E23" s="100" t="s">
        <v>75</v>
      </c>
      <c r="F23" s="122" t="s">
        <v>254</v>
      </c>
      <c r="G23" s="109" t="s">
        <v>43</v>
      </c>
      <c r="J23" s="24"/>
      <c r="K23" s="24"/>
      <c r="L23" s="92"/>
    </row>
    <row r="24" spans="1:17">
      <c r="E24" s="6"/>
      <c r="F24" s="6"/>
      <c r="G24" s="6"/>
      <c r="J24" s="24"/>
      <c r="K24" s="24"/>
      <c r="L24" s="92"/>
    </row>
    <row r="25" spans="1:17" ht="15" customHeight="1">
      <c r="B25" s="633" t="s">
        <v>210</v>
      </c>
      <c r="C25" s="633"/>
      <c r="D25" s="633"/>
      <c r="E25" s="633"/>
      <c r="F25" s="633"/>
      <c r="G25" s="633"/>
      <c r="K25" s="96"/>
      <c r="L25" s="92"/>
      <c r="O25" s="95"/>
    </row>
    <row r="26" spans="1:17">
      <c r="B26" s="712" t="s">
        <v>207</v>
      </c>
      <c r="C26" s="713"/>
      <c r="D26" s="713"/>
      <c r="E26" s="713"/>
      <c r="F26" s="713"/>
      <c r="G26" s="714"/>
      <c r="K26" s="96"/>
      <c r="L26" s="92"/>
      <c r="O26" s="95"/>
    </row>
    <row r="27" spans="1:17">
      <c r="B27" s="696" t="s">
        <v>211</v>
      </c>
      <c r="C27" s="696"/>
      <c r="D27" s="696"/>
      <c r="E27" s="696"/>
      <c r="F27" s="696"/>
      <c r="G27" s="696"/>
      <c r="K27" s="96"/>
      <c r="L27" s="92"/>
      <c r="O27" s="95"/>
    </row>
    <row r="28" spans="1:17">
      <c r="B28" s="696" t="s">
        <v>212</v>
      </c>
      <c r="C28" s="696"/>
      <c r="D28" s="696"/>
      <c r="E28" s="696"/>
      <c r="F28" s="696"/>
      <c r="G28" s="696"/>
      <c r="K28" s="96"/>
      <c r="L28" s="92"/>
      <c r="O28" s="95"/>
    </row>
    <row r="29" spans="1:17" ht="15" customHeight="1">
      <c r="B29" s="142"/>
      <c r="C29" s="142"/>
      <c r="D29" s="142"/>
      <c r="E29" s="142"/>
      <c r="F29" s="142"/>
      <c r="G29" s="142"/>
      <c r="K29" s="96"/>
      <c r="L29" s="92"/>
      <c r="O29" s="95"/>
    </row>
    <row r="30" spans="1:17">
      <c r="M30" s="96"/>
      <c r="N30" s="92"/>
      <c r="Q30" s="95"/>
    </row>
    <row r="31" spans="1:17" ht="8.25" customHeight="1">
      <c r="M31" s="96"/>
      <c r="N31" s="92"/>
      <c r="Q31" s="95"/>
    </row>
    <row r="32" spans="1:17">
      <c r="B32" s="105"/>
      <c r="C32" s="105"/>
      <c r="D32" s="105"/>
      <c r="E32" s="105"/>
      <c r="F32" s="105"/>
      <c r="G32" s="105"/>
      <c r="M32" s="96"/>
      <c r="N32" s="92"/>
      <c r="Q32" s="95"/>
    </row>
    <row r="33" spans="1:22" ht="15" customHeight="1">
      <c r="A33" s="635" t="s">
        <v>131</v>
      </c>
      <c r="B33" s="635"/>
      <c r="C33" s="635"/>
      <c r="D33" s="635"/>
      <c r="E33" s="635"/>
      <c r="F33" s="635"/>
      <c r="G33" s="635"/>
      <c r="H33" s="635"/>
      <c r="I33" s="635"/>
      <c r="J33" s="635"/>
      <c r="K33" s="635"/>
      <c r="L33" s="635"/>
      <c r="M33" s="635"/>
      <c r="N33" s="635"/>
      <c r="O33" s="635"/>
      <c r="P33" s="635"/>
      <c r="Q33" s="635"/>
      <c r="R33" s="635"/>
      <c r="S33" s="635"/>
      <c r="T33" s="635"/>
      <c r="U33" s="635"/>
      <c r="V33" s="136"/>
    </row>
    <row r="34" spans="1:22">
      <c r="A34" s="241" t="s">
        <v>44</v>
      </c>
      <c r="B34" s="401" t="s">
        <v>45</v>
      </c>
      <c r="C34" s="688" t="s">
        <v>46</v>
      </c>
      <c r="D34" s="688"/>
      <c r="E34" s="688" t="s">
        <v>47</v>
      </c>
      <c r="F34" s="688"/>
      <c r="G34" s="689" t="s">
        <v>48</v>
      </c>
      <c r="H34" s="689"/>
      <c r="I34" s="689"/>
      <c r="J34" s="689" t="s">
        <v>53</v>
      </c>
      <c r="K34" s="689"/>
      <c r="L34" s="689"/>
      <c r="M34" s="597" t="s">
        <v>54</v>
      </c>
      <c r="N34" s="597"/>
      <c r="O34" s="597"/>
      <c r="P34" s="597"/>
      <c r="Q34" s="597"/>
      <c r="R34" s="634" t="s">
        <v>55</v>
      </c>
      <c r="S34" s="634"/>
      <c r="T34" s="634"/>
      <c r="U34" s="634"/>
    </row>
    <row r="35" spans="1:22" ht="26.25" customHeight="1">
      <c r="A35" s="602" t="s">
        <v>120</v>
      </c>
      <c r="B35" s="603" t="s">
        <v>316</v>
      </c>
      <c r="C35" s="618"/>
      <c r="D35" s="618"/>
      <c r="E35" s="618"/>
      <c r="F35" s="619"/>
      <c r="G35" s="602" t="s">
        <v>317</v>
      </c>
      <c r="H35" s="602"/>
      <c r="I35" s="602"/>
      <c r="J35" s="602"/>
      <c r="K35" s="602"/>
      <c r="L35" s="602"/>
      <c r="M35" s="616" t="s">
        <v>821</v>
      </c>
      <c r="N35" s="616"/>
      <c r="O35" s="616"/>
      <c r="P35" s="616"/>
      <c r="Q35" s="616"/>
      <c r="R35" s="616"/>
      <c r="S35" s="616"/>
      <c r="T35" s="616"/>
      <c r="U35" s="616"/>
    </row>
    <row r="36" spans="1:22" ht="24" customHeight="1">
      <c r="A36" s="602"/>
      <c r="B36" s="119" t="s">
        <v>139</v>
      </c>
      <c r="C36" s="602" t="s">
        <v>134</v>
      </c>
      <c r="D36" s="602"/>
      <c r="E36" s="602" t="s">
        <v>214</v>
      </c>
      <c r="F36" s="602"/>
      <c r="G36" s="690" t="s">
        <v>217</v>
      </c>
      <c r="H36" s="690"/>
      <c r="I36" s="690"/>
      <c r="J36" s="690" t="s">
        <v>208</v>
      </c>
      <c r="K36" s="690"/>
      <c r="L36" s="690"/>
      <c r="M36" s="616" t="s">
        <v>208</v>
      </c>
      <c r="N36" s="616"/>
      <c r="O36" s="616"/>
      <c r="P36" s="616"/>
      <c r="Q36" s="616"/>
      <c r="R36" s="615" t="s">
        <v>822</v>
      </c>
      <c r="S36" s="615"/>
      <c r="T36" s="615"/>
      <c r="U36" s="615"/>
    </row>
    <row r="37" spans="1:22">
      <c r="A37" s="98"/>
      <c r="B37" s="201" t="s">
        <v>12</v>
      </c>
      <c r="C37" s="617" t="s">
        <v>12</v>
      </c>
      <c r="D37" s="617"/>
      <c r="E37" s="617" t="s">
        <v>12</v>
      </c>
      <c r="F37" s="617"/>
      <c r="G37" s="617" t="s">
        <v>12</v>
      </c>
      <c r="H37" s="617"/>
      <c r="I37" s="617"/>
      <c r="J37" s="617" t="s">
        <v>12</v>
      </c>
      <c r="K37" s="617"/>
      <c r="L37" s="617"/>
      <c r="M37" s="639" t="s">
        <v>12</v>
      </c>
      <c r="N37" s="640"/>
      <c r="O37" s="640"/>
      <c r="P37" s="640"/>
      <c r="Q37" s="640"/>
      <c r="R37" s="639" t="s">
        <v>12</v>
      </c>
      <c r="S37" s="641"/>
      <c r="T37" s="641"/>
      <c r="U37" s="641"/>
    </row>
    <row r="39" spans="1:22" ht="24.75" customHeight="1">
      <c r="B39" s="108" t="s">
        <v>135</v>
      </c>
      <c r="C39" s="633" t="s">
        <v>134</v>
      </c>
      <c r="D39" s="633"/>
      <c r="E39" s="709" t="s">
        <v>214</v>
      </c>
      <c r="F39" s="710"/>
      <c r="G39" s="633" t="s">
        <v>138</v>
      </c>
      <c r="H39" s="633"/>
      <c r="I39" s="633"/>
      <c r="J39" s="633" t="s">
        <v>112</v>
      </c>
      <c r="K39" s="633"/>
      <c r="L39" s="633"/>
      <c r="M39" s="636" t="s">
        <v>208</v>
      </c>
      <c r="N39" s="637"/>
      <c r="O39" s="637"/>
      <c r="P39" s="637"/>
      <c r="Q39" s="638"/>
      <c r="R39" s="614" t="s">
        <v>825</v>
      </c>
      <c r="S39" s="614"/>
      <c r="T39" s="614"/>
      <c r="U39" s="614"/>
    </row>
    <row r="40" spans="1:22" ht="30.75" customHeight="1">
      <c r="B40" s="63" t="s">
        <v>136</v>
      </c>
      <c r="C40" s="623" t="s">
        <v>213</v>
      </c>
      <c r="D40" s="624"/>
      <c r="E40" s="625" t="s">
        <v>125</v>
      </c>
      <c r="F40" s="625"/>
      <c r="G40" s="703" t="s">
        <v>126</v>
      </c>
      <c r="H40" s="704"/>
      <c r="I40" s="705"/>
      <c r="J40" s="706" t="s">
        <v>128</v>
      </c>
      <c r="K40" s="707"/>
      <c r="L40" s="708"/>
      <c r="M40" s="594" t="s">
        <v>823</v>
      </c>
      <c r="N40" s="595"/>
      <c r="O40" s="595"/>
      <c r="P40" s="595"/>
      <c r="Q40" s="596"/>
      <c r="R40" s="615" t="s">
        <v>837</v>
      </c>
      <c r="S40" s="615"/>
      <c r="T40" s="615"/>
      <c r="U40" s="615"/>
    </row>
    <row r="41" spans="1:22" ht="27.75" customHeight="1">
      <c r="B41" s="123" t="s">
        <v>494</v>
      </c>
      <c r="C41" s="623" t="s">
        <v>132</v>
      </c>
      <c r="D41" s="624"/>
      <c r="E41" s="625" t="s">
        <v>408</v>
      </c>
      <c r="F41" s="625"/>
      <c r="G41" s="626" t="s">
        <v>127</v>
      </c>
      <c r="H41" s="627"/>
      <c r="I41" s="628"/>
      <c r="J41" s="620" t="s">
        <v>129</v>
      </c>
      <c r="K41" s="621"/>
      <c r="L41" s="622"/>
      <c r="M41" s="594" t="s">
        <v>836</v>
      </c>
      <c r="N41" s="595"/>
      <c r="O41" s="595"/>
      <c r="P41" s="595"/>
      <c r="Q41" s="596"/>
      <c r="R41" s="616" t="s">
        <v>836</v>
      </c>
      <c r="S41" s="616"/>
      <c r="T41" s="616"/>
      <c r="U41" s="616"/>
    </row>
    <row r="42" spans="1:22" s="143" customFormat="1" ht="21.75" customHeight="1">
      <c r="G42" s="629" t="s">
        <v>137</v>
      </c>
      <c r="H42" s="630"/>
      <c r="I42" s="631"/>
      <c r="J42" s="633" t="s">
        <v>112</v>
      </c>
      <c r="K42" s="633"/>
      <c r="L42" s="633"/>
      <c r="M42" s="594" t="s">
        <v>824</v>
      </c>
      <c r="N42" s="595"/>
      <c r="O42" s="595"/>
      <c r="P42" s="595"/>
      <c r="Q42" s="596"/>
    </row>
    <row r="43" spans="1:22" ht="29.25" customHeight="1">
      <c r="G43" s="626" t="s">
        <v>215</v>
      </c>
      <c r="H43" s="627"/>
      <c r="I43" s="628"/>
      <c r="J43" s="629" t="s">
        <v>130</v>
      </c>
      <c r="K43" s="630"/>
      <c r="L43" s="631"/>
    </row>
    <row r="44" spans="1:22" ht="33.75" customHeight="1">
      <c r="G44" s="626" t="s">
        <v>216</v>
      </c>
      <c r="H44" s="627"/>
      <c r="I44" s="628"/>
      <c r="J44" s="35"/>
      <c r="K44" s="35"/>
    </row>
    <row r="45" spans="1:22" ht="30.75" customHeight="1">
      <c r="G45" s="632" t="s">
        <v>133</v>
      </c>
      <c r="H45" s="632"/>
      <c r="I45" s="632"/>
      <c r="J45" s="35"/>
      <c r="K45" s="35"/>
      <c r="L45" s="96"/>
    </row>
    <row r="46" spans="1:22">
      <c r="C46" s="92"/>
    </row>
    <row r="47" spans="1:22">
      <c r="D47" s="103"/>
      <c r="E47" s="106"/>
      <c r="H47" s="107"/>
      <c r="I47" s="107"/>
      <c r="J47" s="107"/>
    </row>
    <row r="48" spans="1:22" s="143" customFormat="1">
      <c r="A48" s="691" t="s">
        <v>218</v>
      </c>
      <c r="B48" s="691"/>
      <c r="C48" s="691"/>
      <c r="D48" s="691"/>
      <c r="E48" s="691"/>
      <c r="F48" s="691"/>
      <c r="G48" s="691"/>
      <c r="H48" s="691"/>
      <c r="I48" s="691"/>
      <c r="J48" s="691"/>
      <c r="K48"/>
      <c r="L48"/>
      <c r="M48"/>
      <c r="N48"/>
      <c r="O48"/>
      <c r="P48"/>
      <c r="Q48"/>
    </row>
    <row r="49" spans="1:10" ht="16.5">
      <c r="A49" s="144" t="s">
        <v>44</v>
      </c>
      <c r="B49" s="699" t="s">
        <v>222</v>
      </c>
      <c r="C49" s="700"/>
      <c r="D49" s="701"/>
      <c r="E49" s="230" t="s">
        <v>219</v>
      </c>
      <c r="F49" s="145" t="s">
        <v>220</v>
      </c>
      <c r="G49" s="175" t="s">
        <v>221</v>
      </c>
      <c r="H49" s="175" t="s">
        <v>351</v>
      </c>
      <c r="I49" s="702" t="s">
        <v>223</v>
      </c>
      <c r="J49" s="610"/>
    </row>
    <row r="50" spans="1:10" ht="16.5">
      <c r="A50" s="147" t="s">
        <v>224</v>
      </c>
      <c r="B50" s="89"/>
      <c r="C50" s="89"/>
      <c r="D50" s="89"/>
      <c r="E50" s="146"/>
      <c r="F50" s="146"/>
      <c r="G50" s="146"/>
      <c r="H50" s="146"/>
      <c r="I50" s="84"/>
      <c r="J50" s="84"/>
    </row>
    <row r="51" spans="1:10" ht="15" customHeight="1">
      <c r="A51" s="635" t="s">
        <v>238</v>
      </c>
      <c r="B51" s="635"/>
      <c r="C51" s="635"/>
      <c r="D51" s="635"/>
      <c r="E51" s="635"/>
      <c r="F51" s="635"/>
      <c r="G51" s="635"/>
      <c r="H51" s="635"/>
      <c r="I51" s="635"/>
      <c r="J51" s="635"/>
    </row>
    <row r="52" spans="1:10">
      <c r="A52" s="64" t="s">
        <v>45</v>
      </c>
      <c r="B52" s="117" t="s">
        <v>46</v>
      </c>
      <c r="C52" s="64" t="s">
        <v>47</v>
      </c>
      <c r="D52" s="64" t="s">
        <v>48</v>
      </c>
      <c r="E52" s="64" t="s">
        <v>53</v>
      </c>
      <c r="F52" s="64" t="s">
        <v>54</v>
      </c>
      <c r="G52" s="64" t="s">
        <v>55</v>
      </c>
      <c r="H52" s="64" t="s">
        <v>56</v>
      </c>
      <c r="I52" s="118" t="s">
        <v>57</v>
      </c>
      <c r="J52" s="64" t="s">
        <v>58</v>
      </c>
    </row>
    <row r="53" spans="1:10" ht="15" customHeight="1">
      <c r="A53" s="692" t="s">
        <v>120</v>
      </c>
      <c r="B53" s="694" t="s">
        <v>225</v>
      </c>
      <c r="C53" s="611" t="s">
        <v>226</v>
      </c>
      <c r="D53" s="611" t="s">
        <v>352</v>
      </c>
      <c r="E53" s="611" t="s">
        <v>227</v>
      </c>
      <c r="F53" s="611" t="s">
        <v>357</v>
      </c>
      <c r="G53" s="611"/>
      <c r="H53" s="611"/>
      <c r="I53" s="692" t="s">
        <v>420</v>
      </c>
      <c r="J53" s="611" t="s">
        <v>192</v>
      </c>
    </row>
    <row r="54" spans="1:10" ht="26">
      <c r="A54" s="693"/>
      <c r="B54" s="695"/>
      <c r="C54" s="611"/>
      <c r="D54" s="611"/>
      <c r="E54" s="611"/>
      <c r="F54" s="240" t="s">
        <v>232</v>
      </c>
      <c r="G54" s="240" t="s">
        <v>235</v>
      </c>
      <c r="H54" s="240" t="s">
        <v>236</v>
      </c>
      <c r="I54" s="698"/>
      <c r="J54" s="611"/>
    </row>
    <row r="55" spans="1:10" ht="54" customHeight="1">
      <c r="A55" s="250"/>
      <c r="B55" s="251" t="s">
        <v>12</v>
      </c>
      <c r="C55" s="251" t="s">
        <v>12</v>
      </c>
      <c r="D55" s="251" t="s">
        <v>12</v>
      </c>
      <c r="E55" s="251" t="s">
        <v>12</v>
      </c>
      <c r="F55" s="252" t="s">
        <v>12</v>
      </c>
      <c r="G55" s="253" t="s">
        <v>234</v>
      </c>
      <c r="H55" s="254"/>
      <c r="I55" s="252" t="s">
        <v>12</v>
      </c>
      <c r="J55" s="255" t="s">
        <v>193</v>
      </c>
    </row>
    <row r="56" spans="1:10" ht="15" customHeight="1">
      <c r="H56" s="6"/>
      <c r="I56" s="122" t="s">
        <v>253</v>
      </c>
      <c r="J56" s="109" t="s">
        <v>43</v>
      </c>
    </row>
    <row r="57" spans="1:10" ht="22.5" customHeight="1">
      <c r="B57" s="245" t="s">
        <v>225</v>
      </c>
      <c r="C57" s="245" t="s">
        <v>179</v>
      </c>
      <c r="D57" s="246" t="s">
        <v>180</v>
      </c>
      <c r="E57" s="246" t="s">
        <v>228</v>
      </c>
      <c r="F57" s="246" t="s">
        <v>233</v>
      </c>
      <c r="I57" s="116" t="s">
        <v>185</v>
      </c>
    </row>
    <row r="58" spans="1:10" ht="43" customHeight="1">
      <c r="B58" s="247" t="s">
        <v>142</v>
      </c>
      <c r="C58" s="248" t="s">
        <v>740</v>
      </c>
      <c r="D58" s="173" t="s">
        <v>409</v>
      </c>
      <c r="E58" s="173" t="s">
        <v>229</v>
      </c>
      <c r="F58" s="173" t="s">
        <v>140</v>
      </c>
      <c r="I58" s="129" t="s">
        <v>412</v>
      </c>
    </row>
    <row r="59" spans="1:10" ht="30.65" customHeight="1">
      <c r="B59" s="173" t="s">
        <v>143</v>
      </c>
      <c r="C59" s="267" t="s">
        <v>750</v>
      </c>
      <c r="D59" s="173" t="s">
        <v>663</v>
      </c>
      <c r="E59" s="390" t="s">
        <v>230</v>
      </c>
      <c r="F59" s="173" t="s">
        <v>141</v>
      </c>
      <c r="I59" s="130" t="s">
        <v>186</v>
      </c>
    </row>
    <row r="60" spans="1:10" ht="63.75" customHeight="1">
      <c r="B60" s="243"/>
      <c r="C60" s="249"/>
      <c r="D60" s="249"/>
      <c r="E60" s="173" t="s">
        <v>231</v>
      </c>
      <c r="F60" s="173" t="s">
        <v>663</v>
      </c>
      <c r="I60" s="389" t="s">
        <v>932</v>
      </c>
    </row>
    <row r="61" spans="1:10" ht="58.5" customHeight="1">
      <c r="B61" s="243"/>
      <c r="C61" s="249"/>
      <c r="D61" s="249"/>
      <c r="E61" s="173" t="s">
        <v>663</v>
      </c>
      <c r="F61" s="389" t="s">
        <v>932</v>
      </c>
      <c r="I61" s="128"/>
    </row>
    <row r="62" spans="1:10" ht="58.5" customHeight="1">
      <c r="B62" s="243"/>
      <c r="C62" s="249"/>
      <c r="D62" s="249"/>
      <c r="E62" s="389" t="s">
        <v>932</v>
      </c>
      <c r="F62" s="450"/>
      <c r="I62" s="128"/>
    </row>
    <row r="63" spans="1:10" ht="15" customHeight="1">
      <c r="A63" s="584" t="s">
        <v>237</v>
      </c>
      <c r="B63" s="585"/>
      <c r="C63" s="585"/>
      <c r="D63" s="585"/>
      <c r="E63" s="585"/>
      <c r="F63" s="585"/>
      <c r="G63" s="585"/>
      <c r="H63" s="585"/>
      <c r="I63" s="586"/>
    </row>
    <row r="64" spans="1:10">
      <c r="A64" s="64" t="s">
        <v>45</v>
      </c>
      <c r="B64" s="64" t="s">
        <v>46</v>
      </c>
      <c r="C64" s="64" t="s">
        <v>47</v>
      </c>
      <c r="D64" s="64" t="s">
        <v>48</v>
      </c>
      <c r="E64" s="64" t="s">
        <v>53</v>
      </c>
      <c r="F64" s="64" t="s">
        <v>54</v>
      </c>
      <c r="G64" s="64" t="s">
        <v>55</v>
      </c>
      <c r="H64" s="64" t="s">
        <v>56</v>
      </c>
      <c r="I64" s="64" t="s">
        <v>57</v>
      </c>
    </row>
    <row r="65" spans="1:9" ht="36" customHeight="1">
      <c r="A65" s="346" t="s">
        <v>120</v>
      </c>
      <c r="B65" s="346" t="s">
        <v>225</v>
      </c>
      <c r="C65" s="346" t="s">
        <v>226</v>
      </c>
      <c r="D65" s="346" t="s">
        <v>352</v>
      </c>
      <c r="E65" s="346" t="s">
        <v>239</v>
      </c>
      <c r="F65" s="346" t="s">
        <v>357</v>
      </c>
      <c r="G65" s="346"/>
      <c r="H65" s="346"/>
      <c r="I65" s="346" t="s">
        <v>192</v>
      </c>
    </row>
    <row r="66" spans="1:9" ht="26">
      <c r="A66" s="346"/>
      <c r="B66" s="346"/>
      <c r="C66" s="346"/>
      <c r="D66" s="346"/>
      <c r="E66" s="346"/>
      <c r="F66" s="240" t="s">
        <v>241</v>
      </c>
      <c r="G66" s="240" t="s">
        <v>235</v>
      </c>
      <c r="H66" s="240" t="s">
        <v>236</v>
      </c>
      <c r="I66" s="346"/>
    </row>
    <row r="67" spans="1:9" ht="54" customHeight="1">
      <c r="A67" s="250"/>
      <c r="B67" s="251" t="s">
        <v>12</v>
      </c>
      <c r="C67" s="251" t="s">
        <v>12</v>
      </c>
      <c r="D67" s="251" t="s">
        <v>12</v>
      </c>
      <c r="E67" s="251" t="s">
        <v>12</v>
      </c>
      <c r="F67" s="252" t="s">
        <v>12</v>
      </c>
      <c r="G67" s="253" t="s">
        <v>234</v>
      </c>
      <c r="H67" s="254"/>
      <c r="I67" s="255" t="s">
        <v>193</v>
      </c>
    </row>
    <row r="68" spans="1:9" ht="15" customHeight="1">
      <c r="A68" s="4"/>
      <c r="B68" s="4"/>
      <c r="C68" s="4"/>
      <c r="D68" s="4"/>
      <c r="E68" s="4"/>
      <c r="F68" s="4"/>
      <c r="G68" s="6"/>
      <c r="H68" s="122" t="s">
        <v>253</v>
      </c>
      <c r="I68" s="109" t="s">
        <v>43</v>
      </c>
    </row>
    <row r="69" spans="1:9" ht="22.5" customHeight="1">
      <c r="B69" s="245" t="s">
        <v>225</v>
      </c>
      <c r="C69" s="245" t="s">
        <v>179</v>
      </c>
      <c r="D69" s="246" t="s">
        <v>180</v>
      </c>
      <c r="E69" s="246" t="s">
        <v>228</v>
      </c>
      <c r="F69" s="246" t="s">
        <v>244</v>
      </c>
      <c r="I69" s="149"/>
    </row>
    <row r="70" spans="1:9" ht="44.5" customHeight="1">
      <c r="B70" s="247" t="s">
        <v>142</v>
      </c>
      <c r="C70" s="248" t="s">
        <v>740</v>
      </c>
      <c r="D70" s="173" t="s">
        <v>410</v>
      </c>
      <c r="E70" s="173" t="s">
        <v>240</v>
      </c>
      <c r="F70" s="173" t="s">
        <v>242</v>
      </c>
      <c r="I70" s="128"/>
    </row>
    <row r="71" spans="1:9" ht="38.25" customHeight="1">
      <c r="B71" s="247" t="s">
        <v>143</v>
      </c>
      <c r="C71" s="267" t="s">
        <v>750</v>
      </c>
      <c r="D71" s="173" t="s">
        <v>663</v>
      </c>
      <c r="E71" s="173" t="s">
        <v>231</v>
      </c>
      <c r="F71" s="173" t="s">
        <v>243</v>
      </c>
      <c r="I71" s="150"/>
    </row>
    <row r="72" spans="1:9" ht="22.5" customHeight="1">
      <c r="B72" s="4"/>
      <c r="C72" s="249"/>
      <c r="D72" s="249"/>
      <c r="E72" s="173" t="s">
        <v>663</v>
      </c>
      <c r="F72" s="173" t="s">
        <v>663</v>
      </c>
      <c r="I72" s="128"/>
    </row>
    <row r="73" spans="1:9" ht="52.5" customHeight="1">
      <c r="D73" s="41"/>
      <c r="E73" s="389" t="s">
        <v>932</v>
      </c>
      <c r="F73" s="389" t="s">
        <v>932</v>
      </c>
      <c r="G73" s="40"/>
      <c r="H73" s="40"/>
      <c r="I73" s="41"/>
    </row>
    <row r="74" spans="1:9" ht="15" customHeight="1">
      <c r="A74" s="584" t="s">
        <v>354</v>
      </c>
      <c r="B74" s="585"/>
      <c r="C74" s="585"/>
      <c r="D74" s="585"/>
      <c r="E74" s="585"/>
      <c r="F74" s="585"/>
      <c r="G74" s="585"/>
      <c r="H74" s="586"/>
      <c r="I74" s="136"/>
    </row>
    <row r="75" spans="1:9">
      <c r="A75" s="64" t="s">
        <v>45</v>
      </c>
      <c r="B75" s="64" t="s">
        <v>46</v>
      </c>
      <c r="C75" s="64" t="s">
        <v>47</v>
      </c>
      <c r="D75" s="64" t="s">
        <v>48</v>
      </c>
      <c r="E75" s="64" t="s">
        <v>53</v>
      </c>
      <c r="F75" s="64" t="s">
        <v>54</v>
      </c>
      <c r="G75" s="64" t="s">
        <v>55</v>
      </c>
      <c r="H75" s="64" t="s">
        <v>56</v>
      </c>
      <c r="I75" s="134"/>
    </row>
    <row r="76" spans="1:9" ht="42.75" customHeight="1">
      <c r="A76" s="347" t="s">
        <v>120</v>
      </c>
      <c r="B76" s="349" t="s">
        <v>226</v>
      </c>
      <c r="C76" s="349" t="s">
        <v>352</v>
      </c>
      <c r="D76" s="349" t="s">
        <v>355</v>
      </c>
      <c r="E76" s="349" t="s">
        <v>357</v>
      </c>
      <c r="F76" s="349"/>
      <c r="G76" s="349"/>
      <c r="H76" s="349" t="s">
        <v>192</v>
      </c>
    </row>
    <row r="77" spans="1:9" ht="36" customHeight="1">
      <c r="A77" s="348"/>
      <c r="B77" s="349"/>
      <c r="C77" s="349"/>
      <c r="D77" s="349"/>
      <c r="E77" s="173" t="s">
        <v>232</v>
      </c>
      <c r="F77" s="173" t="s">
        <v>235</v>
      </c>
      <c r="G77" s="173" t="s">
        <v>236</v>
      </c>
      <c r="H77" s="349"/>
    </row>
    <row r="78" spans="1:9" ht="54" customHeight="1">
      <c r="A78" s="256"/>
      <c r="B78" s="251" t="s">
        <v>12</v>
      </c>
      <c r="C78" s="251" t="s">
        <v>12</v>
      </c>
      <c r="D78" s="251" t="s">
        <v>12</v>
      </c>
      <c r="E78" s="252" t="s">
        <v>12</v>
      </c>
      <c r="F78" s="253" t="s">
        <v>234</v>
      </c>
      <c r="G78" s="254"/>
      <c r="H78" s="257" t="s">
        <v>193</v>
      </c>
    </row>
    <row r="79" spans="1:9" ht="15" customHeight="1">
      <c r="A79" s="4"/>
      <c r="B79" s="4"/>
      <c r="C79" s="4"/>
      <c r="D79" s="4"/>
      <c r="E79" s="4"/>
      <c r="F79" s="6"/>
      <c r="G79" s="122" t="s">
        <v>253</v>
      </c>
      <c r="H79" s="109" t="s">
        <v>43</v>
      </c>
    </row>
    <row r="80" spans="1:9" ht="22.5" customHeight="1">
      <c r="A80" s="4"/>
      <c r="B80" s="245" t="s">
        <v>179</v>
      </c>
      <c r="C80" s="246" t="s">
        <v>180</v>
      </c>
      <c r="D80" s="246" t="s">
        <v>228</v>
      </c>
      <c r="E80" s="246" t="s">
        <v>233</v>
      </c>
      <c r="F80" s="4"/>
      <c r="G80" s="4"/>
      <c r="H80" s="258"/>
    </row>
    <row r="81" spans="1:9" ht="54" customHeight="1">
      <c r="A81" s="4"/>
      <c r="B81" s="248" t="s">
        <v>740</v>
      </c>
      <c r="C81" s="173" t="s">
        <v>409</v>
      </c>
      <c r="D81" s="173" t="s">
        <v>356</v>
      </c>
      <c r="E81" s="173" t="s">
        <v>140</v>
      </c>
      <c r="F81" s="4"/>
      <c r="G81" s="4"/>
      <c r="H81" s="243"/>
    </row>
    <row r="82" spans="1:9" ht="40" customHeight="1">
      <c r="A82" s="4"/>
      <c r="B82" s="267" t="s">
        <v>750</v>
      </c>
      <c r="C82" s="173" t="s">
        <v>663</v>
      </c>
      <c r="D82" s="173" t="s">
        <v>231</v>
      </c>
      <c r="E82" s="173" t="s">
        <v>141</v>
      </c>
      <c r="F82" s="4"/>
      <c r="G82" s="4"/>
      <c r="H82" s="259"/>
    </row>
    <row r="83" spans="1:9" ht="30" customHeight="1">
      <c r="A83" s="4"/>
      <c r="B83" s="249"/>
      <c r="C83" s="249"/>
      <c r="D83" s="173" t="s">
        <v>663</v>
      </c>
      <c r="E83" s="173" t="s">
        <v>663</v>
      </c>
      <c r="F83" s="4"/>
      <c r="G83" s="4"/>
      <c r="H83" s="243"/>
    </row>
    <row r="84" spans="1:9" ht="22.5" customHeight="1">
      <c r="B84" s="128"/>
      <c r="C84" s="127"/>
      <c r="D84" s="389" t="s">
        <v>932</v>
      </c>
      <c r="E84" s="389" t="s">
        <v>932</v>
      </c>
      <c r="F84" s="128"/>
      <c r="I84" s="128"/>
    </row>
    <row r="85" spans="1:9" ht="13.5" customHeight="1"/>
    <row r="86" spans="1:9" ht="15" customHeight="1">
      <c r="A86" s="584" t="s">
        <v>245</v>
      </c>
      <c r="B86" s="585"/>
      <c r="C86" s="585"/>
      <c r="D86" s="585"/>
      <c r="E86" s="585"/>
      <c r="F86" s="585"/>
      <c r="G86" s="586"/>
    </row>
    <row r="87" spans="1:9" ht="16.5">
      <c r="A87" s="144" t="s">
        <v>44</v>
      </c>
      <c r="B87" s="686" t="s">
        <v>318</v>
      </c>
      <c r="C87" s="686"/>
      <c r="D87" s="686"/>
      <c r="E87" s="145" t="s">
        <v>256</v>
      </c>
      <c r="F87" s="678" t="s">
        <v>255</v>
      </c>
      <c r="G87" s="678"/>
    </row>
    <row r="88" spans="1:9">
      <c r="A88" s="555" t="s">
        <v>45</v>
      </c>
      <c r="B88" s="555"/>
      <c r="C88" s="64" t="s">
        <v>46</v>
      </c>
      <c r="D88" s="552" t="s">
        <v>47</v>
      </c>
      <c r="E88" s="553"/>
      <c r="F88" s="553"/>
      <c r="G88" s="64" t="s">
        <v>48</v>
      </c>
    </row>
    <row r="89" spans="1:9" ht="15" customHeight="1">
      <c r="A89" s="611" t="s">
        <v>67</v>
      </c>
      <c r="B89" s="611"/>
      <c r="C89" s="684" t="s">
        <v>751</v>
      </c>
      <c r="D89" s="681" t="s">
        <v>753</v>
      </c>
      <c r="E89" s="681"/>
      <c r="F89" s="681"/>
      <c r="G89" s="681" t="s">
        <v>752</v>
      </c>
    </row>
    <row r="90" spans="1:9" ht="33.75" customHeight="1">
      <c r="A90" s="611"/>
      <c r="B90" s="611"/>
      <c r="C90" s="685"/>
      <c r="D90" s="681"/>
      <c r="E90" s="681"/>
      <c r="F90" s="681"/>
      <c r="G90" s="681"/>
    </row>
    <row r="91" spans="1:9">
      <c r="A91" s="679"/>
      <c r="B91" s="679"/>
      <c r="C91" s="260" t="s">
        <v>12</v>
      </c>
      <c r="D91" s="680" t="s">
        <v>12</v>
      </c>
      <c r="E91" s="680"/>
      <c r="F91" s="680"/>
      <c r="G91" s="260" t="s">
        <v>12</v>
      </c>
    </row>
    <row r="92" spans="1:9" ht="17.25" customHeight="1">
      <c r="A92" s="682" t="s">
        <v>664</v>
      </c>
      <c r="B92" s="682"/>
      <c r="C92" s="682"/>
      <c r="D92" s="682"/>
      <c r="E92" s="6"/>
      <c r="F92" s="261" t="s">
        <v>202</v>
      </c>
      <c r="G92" s="262" t="s">
        <v>43</v>
      </c>
    </row>
    <row r="93" spans="1:9" ht="12.75" customHeight="1">
      <c r="A93" s="683"/>
      <c r="B93" s="683"/>
      <c r="C93" s="683"/>
      <c r="D93" s="683"/>
      <c r="E93" s="4"/>
      <c r="F93" s="4"/>
      <c r="G93" s="4"/>
    </row>
    <row r="94" spans="1:9">
      <c r="A94" s="4"/>
      <c r="B94" s="4"/>
      <c r="C94" s="263" t="s">
        <v>246</v>
      </c>
      <c r="D94" s="675" t="s">
        <v>249</v>
      </c>
      <c r="E94" s="676"/>
      <c r="F94" s="677"/>
      <c r="G94" s="263" t="s">
        <v>252</v>
      </c>
    </row>
    <row r="95" spans="1:9" ht="25.5" customHeight="1">
      <c r="A95" s="4"/>
      <c r="B95" s="4"/>
      <c r="C95" s="173" t="s">
        <v>501</v>
      </c>
      <c r="D95" s="612" t="s">
        <v>247</v>
      </c>
      <c r="E95" s="612"/>
      <c r="F95" s="612"/>
      <c r="G95" s="264" t="s">
        <v>250</v>
      </c>
    </row>
    <row r="96" spans="1:9" ht="42" customHeight="1">
      <c r="A96" s="4"/>
      <c r="B96" s="4"/>
      <c r="C96" s="267" t="s">
        <v>754</v>
      </c>
      <c r="D96" s="612" t="s">
        <v>411</v>
      </c>
      <c r="E96" s="612"/>
      <c r="F96" s="612"/>
      <c r="G96" s="265" t="s">
        <v>251</v>
      </c>
    </row>
    <row r="97" spans="1:7" ht="31.5" customHeight="1">
      <c r="A97" s="4"/>
      <c r="B97" s="4"/>
      <c r="C97" s="4"/>
      <c r="D97" s="612" t="s">
        <v>248</v>
      </c>
      <c r="E97" s="612"/>
      <c r="F97" s="612"/>
      <c r="G97" s="243"/>
    </row>
    <row r="98" spans="1:7" ht="22.5" customHeight="1">
      <c r="A98" s="4"/>
      <c r="B98" s="4"/>
      <c r="C98" s="4"/>
      <c r="D98" s="612" t="s">
        <v>231</v>
      </c>
      <c r="E98" s="612"/>
      <c r="F98" s="612"/>
      <c r="G98" s="243"/>
    </row>
    <row r="99" spans="1:7" ht="23.25" customHeight="1">
      <c r="D99" s="613"/>
      <c r="E99" s="613"/>
      <c r="F99" s="613"/>
      <c r="G99" s="132"/>
    </row>
    <row r="100" spans="1:7" ht="15" customHeight="1">
      <c r="A100" s="687" t="s">
        <v>755</v>
      </c>
      <c r="B100" s="687"/>
      <c r="C100" s="687"/>
      <c r="D100" s="687"/>
      <c r="E100" s="687"/>
      <c r="F100" s="687"/>
      <c r="G100" s="687"/>
    </row>
    <row r="101" spans="1:7">
      <c r="A101" s="111" t="s">
        <v>44</v>
      </c>
      <c r="B101" s="660" t="s">
        <v>45</v>
      </c>
      <c r="C101" s="661"/>
      <c r="D101" s="662"/>
      <c r="E101" s="644" t="s">
        <v>46</v>
      </c>
      <c r="F101" s="645"/>
      <c r="G101" s="646"/>
    </row>
    <row r="102" spans="1:7" ht="15" customHeight="1">
      <c r="A102" s="611" t="s">
        <v>209</v>
      </c>
      <c r="B102" s="647" t="s">
        <v>756</v>
      </c>
      <c r="C102" s="648"/>
      <c r="D102" s="649"/>
      <c r="E102" s="647" t="s">
        <v>521</v>
      </c>
      <c r="F102" s="648"/>
      <c r="G102" s="649"/>
    </row>
    <row r="103" spans="1:7" ht="28.5" customHeight="1">
      <c r="A103" s="611"/>
      <c r="B103" s="650"/>
      <c r="C103" s="651"/>
      <c r="D103" s="652"/>
      <c r="E103" s="650"/>
      <c r="F103" s="651"/>
      <c r="G103" s="652"/>
    </row>
    <row r="104" spans="1:7" ht="13.5" customHeight="1">
      <c r="A104" s="266"/>
      <c r="B104" s="539" t="s">
        <v>12</v>
      </c>
      <c r="C104" s="653"/>
      <c r="D104" s="540"/>
      <c r="E104" s="539" t="s">
        <v>12</v>
      </c>
      <c r="F104" s="653"/>
      <c r="G104" s="540"/>
    </row>
    <row r="105" spans="1:7">
      <c r="A105" s="4"/>
      <c r="B105" s="4"/>
      <c r="C105" s="4"/>
      <c r="D105" s="4"/>
      <c r="E105" s="100" t="s">
        <v>75</v>
      </c>
      <c r="F105" s="122" t="s">
        <v>254</v>
      </c>
      <c r="G105" s="109" t="s">
        <v>43</v>
      </c>
    </row>
    <row r="106" spans="1:7">
      <c r="A106" s="4"/>
      <c r="B106" s="4"/>
      <c r="C106" s="4"/>
      <c r="D106" s="4"/>
      <c r="E106" s="6"/>
      <c r="F106" s="6"/>
      <c r="G106" s="6"/>
    </row>
    <row r="107" spans="1:7" ht="15" customHeight="1">
      <c r="A107" s="4"/>
      <c r="B107" s="663" t="s">
        <v>522</v>
      </c>
      <c r="C107" s="664"/>
      <c r="D107" s="665"/>
      <c r="E107" s="654" t="s">
        <v>523</v>
      </c>
      <c r="F107" s="655"/>
      <c r="G107" s="656"/>
    </row>
    <row r="108" spans="1:7" ht="25" customHeight="1">
      <c r="A108" s="4"/>
      <c r="B108" s="666" t="s">
        <v>741</v>
      </c>
      <c r="C108" s="667"/>
      <c r="D108" s="668"/>
      <c r="E108" s="657" t="s">
        <v>524</v>
      </c>
      <c r="F108" s="657"/>
      <c r="G108" s="657"/>
    </row>
    <row r="109" spans="1:7" ht="29.25" customHeight="1">
      <c r="A109" s="4"/>
      <c r="B109" s="669" t="s">
        <v>665</v>
      </c>
      <c r="C109" s="670"/>
      <c r="D109" s="671"/>
      <c r="E109" s="658" t="s">
        <v>525</v>
      </c>
      <c r="F109" s="658"/>
      <c r="G109" s="658"/>
    </row>
    <row r="110" spans="1:7" ht="18" customHeight="1">
      <c r="A110" s="4"/>
      <c r="B110" s="672" t="s">
        <v>257</v>
      </c>
      <c r="C110" s="672"/>
      <c r="D110" s="672"/>
      <c r="E110" s="165"/>
      <c r="F110" s="165"/>
      <c r="G110" s="165"/>
    </row>
    <row r="111" spans="1:7" ht="27.75" customHeight="1">
      <c r="A111" s="4"/>
      <c r="B111" s="672" t="s">
        <v>520</v>
      </c>
      <c r="C111" s="672"/>
      <c r="D111" s="672"/>
      <c r="E111" s="165"/>
      <c r="F111" s="165"/>
      <c r="G111" s="165"/>
    </row>
    <row r="113" spans="1:35">
      <c r="A113" s="659" t="s">
        <v>634</v>
      </c>
      <c r="B113" s="659"/>
      <c r="C113" s="659"/>
    </row>
    <row r="114" spans="1:35" s="143" customFormat="1" ht="16.5">
      <c r="A114" s="605" t="s">
        <v>757</v>
      </c>
      <c r="B114" s="605"/>
      <c r="C114" s="605"/>
      <c r="D114" s="605"/>
      <c r="E114" s="605"/>
      <c r="F114" s="605"/>
      <c r="G114" s="605"/>
      <c r="H114" s="605"/>
      <c r="I114" s="605"/>
      <c r="J114" s="605"/>
      <c r="K114"/>
      <c r="L114"/>
      <c r="M114"/>
      <c r="N114"/>
      <c r="O114"/>
      <c r="P114"/>
      <c r="Q114"/>
      <c r="R114"/>
      <c r="S114"/>
      <c r="T114"/>
      <c r="U114"/>
      <c r="V114"/>
      <c r="W114"/>
      <c r="X114"/>
      <c r="Y114"/>
      <c r="Z114"/>
      <c r="AA114"/>
      <c r="AB114"/>
      <c r="AC114"/>
      <c r="AD114"/>
      <c r="AE114"/>
      <c r="AF114"/>
      <c r="AG114"/>
      <c r="AH114"/>
      <c r="AI114"/>
    </row>
    <row r="115" spans="1:35" ht="34.5" customHeight="1">
      <c r="A115" s="144" t="s">
        <v>44</v>
      </c>
      <c r="B115" s="606" t="s">
        <v>504</v>
      </c>
      <c r="C115" s="607"/>
      <c r="D115" s="608"/>
      <c r="E115" s="230" t="s">
        <v>503</v>
      </c>
      <c r="F115" s="230" t="s">
        <v>351</v>
      </c>
      <c r="G115" s="609" t="s">
        <v>506</v>
      </c>
      <c r="H115" s="610"/>
      <c r="I115" s="673" t="s">
        <v>507</v>
      </c>
      <c r="J115" s="674"/>
    </row>
    <row r="116" spans="1:35" ht="16.5">
      <c r="A116" s="147" t="s">
        <v>505</v>
      </c>
      <c r="B116" s="89"/>
      <c r="C116" s="89"/>
      <c r="D116" s="89"/>
      <c r="E116" s="146"/>
      <c r="F116" s="146"/>
      <c r="G116" s="146"/>
      <c r="H116" s="146"/>
      <c r="I116" s="84"/>
      <c r="J116" s="84"/>
      <c r="R116" s="164"/>
      <c r="S116" s="164"/>
      <c r="T116" s="199"/>
    </row>
    <row r="117" spans="1:35" ht="25.5" customHeight="1">
      <c r="A117" s="642" t="s">
        <v>509</v>
      </c>
      <c r="B117" s="642"/>
      <c r="C117" s="642"/>
      <c r="D117" s="642"/>
      <c r="E117" s="642"/>
      <c r="F117" s="642"/>
      <c r="G117" s="642"/>
      <c r="H117" s="642"/>
      <c r="I117" s="642"/>
      <c r="J117" s="642"/>
    </row>
    <row r="118" spans="1:35">
      <c r="A118" s="64" t="s">
        <v>45</v>
      </c>
      <c r="B118" s="117" t="s">
        <v>46</v>
      </c>
      <c r="C118" s="64" t="s">
        <v>47</v>
      </c>
      <c r="D118" s="64" t="s">
        <v>48</v>
      </c>
      <c r="E118" s="64" t="s">
        <v>53</v>
      </c>
      <c r="F118" s="64" t="s">
        <v>54</v>
      </c>
      <c r="G118" s="64" t="s">
        <v>55</v>
      </c>
      <c r="H118" s="64" t="s">
        <v>56</v>
      </c>
      <c r="I118" s="643"/>
      <c r="J118" s="643"/>
    </row>
    <row r="119" spans="1:35" ht="15" customHeight="1">
      <c r="A119" s="598" t="s">
        <v>120</v>
      </c>
      <c r="B119" s="600" t="s">
        <v>511</v>
      </c>
      <c r="C119" s="602" t="s">
        <v>513</v>
      </c>
      <c r="D119" s="602" t="s">
        <v>514</v>
      </c>
      <c r="E119" s="602" t="s">
        <v>517</v>
      </c>
      <c r="F119" s="603" t="s">
        <v>518</v>
      </c>
      <c r="G119" s="604"/>
      <c r="H119" s="602" t="s">
        <v>192</v>
      </c>
      <c r="J119" s="83"/>
    </row>
    <row r="120" spans="1:35" ht="24">
      <c r="A120" s="599"/>
      <c r="B120" s="601"/>
      <c r="C120" s="602"/>
      <c r="D120" s="602"/>
      <c r="E120" s="602"/>
      <c r="F120" s="119" t="s">
        <v>235</v>
      </c>
      <c r="G120" s="119" t="s">
        <v>236</v>
      </c>
      <c r="H120" s="602"/>
      <c r="I120" s="83"/>
    </row>
    <row r="121" spans="1:35" ht="19.5" customHeight="1">
      <c r="A121" s="98"/>
      <c r="B121" s="202" t="s">
        <v>12</v>
      </c>
      <c r="C121" s="202" t="s">
        <v>12</v>
      </c>
      <c r="D121" s="202" t="s">
        <v>12</v>
      </c>
      <c r="E121" s="202" t="s">
        <v>12</v>
      </c>
      <c r="F121" s="204" t="s">
        <v>234</v>
      </c>
      <c r="G121" s="166"/>
      <c r="H121" s="148" t="s">
        <v>193</v>
      </c>
      <c r="I121" s="66"/>
    </row>
    <row r="122" spans="1:35" ht="15" customHeight="1">
      <c r="F122" s="6"/>
      <c r="G122" s="122" t="s">
        <v>508</v>
      </c>
      <c r="H122" s="109" t="s">
        <v>43</v>
      </c>
    </row>
    <row r="123" spans="1:35" ht="22.5" customHeight="1">
      <c r="B123" s="245" t="s">
        <v>510</v>
      </c>
      <c r="C123" s="245" t="s">
        <v>179</v>
      </c>
      <c r="D123" s="246" t="s">
        <v>515</v>
      </c>
      <c r="E123" s="246" t="s">
        <v>228</v>
      </c>
    </row>
    <row r="124" spans="1:35" ht="39" customHeight="1">
      <c r="B124" s="173" t="s">
        <v>512</v>
      </c>
      <c r="C124" s="248" t="s">
        <v>740</v>
      </c>
      <c r="D124" s="173" t="s">
        <v>516</v>
      </c>
      <c r="E124" s="267" t="s">
        <v>534</v>
      </c>
    </row>
    <row r="125" spans="1:35" ht="28">
      <c r="B125" s="4"/>
      <c r="C125" s="4"/>
      <c r="D125" s="4"/>
      <c r="E125" s="267" t="s">
        <v>666</v>
      </c>
    </row>
    <row r="126" spans="1:35">
      <c r="B126" s="4"/>
      <c r="C126" s="4"/>
      <c r="D126" s="4"/>
      <c r="E126" s="4"/>
    </row>
    <row r="127" spans="1:35">
      <c r="A127" s="593" t="s">
        <v>929</v>
      </c>
      <c r="B127" s="593"/>
      <c r="C127" s="593"/>
      <c r="D127" s="593"/>
      <c r="E127" s="593"/>
      <c r="F127" s="593"/>
      <c r="G127" s="593"/>
      <c r="H127" s="593"/>
      <c r="I127" s="593"/>
      <c r="J127" s="593"/>
    </row>
    <row r="128" spans="1:35">
      <c r="A128" s="590" t="s">
        <v>927</v>
      </c>
      <c r="B128" s="590"/>
      <c r="C128" s="592" t="s">
        <v>928</v>
      </c>
      <c r="D128" s="592"/>
      <c r="E128" s="592"/>
      <c r="F128" s="592"/>
      <c r="G128" s="592"/>
      <c r="H128" s="592"/>
      <c r="I128" s="592"/>
      <c r="J128" s="592"/>
    </row>
    <row r="129" spans="1:10">
      <c r="A129" s="449"/>
      <c r="B129" s="446" t="s">
        <v>76</v>
      </c>
      <c r="C129" s="446" t="s">
        <v>295</v>
      </c>
      <c r="D129" s="591" t="s">
        <v>655</v>
      </c>
      <c r="E129" s="591"/>
      <c r="F129" s="591"/>
      <c r="G129" s="591"/>
      <c r="H129" s="591"/>
      <c r="I129" s="591"/>
      <c r="J129" s="591"/>
    </row>
    <row r="130" spans="1:10" ht="61.5" customHeight="1">
      <c r="A130" s="446" t="s">
        <v>44</v>
      </c>
      <c r="B130" s="447" t="s">
        <v>14</v>
      </c>
      <c r="C130" s="447" t="s">
        <v>14</v>
      </c>
      <c r="D130" s="589" t="s">
        <v>926</v>
      </c>
      <c r="E130" s="589"/>
      <c r="F130" s="589"/>
      <c r="G130" s="589"/>
      <c r="H130" s="589"/>
      <c r="I130" s="589"/>
      <c r="J130" s="589"/>
    </row>
    <row r="131" spans="1:10" ht="51.75" customHeight="1">
      <c r="A131" s="446" t="s">
        <v>45</v>
      </c>
      <c r="B131" s="447" t="s">
        <v>14</v>
      </c>
      <c r="C131" s="447" t="s">
        <v>14</v>
      </c>
      <c r="D131" s="589" t="s">
        <v>931</v>
      </c>
      <c r="E131" s="589"/>
      <c r="F131" s="589"/>
      <c r="G131" s="589"/>
      <c r="H131" s="589"/>
      <c r="I131" s="589"/>
      <c r="J131" s="589"/>
    </row>
    <row r="132" spans="1:10">
      <c r="A132" s="385" t="s">
        <v>930</v>
      </c>
      <c r="B132" s="385"/>
      <c r="C132" s="385"/>
    </row>
  </sheetData>
  <mergeCells count="145">
    <mergeCell ref="A5:D5"/>
    <mergeCell ref="D12:E12"/>
    <mergeCell ref="D14:E14"/>
    <mergeCell ref="A8:F8"/>
    <mergeCell ref="A9:C9"/>
    <mergeCell ref="D9:E9"/>
    <mergeCell ref="D11:E11"/>
    <mergeCell ref="B19:G19"/>
    <mergeCell ref="D13:E13"/>
    <mergeCell ref="A10:C13"/>
    <mergeCell ref="A14:C15"/>
    <mergeCell ref="D15:E15"/>
    <mergeCell ref="A16:F16"/>
    <mergeCell ref="D10:E10"/>
    <mergeCell ref="A18:G18"/>
    <mergeCell ref="G39:I39"/>
    <mergeCell ref="J39:L39"/>
    <mergeCell ref="C39:D39"/>
    <mergeCell ref="E39:F39"/>
    <mergeCell ref="C7:F7"/>
    <mergeCell ref="A6:F6"/>
    <mergeCell ref="B25:G25"/>
    <mergeCell ref="B27:G27"/>
    <mergeCell ref="B26:G26"/>
    <mergeCell ref="H19:K19"/>
    <mergeCell ref="C34:D34"/>
    <mergeCell ref="E34:F34"/>
    <mergeCell ref="G34:I34"/>
    <mergeCell ref="J34:L34"/>
    <mergeCell ref="B20:G21"/>
    <mergeCell ref="A48:J48"/>
    <mergeCell ref="A51:J51"/>
    <mergeCell ref="A53:A54"/>
    <mergeCell ref="B53:B54"/>
    <mergeCell ref="J43:L43"/>
    <mergeCell ref="B28:G28"/>
    <mergeCell ref="A20:A21"/>
    <mergeCell ref="H21:K21"/>
    <mergeCell ref="H22:K22"/>
    <mergeCell ref="B22:G22"/>
    <mergeCell ref="C53:C54"/>
    <mergeCell ref="E53:E54"/>
    <mergeCell ref="J53:J54"/>
    <mergeCell ref="D53:D54"/>
    <mergeCell ref="F53:H53"/>
    <mergeCell ref="I53:I54"/>
    <mergeCell ref="B49:D49"/>
    <mergeCell ref="I49:J49"/>
    <mergeCell ref="J36:L36"/>
    <mergeCell ref="R34:U34"/>
    <mergeCell ref="A33:U33"/>
    <mergeCell ref="M39:Q39"/>
    <mergeCell ref="M40:Q40"/>
    <mergeCell ref="M37:Q37"/>
    <mergeCell ref="R37:U37"/>
    <mergeCell ref="A117:J117"/>
    <mergeCell ref="I118:J118"/>
    <mergeCell ref="E101:G101"/>
    <mergeCell ref="E102:G103"/>
    <mergeCell ref="E104:G104"/>
    <mergeCell ref="E107:G107"/>
    <mergeCell ref="E108:G108"/>
    <mergeCell ref="E109:G109"/>
    <mergeCell ref="A113:C113"/>
    <mergeCell ref="B101:D101"/>
    <mergeCell ref="B102:D103"/>
    <mergeCell ref="B104:D104"/>
    <mergeCell ref="B107:D107"/>
    <mergeCell ref="B108:D108"/>
    <mergeCell ref="B109:D109"/>
    <mergeCell ref="B110:D110"/>
    <mergeCell ref="B111:D111"/>
    <mergeCell ref="I115:J115"/>
    <mergeCell ref="R39:U39"/>
    <mergeCell ref="R40:U40"/>
    <mergeCell ref="R41:U41"/>
    <mergeCell ref="M36:Q36"/>
    <mergeCell ref="R36:U36"/>
    <mergeCell ref="M35:U35"/>
    <mergeCell ref="A35:A36"/>
    <mergeCell ref="C37:D37"/>
    <mergeCell ref="B35:F35"/>
    <mergeCell ref="J41:L41"/>
    <mergeCell ref="C41:D41"/>
    <mergeCell ref="C36:D36"/>
    <mergeCell ref="E36:F36"/>
    <mergeCell ref="E41:F41"/>
    <mergeCell ref="G41:I41"/>
    <mergeCell ref="E37:F37"/>
    <mergeCell ref="G35:L35"/>
    <mergeCell ref="G36:I36"/>
    <mergeCell ref="C40:D40"/>
    <mergeCell ref="E40:F40"/>
    <mergeCell ref="G37:I37"/>
    <mergeCell ref="G40:I40"/>
    <mergeCell ref="J40:L40"/>
    <mergeCell ref="J37:L37"/>
    <mergeCell ref="M41:Q41"/>
    <mergeCell ref="M42:Q42"/>
    <mergeCell ref="M34:Q34"/>
    <mergeCell ref="A119:A120"/>
    <mergeCell ref="B119:B120"/>
    <mergeCell ref="C119:C120"/>
    <mergeCell ref="D119:D120"/>
    <mergeCell ref="E119:E120"/>
    <mergeCell ref="H119:H120"/>
    <mergeCell ref="F119:G119"/>
    <mergeCell ref="A114:J114"/>
    <mergeCell ref="B115:D115"/>
    <mergeCell ref="G115:H115"/>
    <mergeCell ref="A102:A103"/>
    <mergeCell ref="D98:F98"/>
    <mergeCell ref="D99:F99"/>
    <mergeCell ref="G42:I42"/>
    <mergeCell ref="G43:I43"/>
    <mergeCell ref="G44:I44"/>
    <mergeCell ref="G45:I45"/>
    <mergeCell ref="J42:L42"/>
    <mergeCell ref="D94:F94"/>
    <mergeCell ref="F87:G87"/>
    <mergeCell ref="D96:F96"/>
    <mergeCell ref="A63:I63"/>
    <mergeCell ref="A74:H74"/>
    <mergeCell ref="A86:G86"/>
    <mergeCell ref="A4:L4"/>
    <mergeCell ref="A3:L3"/>
    <mergeCell ref="D130:J130"/>
    <mergeCell ref="D131:J131"/>
    <mergeCell ref="A128:B128"/>
    <mergeCell ref="D129:J129"/>
    <mergeCell ref="C128:J128"/>
    <mergeCell ref="A127:J127"/>
    <mergeCell ref="D97:F97"/>
    <mergeCell ref="A91:B91"/>
    <mergeCell ref="D91:F91"/>
    <mergeCell ref="A88:B88"/>
    <mergeCell ref="A89:B90"/>
    <mergeCell ref="D89:F90"/>
    <mergeCell ref="G89:G90"/>
    <mergeCell ref="A92:D93"/>
    <mergeCell ref="D95:F95"/>
    <mergeCell ref="C89:C90"/>
    <mergeCell ref="D88:F88"/>
    <mergeCell ref="B87:D87"/>
    <mergeCell ref="A100:G100"/>
  </mergeCells>
  <phoneticPr fontId="114" type="noConversion"/>
  <pageMargins left="0.7" right="0.7" top="0.75" bottom="0.75" header="0.3" footer="0.3"/>
  <pageSetup orientation="landscape"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T81"/>
  <sheetViews>
    <sheetView topLeftCell="A64" zoomScale="60" zoomScaleNormal="60" workbookViewId="0">
      <selection activeCell="A75" sqref="A75:J75"/>
    </sheetView>
  </sheetViews>
  <sheetFormatPr defaultRowHeight="14.5"/>
  <cols>
    <col min="2" max="2" width="10.7265625" customWidth="1"/>
    <col min="3" max="3" width="21.81640625" customWidth="1"/>
    <col min="4" max="4" width="17.54296875" customWidth="1"/>
    <col min="5" max="5" width="23.54296875" customWidth="1"/>
    <col min="6" max="6" width="17.1796875" customWidth="1"/>
    <col min="7" max="7" width="17.453125" customWidth="1"/>
    <col min="8" max="8" width="12.81640625" customWidth="1"/>
    <col min="9" max="9" width="14.1796875" customWidth="1"/>
    <col min="13" max="13" width="32.453125" customWidth="1"/>
    <col min="14" max="14" width="11.1796875" customWidth="1"/>
    <col min="18" max="19" width="9.81640625" customWidth="1"/>
    <col min="22" max="22" width="10.81640625" customWidth="1"/>
  </cols>
  <sheetData>
    <row r="2" spans="1:15">
      <c r="A2" s="726" t="s">
        <v>303</v>
      </c>
      <c r="B2" s="726"/>
      <c r="C2" s="726"/>
      <c r="D2" s="726"/>
      <c r="E2" s="726"/>
      <c r="F2" s="726"/>
      <c r="G2" s="726"/>
      <c r="H2" s="726"/>
      <c r="I2" s="726"/>
      <c r="J2" s="726"/>
      <c r="K2" s="726"/>
      <c r="L2" s="726"/>
      <c r="M2" s="726"/>
      <c r="N2" s="726"/>
      <c r="O2" s="219" t="s">
        <v>325</v>
      </c>
    </row>
    <row r="3" spans="1:15" ht="37.5" customHeight="1">
      <c r="A3" s="725" t="s">
        <v>934</v>
      </c>
      <c r="B3" s="725"/>
      <c r="C3" s="725"/>
      <c r="D3" s="725"/>
      <c r="E3" s="725"/>
      <c r="F3" s="725"/>
      <c r="G3" s="725"/>
      <c r="H3" s="725"/>
      <c r="I3" s="725"/>
      <c r="J3" s="725"/>
      <c r="K3" s="725"/>
      <c r="L3" s="725"/>
      <c r="M3" s="725"/>
      <c r="N3" s="725"/>
    </row>
    <row r="4" spans="1:15" ht="43.5" customHeight="1">
      <c r="A4" s="144" t="s">
        <v>44</v>
      </c>
      <c r="B4" s="729" t="s">
        <v>319</v>
      </c>
      <c r="C4" s="729"/>
      <c r="D4" s="729"/>
      <c r="E4" s="729"/>
      <c r="F4" s="145" t="s">
        <v>320</v>
      </c>
      <c r="G4" s="145" t="s">
        <v>321</v>
      </c>
      <c r="H4" s="743" t="s">
        <v>322</v>
      </c>
      <c r="I4" s="743"/>
      <c r="J4" s="743" t="s">
        <v>323</v>
      </c>
      <c r="K4" s="743"/>
      <c r="L4" s="742" t="s">
        <v>731</v>
      </c>
      <c r="M4" s="743"/>
      <c r="N4" s="452" t="s">
        <v>933</v>
      </c>
    </row>
    <row r="5" spans="1:15" ht="15" customHeight="1">
      <c r="A5" s="736" t="s">
        <v>175</v>
      </c>
      <c r="B5" s="736"/>
      <c r="C5" s="736"/>
      <c r="D5" s="736"/>
      <c r="E5" s="736"/>
      <c r="F5" s="736"/>
      <c r="G5" s="736"/>
      <c r="H5" s="736"/>
      <c r="I5" s="736"/>
      <c r="J5" s="179"/>
      <c r="K5" s="179"/>
    </row>
    <row r="6" spans="1:15" ht="44.25" customHeight="1">
      <c r="A6" s="131" t="s">
        <v>44</v>
      </c>
      <c r="B6" s="137" t="s">
        <v>14</v>
      </c>
      <c r="C6" s="735" t="s">
        <v>191</v>
      </c>
      <c r="D6" s="735"/>
      <c r="E6" s="735"/>
      <c r="F6" s="735"/>
      <c r="G6" s="735"/>
      <c r="H6" s="735"/>
      <c r="I6" s="735"/>
      <c r="J6" s="135"/>
      <c r="K6" s="135"/>
    </row>
    <row r="7" spans="1:15" ht="36.75" customHeight="1">
      <c r="A7" s="131" t="s">
        <v>45</v>
      </c>
      <c r="B7" s="137" t="s">
        <v>14</v>
      </c>
      <c r="C7" s="735" t="s">
        <v>358</v>
      </c>
      <c r="D7" s="735"/>
      <c r="E7" s="735"/>
      <c r="F7" s="735"/>
      <c r="G7" s="735"/>
      <c r="H7" s="735"/>
      <c r="I7" s="735"/>
      <c r="J7" s="135"/>
      <c r="K7" s="135"/>
    </row>
    <row r="8" spans="1:15">
      <c r="A8" s="64" t="s">
        <v>46</v>
      </c>
      <c r="B8" s="64" t="s">
        <v>47</v>
      </c>
      <c r="C8" s="64" t="s">
        <v>48</v>
      </c>
      <c r="D8" s="64" t="s">
        <v>53</v>
      </c>
      <c r="E8" s="64" t="s">
        <v>54</v>
      </c>
      <c r="F8" s="64" t="s">
        <v>55</v>
      </c>
      <c r="G8" s="64" t="s">
        <v>56</v>
      </c>
      <c r="H8" s="64" t="s">
        <v>57</v>
      </c>
      <c r="I8" s="64" t="s">
        <v>58</v>
      </c>
      <c r="J8" s="643"/>
      <c r="K8" s="643"/>
    </row>
    <row r="9" spans="1:15" ht="15" customHeight="1">
      <c r="A9" s="602" t="s">
        <v>120</v>
      </c>
      <c r="B9" s="602" t="s">
        <v>116</v>
      </c>
      <c r="C9" s="602" t="s">
        <v>324</v>
      </c>
      <c r="D9" s="602" t="s">
        <v>362</v>
      </c>
      <c r="E9" s="744" t="s">
        <v>364</v>
      </c>
      <c r="F9" s="744"/>
      <c r="G9" s="744"/>
      <c r="H9" s="602" t="s">
        <v>365</v>
      </c>
      <c r="I9" s="602" t="s">
        <v>192</v>
      </c>
      <c r="J9" s="83"/>
    </row>
    <row r="10" spans="1:15" ht="36">
      <c r="A10" s="602"/>
      <c r="B10" s="602"/>
      <c r="C10" s="602"/>
      <c r="D10" s="602"/>
      <c r="E10" s="119" t="s">
        <v>190</v>
      </c>
      <c r="F10" s="119" t="s">
        <v>181</v>
      </c>
      <c r="G10" s="119" t="s">
        <v>184</v>
      </c>
      <c r="H10" s="602"/>
      <c r="I10" s="602"/>
      <c r="J10" s="83"/>
    </row>
    <row r="11" spans="1:15" ht="51" customHeight="1">
      <c r="A11" s="98"/>
      <c r="B11" s="203" t="s">
        <v>12</v>
      </c>
      <c r="C11" s="203" t="s">
        <v>12</v>
      </c>
      <c r="D11" s="203" t="s">
        <v>12</v>
      </c>
      <c r="E11" s="203" t="s">
        <v>12</v>
      </c>
      <c r="F11" s="206" t="s">
        <v>363</v>
      </c>
      <c r="G11" s="166"/>
      <c r="H11" s="166"/>
      <c r="I11" s="326" t="s">
        <v>193</v>
      </c>
      <c r="J11" s="102"/>
    </row>
    <row r="12" spans="1:15" ht="27.75" customHeight="1">
      <c r="A12" s="682" t="s">
        <v>460</v>
      </c>
      <c r="B12" s="682"/>
      <c r="C12" s="682"/>
      <c r="D12" s="682"/>
      <c r="E12" s="682"/>
      <c r="F12" s="682"/>
      <c r="G12" s="100" t="s">
        <v>75</v>
      </c>
      <c r="H12" s="122" t="s">
        <v>253</v>
      </c>
      <c r="I12" s="109" t="s">
        <v>43</v>
      </c>
    </row>
    <row r="13" spans="1:15" ht="22.5" customHeight="1">
      <c r="B13" s="112" t="s">
        <v>116</v>
      </c>
      <c r="C13" s="112" t="s">
        <v>179</v>
      </c>
      <c r="D13" s="116" t="s">
        <v>180</v>
      </c>
      <c r="E13" s="116" t="s">
        <v>182</v>
      </c>
      <c r="H13" s="116" t="s">
        <v>185</v>
      </c>
    </row>
    <row r="14" spans="1:15" ht="38.25" customHeight="1">
      <c r="B14" s="115" t="s">
        <v>145</v>
      </c>
      <c r="C14" s="113" t="s">
        <v>178</v>
      </c>
      <c r="D14" s="129" t="s">
        <v>413</v>
      </c>
      <c r="E14" s="129" t="s">
        <v>183</v>
      </c>
      <c r="H14" s="129" t="s">
        <v>412</v>
      </c>
    </row>
    <row r="15" spans="1:15" ht="38.25" customHeight="1">
      <c r="B15" s="129" t="s">
        <v>148</v>
      </c>
      <c r="C15" s="127"/>
      <c r="D15" s="129" t="s">
        <v>414</v>
      </c>
      <c r="E15" s="129" t="s">
        <v>189</v>
      </c>
      <c r="H15" s="130" t="s">
        <v>186</v>
      </c>
    </row>
    <row r="16" spans="1:15" ht="34.5" customHeight="1">
      <c r="B16" s="129" t="s">
        <v>359</v>
      </c>
      <c r="C16" s="127"/>
      <c r="D16" s="129" t="s">
        <v>360</v>
      </c>
      <c r="E16" s="129" t="s">
        <v>188</v>
      </c>
      <c r="H16" s="129" t="s">
        <v>187</v>
      </c>
    </row>
    <row r="17" spans="1:12" ht="22.5" customHeight="1">
      <c r="B17" s="128"/>
      <c r="C17" s="127"/>
      <c r="D17" s="129" t="s">
        <v>361</v>
      </c>
      <c r="E17" s="129" t="s">
        <v>187</v>
      </c>
      <c r="I17" s="128"/>
    </row>
    <row r="18" spans="1:12" ht="22.5" customHeight="1">
      <c r="B18" s="128"/>
      <c r="C18" s="127"/>
      <c r="D18" s="129" t="s">
        <v>353</v>
      </c>
      <c r="E18" s="129" t="s">
        <v>353</v>
      </c>
    </row>
    <row r="19" spans="1:12" ht="22.5" customHeight="1">
      <c r="B19" s="128"/>
      <c r="C19" s="127"/>
      <c r="D19" s="128"/>
      <c r="E19" s="128"/>
    </row>
    <row r="21" spans="1:12" ht="15" customHeight="1">
      <c r="A21" s="635" t="s">
        <v>176</v>
      </c>
      <c r="B21" s="635"/>
      <c r="C21" s="635"/>
      <c r="D21" s="635"/>
      <c r="E21" s="635"/>
      <c r="F21" s="635"/>
      <c r="G21" s="635"/>
      <c r="H21" s="136"/>
      <c r="I21" s="136"/>
      <c r="J21" s="136"/>
      <c r="K21" s="136"/>
      <c r="L21" s="136"/>
    </row>
    <row r="22" spans="1:12" ht="23.25" customHeight="1">
      <c r="A22" s="131" t="s">
        <v>44</v>
      </c>
      <c r="B22" s="137" t="s">
        <v>14</v>
      </c>
      <c r="C22" s="735" t="s">
        <v>194</v>
      </c>
      <c r="D22" s="735"/>
      <c r="E22" s="735"/>
      <c r="F22" s="735"/>
      <c r="G22" s="735"/>
      <c r="H22" s="135"/>
      <c r="I22" s="135"/>
      <c r="J22" s="135"/>
      <c r="K22" s="135"/>
    </row>
    <row r="23" spans="1:12">
      <c r="A23" s="727" t="s">
        <v>45</v>
      </c>
      <c r="B23" s="727"/>
      <c r="C23" s="727" t="s">
        <v>46</v>
      </c>
      <c r="D23" s="727"/>
      <c r="E23" s="727"/>
      <c r="F23" s="241" t="s">
        <v>47</v>
      </c>
      <c r="G23" s="327" t="s">
        <v>48</v>
      </c>
      <c r="H23" s="133"/>
      <c r="I23" s="133"/>
      <c r="J23" s="643"/>
      <c r="K23" s="643"/>
      <c r="L23" s="643"/>
    </row>
    <row r="24" spans="1:12" ht="15" customHeight="1">
      <c r="A24" s="611" t="s">
        <v>67</v>
      </c>
      <c r="B24" s="611"/>
      <c r="C24" s="611" t="s">
        <v>326</v>
      </c>
      <c r="D24" s="611"/>
      <c r="E24" s="611"/>
      <c r="F24" s="611" t="s">
        <v>327</v>
      </c>
      <c r="G24" s="681" t="s">
        <v>758</v>
      </c>
      <c r="H24" s="133"/>
      <c r="I24" s="133"/>
      <c r="J24" s="134"/>
      <c r="K24" s="134"/>
      <c r="L24" s="134"/>
    </row>
    <row r="25" spans="1:12" ht="45" customHeight="1">
      <c r="A25" s="611"/>
      <c r="B25" s="611"/>
      <c r="C25" s="611"/>
      <c r="D25" s="611"/>
      <c r="E25" s="611"/>
      <c r="F25" s="611"/>
      <c r="G25" s="681"/>
      <c r="H25" s="54"/>
      <c r="I25" s="54"/>
      <c r="J25" s="697"/>
      <c r="K25" s="697"/>
      <c r="L25" s="697"/>
    </row>
    <row r="26" spans="1:12">
      <c r="A26" s="679"/>
      <c r="B26" s="679"/>
      <c r="C26" s="680" t="s">
        <v>12</v>
      </c>
      <c r="D26" s="680"/>
      <c r="E26" s="680"/>
      <c r="F26" s="260" t="s">
        <v>12</v>
      </c>
      <c r="G26" s="260" t="s">
        <v>12</v>
      </c>
    </row>
    <row r="27" spans="1:12">
      <c r="A27" s="4"/>
      <c r="B27" s="4"/>
      <c r="C27" s="196"/>
      <c r="D27" s="196"/>
      <c r="E27" s="4"/>
      <c r="F27" s="213" t="s">
        <v>202</v>
      </c>
      <c r="G27" s="268" t="s">
        <v>43</v>
      </c>
    </row>
    <row r="28" spans="1:12" ht="12.75" customHeight="1">
      <c r="A28" s="4"/>
      <c r="B28" s="4"/>
      <c r="C28" s="4"/>
      <c r="D28" s="4"/>
      <c r="E28" s="4"/>
      <c r="F28" s="4"/>
      <c r="G28" s="4"/>
    </row>
    <row r="29" spans="1:12" ht="26">
      <c r="A29" s="4"/>
      <c r="B29" s="4"/>
      <c r="C29" s="675" t="s">
        <v>150</v>
      </c>
      <c r="D29" s="676"/>
      <c r="E29" s="677"/>
      <c r="F29" s="263" t="s">
        <v>200</v>
      </c>
      <c r="G29" s="263" t="s">
        <v>533</v>
      </c>
    </row>
    <row r="30" spans="1:12" ht="25.5" customHeight="1">
      <c r="A30" s="4"/>
      <c r="B30" s="4"/>
      <c r="C30" s="612" t="s">
        <v>196</v>
      </c>
      <c r="D30" s="612"/>
      <c r="E30" s="612"/>
      <c r="F30" s="173" t="s">
        <v>183</v>
      </c>
      <c r="G30" s="267" t="s">
        <v>534</v>
      </c>
    </row>
    <row r="31" spans="1:12" ht="42.75" customHeight="1">
      <c r="A31" s="4"/>
      <c r="B31" s="4"/>
      <c r="C31" s="612" t="s">
        <v>195</v>
      </c>
      <c r="D31" s="612"/>
      <c r="E31" s="612"/>
      <c r="F31" s="269" t="s">
        <v>198</v>
      </c>
      <c r="G31" s="267" t="s">
        <v>535</v>
      </c>
    </row>
    <row r="32" spans="1:12" ht="37.5" customHeight="1">
      <c r="A32" s="4"/>
      <c r="B32" s="4"/>
      <c r="C32" s="612" t="s">
        <v>415</v>
      </c>
      <c r="D32" s="612"/>
      <c r="E32" s="612"/>
      <c r="F32" s="173" t="s">
        <v>199</v>
      </c>
      <c r="G32" s="267" t="s">
        <v>759</v>
      </c>
    </row>
    <row r="33" spans="1:12" ht="26.25" customHeight="1">
      <c r="A33" s="4"/>
      <c r="B33" s="4"/>
      <c r="C33" s="612" t="s">
        <v>149</v>
      </c>
      <c r="D33" s="612"/>
      <c r="E33" s="612"/>
      <c r="F33" s="173" t="s">
        <v>201</v>
      </c>
      <c r="G33" s="165"/>
    </row>
    <row r="34" spans="1:12" ht="29.15" customHeight="1">
      <c r="A34" s="4"/>
      <c r="B34" s="4"/>
      <c r="C34" s="612" t="s">
        <v>197</v>
      </c>
      <c r="D34" s="612"/>
      <c r="E34" s="612"/>
      <c r="F34" s="267" t="s">
        <v>750</v>
      </c>
      <c r="G34" s="165"/>
    </row>
    <row r="37" spans="1:12" ht="15" customHeight="1">
      <c r="A37" s="635" t="s">
        <v>109</v>
      </c>
      <c r="B37" s="635"/>
      <c r="C37" s="635"/>
      <c r="D37" s="635"/>
      <c r="E37" s="635"/>
      <c r="F37" s="635"/>
      <c r="G37" s="635"/>
    </row>
    <row r="38" spans="1:12" ht="40.5" customHeight="1">
      <c r="A38" s="111" t="s">
        <v>44</v>
      </c>
      <c r="B38" s="740" t="s">
        <v>532</v>
      </c>
      <c r="C38" s="740"/>
      <c r="D38" s="740"/>
      <c r="E38" s="740"/>
      <c r="F38" s="740"/>
      <c r="G38" s="740"/>
    </row>
    <row r="39" spans="1:12">
      <c r="A39" s="111" t="s">
        <v>45</v>
      </c>
      <c r="B39" s="139" t="s">
        <v>73</v>
      </c>
      <c r="C39" s="741" t="s">
        <v>204</v>
      </c>
      <c r="D39" s="741"/>
      <c r="E39" s="741"/>
      <c r="F39" s="741"/>
      <c r="G39" s="741"/>
    </row>
    <row r="40" spans="1:12">
      <c r="A40" s="111" t="s">
        <v>46</v>
      </c>
      <c r="B40" s="139" t="s">
        <v>14</v>
      </c>
      <c r="C40" s="741" t="s">
        <v>203</v>
      </c>
      <c r="D40" s="741"/>
      <c r="E40" s="741"/>
      <c r="F40" s="741"/>
      <c r="G40" s="741"/>
    </row>
    <row r="41" spans="1:12">
      <c r="A41" s="138"/>
      <c r="B41" s="138"/>
      <c r="C41" s="138"/>
      <c r="D41" s="138"/>
      <c r="E41" s="138"/>
      <c r="F41" s="138"/>
      <c r="G41" s="138"/>
    </row>
    <row r="42" spans="1:12">
      <c r="A42" s="138"/>
      <c r="B42" s="138"/>
      <c r="C42" s="138"/>
      <c r="D42" s="138"/>
      <c r="E42" s="138"/>
      <c r="F42" s="138"/>
      <c r="G42" s="138"/>
    </row>
    <row r="46" spans="1:12" ht="15" customHeight="1">
      <c r="A46" s="635" t="s">
        <v>177</v>
      </c>
      <c r="B46" s="635"/>
      <c r="C46" s="635"/>
      <c r="D46" s="635"/>
      <c r="E46" s="635"/>
      <c r="F46" s="635"/>
      <c r="G46" s="635"/>
      <c r="H46" s="635"/>
      <c r="I46" s="635"/>
      <c r="J46" s="635"/>
      <c r="K46" s="136"/>
      <c r="L46" s="136"/>
    </row>
    <row r="47" spans="1:12" ht="23.25" customHeight="1">
      <c r="A47" s="131" t="s">
        <v>44</v>
      </c>
      <c r="B47" s="137" t="s">
        <v>14</v>
      </c>
      <c r="C47" s="735" t="s">
        <v>205</v>
      </c>
      <c r="D47" s="735"/>
      <c r="E47" s="735"/>
      <c r="F47" s="735"/>
      <c r="G47" s="735"/>
      <c r="H47" s="735"/>
      <c r="I47" s="735"/>
      <c r="J47" s="735"/>
      <c r="K47" s="135"/>
    </row>
    <row r="48" spans="1:12">
      <c r="A48" s="720" t="s">
        <v>45</v>
      </c>
      <c r="B48" s="720"/>
      <c r="C48" s="720"/>
      <c r="D48" s="720"/>
      <c r="E48" s="720"/>
      <c r="F48" s="720"/>
      <c r="G48" s="720"/>
      <c r="H48" s="720"/>
      <c r="I48" s="720"/>
      <c r="J48" s="720"/>
      <c r="K48" s="92"/>
    </row>
    <row r="49" spans="1:20" ht="15" customHeight="1">
      <c r="A49" s="602" t="s">
        <v>330</v>
      </c>
      <c r="B49" s="602"/>
      <c r="C49" s="602"/>
      <c r="D49" s="602"/>
      <c r="E49" s="602"/>
      <c r="F49" s="602"/>
      <c r="G49" s="602"/>
      <c r="H49" s="602"/>
      <c r="I49" s="602"/>
      <c r="J49" s="602"/>
    </row>
    <row r="50" spans="1:20" ht="28.5" customHeight="1">
      <c r="A50" s="602"/>
      <c r="B50" s="602"/>
      <c r="C50" s="602"/>
      <c r="D50" s="602"/>
      <c r="E50" s="602"/>
      <c r="F50" s="602"/>
      <c r="G50" s="602"/>
      <c r="H50" s="602"/>
      <c r="I50" s="602"/>
      <c r="J50" s="602"/>
    </row>
    <row r="51" spans="1:20" ht="13.5" customHeight="1">
      <c r="A51" s="617" t="s">
        <v>12</v>
      </c>
      <c r="B51" s="617"/>
      <c r="C51" s="617"/>
      <c r="D51" s="617"/>
      <c r="E51" s="617"/>
      <c r="F51" s="617"/>
      <c r="G51" s="617"/>
      <c r="H51" s="617"/>
      <c r="I51" s="617"/>
      <c r="J51" s="617"/>
    </row>
    <row r="52" spans="1:20" ht="18" customHeight="1">
      <c r="A52" s="176" t="s">
        <v>331</v>
      </c>
      <c r="B52" s="234"/>
      <c r="C52" s="234"/>
      <c r="D52" s="234"/>
      <c r="E52" s="234"/>
      <c r="F52" s="234"/>
      <c r="G52" s="234"/>
      <c r="H52" s="234"/>
      <c r="I52" s="234"/>
      <c r="J52" s="234"/>
      <c r="K52" s="199"/>
      <c r="L52" s="199"/>
    </row>
    <row r="53" spans="1:20">
      <c r="D53" s="6"/>
      <c r="E53" s="6"/>
      <c r="F53" s="6"/>
      <c r="I53" s="24"/>
      <c r="J53" s="24"/>
      <c r="K53" s="92"/>
    </row>
    <row r="54" spans="1:20" ht="15" customHeight="1">
      <c r="A54" s="733" t="s">
        <v>210</v>
      </c>
      <c r="B54" s="733"/>
      <c r="C54" s="733"/>
      <c r="D54" s="733"/>
      <c r="E54" s="733"/>
      <c r="F54" s="733"/>
      <c r="G54" s="733"/>
      <c r="H54" s="733"/>
      <c r="I54" s="733"/>
      <c r="J54" s="733"/>
      <c r="K54" s="92"/>
    </row>
    <row r="55" spans="1:20">
      <c r="A55" s="732" t="s">
        <v>329</v>
      </c>
      <c r="B55" s="732"/>
      <c r="C55" s="732"/>
      <c r="D55" s="732"/>
      <c r="E55" s="732"/>
      <c r="F55" s="732"/>
      <c r="G55" s="732"/>
      <c r="H55" s="732"/>
      <c r="I55" s="732"/>
      <c r="J55" s="732"/>
      <c r="K55" s="35"/>
      <c r="L55" s="35"/>
    </row>
    <row r="56" spans="1:20">
      <c r="A56" s="732" t="s">
        <v>328</v>
      </c>
      <c r="B56" s="732"/>
      <c r="C56" s="732"/>
      <c r="D56" s="732"/>
      <c r="E56" s="732"/>
      <c r="F56" s="732"/>
      <c r="G56" s="732"/>
      <c r="H56" s="732"/>
      <c r="I56" s="732"/>
      <c r="J56" s="732"/>
      <c r="K56" s="92"/>
    </row>
    <row r="57" spans="1:20" ht="15" customHeight="1">
      <c r="A57" s="672" t="s">
        <v>206</v>
      </c>
      <c r="B57" s="672"/>
      <c r="C57" s="672"/>
      <c r="D57" s="672"/>
      <c r="E57" s="672"/>
      <c r="F57" s="672"/>
      <c r="G57" s="672"/>
      <c r="H57" s="672"/>
      <c r="I57" s="672"/>
      <c r="J57" s="672"/>
      <c r="K57" s="92"/>
    </row>
    <row r="58" spans="1:20" ht="17.5" customHeight="1">
      <c r="A58" s="657" t="s">
        <v>536</v>
      </c>
      <c r="B58" s="657"/>
      <c r="C58" s="657"/>
      <c r="D58" s="657"/>
      <c r="E58" s="657"/>
      <c r="F58" s="657"/>
      <c r="G58" s="657"/>
      <c r="H58" s="657"/>
      <c r="I58" s="657"/>
      <c r="J58" s="657"/>
    </row>
    <row r="61" spans="1:20">
      <c r="A61" s="734" t="s">
        <v>634</v>
      </c>
      <c r="B61" s="734"/>
      <c r="C61" s="734"/>
      <c r="I61" s="41"/>
      <c r="J61" s="41"/>
      <c r="K61" s="41"/>
      <c r="L61" s="41"/>
      <c r="M61" s="49"/>
    </row>
    <row r="62" spans="1:20" s="143" customFormat="1" ht="16.5" customHeight="1">
      <c r="A62" s="605" t="s">
        <v>757</v>
      </c>
      <c r="B62" s="605"/>
      <c r="C62" s="605"/>
      <c r="D62" s="605"/>
      <c r="E62" s="605"/>
      <c r="F62" s="605"/>
      <c r="G62" s="605"/>
      <c r="H62" s="605"/>
      <c r="I62" s="605"/>
      <c r="J62" s="605"/>
      <c r="K62" s="605"/>
      <c r="L62"/>
      <c r="M62"/>
      <c r="N62"/>
      <c r="O62"/>
      <c r="P62"/>
      <c r="Q62"/>
    </row>
    <row r="63" spans="1:20" ht="45.75" customHeight="1">
      <c r="A63" s="144" t="s">
        <v>44</v>
      </c>
      <c r="B63" s="729" t="s">
        <v>504</v>
      </c>
      <c r="C63" s="729"/>
      <c r="D63" s="729"/>
      <c r="E63" s="230" t="s">
        <v>503</v>
      </c>
      <c r="F63" s="312" t="s">
        <v>351</v>
      </c>
      <c r="G63" s="730" t="s">
        <v>506</v>
      </c>
      <c r="H63" s="731"/>
      <c r="I63" s="728" t="s">
        <v>507</v>
      </c>
      <c r="J63" s="728"/>
      <c r="K63" s="728"/>
      <c r="L63" s="164"/>
      <c r="M63" s="164"/>
      <c r="N63" s="164"/>
      <c r="O63" s="199"/>
      <c r="P63" s="199"/>
      <c r="Q63" s="199"/>
      <c r="R63" s="199"/>
      <c r="S63" s="199"/>
      <c r="T63" s="199"/>
    </row>
    <row r="64" spans="1:20" ht="16.5">
      <c r="A64" s="147" t="s">
        <v>505</v>
      </c>
      <c r="B64" s="89"/>
      <c r="C64" s="89"/>
      <c r="D64" s="89"/>
      <c r="E64" s="146"/>
      <c r="F64" s="146"/>
      <c r="G64" s="146"/>
      <c r="H64" s="146"/>
      <c r="I64" s="84"/>
      <c r="J64" s="84"/>
      <c r="K64" s="84"/>
      <c r="L64" s="369"/>
      <c r="M64" s="199"/>
      <c r="N64" s="164"/>
      <c r="O64" s="199"/>
      <c r="P64" s="199"/>
      <c r="Q64" s="199"/>
      <c r="R64" s="199"/>
      <c r="S64" s="199"/>
      <c r="T64" s="199"/>
    </row>
    <row r="65" spans="1:20" ht="25.5" customHeight="1">
      <c r="A65" s="642" t="s">
        <v>537</v>
      </c>
      <c r="B65" s="642"/>
      <c r="C65" s="642"/>
      <c r="D65" s="642"/>
      <c r="E65" s="642"/>
      <c r="F65" s="642"/>
      <c r="G65" s="642"/>
      <c r="H65" s="642"/>
      <c r="I65" s="642"/>
      <c r="J65" s="642"/>
      <c r="L65" s="199"/>
      <c r="M65" s="199"/>
      <c r="N65" s="199"/>
      <c r="O65" s="199"/>
      <c r="P65" s="199"/>
      <c r="Q65" s="199"/>
      <c r="R65" s="199"/>
      <c r="S65" s="199"/>
      <c r="T65" s="199"/>
    </row>
    <row r="66" spans="1:20">
      <c r="A66" s="64" t="s">
        <v>45</v>
      </c>
      <c r="B66" s="117" t="s">
        <v>46</v>
      </c>
      <c r="C66" s="64" t="s">
        <v>47</v>
      </c>
      <c r="D66" s="64" t="s">
        <v>48</v>
      </c>
      <c r="E66" s="64" t="s">
        <v>53</v>
      </c>
      <c r="F66" s="64" t="s">
        <v>54</v>
      </c>
      <c r="G66" s="64" t="s">
        <v>55</v>
      </c>
      <c r="H66" s="64" t="s">
        <v>56</v>
      </c>
      <c r="I66" s="643"/>
      <c r="J66" s="643"/>
      <c r="L66" s="199"/>
      <c r="M66" s="199"/>
      <c r="N66" s="199"/>
      <c r="O66" s="199"/>
      <c r="P66" s="199"/>
      <c r="Q66" s="199"/>
      <c r="R66" s="199"/>
      <c r="S66" s="199"/>
      <c r="T66" s="199"/>
    </row>
    <row r="67" spans="1:20" ht="15" customHeight="1">
      <c r="A67" s="692" t="s">
        <v>120</v>
      </c>
      <c r="B67" s="694" t="s">
        <v>538</v>
      </c>
      <c r="C67" s="611" t="s">
        <v>539</v>
      </c>
      <c r="D67" s="611" t="s">
        <v>540</v>
      </c>
      <c r="E67" s="611" t="s">
        <v>541</v>
      </c>
      <c r="F67" s="738" t="s">
        <v>542</v>
      </c>
      <c r="G67" s="739"/>
      <c r="H67" s="611" t="s">
        <v>192</v>
      </c>
      <c r="J67" s="83"/>
      <c r="L67" s="199"/>
      <c r="M67" s="199"/>
      <c r="N67" s="199"/>
      <c r="O67" s="199"/>
      <c r="P67" s="199"/>
      <c r="Q67" s="199"/>
      <c r="R67" s="199"/>
      <c r="S67" s="199"/>
      <c r="T67" s="199"/>
    </row>
    <row r="68" spans="1:20" ht="46.5" customHeight="1">
      <c r="A68" s="693"/>
      <c r="B68" s="695"/>
      <c r="C68" s="611"/>
      <c r="D68" s="611"/>
      <c r="E68" s="611"/>
      <c r="F68" s="240" t="s">
        <v>235</v>
      </c>
      <c r="G68" s="240" t="s">
        <v>236</v>
      </c>
      <c r="H68" s="611"/>
      <c r="I68" s="83"/>
      <c r="L68" s="199"/>
      <c r="M68" s="199"/>
      <c r="N68" s="199"/>
      <c r="O68" s="199"/>
      <c r="P68" s="199"/>
      <c r="Q68" s="199"/>
      <c r="R68" s="199"/>
      <c r="S68" s="199"/>
      <c r="T68" s="199"/>
    </row>
    <row r="69" spans="1:20" ht="19.5" customHeight="1">
      <c r="A69" s="250"/>
      <c r="B69" s="251" t="s">
        <v>12</v>
      </c>
      <c r="C69" s="251" t="s">
        <v>12</v>
      </c>
      <c r="D69" s="251" t="s">
        <v>12</v>
      </c>
      <c r="E69" s="251" t="s">
        <v>12</v>
      </c>
      <c r="F69" s="253" t="s">
        <v>234</v>
      </c>
      <c r="G69" s="254"/>
      <c r="H69" s="255" t="s">
        <v>193</v>
      </c>
      <c r="I69" s="66"/>
      <c r="L69" s="199"/>
      <c r="M69" s="199"/>
      <c r="N69" s="199"/>
      <c r="O69" s="199"/>
      <c r="P69" s="199"/>
      <c r="Q69" s="199"/>
      <c r="R69" s="199"/>
      <c r="S69" s="199"/>
      <c r="T69" s="199"/>
    </row>
    <row r="70" spans="1:20" ht="15" customHeight="1">
      <c r="A70" s="4"/>
      <c r="B70" s="4"/>
      <c r="C70" s="4"/>
      <c r="D70" s="4"/>
      <c r="E70" s="4"/>
      <c r="F70" s="6"/>
      <c r="G70" s="122" t="s">
        <v>508</v>
      </c>
      <c r="H70" s="109" t="s">
        <v>43</v>
      </c>
      <c r="L70" s="199"/>
      <c r="M70" s="199"/>
      <c r="N70" s="199"/>
      <c r="O70" s="199"/>
      <c r="P70" s="199"/>
      <c r="Q70" s="199"/>
      <c r="R70" s="199"/>
      <c r="S70" s="199"/>
      <c r="T70" s="199"/>
    </row>
    <row r="71" spans="1:20" ht="22.5" customHeight="1">
      <c r="A71" s="4"/>
      <c r="B71" s="245" t="s">
        <v>510</v>
      </c>
      <c r="C71" s="245" t="s">
        <v>179</v>
      </c>
      <c r="D71" s="246" t="s">
        <v>515</v>
      </c>
      <c r="E71" s="246" t="s">
        <v>228</v>
      </c>
      <c r="F71" s="4"/>
      <c r="G71" s="4"/>
      <c r="H71" s="4"/>
      <c r="L71" s="199"/>
      <c r="M71" s="199"/>
      <c r="N71" s="199"/>
      <c r="O71" s="199"/>
      <c r="P71" s="199"/>
      <c r="Q71" s="199"/>
      <c r="R71" s="199"/>
      <c r="S71" s="199"/>
      <c r="T71" s="199"/>
    </row>
    <row r="72" spans="1:20" ht="36" customHeight="1">
      <c r="A72" s="4"/>
      <c r="B72" s="173" t="s">
        <v>543</v>
      </c>
      <c r="C72" s="248" t="s">
        <v>544</v>
      </c>
      <c r="D72" s="173" t="s">
        <v>545</v>
      </c>
      <c r="E72" s="173" t="s">
        <v>534</v>
      </c>
      <c r="F72" s="4"/>
      <c r="G72" s="4"/>
      <c r="H72" s="4"/>
      <c r="L72" s="199"/>
      <c r="M72" s="199"/>
      <c r="N72" s="199"/>
      <c r="O72" s="199"/>
      <c r="P72" s="199"/>
      <c r="Q72" s="199"/>
      <c r="R72" s="199"/>
      <c r="S72" s="199"/>
      <c r="T72" s="199"/>
    </row>
    <row r="73" spans="1:20" ht="41">
      <c r="A73" s="4"/>
      <c r="B73" s="4"/>
      <c r="C73" s="4"/>
      <c r="D73" s="4"/>
      <c r="E73" s="267" t="s">
        <v>666</v>
      </c>
      <c r="F73" s="4"/>
      <c r="G73" s="4"/>
      <c r="H73" s="4"/>
      <c r="L73" s="199"/>
      <c r="M73" s="199"/>
      <c r="N73" s="199"/>
      <c r="O73" s="199"/>
      <c r="P73" s="199"/>
      <c r="Q73" s="199"/>
      <c r="R73" s="199"/>
      <c r="S73" s="199"/>
      <c r="T73" s="199"/>
    </row>
    <row r="74" spans="1:20">
      <c r="A74" s="4"/>
      <c r="B74" s="4"/>
      <c r="C74" s="4"/>
      <c r="D74" s="4"/>
      <c r="E74" s="4"/>
      <c r="F74" s="4"/>
      <c r="G74" s="4"/>
      <c r="H74" s="4"/>
    </row>
    <row r="75" spans="1:20">
      <c r="A75" s="593" t="s">
        <v>929</v>
      </c>
      <c r="B75" s="593"/>
      <c r="C75" s="593"/>
      <c r="D75" s="593"/>
      <c r="E75" s="593"/>
      <c r="F75" s="593"/>
      <c r="G75" s="593"/>
      <c r="H75" s="593"/>
      <c r="I75" s="593"/>
      <c r="J75" s="593"/>
    </row>
    <row r="76" spans="1:20">
      <c r="A76" s="590" t="s">
        <v>927</v>
      </c>
      <c r="B76" s="590"/>
      <c r="C76" s="592" t="s">
        <v>928</v>
      </c>
      <c r="D76" s="592"/>
      <c r="E76" s="592"/>
      <c r="F76" s="592"/>
      <c r="G76" s="592"/>
      <c r="H76" s="592"/>
      <c r="I76" s="592"/>
      <c r="J76" s="592"/>
    </row>
    <row r="77" spans="1:20">
      <c r="A77" s="449"/>
      <c r="B77" s="446" t="s">
        <v>76</v>
      </c>
      <c r="C77" s="446" t="s">
        <v>295</v>
      </c>
      <c r="D77" s="591" t="s">
        <v>655</v>
      </c>
      <c r="E77" s="591"/>
      <c r="F77" s="591"/>
      <c r="G77" s="591"/>
      <c r="H77" s="591"/>
      <c r="I77" s="591"/>
      <c r="J77" s="591"/>
    </row>
    <row r="78" spans="1:20" ht="70.5" customHeight="1">
      <c r="A78" s="446" t="s">
        <v>44</v>
      </c>
      <c r="B78" s="447" t="s">
        <v>14</v>
      </c>
      <c r="C78" s="447" t="s">
        <v>14</v>
      </c>
      <c r="D78" s="589" t="s">
        <v>926</v>
      </c>
      <c r="E78" s="589"/>
      <c r="F78" s="589"/>
      <c r="G78" s="589"/>
      <c r="H78" s="589"/>
      <c r="I78" s="589"/>
      <c r="J78" s="589"/>
    </row>
    <row r="79" spans="1:20" ht="97.5" customHeight="1">
      <c r="A79" s="446" t="s">
        <v>45</v>
      </c>
      <c r="B79" s="447" t="s">
        <v>14</v>
      </c>
      <c r="C79" s="447" t="s">
        <v>14</v>
      </c>
      <c r="D79" s="589" t="s">
        <v>931</v>
      </c>
      <c r="E79" s="589"/>
      <c r="F79" s="589"/>
      <c r="G79" s="589"/>
      <c r="H79" s="589"/>
      <c r="I79" s="589"/>
      <c r="J79" s="589"/>
    </row>
    <row r="80" spans="1:20">
      <c r="A80" s="385" t="s">
        <v>930</v>
      </c>
      <c r="B80" s="385"/>
      <c r="C80" s="385"/>
      <c r="D80" s="448"/>
    </row>
    <row r="81" spans="6:7">
      <c r="F81" s="737"/>
      <c r="G81" s="737"/>
    </row>
  </sheetData>
  <mergeCells count="71">
    <mergeCell ref="A46:J46"/>
    <mergeCell ref="C40:G40"/>
    <mergeCell ref="A48:J48"/>
    <mergeCell ref="C47:J47"/>
    <mergeCell ref="L4:M4"/>
    <mergeCell ref="J4:K4"/>
    <mergeCell ref="B4:E4"/>
    <mergeCell ref="H4:I4"/>
    <mergeCell ref="J25:L25"/>
    <mergeCell ref="J23:L23"/>
    <mergeCell ref="H9:H10"/>
    <mergeCell ref="C9:C10"/>
    <mergeCell ref="J8:K8"/>
    <mergeCell ref="E9:G9"/>
    <mergeCell ref="I9:I10"/>
    <mergeCell ref="C7:I7"/>
    <mergeCell ref="F81:G81"/>
    <mergeCell ref="A24:B25"/>
    <mergeCell ref="C24:E25"/>
    <mergeCell ref="C26:E26"/>
    <mergeCell ref="C29:E29"/>
    <mergeCell ref="C30:E30"/>
    <mergeCell ref="A67:A68"/>
    <mergeCell ref="B67:B68"/>
    <mergeCell ref="C67:C68"/>
    <mergeCell ref="D67:D68"/>
    <mergeCell ref="E67:E68"/>
    <mergeCell ref="F67:G67"/>
    <mergeCell ref="C31:E31"/>
    <mergeCell ref="A62:K62"/>
    <mergeCell ref="B38:G38"/>
    <mergeCell ref="C39:G39"/>
    <mergeCell ref="C6:I6"/>
    <mergeCell ref="A5:I5"/>
    <mergeCell ref="A12:F12"/>
    <mergeCell ref="D9:D10"/>
    <mergeCell ref="F24:F25"/>
    <mergeCell ref="C22:G22"/>
    <mergeCell ref="C23:E23"/>
    <mergeCell ref="I66:J66"/>
    <mergeCell ref="I63:K63"/>
    <mergeCell ref="C32:E32"/>
    <mergeCell ref="C33:E33"/>
    <mergeCell ref="C34:E34"/>
    <mergeCell ref="A37:G37"/>
    <mergeCell ref="B63:D63"/>
    <mergeCell ref="G63:H63"/>
    <mergeCell ref="A56:J56"/>
    <mergeCell ref="A54:J54"/>
    <mergeCell ref="A51:J51"/>
    <mergeCell ref="A49:J50"/>
    <mergeCell ref="A58:J58"/>
    <mergeCell ref="A61:C61"/>
    <mergeCell ref="A55:J55"/>
    <mergeCell ref="A57:J57"/>
    <mergeCell ref="D77:J77"/>
    <mergeCell ref="D78:J78"/>
    <mergeCell ref="D79:J79"/>
    <mergeCell ref="A3:N3"/>
    <mergeCell ref="A2:N2"/>
    <mergeCell ref="A75:J75"/>
    <mergeCell ref="A76:B76"/>
    <mergeCell ref="C76:J76"/>
    <mergeCell ref="H67:H68"/>
    <mergeCell ref="A21:G21"/>
    <mergeCell ref="G24:G25"/>
    <mergeCell ref="A9:A10"/>
    <mergeCell ref="B9:B10"/>
    <mergeCell ref="A65:J65"/>
    <mergeCell ref="A23:B23"/>
    <mergeCell ref="A26:B26"/>
  </mergeCell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60"/>
  <sheetViews>
    <sheetView zoomScale="60" zoomScaleNormal="60" workbookViewId="0">
      <selection activeCell="J12" sqref="J12"/>
    </sheetView>
  </sheetViews>
  <sheetFormatPr defaultColWidth="9.1796875" defaultRowHeight="14.5"/>
  <cols>
    <col min="4" max="4" width="10.1796875" customWidth="1"/>
    <col min="5" max="5" width="20.1796875" customWidth="1"/>
    <col min="6" max="6" width="19.54296875" customWidth="1"/>
    <col min="7" max="7" width="20.54296875" customWidth="1"/>
    <col min="8" max="8" width="16.1796875" customWidth="1"/>
    <col min="9" max="9" width="26.1796875" customWidth="1"/>
    <col min="10" max="10" width="24.81640625" customWidth="1"/>
    <col min="11" max="11" width="14.54296875" customWidth="1"/>
    <col min="12" max="12" width="19.1796875" customWidth="1"/>
    <col min="13" max="13" width="14.54296875" customWidth="1"/>
    <col min="14" max="14" width="22.453125" customWidth="1"/>
    <col min="15" max="15" width="15.1796875" customWidth="1"/>
    <col min="16" max="16" width="45.453125" customWidth="1"/>
    <col min="17" max="17" width="23.81640625" customWidth="1"/>
    <col min="18" max="18" width="9.1796875" customWidth="1"/>
    <col min="19" max="20" width="8.81640625" customWidth="1"/>
  </cols>
  <sheetData>
    <row r="1" spans="1:18">
      <c r="E1" s="20"/>
      <c r="F1" s="20"/>
      <c r="G1" t="s">
        <v>59</v>
      </c>
      <c r="H1" s="21"/>
      <c r="I1" s="21"/>
      <c r="J1" t="s">
        <v>60</v>
      </c>
      <c r="K1" s="82"/>
      <c r="L1" t="s">
        <v>61</v>
      </c>
      <c r="M1" s="22"/>
      <c r="N1" t="s">
        <v>62</v>
      </c>
    </row>
    <row r="3" spans="1:18">
      <c r="A3" s="726" t="s">
        <v>300</v>
      </c>
      <c r="B3" s="726"/>
      <c r="C3" s="726"/>
      <c r="D3" s="726"/>
      <c r="E3" s="726"/>
      <c r="F3" s="726"/>
      <c r="G3" s="726"/>
      <c r="H3" s="726"/>
      <c r="I3" s="34"/>
      <c r="J3" s="34"/>
      <c r="P3" s="95"/>
    </row>
    <row r="4" spans="1:18" ht="39.65" customHeight="1">
      <c r="A4" s="745" t="s">
        <v>667</v>
      </c>
      <c r="B4" s="745"/>
      <c r="C4" s="745"/>
      <c r="D4" s="745"/>
      <c r="E4" s="745"/>
      <c r="F4" s="745"/>
      <c r="G4" s="745"/>
      <c r="H4" s="745"/>
      <c r="P4" s="95"/>
    </row>
    <row r="5" spans="1:18">
      <c r="A5" s="55"/>
      <c r="B5" s="55" t="s">
        <v>76</v>
      </c>
      <c r="C5" s="555" t="s">
        <v>421</v>
      </c>
      <c r="D5" s="555"/>
      <c r="E5" s="555"/>
      <c r="F5" s="555"/>
      <c r="G5" s="555"/>
      <c r="H5" s="555"/>
      <c r="K5" s="95"/>
      <c r="P5" s="84"/>
    </row>
    <row r="6" spans="1:18" ht="29.25" customHeight="1">
      <c r="A6" s="64" t="s">
        <v>44</v>
      </c>
      <c r="B6" s="223" t="s">
        <v>14</v>
      </c>
      <c r="C6" s="746" t="s">
        <v>668</v>
      </c>
      <c r="D6" s="746"/>
      <c r="E6" s="746"/>
      <c r="F6" s="746"/>
      <c r="G6" s="746"/>
      <c r="H6" s="746"/>
      <c r="K6" s="95"/>
      <c r="P6" s="84"/>
    </row>
    <row r="7" spans="1:18" ht="30.75" customHeight="1">
      <c r="A7" s="64" t="s">
        <v>45</v>
      </c>
      <c r="B7" s="223" t="s">
        <v>14</v>
      </c>
      <c r="C7" s="746" t="s">
        <v>669</v>
      </c>
      <c r="D7" s="746"/>
      <c r="E7" s="746"/>
      <c r="F7" s="746"/>
      <c r="G7" s="746"/>
      <c r="H7" s="746"/>
      <c r="K7" s="95"/>
      <c r="P7" s="84"/>
    </row>
    <row r="8" spans="1:18" ht="30.75" customHeight="1">
      <c r="A8" s="64"/>
      <c r="B8" s="55" t="s">
        <v>76</v>
      </c>
      <c r="C8" s="747" t="s">
        <v>422</v>
      </c>
      <c r="D8" s="747"/>
      <c r="E8" s="747"/>
      <c r="F8" s="747"/>
      <c r="G8" s="747"/>
      <c r="H8" s="747"/>
      <c r="K8" s="95"/>
      <c r="P8" s="84"/>
    </row>
    <row r="9" spans="1:18" ht="25.5" customHeight="1">
      <c r="A9" s="64" t="s">
        <v>46</v>
      </c>
      <c r="B9" s="223" t="s">
        <v>14</v>
      </c>
      <c r="C9" s="748" t="s">
        <v>670</v>
      </c>
      <c r="D9" s="748"/>
      <c r="E9" s="748"/>
      <c r="F9" s="748"/>
      <c r="G9" s="748"/>
      <c r="H9" s="748"/>
      <c r="K9" s="95"/>
      <c r="P9" s="54"/>
    </row>
    <row r="10" spans="1:18" ht="26.25" customHeight="1">
      <c r="A10" s="64" t="s">
        <v>47</v>
      </c>
      <c r="B10" s="223" t="s">
        <v>14</v>
      </c>
      <c r="C10" s="748" t="s">
        <v>671</v>
      </c>
      <c r="D10" s="748"/>
      <c r="E10" s="748"/>
      <c r="F10" s="748"/>
      <c r="G10" s="748"/>
      <c r="H10" s="748"/>
      <c r="K10" s="95"/>
      <c r="P10" s="54"/>
    </row>
    <row r="11" spans="1:18">
      <c r="A11" s="64" t="s">
        <v>48</v>
      </c>
      <c r="B11" s="223" t="s">
        <v>14</v>
      </c>
      <c r="C11" s="750" t="s">
        <v>672</v>
      </c>
      <c r="D11" s="750"/>
      <c r="E11" s="750"/>
      <c r="F11" s="750"/>
      <c r="G11" s="750"/>
      <c r="H11" s="750"/>
      <c r="K11" s="95"/>
      <c r="P11" s="83"/>
    </row>
    <row r="12" spans="1:18" ht="30" customHeight="1">
      <c r="A12" s="64" t="s">
        <v>53</v>
      </c>
      <c r="B12" s="223" t="s">
        <v>14</v>
      </c>
      <c r="C12" s="748" t="s">
        <v>673</v>
      </c>
      <c r="D12" s="748"/>
      <c r="E12" s="748"/>
      <c r="F12" s="748"/>
      <c r="G12" s="748"/>
      <c r="H12" s="748"/>
      <c r="K12" s="95"/>
      <c r="P12" s="83"/>
    </row>
    <row r="13" spans="1:18">
      <c r="A13" s="64" t="s">
        <v>54</v>
      </c>
      <c r="B13" s="223" t="s">
        <v>14</v>
      </c>
      <c r="C13" s="750" t="s">
        <v>674</v>
      </c>
      <c r="D13" s="750"/>
      <c r="E13" s="750"/>
      <c r="F13" s="750"/>
      <c r="G13" s="750"/>
      <c r="H13" s="750"/>
      <c r="K13" s="95"/>
      <c r="P13" s="83"/>
    </row>
    <row r="14" spans="1:18">
      <c r="A14" s="64" t="s">
        <v>55</v>
      </c>
      <c r="B14" s="223" t="s">
        <v>14</v>
      </c>
      <c r="C14" s="751" t="s">
        <v>675</v>
      </c>
      <c r="D14" s="751"/>
      <c r="E14" s="751"/>
      <c r="F14" s="751"/>
      <c r="G14" s="751"/>
      <c r="H14" s="751"/>
      <c r="K14" s="95"/>
      <c r="P14" s="83"/>
    </row>
    <row r="15" spans="1:18">
      <c r="A15" s="64" t="s">
        <v>56</v>
      </c>
      <c r="B15" s="223" t="s">
        <v>14</v>
      </c>
      <c r="C15" s="750" t="s">
        <v>676</v>
      </c>
      <c r="D15" s="750"/>
      <c r="E15" s="750"/>
      <c r="F15" s="750"/>
      <c r="G15" s="750"/>
      <c r="H15" s="750"/>
      <c r="K15" s="95"/>
      <c r="P15" s="83"/>
    </row>
    <row r="16" spans="1:18" ht="21.65" customHeight="1">
      <c r="A16" s="270"/>
      <c r="B16" s="271"/>
      <c r="C16" s="555" t="s">
        <v>57</v>
      </c>
      <c r="D16" s="555"/>
      <c r="E16" s="241" t="s">
        <v>58</v>
      </c>
      <c r="F16" s="241" t="s">
        <v>121</v>
      </c>
      <c r="G16" s="241" t="s">
        <v>122</v>
      </c>
      <c r="H16" s="241" t="s">
        <v>123</v>
      </c>
      <c r="M16" s="95"/>
      <c r="R16" s="83"/>
    </row>
    <row r="17" spans="1:19" ht="39">
      <c r="A17" s="272"/>
      <c r="B17" s="133"/>
      <c r="C17" s="611" t="s">
        <v>423</v>
      </c>
      <c r="D17" s="611"/>
      <c r="E17" s="273" t="s">
        <v>677</v>
      </c>
      <c r="F17" s="273" t="s">
        <v>296</v>
      </c>
      <c r="G17" s="273" t="s">
        <v>297</v>
      </c>
      <c r="H17" s="240" t="s">
        <v>298</v>
      </c>
      <c r="M17" s="95"/>
      <c r="R17" s="83"/>
    </row>
    <row r="18" spans="1:19">
      <c r="A18" s="272"/>
      <c r="B18" s="133"/>
      <c r="C18" s="752"/>
      <c r="D18" s="752"/>
      <c r="E18" s="274"/>
      <c r="F18" s="274"/>
      <c r="G18" s="275">
        <f>0.15*E18</f>
        <v>0</v>
      </c>
      <c r="H18" s="276" t="s">
        <v>85</v>
      </c>
      <c r="M18" s="95"/>
      <c r="R18" s="83"/>
    </row>
    <row r="19" spans="1:19">
      <c r="A19" s="643"/>
      <c r="B19" s="643"/>
      <c r="C19" s="643"/>
      <c r="D19" s="643"/>
      <c r="E19" s="643"/>
      <c r="F19" s="643"/>
      <c r="G19" s="122" t="s">
        <v>299</v>
      </c>
      <c r="H19" s="114" t="s">
        <v>43</v>
      </c>
      <c r="M19" s="95"/>
      <c r="S19" s="4"/>
    </row>
    <row r="20" spans="1:19" ht="15" customHeight="1">
      <c r="A20" s="64" t="s">
        <v>429</v>
      </c>
      <c r="B20" s="723" t="s">
        <v>301</v>
      </c>
      <c r="C20" s="723"/>
      <c r="D20" s="723"/>
      <c r="E20" s="723"/>
      <c r="F20" s="723"/>
      <c r="G20" s="541"/>
      <c r="H20" s="541"/>
      <c r="M20" s="90"/>
      <c r="P20" s="95"/>
    </row>
    <row r="21" spans="1:19">
      <c r="E21" s="35"/>
      <c r="F21" s="35"/>
      <c r="M21" s="90"/>
      <c r="P21" s="95"/>
    </row>
    <row r="22" spans="1:19" ht="15.75" customHeight="1">
      <c r="E22" s="37"/>
      <c r="F22" s="37"/>
      <c r="H22" s="126"/>
      <c r="M22" s="90"/>
      <c r="P22" s="95"/>
    </row>
    <row r="23" spans="1:19">
      <c r="E23" s="36"/>
      <c r="F23" s="36"/>
      <c r="H23" s="125"/>
      <c r="M23" s="90"/>
      <c r="P23" s="95"/>
    </row>
    <row r="24" spans="1:19">
      <c r="E24" s="94"/>
      <c r="F24" s="94"/>
      <c r="G24" s="94"/>
      <c r="H24" s="125"/>
      <c r="M24" s="91"/>
      <c r="P24" s="95"/>
    </row>
    <row r="25" spans="1:19">
      <c r="E25" s="93"/>
      <c r="F25" s="93"/>
      <c r="G25" s="93"/>
      <c r="I25" s="4"/>
      <c r="J25" s="4"/>
      <c r="P25" s="41"/>
      <c r="Q25" s="39"/>
    </row>
    <row r="26" spans="1:19">
      <c r="G26" s="749"/>
      <c r="H26" s="749"/>
      <c r="I26" s="165"/>
      <c r="J26" s="165"/>
      <c r="K26" s="4"/>
      <c r="L26" s="4"/>
      <c r="P26" s="41"/>
      <c r="Q26" s="39"/>
    </row>
    <row r="27" spans="1:19" ht="15" customHeight="1">
      <c r="I27" s="755"/>
      <c r="J27" s="755"/>
      <c r="K27" s="86"/>
      <c r="L27" s="86"/>
      <c r="P27" s="41"/>
      <c r="Q27" s="39"/>
    </row>
    <row r="28" spans="1:19">
      <c r="G28" s="4"/>
      <c r="H28" s="4"/>
      <c r="I28" s="755"/>
      <c r="J28" s="755"/>
      <c r="K28" s="86"/>
      <c r="L28" s="86"/>
      <c r="P28" s="41"/>
      <c r="Q28" s="39"/>
    </row>
    <row r="29" spans="1:19">
      <c r="G29" s="4"/>
      <c r="H29" s="4"/>
      <c r="I29" s="141"/>
      <c r="J29" s="141"/>
      <c r="K29" s="86"/>
      <c r="L29" s="86"/>
      <c r="P29" s="41"/>
      <c r="Q29" s="39"/>
    </row>
    <row r="30" spans="1:19">
      <c r="G30" s="4"/>
      <c r="H30" s="4"/>
      <c r="I30" s="141"/>
      <c r="J30" s="141"/>
      <c r="K30" s="86"/>
      <c r="L30" s="86"/>
      <c r="P30" s="41"/>
      <c r="Q30" s="39"/>
    </row>
    <row r="31" spans="1:19">
      <c r="G31" s="4"/>
      <c r="H31" s="4"/>
      <c r="I31" s="755"/>
      <c r="J31" s="755"/>
      <c r="K31" s="86"/>
      <c r="L31" s="86"/>
      <c r="P31" s="85"/>
      <c r="Q31" s="38"/>
      <c r="S31" s="85"/>
    </row>
    <row r="32" spans="1:19">
      <c r="G32" s="4"/>
      <c r="H32" s="4"/>
      <c r="I32" s="755"/>
      <c r="J32" s="755"/>
      <c r="K32" s="86"/>
      <c r="L32" s="86"/>
      <c r="P32" s="85"/>
      <c r="Q32" s="38"/>
      <c r="S32" s="85"/>
    </row>
    <row r="33" spans="7:20">
      <c r="G33" s="6"/>
      <c r="H33" s="6"/>
      <c r="I33" s="755"/>
      <c r="J33" s="755"/>
      <c r="K33" s="86"/>
      <c r="L33" s="86"/>
      <c r="P33" s="85"/>
      <c r="Q33" s="38"/>
      <c r="S33" s="85"/>
    </row>
    <row r="34" spans="7:20">
      <c r="G34" s="6"/>
      <c r="H34" s="6"/>
      <c r="I34" s="755"/>
      <c r="J34" s="755"/>
      <c r="K34" s="86"/>
      <c r="L34" s="86"/>
      <c r="P34" s="43"/>
      <c r="Q34" s="39"/>
      <c r="S34" s="44"/>
      <c r="T34" s="41"/>
    </row>
    <row r="35" spans="7:20">
      <c r="G35" s="4"/>
      <c r="H35" s="4"/>
      <c r="I35" s="754"/>
      <c r="J35" s="754"/>
      <c r="K35" s="86"/>
      <c r="L35" s="86"/>
      <c r="P35" s="43"/>
      <c r="Q35" s="39"/>
      <c r="S35" s="41"/>
      <c r="T35" s="41"/>
    </row>
    <row r="36" spans="7:20">
      <c r="G36" s="737"/>
      <c r="H36" s="737"/>
      <c r="I36" s="754"/>
      <c r="J36" s="754"/>
      <c r="K36" s="86"/>
      <c r="L36" s="86"/>
      <c r="O36" s="46"/>
      <c r="P36" s="47"/>
      <c r="R36" s="41"/>
      <c r="S36" s="41"/>
    </row>
    <row r="37" spans="7:20">
      <c r="I37" s="754"/>
      <c r="J37" s="754"/>
      <c r="K37" s="86"/>
      <c r="L37" s="86"/>
      <c r="Q37" s="41"/>
      <c r="R37" s="41"/>
      <c r="S37" s="41"/>
    </row>
    <row r="38" spans="7:20">
      <c r="G38" s="87"/>
      <c r="H38" s="87"/>
      <c r="I38" s="754"/>
      <c r="J38" s="754"/>
      <c r="K38" s="86"/>
      <c r="L38" s="86"/>
      <c r="M38" s="48"/>
      <c r="N38" s="48"/>
      <c r="O38" s="48"/>
      <c r="Q38" s="41"/>
      <c r="R38" s="41"/>
      <c r="S38" s="41"/>
    </row>
    <row r="39" spans="7:20">
      <c r="G39" s="87"/>
      <c r="H39" s="87"/>
      <c r="I39" s="754"/>
      <c r="J39" s="754"/>
      <c r="K39" s="86"/>
      <c r="L39" s="86"/>
      <c r="M39" s="39"/>
      <c r="N39" s="39"/>
      <c r="O39" s="753"/>
      <c r="P39" s="753"/>
      <c r="Q39" s="85"/>
      <c r="R39" s="41"/>
      <c r="S39" s="41"/>
    </row>
    <row r="40" spans="7:20">
      <c r="G40" s="87"/>
      <c r="H40" s="87"/>
      <c r="I40" s="754"/>
      <c r="J40" s="754"/>
      <c r="K40" s="86"/>
      <c r="L40" s="86"/>
      <c r="M40" s="44"/>
      <c r="N40" s="44"/>
      <c r="O40" s="44"/>
      <c r="P40" s="44"/>
      <c r="Q40" s="44"/>
      <c r="R40" s="41"/>
      <c r="S40" s="41"/>
    </row>
    <row r="41" spans="7:20">
      <c r="G41" s="87"/>
      <c r="H41" s="87"/>
      <c r="I41" s="86"/>
      <c r="J41" s="86"/>
      <c r="K41" s="86"/>
      <c r="L41" s="86"/>
      <c r="M41" s="41"/>
      <c r="N41" s="49"/>
      <c r="O41" s="40"/>
      <c r="P41" s="40"/>
      <c r="Q41" s="41"/>
      <c r="R41" s="41"/>
      <c r="S41" s="41"/>
    </row>
    <row r="42" spans="7:20">
      <c r="I42" s="86"/>
      <c r="J42" s="86"/>
      <c r="K42" s="86"/>
      <c r="L42" s="86"/>
      <c r="M42" s="41"/>
      <c r="N42" s="49"/>
      <c r="O42" s="40"/>
      <c r="P42" s="40"/>
      <c r="Q42" s="41"/>
      <c r="R42" s="41"/>
      <c r="S42" s="41"/>
    </row>
    <row r="43" spans="7:20">
      <c r="I43" s="101"/>
      <c r="J43" s="101"/>
      <c r="K43" s="101"/>
      <c r="L43" s="101"/>
      <c r="M43" s="41"/>
      <c r="N43" s="49"/>
      <c r="O43" s="40"/>
      <c r="P43" s="40"/>
      <c r="Q43" s="41"/>
    </row>
    <row r="44" spans="7:20">
      <c r="I44" s="86"/>
      <c r="J44" s="86"/>
      <c r="K44" s="86"/>
      <c r="L44" s="86"/>
      <c r="M44" s="41"/>
      <c r="N44" s="49"/>
      <c r="O44" s="40"/>
      <c r="P44" s="40"/>
      <c r="Q44" s="41"/>
      <c r="R44" s="85"/>
    </row>
    <row r="45" spans="7:20">
      <c r="I45" s="41"/>
      <c r="J45" s="41"/>
      <c r="K45" s="41"/>
      <c r="L45" s="41"/>
      <c r="M45" s="41"/>
      <c r="N45" s="49"/>
      <c r="O45" s="40"/>
      <c r="P45" s="40"/>
      <c r="Q45" s="41"/>
      <c r="R45" s="44"/>
      <c r="S45" s="41"/>
    </row>
    <row r="46" spans="7:20">
      <c r="I46" s="41"/>
      <c r="J46" s="41"/>
      <c r="K46" s="41"/>
      <c r="L46" s="41"/>
      <c r="M46" s="44"/>
      <c r="N46" s="49"/>
      <c r="O46" s="40"/>
      <c r="P46" s="40"/>
      <c r="Q46" s="41"/>
      <c r="R46" s="50"/>
      <c r="S46" s="41"/>
    </row>
    <row r="47" spans="7:20">
      <c r="I47" s="41"/>
      <c r="J47" s="41"/>
      <c r="K47" s="41"/>
      <c r="L47" s="41"/>
      <c r="M47" s="41"/>
      <c r="N47" s="49"/>
      <c r="O47" s="40"/>
      <c r="P47" s="40"/>
      <c r="Q47" s="41"/>
      <c r="R47" s="50"/>
      <c r="S47" s="41"/>
    </row>
    <row r="48" spans="7:20">
      <c r="I48" s="41"/>
      <c r="J48" s="41"/>
      <c r="K48" s="41"/>
      <c r="L48" s="41"/>
      <c r="M48" s="41"/>
      <c r="N48" s="49"/>
      <c r="O48" s="40"/>
      <c r="P48" s="40"/>
      <c r="Q48" s="41"/>
      <c r="R48" s="50"/>
      <c r="S48" s="41"/>
    </row>
    <row r="49" spans="7:19">
      <c r="Q49" s="41"/>
      <c r="R49" s="50"/>
      <c r="S49" s="41"/>
    </row>
    <row r="50" spans="7:19">
      <c r="I50" s="39"/>
      <c r="J50" s="39"/>
      <c r="K50" s="39"/>
      <c r="L50" s="39"/>
      <c r="M50" s="39"/>
      <c r="N50" s="39"/>
      <c r="O50" s="753"/>
      <c r="P50" s="753"/>
      <c r="Q50" s="85"/>
      <c r="R50" s="50"/>
      <c r="S50" s="41"/>
    </row>
    <row r="51" spans="7:19">
      <c r="G51" s="39"/>
      <c r="H51" s="39"/>
      <c r="I51" s="44"/>
      <c r="J51" s="44"/>
      <c r="K51" s="44"/>
      <c r="L51" s="44"/>
      <c r="M51" s="44"/>
      <c r="N51" s="44"/>
      <c r="O51" s="44"/>
      <c r="P51" s="44"/>
      <c r="Q51" s="44"/>
      <c r="R51" s="50"/>
      <c r="S51" s="41"/>
    </row>
    <row r="52" spans="7:19">
      <c r="G52" s="39"/>
      <c r="H52" s="39"/>
      <c r="I52" s="41"/>
      <c r="J52" s="41"/>
      <c r="K52" s="41"/>
      <c r="L52" s="41"/>
      <c r="M52" s="41"/>
      <c r="N52" s="49"/>
      <c r="O52" s="40"/>
      <c r="P52" s="40"/>
      <c r="Q52" s="41"/>
      <c r="R52" s="50"/>
      <c r="S52" s="41"/>
    </row>
    <row r="53" spans="7:19">
      <c r="G53" s="39"/>
      <c r="H53" s="39"/>
      <c r="I53" s="41"/>
      <c r="J53" s="41"/>
      <c r="K53" s="41"/>
      <c r="L53" s="41"/>
      <c r="M53" s="41"/>
      <c r="N53" s="49"/>
      <c r="O53" s="40"/>
      <c r="P53" s="40"/>
      <c r="Q53" s="41"/>
      <c r="R53" s="41"/>
      <c r="S53" s="41"/>
    </row>
    <row r="54" spans="7:19">
      <c r="G54" s="39"/>
      <c r="H54" s="39"/>
      <c r="I54" s="41"/>
      <c r="J54" s="41"/>
      <c r="K54" s="41"/>
      <c r="L54" s="41"/>
      <c r="M54" s="41"/>
      <c r="N54" s="49"/>
      <c r="O54" s="40"/>
      <c r="P54" s="40"/>
      <c r="Q54" s="41"/>
    </row>
    <row r="55" spans="7:19">
      <c r="G55" s="39"/>
      <c r="H55" s="39"/>
      <c r="I55" s="41"/>
      <c r="J55" s="41"/>
      <c r="K55" s="41"/>
      <c r="L55" s="41"/>
      <c r="M55" s="41"/>
      <c r="N55" s="49"/>
      <c r="O55" s="40"/>
      <c r="P55" s="40"/>
      <c r="Q55" s="41"/>
    </row>
    <row r="56" spans="7:19">
      <c r="I56" s="41"/>
      <c r="J56" s="41"/>
      <c r="K56" s="41"/>
      <c r="L56" s="41"/>
      <c r="M56" s="41"/>
      <c r="N56" s="49"/>
      <c r="O56" s="40"/>
      <c r="P56" s="40"/>
      <c r="Q56" s="41"/>
    </row>
    <row r="57" spans="7:19">
      <c r="I57" s="41"/>
      <c r="J57" s="41"/>
      <c r="K57" s="41"/>
      <c r="L57" s="41"/>
      <c r="M57" s="41"/>
      <c r="N57" s="49"/>
      <c r="O57" s="40"/>
      <c r="P57" s="40"/>
      <c r="Q57" s="41"/>
    </row>
    <row r="58" spans="7:19">
      <c r="I58" s="41"/>
      <c r="J58" s="41"/>
      <c r="K58" s="41"/>
      <c r="L58" s="41"/>
      <c r="M58" s="41"/>
      <c r="N58" s="49"/>
      <c r="O58" s="40"/>
      <c r="P58" s="40"/>
      <c r="Q58" s="41"/>
    </row>
    <row r="59" spans="7:19">
      <c r="I59" s="41"/>
      <c r="J59" s="41"/>
      <c r="K59" s="41"/>
      <c r="L59" s="41"/>
      <c r="M59" s="41"/>
      <c r="N59" s="49"/>
      <c r="O59" s="40"/>
      <c r="P59" s="40"/>
      <c r="Q59" s="41"/>
    </row>
    <row r="60" spans="7:19">
      <c r="G60" s="39"/>
      <c r="H60" s="39"/>
    </row>
  </sheetData>
  <mergeCells count="35">
    <mergeCell ref="A3:H3"/>
    <mergeCell ref="O50:P50"/>
    <mergeCell ref="O39:P39"/>
    <mergeCell ref="I40:J40"/>
    <mergeCell ref="G36:H36"/>
    <mergeCell ref="I37:J37"/>
    <mergeCell ref="I38:J38"/>
    <mergeCell ref="I39:J39"/>
    <mergeCell ref="I35:J35"/>
    <mergeCell ref="I36:J36"/>
    <mergeCell ref="I27:J27"/>
    <mergeCell ref="I28:J28"/>
    <mergeCell ref="I31:J31"/>
    <mergeCell ref="I34:J34"/>
    <mergeCell ref="I33:J33"/>
    <mergeCell ref="I32:J32"/>
    <mergeCell ref="G26:H26"/>
    <mergeCell ref="B20:F20"/>
    <mergeCell ref="G20:H20"/>
    <mergeCell ref="C10:H10"/>
    <mergeCell ref="C11:H11"/>
    <mergeCell ref="C12:H12"/>
    <mergeCell ref="C13:H13"/>
    <mergeCell ref="C14:H14"/>
    <mergeCell ref="C15:H15"/>
    <mergeCell ref="C16:D16"/>
    <mergeCell ref="C17:D17"/>
    <mergeCell ref="C18:D18"/>
    <mergeCell ref="A19:F19"/>
    <mergeCell ref="A4:H4"/>
    <mergeCell ref="C6:H6"/>
    <mergeCell ref="C7:H7"/>
    <mergeCell ref="C8:H8"/>
    <mergeCell ref="C9:H9"/>
    <mergeCell ref="C5:H5"/>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59"/>
  <sheetViews>
    <sheetView zoomScale="50" zoomScaleNormal="50" workbookViewId="0">
      <selection activeCell="C30" sqref="C30:D30"/>
    </sheetView>
  </sheetViews>
  <sheetFormatPr defaultColWidth="9.1796875" defaultRowHeight="14.5"/>
  <cols>
    <col min="1" max="1" width="10.1796875" customWidth="1"/>
    <col min="2" max="2" width="30.81640625" customWidth="1"/>
    <col min="3" max="3" width="24.54296875" customWidth="1"/>
    <col min="4" max="4" width="39" customWidth="1"/>
    <col min="5" max="5" width="29.1796875" customWidth="1"/>
    <col min="6" max="6" width="26.81640625" customWidth="1"/>
    <col min="7" max="7" width="14.54296875" customWidth="1"/>
    <col min="8" max="8" width="19.1796875" customWidth="1"/>
    <col min="9" max="9" width="14.54296875" customWidth="1"/>
    <col min="10" max="10" width="22.453125" customWidth="1"/>
    <col min="11" max="11" width="15.1796875" customWidth="1"/>
    <col min="12" max="12" width="45.453125" customWidth="1"/>
    <col min="13" max="13" width="23.81640625" customWidth="1"/>
    <col min="14" max="14" width="9.1796875" customWidth="1"/>
    <col min="15" max="16" width="8.81640625" customWidth="1"/>
  </cols>
  <sheetData>
    <row r="1" spans="1:19">
      <c r="A1" s="20"/>
      <c r="B1" s="20"/>
      <c r="C1" t="s">
        <v>59</v>
      </c>
      <c r="D1" s="21"/>
      <c r="E1" s="21"/>
      <c r="F1" t="s">
        <v>60</v>
      </c>
      <c r="G1" s="82"/>
      <c r="H1" t="s">
        <v>61</v>
      </c>
      <c r="I1" s="22"/>
      <c r="J1" t="s">
        <v>62</v>
      </c>
    </row>
    <row r="3" spans="1:19">
      <c r="A3" s="726" t="s">
        <v>305</v>
      </c>
      <c r="B3" s="726"/>
      <c r="C3" s="726"/>
      <c r="D3" s="726"/>
      <c r="E3" s="726"/>
      <c r="F3" s="34"/>
      <c r="L3" s="95"/>
    </row>
    <row r="4" spans="1:19" ht="20.5" customHeight="1">
      <c r="A4" s="745" t="s">
        <v>547</v>
      </c>
      <c r="B4" s="745"/>
      <c r="C4" s="745"/>
      <c r="D4" s="745"/>
      <c r="E4" s="745"/>
      <c r="F4" s="152"/>
      <c r="L4" s="95"/>
    </row>
    <row r="5" spans="1:19">
      <c r="A5" s="64" t="s">
        <v>44</v>
      </c>
      <c r="B5" s="111" t="s">
        <v>45</v>
      </c>
      <c r="C5" s="88" t="s">
        <v>46</v>
      </c>
      <c r="D5" s="88" t="s">
        <v>47</v>
      </c>
      <c r="E5" s="88" t="s">
        <v>48</v>
      </c>
      <c r="F5" s="151"/>
      <c r="K5" s="95"/>
      <c r="P5" s="84"/>
    </row>
    <row r="6" spans="1:19" ht="15" customHeight="1">
      <c r="A6" s="611" t="s">
        <v>67</v>
      </c>
      <c r="B6" s="611" t="s">
        <v>270</v>
      </c>
      <c r="C6" s="611" t="s">
        <v>276</v>
      </c>
      <c r="D6" s="611" t="s">
        <v>277</v>
      </c>
      <c r="E6" s="611" t="s">
        <v>742</v>
      </c>
      <c r="F6" s="715"/>
      <c r="G6" s="715"/>
      <c r="M6" s="95"/>
      <c r="R6" s="54"/>
    </row>
    <row r="7" spans="1:19">
      <c r="A7" s="611"/>
      <c r="B7" s="611"/>
      <c r="C7" s="611"/>
      <c r="D7" s="611"/>
      <c r="E7" s="611"/>
      <c r="F7" s="83"/>
      <c r="G7" s="83"/>
      <c r="M7" s="95"/>
      <c r="R7" s="83"/>
    </row>
    <row r="8" spans="1:19">
      <c r="A8" s="277"/>
      <c r="B8" s="260" t="s">
        <v>12</v>
      </c>
      <c r="C8" s="260" t="s">
        <v>12</v>
      </c>
      <c r="D8" s="260" t="s">
        <v>12</v>
      </c>
      <c r="E8" s="260" t="s">
        <v>12</v>
      </c>
      <c r="F8" s="34"/>
      <c r="G8" s="34"/>
      <c r="M8" s="95"/>
      <c r="R8" s="84"/>
    </row>
    <row r="9" spans="1:19">
      <c r="A9" s="94"/>
      <c r="B9" s="196"/>
      <c r="C9" s="280"/>
      <c r="D9" s="207" t="s">
        <v>279</v>
      </c>
      <c r="E9" s="208" t="s">
        <v>43</v>
      </c>
      <c r="M9" s="95"/>
      <c r="S9" s="4"/>
    </row>
    <row r="10" spans="1:19">
      <c r="A10" s="4"/>
      <c r="B10" s="4"/>
      <c r="C10" s="4"/>
      <c r="D10" s="4"/>
      <c r="E10" s="4"/>
      <c r="M10" s="95"/>
      <c r="S10" s="4"/>
    </row>
    <row r="11" spans="1:19" ht="26">
      <c r="A11" s="4"/>
      <c r="B11" s="246" t="s">
        <v>268</v>
      </c>
      <c r="C11" s="246" t="s">
        <v>273</v>
      </c>
      <c r="D11" s="246" t="s">
        <v>114</v>
      </c>
      <c r="E11" s="246" t="s">
        <v>114</v>
      </c>
      <c r="F11" s="96"/>
      <c r="G11" s="96"/>
      <c r="H11" s="96"/>
      <c r="I11" s="96"/>
      <c r="J11" s="90"/>
      <c r="M11" s="95"/>
    </row>
    <row r="12" spans="1:19" ht="26">
      <c r="A12" s="36"/>
      <c r="B12" s="247" t="s">
        <v>269</v>
      </c>
      <c r="C12" s="173" t="s">
        <v>272</v>
      </c>
      <c r="D12" s="247" t="s">
        <v>274</v>
      </c>
      <c r="E12" s="173" t="s">
        <v>278</v>
      </c>
      <c r="F12" s="96"/>
      <c r="G12" s="96"/>
      <c r="H12" s="96"/>
      <c r="I12" s="96"/>
      <c r="J12" s="90"/>
      <c r="M12" s="95"/>
    </row>
    <row r="13" spans="1:19" ht="37.5" customHeight="1">
      <c r="A13" s="36"/>
      <c r="B13" s="247" t="s">
        <v>416</v>
      </c>
      <c r="C13" s="173" t="s">
        <v>271</v>
      </c>
      <c r="D13" s="197" t="s">
        <v>678</v>
      </c>
      <c r="E13" s="267" t="s">
        <v>548</v>
      </c>
      <c r="F13" s="96"/>
      <c r="G13" s="96"/>
      <c r="H13" s="96"/>
      <c r="I13" s="96"/>
      <c r="J13" s="90"/>
      <c r="M13" s="95"/>
    </row>
    <row r="14" spans="1:19">
      <c r="A14" s="94"/>
      <c r="B14" s="267" t="s">
        <v>743</v>
      </c>
      <c r="C14" s="243"/>
      <c r="D14" s="173" t="s">
        <v>275</v>
      </c>
      <c r="E14" s="4"/>
      <c r="F14" s="96"/>
      <c r="G14" s="96"/>
      <c r="H14" s="96"/>
      <c r="I14" s="96"/>
      <c r="J14" s="90"/>
      <c r="M14" s="95"/>
    </row>
    <row r="15" spans="1:19">
      <c r="A15" s="258"/>
      <c r="B15" s="4"/>
      <c r="C15" s="258"/>
      <c r="D15" s="4"/>
      <c r="E15" s="279"/>
      <c r="F15" s="96"/>
      <c r="G15" s="96"/>
      <c r="H15" s="96"/>
      <c r="I15" s="92"/>
      <c r="L15" s="95"/>
    </row>
    <row r="16" spans="1:19">
      <c r="E16" s="96"/>
      <c r="F16" s="96"/>
      <c r="G16" s="96"/>
      <c r="H16" s="96"/>
      <c r="L16" s="41"/>
      <c r="M16" s="39"/>
    </row>
    <row r="17" spans="1:14" ht="15" hidden="1" customHeight="1">
      <c r="E17" s="96"/>
      <c r="F17" s="96"/>
      <c r="G17" s="96"/>
      <c r="H17" s="96"/>
      <c r="L17" s="41"/>
      <c r="M17" s="39"/>
    </row>
    <row r="18" spans="1:14" ht="15" hidden="1" customHeight="1">
      <c r="E18" s="96"/>
      <c r="F18" s="96"/>
      <c r="G18" s="96"/>
      <c r="H18" s="96"/>
      <c r="L18" s="41"/>
      <c r="M18" s="39"/>
    </row>
    <row r="19" spans="1:14" ht="15" hidden="1" customHeight="1">
      <c r="E19" s="96"/>
      <c r="F19" s="96"/>
      <c r="G19" s="96"/>
      <c r="H19" s="96"/>
      <c r="L19" s="41"/>
      <c r="M19" s="39"/>
    </row>
    <row r="20" spans="1:14" ht="15" hidden="1" customHeight="1">
      <c r="E20" s="96"/>
      <c r="F20" s="96"/>
      <c r="G20" s="96"/>
      <c r="H20" s="96"/>
      <c r="L20" s="41"/>
      <c r="M20" s="39"/>
    </row>
    <row r="21" spans="1:14" ht="15" hidden="1" customHeight="1">
      <c r="E21" s="96"/>
      <c r="F21" s="96"/>
      <c r="G21" s="96"/>
      <c r="H21" s="96"/>
      <c r="L21" s="41"/>
      <c r="M21" s="39"/>
    </row>
    <row r="22" spans="1:14" ht="15" hidden="1" customHeight="1">
      <c r="E22" s="96"/>
      <c r="F22" s="96"/>
      <c r="G22" s="96"/>
      <c r="H22" s="96"/>
      <c r="L22" s="41"/>
      <c r="M22" s="39"/>
    </row>
    <row r="23" spans="1:14" ht="15" hidden="1" customHeight="1">
      <c r="E23" s="96"/>
      <c r="F23" s="96"/>
      <c r="G23" s="96"/>
      <c r="H23" s="96"/>
      <c r="L23" s="41"/>
      <c r="M23" s="39"/>
    </row>
    <row r="24" spans="1:14" ht="15" hidden="1" customHeight="1">
      <c r="E24" s="96"/>
      <c r="F24" s="96"/>
      <c r="G24" s="96"/>
      <c r="H24" s="96"/>
      <c r="L24" s="41"/>
      <c r="M24" s="39"/>
    </row>
    <row r="25" spans="1:14" ht="15" hidden="1" customHeight="1">
      <c r="E25" s="96"/>
      <c r="F25" s="96"/>
      <c r="G25" s="96"/>
      <c r="H25" s="96"/>
      <c r="L25" s="41"/>
      <c r="M25" s="39"/>
    </row>
    <row r="26" spans="1:14" ht="15" hidden="1" customHeight="1">
      <c r="E26" s="96"/>
      <c r="F26" s="96"/>
      <c r="G26" s="96"/>
      <c r="H26" s="96"/>
      <c r="L26" s="41"/>
      <c r="M26" s="39"/>
    </row>
    <row r="27" spans="1:14">
      <c r="A27" s="96"/>
      <c r="C27" s="96"/>
      <c r="D27" s="96"/>
      <c r="E27" s="96"/>
      <c r="F27" s="96"/>
      <c r="G27" s="96"/>
      <c r="H27" s="96"/>
      <c r="I27" s="96"/>
      <c r="M27" s="41"/>
      <c r="N27" s="39"/>
    </row>
    <row r="28" spans="1:14">
      <c r="B28" s="153"/>
      <c r="F28" s="40"/>
      <c r="G28" s="40"/>
      <c r="H28" s="40"/>
      <c r="L28" s="41"/>
      <c r="M28" s="39"/>
    </row>
    <row r="29" spans="1:14">
      <c r="L29" s="41"/>
      <c r="M29" s="39"/>
    </row>
    <row r="30" spans="1:14">
      <c r="C30" s="737"/>
      <c r="D30" s="737"/>
      <c r="E30" s="165"/>
      <c r="F30" s="4"/>
      <c r="G30" s="4"/>
      <c r="H30" s="4"/>
      <c r="L30" s="41"/>
      <c r="M30" s="39"/>
    </row>
    <row r="31" spans="1:14" ht="15" customHeight="1">
      <c r="C31" s="737"/>
      <c r="D31" s="737"/>
      <c r="E31" s="86"/>
      <c r="F31" s="86"/>
      <c r="G31" s="86"/>
      <c r="H31" s="86"/>
      <c r="L31" s="41"/>
      <c r="M31" s="39"/>
    </row>
    <row r="32" spans="1:14">
      <c r="C32" s="737"/>
      <c r="D32" s="737"/>
      <c r="E32" s="86"/>
      <c r="F32" s="86"/>
      <c r="G32" s="86"/>
      <c r="H32" s="86"/>
      <c r="L32" s="41"/>
      <c r="M32" s="39"/>
    </row>
    <row r="33" spans="3:16">
      <c r="C33" s="737"/>
      <c r="D33" s="737"/>
      <c r="E33" s="86"/>
      <c r="F33" s="86"/>
      <c r="G33" s="86"/>
      <c r="H33" s="86"/>
      <c r="L33" s="85"/>
      <c r="M33" s="38"/>
      <c r="O33" s="85"/>
    </row>
    <row r="34" spans="3:16">
      <c r="C34" s="737"/>
      <c r="D34" s="737"/>
      <c r="E34" s="86"/>
      <c r="F34" s="86"/>
      <c r="G34" s="86"/>
      <c r="H34" s="86"/>
      <c r="L34" s="43"/>
      <c r="M34" s="39"/>
      <c r="O34" s="44"/>
      <c r="P34" s="41"/>
    </row>
    <row r="35" spans="3:16">
      <c r="C35" s="737"/>
      <c r="D35" s="737"/>
      <c r="E35" s="86"/>
      <c r="F35" s="86"/>
      <c r="G35" s="86"/>
      <c r="H35" s="86"/>
      <c r="L35" s="43"/>
      <c r="M35" s="39"/>
      <c r="O35" s="41"/>
      <c r="P35" s="41"/>
    </row>
    <row r="36" spans="3:16">
      <c r="E36" s="86"/>
      <c r="F36" s="86"/>
      <c r="G36" s="86"/>
      <c r="H36" s="86"/>
      <c r="K36" s="46"/>
      <c r="L36" s="47"/>
      <c r="N36" s="41"/>
      <c r="O36" s="41"/>
    </row>
    <row r="37" spans="3:16">
      <c r="C37" s="87"/>
      <c r="D37" s="87"/>
      <c r="E37" s="86"/>
      <c r="F37" s="86"/>
      <c r="G37" s="86"/>
      <c r="H37" s="86"/>
      <c r="M37" s="41"/>
      <c r="N37" s="41"/>
      <c r="O37" s="41"/>
    </row>
    <row r="38" spans="3:16" ht="15" customHeight="1">
      <c r="C38" s="87"/>
      <c r="D38" s="87"/>
      <c r="E38" s="86"/>
      <c r="F38" s="86"/>
      <c r="G38" s="86"/>
      <c r="H38" s="86"/>
      <c r="I38" s="48"/>
      <c r="J38" s="48"/>
      <c r="K38" s="48"/>
      <c r="M38" s="41"/>
      <c r="N38" s="41"/>
      <c r="O38" s="41"/>
    </row>
    <row r="39" spans="3:16" ht="17.25" customHeight="1">
      <c r="C39" s="87"/>
      <c r="D39" s="87"/>
      <c r="E39" s="86"/>
      <c r="F39" s="86"/>
      <c r="G39" s="86"/>
      <c r="H39" s="86"/>
      <c r="I39" s="39"/>
      <c r="J39" s="39"/>
      <c r="K39" s="38"/>
      <c r="L39" s="38"/>
      <c r="M39" s="85"/>
      <c r="N39" s="41"/>
      <c r="O39" s="41"/>
    </row>
    <row r="40" spans="3:16">
      <c r="C40" s="87"/>
      <c r="D40" s="87"/>
      <c r="E40" s="86"/>
      <c r="F40" s="86"/>
      <c r="G40" s="86"/>
      <c r="H40" s="86"/>
      <c r="I40" s="44"/>
      <c r="J40" s="44"/>
      <c r="K40" s="44"/>
      <c r="L40" s="44"/>
      <c r="M40" s="44"/>
      <c r="N40" s="41"/>
      <c r="O40" s="41"/>
    </row>
    <row r="41" spans="3:16">
      <c r="E41" s="86"/>
      <c r="F41" s="86"/>
      <c r="G41" s="86"/>
      <c r="H41" s="86"/>
      <c r="I41" s="41"/>
      <c r="J41" s="49"/>
      <c r="K41" s="40"/>
      <c r="L41" s="40"/>
      <c r="M41" s="41"/>
      <c r="N41" s="41"/>
      <c r="O41" s="41"/>
    </row>
    <row r="42" spans="3:16">
      <c r="E42" s="86"/>
      <c r="F42" s="86"/>
      <c r="G42" s="86"/>
      <c r="H42" s="86"/>
      <c r="I42" s="41"/>
      <c r="J42" s="49"/>
      <c r="K42" s="40"/>
      <c r="L42" s="40"/>
      <c r="M42" s="41"/>
      <c r="N42" s="41"/>
      <c r="O42" s="41"/>
    </row>
    <row r="43" spans="3:16">
      <c r="E43" s="101"/>
      <c r="F43" s="101"/>
      <c r="G43" s="101"/>
      <c r="H43" s="101"/>
      <c r="I43" s="41"/>
      <c r="J43" s="49"/>
      <c r="K43" s="40"/>
      <c r="L43" s="40"/>
      <c r="M43" s="41"/>
    </row>
    <row r="44" spans="3:16">
      <c r="E44" s="754"/>
      <c r="F44" s="754"/>
      <c r="G44" s="754"/>
      <c r="H44" s="754"/>
      <c r="I44" s="41"/>
      <c r="J44" s="49"/>
      <c r="K44" s="40"/>
      <c r="L44" s="40"/>
      <c r="M44" s="41"/>
      <c r="N44" s="85"/>
    </row>
    <row r="45" spans="3:16">
      <c r="E45" s="41"/>
      <c r="F45" s="41"/>
      <c r="G45" s="41"/>
      <c r="H45" s="41"/>
      <c r="I45" s="41"/>
      <c r="J45" s="49"/>
      <c r="K45" s="40"/>
      <c r="L45" s="40"/>
      <c r="M45" s="41"/>
      <c r="N45" s="44"/>
      <c r="O45" s="41"/>
    </row>
    <row r="46" spans="3:16">
      <c r="E46" s="41"/>
      <c r="F46" s="41"/>
      <c r="G46" s="41"/>
      <c r="H46" s="41"/>
      <c r="I46" s="44"/>
      <c r="J46" s="49"/>
      <c r="K46" s="40"/>
      <c r="L46" s="40"/>
      <c r="M46" s="41"/>
      <c r="N46" s="50"/>
      <c r="O46" s="41"/>
    </row>
    <row r="47" spans="3:16">
      <c r="E47" s="41"/>
      <c r="F47" s="41"/>
      <c r="G47" s="41"/>
      <c r="H47" s="41"/>
      <c r="I47" s="41"/>
      <c r="J47" s="49"/>
      <c r="K47" s="40"/>
      <c r="L47" s="40"/>
      <c r="M47" s="41"/>
      <c r="N47" s="50"/>
      <c r="O47" s="41"/>
    </row>
    <row r="48" spans="3:16">
      <c r="E48" s="41"/>
      <c r="F48" s="41"/>
      <c r="G48" s="41"/>
      <c r="H48" s="41"/>
      <c r="I48" s="41"/>
      <c r="J48" s="49"/>
      <c r="K48" s="40"/>
      <c r="L48" s="40"/>
      <c r="M48" s="41"/>
      <c r="N48" s="50"/>
      <c r="O48" s="41"/>
    </row>
    <row r="49" spans="3:15">
      <c r="M49" s="41"/>
      <c r="N49" s="50"/>
      <c r="O49" s="41"/>
    </row>
    <row r="50" spans="3:15">
      <c r="C50" s="39"/>
      <c r="D50" s="39"/>
      <c r="E50" s="39"/>
      <c r="F50" s="39"/>
      <c r="G50" s="39"/>
      <c r="H50" s="39"/>
      <c r="I50" s="39"/>
      <c r="J50" s="39"/>
      <c r="K50" s="753"/>
      <c r="L50" s="753"/>
      <c r="M50" s="85"/>
      <c r="N50" s="50"/>
      <c r="O50" s="41"/>
    </row>
    <row r="51" spans="3:15">
      <c r="C51" s="39"/>
      <c r="D51" s="39"/>
      <c r="E51" s="44"/>
      <c r="F51" s="44"/>
      <c r="G51" s="44"/>
      <c r="H51" s="44"/>
      <c r="I51" s="44"/>
      <c r="J51" s="44"/>
      <c r="K51" s="44"/>
      <c r="L51" s="44"/>
      <c r="M51" s="44"/>
      <c r="N51" s="50"/>
      <c r="O51" s="41"/>
    </row>
    <row r="52" spans="3:15">
      <c r="C52" s="39"/>
      <c r="D52" s="39"/>
      <c r="E52" s="41"/>
      <c r="F52" s="41"/>
      <c r="G52" s="41"/>
      <c r="H52" s="41"/>
      <c r="I52" s="41"/>
      <c r="J52" s="49"/>
      <c r="K52" s="40"/>
      <c r="L52" s="40"/>
      <c r="M52" s="41"/>
      <c r="N52" s="50"/>
      <c r="O52" s="41"/>
    </row>
    <row r="53" spans="3:15">
      <c r="C53" s="39"/>
      <c r="D53" s="39"/>
      <c r="E53" s="41"/>
      <c r="F53" s="41"/>
      <c r="G53" s="41"/>
      <c r="H53" s="41"/>
      <c r="I53" s="41"/>
      <c r="J53" s="49"/>
      <c r="K53" s="40"/>
      <c r="L53" s="40"/>
      <c r="M53" s="41"/>
      <c r="N53" s="41"/>
      <c r="O53" s="41"/>
    </row>
    <row r="54" spans="3:15">
      <c r="C54" s="39"/>
      <c r="D54" s="39"/>
      <c r="E54" s="41"/>
      <c r="F54" s="41"/>
      <c r="G54" s="41"/>
      <c r="H54" s="41"/>
      <c r="I54" s="41"/>
      <c r="J54" s="49"/>
      <c r="K54" s="40"/>
      <c r="L54" s="40"/>
      <c r="M54" s="41"/>
    </row>
    <row r="55" spans="3:15">
      <c r="E55" s="41"/>
      <c r="F55" s="41"/>
      <c r="G55" s="41"/>
      <c r="H55" s="41"/>
      <c r="I55" s="41"/>
      <c r="J55" s="49"/>
      <c r="K55" s="40"/>
      <c r="L55" s="40"/>
      <c r="M55" s="41"/>
    </row>
    <row r="56" spans="3:15">
      <c r="E56" s="41"/>
      <c r="F56" s="41"/>
      <c r="G56" s="41"/>
      <c r="H56" s="41"/>
      <c r="I56" s="41"/>
      <c r="J56" s="49"/>
      <c r="K56" s="40"/>
      <c r="L56" s="40"/>
      <c r="M56" s="41"/>
    </row>
    <row r="57" spans="3:15">
      <c r="E57" s="41"/>
      <c r="F57" s="41"/>
      <c r="G57" s="41"/>
      <c r="H57" s="41"/>
      <c r="I57" s="41"/>
      <c r="J57" s="49"/>
      <c r="K57" s="40"/>
      <c r="L57" s="40"/>
      <c r="M57" s="41"/>
    </row>
    <row r="58" spans="3:15">
      <c r="E58" s="41"/>
      <c r="F58" s="41"/>
      <c r="G58" s="41"/>
      <c r="H58" s="41"/>
      <c r="I58" s="41"/>
      <c r="J58" s="49"/>
      <c r="K58" s="40"/>
      <c r="L58" s="40"/>
      <c r="M58" s="41"/>
    </row>
    <row r="59" spans="3:15">
      <c r="C59" s="39"/>
      <c r="D59" s="39"/>
      <c r="E59" s="41"/>
      <c r="F59" s="41"/>
      <c r="G59" s="41"/>
      <c r="H59" s="41"/>
      <c r="I59" s="41"/>
      <c r="J59" s="49"/>
      <c r="K59" s="40"/>
      <c r="L59" s="40"/>
      <c r="M59" s="41"/>
    </row>
  </sheetData>
  <mergeCells count="16">
    <mergeCell ref="C33:D33"/>
    <mergeCell ref="C34:D34"/>
    <mergeCell ref="C35:D35"/>
    <mergeCell ref="E44:H44"/>
    <mergeCell ref="K50:L50"/>
    <mergeCell ref="C30:D30"/>
    <mergeCell ref="C31:D31"/>
    <mergeCell ref="C32:D32"/>
    <mergeCell ref="C6:C7"/>
    <mergeCell ref="D6:D7"/>
    <mergeCell ref="A4:E4"/>
    <mergeCell ref="A3:E3"/>
    <mergeCell ref="A6:A7"/>
    <mergeCell ref="B6:B7"/>
    <mergeCell ref="F6:G6"/>
    <mergeCell ref="E6:E7"/>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topLeftCell="C1" zoomScale="50" zoomScaleNormal="50" workbookViewId="0">
      <selection activeCell="C19" sqref="C19"/>
    </sheetView>
  </sheetViews>
  <sheetFormatPr defaultColWidth="9.1796875" defaultRowHeight="14.5"/>
  <cols>
    <col min="1" max="1" width="12.453125" customWidth="1"/>
    <col min="2" max="2" width="36.1796875" customWidth="1"/>
    <col min="3" max="3" width="43" customWidth="1"/>
    <col min="4" max="4" width="31.54296875" customWidth="1"/>
    <col min="5" max="5" width="26.453125" customWidth="1"/>
    <col min="6" max="6" width="19.54296875" customWidth="1"/>
    <col min="7" max="7" width="10.54296875" customWidth="1"/>
    <col min="8" max="8" width="19.1796875" customWidth="1"/>
    <col min="9" max="9" width="14.54296875" customWidth="1"/>
    <col min="10" max="10" width="22.453125" customWidth="1"/>
    <col min="11" max="11" width="15.1796875" customWidth="1"/>
    <col min="12" max="12" width="45.453125" customWidth="1"/>
    <col min="13" max="13" width="23.81640625" customWidth="1"/>
    <col min="14" max="14" width="9.1796875" customWidth="1"/>
    <col min="15" max="16" width="8.81640625" customWidth="1"/>
  </cols>
  <sheetData>
    <row r="1" spans="1:12">
      <c r="A1" s="20"/>
      <c r="B1" s="20"/>
      <c r="C1" t="s">
        <v>59</v>
      </c>
      <c r="D1" s="21"/>
      <c r="E1" s="21"/>
      <c r="F1" t="s">
        <v>60</v>
      </c>
      <c r="G1" s="82"/>
      <c r="H1" t="s">
        <v>61</v>
      </c>
      <c r="I1" s="22"/>
      <c r="J1" t="s">
        <v>62</v>
      </c>
    </row>
    <row r="3" spans="1:12">
      <c r="A3" s="726" t="s">
        <v>304</v>
      </c>
      <c r="B3" s="726"/>
      <c r="C3" s="726"/>
      <c r="D3" s="726"/>
      <c r="E3" s="726"/>
      <c r="F3" s="726"/>
      <c r="G3" s="726"/>
      <c r="H3" s="726"/>
      <c r="I3" s="34"/>
      <c r="L3" s="95"/>
    </row>
    <row r="4" spans="1:12" ht="23.5" customHeight="1">
      <c r="A4" s="745" t="s">
        <v>549</v>
      </c>
      <c r="B4" s="745"/>
      <c r="C4" s="745"/>
      <c r="D4" s="745"/>
      <c r="E4" s="745"/>
      <c r="F4" s="745"/>
      <c r="G4" s="745"/>
      <c r="H4" s="745"/>
      <c r="I4" s="152"/>
      <c r="L4" s="95"/>
    </row>
    <row r="5" spans="1:12">
      <c r="A5" s="69" t="s">
        <v>44</v>
      </c>
      <c r="B5" s="88" t="s">
        <v>45</v>
      </c>
      <c r="C5" s="88" t="s">
        <v>46</v>
      </c>
      <c r="D5" s="328" t="s">
        <v>47</v>
      </c>
      <c r="E5" s="328" t="s">
        <v>48</v>
      </c>
      <c r="F5" s="761" t="s">
        <v>53</v>
      </c>
      <c r="G5" s="762"/>
      <c r="H5" s="411" t="s">
        <v>54</v>
      </c>
      <c r="I5" s="121"/>
      <c r="L5" s="95"/>
    </row>
    <row r="6" spans="1:12" ht="31" customHeight="1">
      <c r="A6" s="692" t="s">
        <v>267</v>
      </c>
      <c r="B6" s="692" t="s">
        <v>259</v>
      </c>
      <c r="C6" s="692" t="s">
        <v>263</v>
      </c>
      <c r="D6" s="684" t="s">
        <v>554</v>
      </c>
      <c r="E6" s="769" t="s">
        <v>562</v>
      </c>
      <c r="F6" s="770"/>
      <c r="G6" s="770"/>
      <c r="H6" s="771"/>
      <c r="I6" s="121"/>
      <c r="L6" s="95"/>
    </row>
    <row r="7" spans="1:12" ht="25.5" customHeight="1">
      <c r="A7" s="698"/>
      <c r="B7" s="698"/>
      <c r="C7" s="698"/>
      <c r="D7" s="685"/>
      <c r="E7" s="285" t="s">
        <v>760</v>
      </c>
      <c r="F7" s="767" t="s">
        <v>850</v>
      </c>
      <c r="G7" s="768"/>
      <c r="H7" s="390" t="s">
        <v>851</v>
      </c>
      <c r="I7" s="121"/>
      <c r="L7" s="95"/>
    </row>
    <row r="8" spans="1:12" ht="22.5" customHeight="1">
      <c r="A8" s="281"/>
      <c r="B8" s="252" t="s">
        <v>12</v>
      </c>
      <c r="C8" s="252" t="s">
        <v>12</v>
      </c>
      <c r="D8" s="252" t="s">
        <v>12</v>
      </c>
      <c r="E8" s="252" t="s">
        <v>12</v>
      </c>
      <c r="F8" s="764" t="s">
        <v>12</v>
      </c>
      <c r="G8" s="765"/>
      <c r="H8" s="423" t="s">
        <v>12</v>
      </c>
      <c r="I8" s="121"/>
      <c r="L8" s="95"/>
    </row>
    <row r="9" spans="1:12" ht="15">
      <c r="A9" s="763" t="s">
        <v>761</v>
      </c>
      <c r="B9" s="763"/>
      <c r="C9" s="763"/>
      <c r="D9" s="4"/>
      <c r="E9" s="6"/>
      <c r="F9" s="766" t="s">
        <v>164</v>
      </c>
      <c r="G9" s="766"/>
      <c r="H9" s="208" t="s">
        <v>43</v>
      </c>
      <c r="I9" s="121"/>
      <c r="L9" s="95"/>
    </row>
    <row r="10" spans="1:12">
      <c r="A10" s="6"/>
      <c r="B10" s="6"/>
      <c r="C10" s="6"/>
      <c r="D10" s="4"/>
      <c r="E10" s="4"/>
      <c r="F10" s="121"/>
      <c r="G10" s="121"/>
      <c r="H10" s="422"/>
      <c r="I10" s="121"/>
      <c r="L10" s="95"/>
    </row>
    <row r="11" spans="1:12" ht="33.75" customHeight="1">
      <c r="A11" s="121"/>
      <c r="B11" s="246" t="s">
        <v>260</v>
      </c>
      <c r="C11" s="246" t="s">
        <v>266</v>
      </c>
      <c r="D11" s="263" t="s">
        <v>555</v>
      </c>
      <c r="E11" s="263" t="s">
        <v>557</v>
      </c>
      <c r="F11" s="756" t="s">
        <v>853</v>
      </c>
      <c r="G11" s="757"/>
      <c r="H11" s="391" t="s">
        <v>852</v>
      </c>
      <c r="I11" s="121"/>
      <c r="L11" s="95"/>
    </row>
    <row r="12" spans="1:12" ht="50.25" customHeight="1">
      <c r="A12" s="121"/>
      <c r="B12" s="267" t="s">
        <v>262</v>
      </c>
      <c r="C12" s="267" t="s">
        <v>265</v>
      </c>
      <c r="D12" s="267" t="s">
        <v>556</v>
      </c>
      <c r="E12" s="267" t="s">
        <v>558</v>
      </c>
      <c r="F12" s="758" t="s">
        <v>560</v>
      </c>
      <c r="G12" s="759"/>
      <c r="H12" s="390" t="s">
        <v>561</v>
      </c>
      <c r="I12" s="121"/>
      <c r="L12" s="95"/>
    </row>
    <row r="13" spans="1:12" ht="33.75" customHeight="1">
      <c r="A13" s="121"/>
      <c r="B13" s="267" t="s">
        <v>261</v>
      </c>
      <c r="C13" s="267" t="s">
        <v>762</v>
      </c>
      <c r="D13" s="267" t="s">
        <v>264</v>
      </c>
      <c r="E13" s="267" t="s">
        <v>559</v>
      </c>
      <c r="F13" s="760" t="s">
        <v>561</v>
      </c>
      <c r="G13" s="760"/>
      <c r="H13" s="121"/>
      <c r="I13" s="121"/>
      <c r="L13" s="95"/>
    </row>
    <row r="14" spans="1:12" ht="33.75" customHeight="1">
      <c r="A14" s="121"/>
      <c r="B14" s="267" t="s">
        <v>550</v>
      </c>
      <c r="C14" s="267" t="s">
        <v>264</v>
      </c>
      <c r="D14" s="329"/>
      <c r="E14" s="329"/>
      <c r="F14" s="329"/>
      <c r="G14" s="329"/>
      <c r="H14" s="121"/>
      <c r="I14" s="121"/>
      <c r="L14" s="95"/>
    </row>
    <row r="15" spans="1:12" ht="39.75" customHeight="1">
      <c r="A15" s="121"/>
      <c r="B15" s="267" t="s">
        <v>551</v>
      </c>
      <c r="C15" s="267" t="s">
        <v>550</v>
      </c>
      <c r="D15" s="329"/>
      <c r="E15" s="329"/>
      <c r="F15" s="329"/>
      <c r="G15" s="329"/>
      <c r="H15" s="121"/>
      <c r="I15" s="121"/>
      <c r="L15" s="95"/>
    </row>
    <row r="16" spans="1:12" ht="43" customHeight="1">
      <c r="A16" s="121"/>
      <c r="B16" s="267" t="s">
        <v>552</v>
      </c>
      <c r="C16" s="329"/>
      <c r="D16" s="329"/>
      <c r="E16" s="329"/>
      <c r="F16" s="329"/>
      <c r="G16" s="329"/>
      <c r="H16" s="121"/>
      <c r="I16" s="121"/>
      <c r="L16" s="95"/>
    </row>
    <row r="17" spans="1:13" ht="48" customHeight="1">
      <c r="A17" s="4"/>
      <c r="B17" s="267" t="s">
        <v>553</v>
      </c>
      <c r="C17" s="196"/>
      <c r="D17" s="196"/>
      <c r="E17" s="50"/>
      <c r="F17" s="50"/>
      <c r="G17" s="50"/>
      <c r="H17" s="41"/>
      <c r="I17" s="41"/>
      <c r="J17" s="49"/>
      <c r="K17" s="40"/>
      <c r="L17" s="40"/>
      <c r="M17" s="41"/>
    </row>
    <row r="18" spans="1:13">
      <c r="A18" s="4"/>
      <c r="C18" s="4"/>
      <c r="D18" s="4"/>
      <c r="E18" s="41"/>
      <c r="F18" s="41"/>
      <c r="G18" s="41"/>
      <c r="H18" s="41"/>
      <c r="I18" s="41"/>
      <c r="J18" s="49"/>
      <c r="K18" s="40"/>
      <c r="L18" s="40"/>
      <c r="M18" s="41"/>
    </row>
    <row r="19" spans="1:13">
      <c r="A19" s="4"/>
      <c r="B19" s="4"/>
      <c r="C19" s="39"/>
      <c r="D19" s="39"/>
      <c r="E19" s="41"/>
      <c r="F19" s="41"/>
      <c r="G19" s="41"/>
      <c r="H19" s="41"/>
      <c r="I19" s="41"/>
      <c r="J19" s="49"/>
      <c r="K19" s="40"/>
      <c r="L19" s="40"/>
      <c r="M19" s="41"/>
    </row>
  </sheetData>
  <mergeCells count="15">
    <mergeCell ref="A4:H4"/>
    <mergeCell ref="A3:H3"/>
    <mergeCell ref="F11:G11"/>
    <mergeCell ref="F12:G12"/>
    <mergeCell ref="F13:G13"/>
    <mergeCell ref="F5:G5"/>
    <mergeCell ref="A9:C9"/>
    <mergeCell ref="F8:G8"/>
    <mergeCell ref="F9:G9"/>
    <mergeCell ref="A6:A7"/>
    <mergeCell ref="B6:B7"/>
    <mergeCell ref="C6:C7"/>
    <mergeCell ref="D6:D7"/>
    <mergeCell ref="F7:G7"/>
    <mergeCell ref="E6:H6"/>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61"/>
  <sheetViews>
    <sheetView zoomScale="60" zoomScaleNormal="60" workbookViewId="0">
      <selection activeCell="C13" sqref="C13:G13"/>
    </sheetView>
  </sheetViews>
  <sheetFormatPr defaultColWidth="9.1796875" defaultRowHeight="14.5"/>
  <cols>
    <col min="1" max="1" width="12.453125" customWidth="1"/>
    <col min="2" max="2" width="11.54296875" customWidth="1"/>
    <col min="3" max="3" width="13.453125" bestFit="1" customWidth="1"/>
    <col min="4" max="4" width="9.81640625" customWidth="1"/>
    <col min="5" max="5" width="16" customWidth="1"/>
    <col min="6" max="6" width="19.81640625" customWidth="1"/>
    <col min="7" max="7" width="16.81640625" customWidth="1"/>
    <col min="8" max="8" width="14.81640625" customWidth="1"/>
    <col min="9" max="9" width="14.54296875" customWidth="1"/>
    <col min="10" max="10" width="11.54296875" customWidth="1"/>
    <col min="11" max="11" width="15.1796875" customWidth="1"/>
    <col min="12" max="12" width="45.453125" customWidth="1"/>
    <col min="13" max="13" width="23.81640625" customWidth="1"/>
    <col min="14" max="14" width="9.1796875" customWidth="1"/>
    <col min="15" max="16" width="8.81640625" customWidth="1"/>
  </cols>
  <sheetData>
    <row r="1" spans="1:20">
      <c r="A1" s="20"/>
      <c r="B1" s="20"/>
      <c r="C1" t="s">
        <v>59</v>
      </c>
      <c r="D1" s="21"/>
      <c r="E1" s="21"/>
      <c r="F1" t="s">
        <v>60</v>
      </c>
      <c r="G1" s="82"/>
      <c r="H1" t="s">
        <v>61</v>
      </c>
      <c r="I1" s="22"/>
      <c r="J1" t="s">
        <v>62</v>
      </c>
    </row>
    <row r="3" spans="1:20">
      <c r="A3" s="726" t="s">
        <v>306</v>
      </c>
      <c r="B3" s="726"/>
      <c r="C3" s="726"/>
      <c r="D3" s="726"/>
      <c r="E3" s="726"/>
      <c r="F3" s="726"/>
      <c r="G3" s="726"/>
      <c r="H3" s="726"/>
      <c r="I3" s="34"/>
      <c r="J3" s="34"/>
      <c r="L3" s="95"/>
    </row>
    <row r="4" spans="1:20" ht="41.5" customHeight="1">
      <c r="A4" s="773" t="s">
        <v>764</v>
      </c>
      <c r="B4" s="773"/>
      <c r="C4" s="773"/>
      <c r="D4" s="773"/>
      <c r="E4" s="773"/>
      <c r="F4" s="773"/>
      <c r="G4" s="773"/>
      <c r="H4" s="773"/>
      <c r="I4" s="152"/>
      <c r="J4" s="152"/>
      <c r="L4" s="95"/>
    </row>
    <row r="5" spans="1:20">
      <c r="A5" s="64" t="s">
        <v>44</v>
      </c>
      <c r="B5" s="64" t="s">
        <v>45</v>
      </c>
      <c r="C5" s="111" t="s">
        <v>46</v>
      </c>
      <c r="D5" s="88" t="s">
        <v>47</v>
      </c>
      <c r="E5" s="88" t="s">
        <v>48</v>
      </c>
      <c r="F5" s="88" t="s">
        <v>53</v>
      </c>
      <c r="G5" s="88" t="s">
        <v>54</v>
      </c>
      <c r="H5" s="88" t="s">
        <v>55</v>
      </c>
      <c r="J5" s="152"/>
      <c r="M5" s="155"/>
      <c r="N5" s="155"/>
      <c r="O5" s="95"/>
      <c r="T5" s="84"/>
    </row>
    <row r="6" spans="1:20" ht="15" customHeight="1">
      <c r="A6" s="772" t="s">
        <v>763</v>
      </c>
      <c r="B6" s="772"/>
      <c r="C6" s="772"/>
      <c r="D6" s="772"/>
      <c r="E6" s="772"/>
      <c r="F6" s="772"/>
      <c r="G6" s="772"/>
      <c r="H6" s="772"/>
      <c r="I6" s="152"/>
      <c r="L6" s="54"/>
      <c r="M6" s="95"/>
      <c r="R6" s="84"/>
    </row>
    <row r="7" spans="1:20" ht="42" customHeight="1">
      <c r="A7" s="283" t="s">
        <v>478</v>
      </c>
      <c r="B7" s="283" t="s">
        <v>427</v>
      </c>
      <c r="C7" s="240" t="s">
        <v>477</v>
      </c>
      <c r="D7" s="240" t="s">
        <v>281</v>
      </c>
      <c r="E7" s="240" t="s">
        <v>282</v>
      </c>
      <c r="F7" s="240" t="s">
        <v>283</v>
      </c>
      <c r="G7" s="240" t="s">
        <v>681</v>
      </c>
      <c r="H7" s="240" t="s">
        <v>108</v>
      </c>
      <c r="M7" s="54"/>
      <c r="O7" s="95"/>
      <c r="T7" s="54"/>
    </row>
    <row r="8" spans="1:20">
      <c r="A8" s="250"/>
      <c r="B8" s="250"/>
      <c r="C8" s="254"/>
      <c r="D8" s="254"/>
      <c r="E8" s="254"/>
      <c r="F8" s="284" t="s">
        <v>495</v>
      </c>
      <c r="G8" s="284" t="s">
        <v>490</v>
      </c>
      <c r="H8" s="260" t="s">
        <v>12</v>
      </c>
      <c r="M8" s="156"/>
      <c r="O8" s="95"/>
      <c r="T8" s="84"/>
    </row>
    <row r="9" spans="1:20" ht="15" customHeight="1">
      <c r="A9" s="4"/>
      <c r="B9" s="191"/>
      <c r="C9" s="254"/>
      <c r="D9" s="254"/>
      <c r="E9" s="254"/>
      <c r="F9" s="284" t="s">
        <v>495</v>
      </c>
      <c r="G9" s="285" t="s">
        <v>491</v>
      </c>
      <c r="H9" s="260" t="s">
        <v>12</v>
      </c>
      <c r="M9" s="156"/>
      <c r="O9" s="95"/>
      <c r="T9" s="84"/>
    </row>
    <row r="10" spans="1:20" ht="15.75" customHeight="1">
      <c r="A10" s="4"/>
      <c r="B10" s="192"/>
      <c r="C10" s="660" t="s">
        <v>428</v>
      </c>
      <c r="D10" s="661"/>
      <c r="E10" s="662"/>
      <c r="F10" s="284" t="s">
        <v>679</v>
      </c>
      <c r="G10" s="284" t="s">
        <v>680</v>
      </c>
      <c r="H10" s="184"/>
      <c r="M10" s="156"/>
      <c r="O10" s="95"/>
      <c r="T10" s="84"/>
    </row>
    <row r="11" spans="1:20">
      <c r="A11" s="775"/>
      <c r="B11" s="776"/>
      <c r="C11" s="776"/>
      <c r="D11" s="776"/>
      <c r="E11" s="777"/>
      <c r="F11" s="282" t="s">
        <v>425</v>
      </c>
      <c r="G11" s="158" t="s">
        <v>426</v>
      </c>
      <c r="H11" s="4"/>
      <c r="L11" s="156"/>
      <c r="N11" s="95"/>
      <c r="Q11" s="96"/>
      <c r="S11" s="84"/>
    </row>
    <row r="12" spans="1:20">
      <c r="A12" s="64" t="s">
        <v>56</v>
      </c>
      <c r="B12" s="88" t="s">
        <v>57</v>
      </c>
      <c r="C12" s="88" t="s">
        <v>58</v>
      </c>
      <c r="D12" s="88" t="s">
        <v>121</v>
      </c>
      <c r="E12" s="88" t="s">
        <v>122</v>
      </c>
      <c r="F12" s="88" t="s">
        <v>123</v>
      </c>
      <c r="G12" s="88" t="s">
        <v>429</v>
      </c>
      <c r="H12" s="279"/>
      <c r="I12" s="96"/>
      <c r="N12" s="95"/>
      <c r="Q12" s="96"/>
    </row>
    <row r="13" spans="1:20" ht="15" customHeight="1">
      <c r="A13" s="692" t="s">
        <v>67</v>
      </c>
      <c r="B13" s="780" t="s">
        <v>288</v>
      </c>
      <c r="C13" s="681" t="s">
        <v>794</v>
      </c>
      <c r="D13" s="681"/>
      <c r="E13" s="681"/>
      <c r="F13" s="681"/>
      <c r="G13" s="681"/>
      <c r="H13" s="331" t="s">
        <v>108</v>
      </c>
      <c r="I13" s="153"/>
      <c r="J13" s="96"/>
      <c r="K13" s="96"/>
      <c r="P13" s="95"/>
      <c r="Q13" s="96"/>
    </row>
    <row r="14" spans="1:20" ht="39">
      <c r="A14" s="698"/>
      <c r="B14" s="781"/>
      <c r="C14" s="240" t="s">
        <v>286</v>
      </c>
      <c r="D14" s="240" t="s">
        <v>146</v>
      </c>
      <c r="E14" s="240" t="s">
        <v>285</v>
      </c>
      <c r="F14" s="240" t="s">
        <v>287</v>
      </c>
      <c r="G14" s="240" t="s">
        <v>108</v>
      </c>
      <c r="H14" s="173" t="s">
        <v>284</v>
      </c>
      <c r="I14" s="96"/>
      <c r="J14" s="96"/>
      <c r="K14" s="96"/>
      <c r="L14" s="96"/>
      <c r="P14" s="95"/>
      <c r="Q14" s="96"/>
    </row>
    <row r="15" spans="1:20">
      <c r="A15" s="286" t="s">
        <v>476</v>
      </c>
      <c r="B15" s="252" t="s">
        <v>12</v>
      </c>
      <c r="C15" s="287"/>
      <c r="D15" s="287"/>
      <c r="E15" s="288" t="s">
        <v>765</v>
      </c>
      <c r="F15" s="154">
        <v>0.33</v>
      </c>
      <c r="G15" s="260" t="s">
        <v>12</v>
      </c>
      <c r="H15" s="279"/>
      <c r="I15" s="96"/>
      <c r="Q15" s="96"/>
    </row>
    <row r="16" spans="1:20" ht="24.75" customHeight="1">
      <c r="A16" s="778" t="s">
        <v>682</v>
      </c>
      <c r="B16" s="778"/>
      <c r="C16" s="778"/>
      <c r="D16" s="778"/>
      <c r="E16" s="778"/>
      <c r="F16" s="157" t="s">
        <v>280</v>
      </c>
      <c r="G16" s="158" t="s">
        <v>43</v>
      </c>
      <c r="H16" s="4"/>
      <c r="N16" s="95"/>
      <c r="Q16" s="96"/>
      <c r="T16" s="4"/>
    </row>
    <row r="17" spans="1:17">
      <c r="A17" s="779"/>
      <c r="B17" s="779"/>
      <c r="C17" s="779"/>
      <c r="D17" s="779"/>
      <c r="E17" s="779"/>
      <c r="F17" s="279"/>
      <c r="G17" s="279"/>
      <c r="H17" s="279"/>
      <c r="I17" s="92"/>
      <c r="L17" s="95"/>
      <c r="Q17" s="96"/>
    </row>
    <row r="18" spans="1:17">
      <c r="A18" s="64" t="s">
        <v>479</v>
      </c>
      <c r="B18" s="190" t="s">
        <v>301</v>
      </c>
      <c r="C18" s="190"/>
      <c r="D18" s="190"/>
      <c r="E18" s="190"/>
      <c r="F18" s="190"/>
      <c r="G18" s="291"/>
      <c r="H18" s="4"/>
      <c r="L18" s="41"/>
      <c r="Q18" s="96"/>
    </row>
    <row r="19" spans="1:17" ht="39.5" hidden="1">
      <c r="A19" s="4"/>
      <c r="B19" s="269" t="s">
        <v>284</v>
      </c>
      <c r="C19" s="4"/>
      <c r="D19" s="4"/>
      <c r="E19" s="279"/>
      <c r="F19" s="279"/>
      <c r="G19" s="4"/>
      <c r="H19" s="4"/>
      <c r="L19" s="41"/>
      <c r="Q19" s="96"/>
    </row>
    <row r="20" spans="1:17" ht="36.5" hidden="1">
      <c r="A20" s="4"/>
      <c r="B20" s="4"/>
      <c r="C20" s="4"/>
      <c r="D20" s="4"/>
      <c r="E20" s="279"/>
      <c r="F20" s="279"/>
      <c r="G20" s="4"/>
      <c r="H20" s="4"/>
      <c r="L20" s="41"/>
      <c r="Q20" s="120" t="s">
        <v>284</v>
      </c>
    </row>
    <row r="21" spans="1:17" hidden="1">
      <c r="A21" s="4"/>
      <c r="B21" s="4"/>
      <c r="C21" s="4"/>
      <c r="D21" s="4"/>
      <c r="E21" s="279"/>
      <c r="F21" s="279"/>
      <c r="G21" s="4"/>
      <c r="H21" s="4"/>
      <c r="L21" s="41"/>
    </row>
    <row r="22" spans="1:17" hidden="1">
      <c r="A22" s="4"/>
      <c r="B22" s="4"/>
      <c r="C22" s="4"/>
      <c r="D22" s="4"/>
      <c r="E22" s="279"/>
      <c r="F22" s="279"/>
      <c r="G22" s="4"/>
      <c r="H22" s="4"/>
      <c r="L22" s="41"/>
    </row>
    <row r="23" spans="1:17" hidden="1">
      <c r="A23" s="4"/>
      <c r="B23" s="4"/>
      <c r="C23" s="4"/>
      <c r="D23" s="4"/>
      <c r="E23" s="279"/>
      <c r="F23" s="279"/>
      <c r="G23" s="4"/>
      <c r="H23" s="4"/>
      <c r="L23" s="41"/>
      <c r="M23" s="39"/>
    </row>
    <row r="24" spans="1:17" hidden="1">
      <c r="A24" s="4"/>
      <c r="B24" s="4"/>
      <c r="C24" s="4"/>
      <c r="D24" s="4"/>
      <c r="E24" s="279"/>
      <c r="F24" s="279"/>
      <c r="G24" s="4"/>
      <c r="H24" s="4"/>
      <c r="L24" s="41"/>
      <c r="M24" s="39"/>
    </row>
    <row r="25" spans="1:17" hidden="1">
      <c r="A25" s="4"/>
      <c r="B25" s="4"/>
      <c r="C25" s="4"/>
      <c r="D25" s="4"/>
      <c r="E25" s="279"/>
      <c r="F25" s="279"/>
      <c r="G25" s="4"/>
      <c r="H25" s="4"/>
      <c r="L25" s="41"/>
      <c r="M25" s="39"/>
    </row>
    <row r="26" spans="1:17" hidden="1">
      <c r="A26" s="4"/>
      <c r="B26" s="4"/>
      <c r="C26" s="4"/>
      <c r="D26" s="4"/>
      <c r="E26" s="279"/>
      <c r="F26" s="279"/>
      <c r="G26" s="4"/>
      <c r="H26" s="4"/>
      <c r="L26" s="41"/>
      <c r="M26" s="39"/>
    </row>
    <row r="27" spans="1:17" hidden="1">
      <c r="A27" s="4"/>
      <c r="B27" s="4"/>
      <c r="C27" s="4"/>
      <c r="D27" s="4"/>
      <c r="E27" s="279"/>
      <c r="F27" s="279"/>
      <c r="G27" s="4"/>
      <c r="H27" s="4"/>
      <c r="L27" s="41"/>
      <c r="M27" s="39"/>
    </row>
    <row r="28" spans="1:17" hidden="1">
      <c r="A28" s="4"/>
      <c r="B28" s="4"/>
      <c r="C28" s="4"/>
      <c r="D28" s="4"/>
      <c r="E28" s="279"/>
      <c r="F28" s="279"/>
      <c r="G28" s="4"/>
      <c r="H28" s="4"/>
      <c r="L28" s="41"/>
      <c r="M28" s="39"/>
    </row>
    <row r="29" spans="1:17" ht="26.5">
      <c r="A29" s="279"/>
      <c r="B29" s="289" t="s">
        <v>289</v>
      </c>
      <c r="C29" s="279"/>
      <c r="D29" s="279"/>
      <c r="E29" s="279"/>
      <c r="F29" s="279"/>
      <c r="G29" s="290" t="s">
        <v>108</v>
      </c>
      <c r="I29" s="96"/>
      <c r="M29" s="41"/>
      <c r="N29" s="39"/>
    </row>
    <row r="30" spans="1:17" ht="26.5">
      <c r="A30" s="4"/>
      <c r="B30" s="269" t="s">
        <v>76</v>
      </c>
      <c r="C30" s="4"/>
      <c r="D30" s="4"/>
      <c r="E30" s="4"/>
      <c r="F30" s="40"/>
      <c r="G30" s="269" t="s">
        <v>284</v>
      </c>
      <c r="L30" s="41"/>
      <c r="M30" s="39"/>
    </row>
    <row r="31" spans="1:17">
      <c r="A31" s="4"/>
      <c r="B31" s="269" t="s">
        <v>81</v>
      </c>
      <c r="C31" s="4"/>
      <c r="D31" s="4"/>
      <c r="E31" s="4"/>
      <c r="F31" s="4"/>
      <c r="G31" s="4"/>
      <c r="H31" s="4"/>
      <c r="L31" s="41"/>
      <c r="M31" s="39"/>
    </row>
    <row r="32" spans="1:17">
      <c r="A32" s="4"/>
      <c r="B32" s="4"/>
      <c r="C32" s="4"/>
      <c r="D32" s="4"/>
      <c r="E32" s="165"/>
      <c r="F32" s="4"/>
      <c r="G32" s="4"/>
      <c r="H32" s="4"/>
      <c r="L32" s="41"/>
      <c r="M32" s="39"/>
    </row>
    <row r="33" spans="3:16" ht="15" customHeight="1">
      <c r="E33" s="86"/>
      <c r="F33" s="86"/>
      <c r="G33" s="86"/>
      <c r="H33" s="86"/>
      <c r="L33" s="41"/>
      <c r="M33" s="39"/>
    </row>
    <row r="34" spans="3:16">
      <c r="E34" s="86"/>
      <c r="F34" s="86"/>
      <c r="G34" s="86"/>
      <c r="H34" s="86"/>
      <c r="L34" s="41"/>
      <c r="M34" s="39"/>
    </row>
    <row r="35" spans="3:16">
      <c r="E35" s="86"/>
      <c r="F35" s="86"/>
      <c r="G35" s="86"/>
      <c r="H35" s="86"/>
      <c r="L35" s="85"/>
      <c r="M35" s="38"/>
      <c r="O35" s="85"/>
    </row>
    <row r="36" spans="3:16">
      <c r="E36" s="86"/>
      <c r="F36" s="86"/>
      <c r="G36" s="86"/>
      <c r="H36" s="86"/>
      <c r="L36" s="43"/>
      <c r="M36" s="39"/>
      <c r="O36" s="44"/>
      <c r="P36" s="41"/>
    </row>
    <row r="37" spans="3:16">
      <c r="E37" s="86"/>
      <c r="F37" s="86"/>
      <c r="G37" s="86"/>
      <c r="H37" s="86"/>
      <c r="L37" s="43"/>
      <c r="M37" s="39"/>
      <c r="O37" s="41"/>
      <c r="P37" s="41"/>
    </row>
    <row r="38" spans="3:16">
      <c r="E38" s="86"/>
      <c r="F38" s="86"/>
      <c r="G38" s="86"/>
      <c r="H38" s="86"/>
      <c r="K38" s="46"/>
      <c r="L38" s="47"/>
      <c r="N38" s="41"/>
      <c r="O38" s="41"/>
    </row>
    <row r="39" spans="3:16">
      <c r="E39" s="86"/>
      <c r="F39" s="86"/>
      <c r="G39" s="86"/>
      <c r="H39" s="86"/>
    </row>
    <row r="40" spans="3:16" ht="15.75" customHeight="1">
      <c r="E40" s="86"/>
      <c r="F40" s="86"/>
      <c r="G40" s="86"/>
      <c r="H40" s="86"/>
      <c r="I40" s="48"/>
      <c r="J40" s="48"/>
      <c r="K40" s="48"/>
      <c r="M40" s="41"/>
      <c r="N40" s="41"/>
      <c r="O40" s="41"/>
    </row>
    <row r="41" spans="3:16" ht="17.25" customHeight="1">
      <c r="E41" s="86"/>
      <c r="F41" s="86"/>
      <c r="G41" s="86"/>
      <c r="H41" s="86"/>
      <c r="I41" s="39"/>
      <c r="J41" s="39"/>
      <c r="K41" s="753"/>
      <c r="L41" s="753"/>
      <c r="M41" s="85"/>
      <c r="N41" s="41"/>
      <c r="O41" s="41"/>
    </row>
    <row r="42" spans="3:16">
      <c r="C42" s="87"/>
      <c r="D42" s="87"/>
      <c r="E42" s="86"/>
      <c r="F42" s="86"/>
      <c r="G42" s="86"/>
      <c r="H42" s="86"/>
      <c r="I42" s="44"/>
      <c r="J42" s="44"/>
      <c r="K42" s="44"/>
      <c r="L42" s="44"/>
      <c r="M42" s="44"/>
      <c r="N42" s="41"/>
      <c r="O42" s="41"/>
    </row>
    <row r="43" spans="3:16">
      <c r="E43" s="86"/>
      <c r="F43" s="86"/>
      <c r="G43" s="86"/>
      <c r="H43" s="86"/>
      <c r="I43" s="41"/>
      <c r="J43" s="49"/>
      <c r="K43" s="40"/>
      <c r="L43" s="40"/>
      <c r="M43" s="41"/>
      <c r="N43" s="41"/>
      <c r="O43" s="41"/>
    </row>
    <row r="44" spans="3:16">
      <c r="E44" s="86"/>
      <c r="F44" s="86"/>
      <c r="G44" s="86"/>
      <c r="H44" s="86"/>
      <c r="I44" s="41"/>
      <c r="J44" s="49"/>
      <c r="K44" s="40"/>
      <c r="L44" s="40"/>
      <c r="M44" s="41"/>
      <c r="N44" s="41"/>
      <c r="O44" s="41"/>
    </row>
    <row r="45" spans="3:16">
      <c r="E45" s="774"/>
      <c r="F45" s="774"/>
      <c r="G45" s="774"/>
      <c r="H45" s="774"/>
      <c r="I45" s="41"/>
      <c r="J45" s="49"/>
      <c r="K45" s="40"/>
      <c r="L45" s="40"/>
      <c r="M45" s="41"/>
    </row>
    <row r="46" spans="3:16">
      <c r="E46" s="754"/>
      <c r="F46" s="754"/>
      <c r="G46" s="754"/>
      <c r="H46" s="754"/>
      <c r="I46" s="41"/>
      <c r="J46" s="49"/>
      <c r="K46" s="40"/>
      <c r="L46" s="40"/>
      <c r="M46" s="41"/>
      <c r="N46" s="85"/>
    </row>
    <row r="47" spans="3:16">
      <c r="E47" s="41"/>
      <c r="F47" s="41"/>
      <c r="G47" s="41"/>
      <c r="H47" s="41"/>
      <c r="I47" s="41"/>
      <c r="J47" s="49"/>
      <c r="K47" s="40"/>
      <c r="L47" s="40"/>
      <c r="M47" s="41"/>
      <c r="N47" s="44"/>
      <c r="O47" s="41"/>
    </row>
    <row r="48" spans="3:16">
      <c r="E48" s="41"/>
      <c r="F48" s="41"/>
      <c r="G48" s="41"/>
      <c r="H48" s="41"/>
      <c r="I48" s="44"/>
      <c r="J48" s="49"/>
      <c r="K48" s="40"/>
      <c r="L48" s="40"/>
      <c r="M48" s="41"/>
      <c r="N48" s="50"/>
      <c r="O48" s="41"/>
    </row>
    <row r="49" spans="3:15">
      <c r="E49" s="41"/>
      <c r="F49" s="41"/>
      <c r="G49" s="41"/>
      <c r="H49" s="41"/>
      <c r="I49" s="41"/>
      <c r="J49" s="49"/>
      <c r="K49" s="40"/>
      <c r="L49" s="40"/>
      <c r="M49" s="41"/>
      <c r="N49" s="50"/>
      <c r="O49" s="41"/>
    </row>
    <row r="50" spans="3:15">
      <c r="E50" s="41"/>
      <c r="F50" s="41"/>
      <c r="G50" s="41"/>
      <c r="H50" s="41"/>
      <c r="I50" s="41"/>
      <c r="J50" s="49"/>
      <c r="K50" s="40"/>
      <c r="L50" s="40"/>
      <c r="M50" s="41"/>
      <c r="N50" s="50"/>
      <c r="O50" s="41"/>
    </row>
    <row r="51" spans="3:15">
      <c r="M51" s="41"/>
      <c r="N51" s="50"/>
      <c r="O51" s="41"/>
    </row>
    <row r="52" spans="3:15">
      <c r="C52" s="39"/>
      <c r="D52" s="39"/>
      <c r="E52" s="39"/>
      <c r="F52" s="39"/>
      <c r="G52" s="39"/>
      <c r="H52" s="39"/>
      <c r="I52" s="39"/>
      <c r="J52" s="39"/>
      <c r="K52" s="753"/>
      <c r="L52" s="753"/>
      <c r="M52" s="85"/>
      <c r="N52" s="50"/>
      <c r="O52" s="41"/>
    </row>
    <row r="53" spans="3:15">
      <c r="C53" s="39"/>
      <c r="D53" s="39"/>
      <c r="E53" s="44"/>
      <c r="F53" s="44"/>
      <c r="G53" s="44"/>
      <c r="H53" s="44"/>
      <c r="I53" s="44"/>
      <c r="J53" s="44"/>
      <c r="K53" s="44"/>
      <c r="L53" s="44"/>
      <c r="M53" s="44"/>
      <c r="N53" s="50"/>
      <c r="O53" s="41"/>
    </row>
    <row r="54" spans="3:15">
      <c r="C54" s="39"/>
      <c r="D54" s="39"/>
      <c r="E54" s="41"/>
      <c r="F54" s="41"/>
      <c r="G54" s="41"/>
      <c r="H54" s="41"/>
      <c r="I54" s="41"/>
      <c r="J54" s="49"/>
      <c r="K54" s="40"/>
      <c r="L54" s="40"/>
      <c r="M54" s="41"/>
      <c r="N54" s="50"/>
      <c r="O54" s="41"/>
    </row>
    <row r="55" spans="3:15">
      <c r="C55" s="39"/>
      <c r="D55" s="39"/>
      <c r="E55" s="41"/>
      <c r="F55" s="41"/>
      <c r="G55" s="41"/>
      <c r="H55" s="41"/>
      <c r="I55" s="41"/>
      <c r="J55" s="49"/>
      <c r="K55" s="40"/>
      <c r="L55" s="40"/>
      <c r="M55" s="41"/>
      <c r="N55" s="41"/>
      <c r="O55" s="41"/>
    </row>
    <row r="56" spans="3:15">
      <c r="C56" s="39"/>
      <c r="D56" s="39"/>
      <c r="E56" s="41"/>
      <c r="F56" s="41"/>
      <c r="G56" s="41"/>
      <c r="H56" s="41"/>
      <c r="I56" s="41"/>
      <c r="J56" s="49"/>
      <c r="K56" s="40"/>
      <c r="L56" s="40"/>
      <c r="M56" s="41"/>
    </row>
    <row r="57" spans="3:15">
      <c r="E57" s="41"/>
      <c r="F57" s="41"/>
      <c r="G57" s="41"/>
      <c r="H57" s="41"/>
      <c r="I57" s="41"/>
      <c r="J57" s="49"/>
      <c r="K57" s="40"/>
      <c r="L57" s="40"/>
      <c r="M57" s="41"/>
    </row>
    <row r="58" spans="3:15">
      <c r="E58" s="41"/>
      <c r="F58" s="41"/>
      <c r="G58" s="41"/>
      <c r="H58" s="41"/>
      <c r="I58" s="41"/>
      <c r="J58" s="49"/>
      <c r="K58" s="40"/>
      <c r="L58" s="40"/>
      <c r="M58" s="41"/>
    </row>
    <row r="59" spans="3:15">
      <c r="E59" s="41"/>
      <c r="F59" s="41"/>
      <c r="G59" s="41"/>
      <c r="H59" s="41"/>
      <c r="I59" s="41"/>
      <c r="J59" s="49"/>
      <c r="K59" s="40"/>
      <c r="L59" s="40"/>
      <c r="M59" s="41"/>
    </row>
    <row r="60" spans="3:15">
      <c r="E60" s="41"/>
      <c r="F60" s="41"/>
      <c r="G60" s="41"/>
      <c r="H60" s="41"/>
      <c r="I60" s="41"/>
      <c r="J60" s="49"/>
      <c r="K60" s="40"/>
      <c r="L60" s="40"/>
      <c r="M60" s="41"/>
    </row>
    <row r="61" spans="3:15">
      <c r="C61" s="39"/>
      <c r="D61" s="39"/>
      <c r="E61" s="41"/>
      <c r="F61" s="41"/>
      <c r="G61" s="41"/>
      <c r="H61" s="41"/>
      <c r="I61" s="41"/>
      <c r="J61" s="49"/>
      <c r="K61" s="40"/>
      <c r="L61" s="40"/>
      <c r="M61" s="41"/>
    </row>
  </sheetData>
  <mergeCells count="13">
    <mergeCell ref="A6:H6"/>
    <mergeCell ref="A3:H3"/>
    <mergeCell ref="A4:H4"/>
    <mergeCell ref="K52:L52"/>
    <mergeCell ref="K41:L41"/>
    <mergeCell ref="E45:H45"/>
    <mergeCell ref="E46:H46"/>
    <mergeCell ref="C10:E10"/>
    <mergeCell ref="A11:E11"/>
    <mergeCell ref="A16:E17"/>
    <mergeCell ref="A13:A14"/>
    <mergeCell ref="B13:B14"/>
    <mergeCell ref="C13:G13"/>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7"/>
  <sheetViews>
    <sheetView zoomScale="60" zoomScaleNormal="60" workbookViewId="0">
      <selection activeCell="B29" sqref="B29"/>
    </sheetView>
  </sheetViews>
  <sheetFormatPr defaultColWidth="9.1796875" defaultRowHeight="14.5"/>
  <cols>
    <col min="1" max="3" width="14.81640625" customWidth="1"/>
    <col min="4" max="4" width="19" customWidth="1"/>
    <col min="5" max="5" width="11.81640625" customWidth="1"/>
    <col min="6" max="6" width="46.81640625" customWidth="1"/>
    <col min="7" max="8" width="12.1796875" customWidth="1"/>
    <col min="9" max="9" width="14.54296875" customWidth="1"/>
    <col min="10" max="10" width="8.1796875" customWidth="1"/>
    <col min="11" max="11" width="15.1796875" customWidth="1"/>
    <col min="12" max="12" width="45.453125" customWidth="1"/>
    <col min="13" max="13" width="23.81640625" customWidth="1"/>
    <col min="14" max="14" width="9.1796875" customWidth="1"/>
    <col min="15" max="16" width="8.81640625" customWidth="1"/>
  </cols>
  <sheetData>
    <row r="1" spans="1:14">
      <c r="A1" s="20"/>
      <c r="B1" s="20"/>
      <c r="C1" t="s">
        <v>59</v>
      </c>
      <c r="D1" s="21"/>
      <c r="E1" s="21"/>
      <c r="F1" t="s">
        <v>60</v>
      </c>
      <c r="G1" s="82"/>
      <c r="H1" t="s">
        <v>61</v>
      </c>
      <c r="I1" s="22"/>
      <c r="J1" t="s">
        <v>62</v>
      </c>
    </row>
    <row r="3" spans="1:14">
      <c r="A3" s="548" t="s">
        <v>307</v>
      </c>
      <c r="B3" s="548"/>
      <c r="C3" s="548"/>
      <c r="D3" s="548"/>
      <c r="E3" s="548"/>
      <c r="F3" s="548"/>
      <c r="G3" s="96"/>
      <c r="H3" s="96"/>
      <c r="L3" s="95"/>
    </row>
    <row r="4" spans="1:14" ht="20.5" customHeight="1">
      <c r="A4" s="745" t="s">
        <v>683</v>
      </c>
      <c r="B4" s="745"/>
      <c r="C4" s="745"/>
      <c r="D4" s="745"/>
      <c r="E4" s="745"/>
      <c r="F4" s="745"/>
      <c r="G4" s="96"/>
      <c r="H4" s="96"/>
      <c r="L4" s="95"/>
    </row>
    <row r="5" spans="1:14">
      <c r="A5" s="720" t="s">
        <v>44</v>
      </c>
      <c r="B5" s="720"/>
      <c r="C5" s="720"/>
      <c r="D5" s="720"/>
      <c r="E5" s="720"/>
      <c r="F5" s="720"/>
      <c r="G5" s="180"/>
      <c r="H5" s="180"/>
      <c r="I5" s="180"/>
      <c r="J5" s="180"/>
      <c r="K5" s="92"/>
    </row>
    <row r="6" spans="1:14" ht="15" customHeight="1">
      <c r="A6" s="602" t="s">
        <v>291</v>
      </c>
      <c r="B6" s="690"/>
      <c r="C6" s="690"/>
      <c r="D6" s="690"/>
      <c r="E6" s="690"/>
      <c r="F6" s="690"/>
      <c r="G6" s="54"/>
      <c r="H6" s="54"/>
      <c r="I6" s="54"/>
      <c r="J6" s="54"/>
    </row>
    <row r="7" spans="1:14" ht="28.5" customHeight="1">
      <c r="A7" s="690"/>
      <c r="B7" s="690"/>
      <c r="C7" s="690"/>
      <c r="D7" s="690"/>
      <c r="E7" s="690"/>
      <c r="F7" s="690"/>
      <c r="G7" s="54"/>
      <c r="H7" s="54"/>
      <c r="I7" s="54"/>
      <c r="J7" s="54"/>
    </row>
    <row r="8" spans="1:14" ht="13.5" customHeight="1">
      <c r="A8" s="680" t="s">
        <v>12</v>
      </c>
      <c r="B8" s="680"/>
      <c r="C8" s="680"/>
      <c r="D8" s="680"/>
      <c r="E8" s="680"/>
      <c r="F8" s="680"/>
      <c r="G8" s="547"/>
      <c r="H8" s="547"/>
      <c r="I8" s="547"/>
      <c r="J8" s="547"/>
    </row>
    <row r="9" spans="1:14" ht="13.5" customHeight="1">
      <c r="A9" s="234"/>
      <c r="B9" s="234"/>
      <c r="C9" s="234"/>
      <c r="D9" s="234"/>
      <c r="E9" s="234"/>
      <c r="F9" s="234"/>
      <c r="G9" s="368"/>
      <c r="H9" s="368"/>
      <c r="I9" s="368"/>
      <c r="J9" s="140"/>
    </row>
    <row r="10" spans="1:14" ht="15" customHeight="1">
      <c r="A10" s="633" t="s">
        <v>210</v>
      </c>
      <c r="B10" s="633"/>
      <c r="C10" s="633"/>
      <c r="D10" s="633"/>
      <c r="E10" s="633"/>
      <c r="F10" s="633"/>
      <c r="J10" s="96"/>
      <c r="K10" s="92"/>
      <c r="N10" s="95"/>
    </row>
    <row r="11" spans="1:14">
      <c r="A11" s="696" t="s">
        <v>290</v>
      </c>
      <c r="B11" s="696"/>
      <c r="C11" s="696"/>
      <c r="D11" s="696"/>
      <c r="E11" s="696"/>
      <c r="F11" s="696"/>
      <c r="J11" s="96"/>
      <c r="K11" s="92"/>
      <c r="N11" s="95"/>
    </row>
    <row r="12" spans="1:14">
      <c r="A12" s="696" t="s">
        <v>432</v>
      </c>
      <c r="B12" s="696"/>
      <c r="C12" s="696"/>
      <c r="D12" s="696"/>
      <c r="E12" s="696"/>
      <c r="F12" s="696"/>
      <c r="J12" s="96"/>
      <c r="K12" s="92"/>
      <c r="N12" s="95"/>
    </row>
    <row r="13" spans="1:14">
      <c r="E13" s="96"/>
      <c r="F13" s="96"/>
      <c r="G13" s="96"/>
      <c r="H13" s="96"/>
      <c r="L13" s="41"/>
      <c r="M13" s="39"/>
    </row>
    <row r="14" spans="1:14">
      <c r="E14" s="96"/>
      <c r="F14" s="96"/>
      <c r="G14" s="96"/>
      <c r="H14" s="96"/>
      <c r="L14" s="41"/>
      <c r="M14" s="39"/>
    </row>
    <row r="15" spans="1:14">
      <c r="A15" s="110"/>
      <c r="B15" s="96"/>
      <c r="C15" s="96"/>
      <c r="D15" s="96"/>
      <c r="E15" s="96"/>
      <c r="F15" s="96"/>
      <c r="G15" s="96"/>
      <c r="H15" s="96"/>
      <c r="I15" s="96"/>
      <c r="M15" s="41"/>
      <c r="N15" s="39"/>
    </row>
    <row r="16" spans="1:14">
      <c r="F16" s="40"/>
      <c r="G16" s="40"/>
      <c r="H16" s="40"/>
      <c r="L16" s="41"/>
      <c r="M16" s="39"/>
    </row>
    <row r="17" spans="3:16">
      <c r="L17" s="41"/>
      <c r="M17" s="39"/>
    </row>
    <row r="18" spans="3:16">
      <c r="C18" s="737"/>
      <c r="D18" s="737"/>
      <c r="E18" s="782"/>
      <c r="F18" s="783"/>
      <c r="G18" s="783"/>
      <c r="H18" s="783"/>
      <c r="L18" s="41"/>
      <c r="M18" s="39"/>
    </row>
    <row r="19" spans="3:16" ht="15" customHeight="1">
      <c r="C19" s="737"/>
      <c r="D19" s="737"/>
      <c r="E19" s="86"/>
      <c r="F19" s="86"/>
      <c r="G19" s="86"/>
      <c r="H19" s="86"/>
      <c r="L19" s="41"/>
      <c r="M19" s="39"/>
    </row>
    <row r="20" spans="3:16">
      <c r="C20" s="737"/>
      <c r="D20" s="737"/>
      <c r="E20" s="86"/>
      <c r="F20" s="86"/>
      <c r="G20" s="86"/>
      <c r="H20" s="86"/>
      <c r="L20" s="41"/>
      <c r="M20" s="39"/>
    </row>
    <row r="21" spans="3:16">
      <c r="C21" s="737"/>
      <c r="D21" s="737"/>
      <c r="E21" s="86"/>
      <c r="F21" s="86"/>
      <c r="G21" s="86"/>
      <c r="H21" s="86"/>
      <c r="L21" s="85"/>
      <c r="M21" s="38"/>
      <c r="O21" s="85"/>
    </row>
    <row r="22" spans="3:16">
      <c r="C22" s="737"/>
      <c r="D22" s="737"/>
      <c r="E22" s="86"/>
      <c r="F22" s="86"/>
      <c r="G22" s="86"/>
      <c r="H22" s="86"/>
      <c r="L22" s="43"/>
      <c r="M22" s="39"/>
      <c r="O22" s="44"/>
      <c r="P22" s="41"/>
    </row>
    <row r="23" spans="3:16">
      <c r="C23" s="737"/>
      <c r="D23" s="737"/>
      <c r="E23" s="86"/>
      <c r="F23" s="86"/>
      <c r="G23" s="86"/>
      <c r="H23" s="86"/>
      <c r="L23" s="43"/>
      <c r="M23" s="39"/>
      <c r="O23" s="41"/>
      <c r="P23" s="41"/>
    </row>
    <row r="24" spans="3:16">
      <c r="E24" s="86"/>
      <c r="F24" s="86"/>
      <c r="G24" s="86"/>
      <c r="H24" s="86"/>
      <c r="K24" s="46"/>
      <c r="L24" s="47"/>
      <c r="N24" s="41"/>
      <c r="O24" s="41"/>
    </row>
    <row r="25" spans="3:16">
      <c r="C25" s="87"/>
      <c r="D25" s="87"/>
      <c r="E25" s="86"/>
      <c r="F25" s="86"/>
      <c r="G25" s="86"/>
      <c r="H25" s="86"/>
      <c r="M25" s="41"/>
      <c r="N25" s="41"/>
      <c r="O25" s="41"/>
    </row>
    <row r="26" spans="3:16" ht="27.75" customHeight="1">
      <c r="C26" s="87"/>
      <c r="D26" s="87"/>
      <c r="E26" s="86"/>
      <c r="F26" s="86"/>
      <c r="G26" s="86"/>
      <c r="H26" s="86"/>
      <c r="I26" s="48"/>
      <c r="J26" s="48"/>
      <c r="K26" s="48"/>
      <c r="M26" s="41"/>
      <c r="N26" s="41"/>
      <c r="O26" s="41"/>
    </row>
    <row r="27" spans="3:16" ht="86.25" customHeight="1">
      <c r="C27" s="87"/>
      <c r="D27" s="87"/>
      <c r="E27" s="86"/>
      <c r="F27" s="86"/>
      <c r="G27" s="86"/>
      <c r="H27" s="86"/>
      <c r="I27" s="39"/>
      <c r="J27" s="39"/>
      <c r="K27" s="753"/>
      <c r="L27" s="753"/>
      <c r="M27" s="85"/>
      <c r="N27" s="41"/>
      <c r="O27" s="41"/>
    </row>
    <row r="28" spans="3:16">
      <c r="C28" s="87"/>
      <c r="D28" s="87"/>
      <c r="E28" s="754"/>
      <c r="F28" s="754"/>
      <c r="G28" s="754"/>
      <c r="H28" s="754"/>
      <c r="I28" s="44"/>
      <c r="J28" s="44"/>
      <c r="K28" s="44"/>
      <c r="L28" s="44"/>
      <c r="M28" s="44"/>
      <c r="N28" s="41"/>
      <c r="O28" s="41"/>
    </row>
    <row r="29" spans="3:16">
      <c r="E29" s="754"/>
      <c r="F29" s="754"/>
      <c r="G29" s="754"/>
      <c r="H29" s="754"/>
      <c r="I29" s="41"/>
      <c r="J29" s="49"/>
      <c r="K29" s="40"/>
      <c r="L29" s="40"/>
      <c r="M29" s="41"/>
      <c r="N29" s="41"/>
      <c r="O29" s="41"/>
    </row>
    <row r="30" spans="3:16">
      <c r="E30" s="754"/>
      <c r="F30" s="754"/>
      <c r="G30" s="754"/>
      <c r="H30" s="754"/>
      <c r="I30" s="41"/>
      <c r="J30" s="49"/>
      <c r="K30" s="40"/>
      <c r="L30" s="40"/>
      <c r="M30" s="41"/>
      <c r="N30" s="41"/>
      <c r="O30" s="41"/>
    </row>
    <row r="31" spans="3:16">
      <c r="E31" s="774"/>
      <c r="F31" s="774"/>
      <c r="G31" s="774"/>
      <c r="H31" s="774"/>
      <c r="I31" s="41"/>
      <c r="J31" s="49"/>
      <c r="K31" s="40"/>
      <c r="L31" s="40"/>
      <c r="M31" s="41"/>
    </row>
    <row r="32" spans="3:16">
      <c r="E32" s="754"/>
      <c r="F32" s="754"/>
      <c r="G32" s="754"/>
      <c r="H32" s="754"/>
      <c r="I32" s="41"/>
      <c r="J32" s="49"/>
      <c r="K32" s="40"/>
      <c r="L32" s="40"/>
      <c r="M32" s="41"/>
      <c r="N32" s="85"/>
    </row>
    <row r="33" spans="3:15">
      <c r="E33" s="41"/>
      <c r="F33" s="41"/>
      <c r="G33" s="41"/>
      <c r="H33" s="41"/>
      <c r="I33" s="41"/>
      <c r="J33" s="49"/>
      <c r="K33" s="40"/>
      <c r="L33" s="40"/>
      <c r="M33" s="41"/>
      <c r="N33" s="44"/>
      <c r="O33" s="41"/>
    </row>
    <row r="34" spans="3:15">
      <c r="E34" s="41"/>
      <c r="F34" s="41"/>
      <c r="G34" s="41"/>
      <c r="H34" s="41"/>
      <c r="I34" s="44"/>
      <c r="J34" s="49"/>
      <c r="K34" s="40"/>
      <c r="L34" s="40"/>
      <c r="M34" s="41"/>
      <c r="N34" s="50"/>
      <c r="O34" s="41"/>
    </row>
    <row r="35" spans="3:15">
      <c r="E35" s="41"/>
      <c r="F35" s="41"/>
      <c r="G35" s="41"/>
      <c r="H35" s="41"/>
      <c r="I35" s="41"/>
      <c r="J35" s="49"/>
      <c r="K35" s="40"/>
      <c r="L35" s="40"/>
      <c r="M35" s="41"/>
      <c r="N35" s="50"/>
      <c r="O35" s="41"/>
    </row>
    <row r="36" spans="3:15">
      <c r="E36" s="41"/>
      <c r="F36" s="41"/>
      <c r="G36" s="41"/>
      <c r="H36" s="41"/>
      <c r="I36" s="41"/>
      <c r="J36" s="49"/>
      <c r="K36" s="40"/>
      <c r="L36" s="40"/>
      <c r="M36" s="41"/>
      <c r="N36" s="50"/>
      <c r="O36" s="41"/>
    </row>
    <row r="37" spans="3:15">
      <c r="M37" s="41"/>
      <c r="N37" s="50"/>
      <c r="O37" s="41"/>
    </row>
    <row r="38" spans="3:15">
      <c r="C38" s="39"/>
      <c r="D38" s="39"/>
      <c r="E38" s="39"/>
      <c r="F38" s="39"/>
      <c r="G38" s="39"/>
      <c r="H38" s="39"/>
      <c r="I38" s="39"/>
      <c r="J38" s="39"/>
      <c r="K38" s="753"/>
      <c r="L38" s="753"/>
      <c r="M38" s="85"/>
      <c r="N38" s="50"/>
      <c r="O38" s="41"/>
    </row>
    <row r="39" spans="3:15">
      <c r="C39" s="39"/>
      <c r="D39" s="39"/>
      <c r="E39" s="44"/>
      <c r="F39" s="44"/>
      <c r="G39" s="44"/>
      <c r="H39" s="44"/>
      <c r="I39" s="44"/>
      <c r="J39" s="44"/>
      <c r="K39" s="44"/>
      <c r="L39" s="44"/>
      <c r="M39" s="44"/>
      <c r="N39" s="50"/>
      <c r="O39" s="41"/>
    </row>
    <row r="40" spans="3:15">
      <c r="C40" s="39"/>
      <c r="D40" s="39"/>
      <c r="E40" s="41"/>
      <c r="F40" s="41"/>
      <c r="G40" s="41"/>
      <c r="H40" s="41"/>
      <c r="I40" s="41"/>
      <c r="J40" s="49"/>
      <c r="K40" s="40"/>
      <c r="L40" s="40"/>
      <c r="M40" s="41"/>
      <c r="N40" s="50"/>
      <c r="O40" s="41"/>
    </row>
    <row r="41" spans="3:15">
      <c r="C41" s="39"/>
      <c r="D41" s="39"/>
      <c r="E41" s="41"/>
      <c r="F41" s="41"/>
      <c r="G41" s="41"/>
      <c r="H41" s="41"/>
      <c r="I41" s="41"/>
      <c r="J41" s="49"/>
      <c r="K41" s="40"/>
      <c r="L41" s="40"/>
      <c r="M41" s="41"/>
      <c r="N41" s="41"/>
      <c r="O41" s="41"/>
    </row>
    <row r="42" spans="3:15">
      <c r="C42" s="39"/>
      <c r="D42" s="39"/>
      <c r="E42" s="41"/>
      <c r="F42" s="41"/>
      <c r="G42" s="41"/>
      <c r="H42" s="41"/>
      <c r="I42" s="41"/>
      <c r="J42" s="49"/>
      <c r="K42" s="40"/>
      <c r="L42" s="40"/>
      <c r="M42" s="41"/>
    </row>
    <row r="43" spans="3:15">
      <c r="E43" s="41"/>
      <c r="F43" s="41"/>
      <c r="G43" s="41"/>
      <c r="H43" s="41"/>
      <c r="I43" s="41"/>
      <c r="J43" s="49"/>
      <c r="K43" s="40"/>
      <c r="L43" s="40"/>
      <c r="M43" s="41"/>
    </row>
    <row r="44" spans="3:15">
      <c r="E44" s="41"/>
      <c r="F44" s="41"/>
      <c r="G44" s="41"/>
      <c r="H44" s="41"/>
      <c r="I44" s="41"/>
      <c r="J44" s="49"/>
      <c r="K44" s="40"/>
      <c r="L44" s="40"/>
      <c r="M44" s="41"/>
    </row>
    <row r="45" spans="3:15">
      <c r="E45" s="41"/>
      <c r="F45" s="41"/>
      <c r="G45" s="41"/>
      <c r="H45" s="41"/>
      <c r="I45" s="41"/>
      <c r="J45" s="49"/>
      <c r="K45" s="40"/>
      <c r="L45" s="40"/>
      <c r="M45" s="41"/>
    </row>
    <row r="46" spans="3:15">
      <c r="E46" s="41"/>
      <c r="F46" s="41"/>
      <c r="G46" s="41"/>
      <c r="H46" s="41"/>
      <c r="I46" s="41"/>
      <c r="J46" s="49"/>
      <c r="K46" s="40"/>
      <c r="L46" s="40"/>
      <c r="M46" s="41"/>
    </row>
    <row r="47" spans="3:15">
      <c r="C47" s="39"/>
      <c r="D47" s="39"/>
      <c r="E47" s="41"/>
      <c r="F47" s="41"/>
      <c r="G47" s="41"/>
      <c r="H47" s="41"/>
      <c r="I47" s="41"/>
      <c r="J47" s="49"/>
      <c r="K47" s="40"/>
      <c r="L47" s="40"/>
      <c r="M47" s="41"/>
    </row>
  </sheetData>
  <mergeCells count="23">
    <mergeCell ref="K38:L38"/>
    <mergeCell ref="A3:F3"/>
    <mergeCell ref="A4:F4"/>
    <mergeCell ref="K27:L27"/>
    <mergeCell ref="E28:H28"/>
    <mergeCell ref="C21:D21"/>
    <mergeCell ref="C22:D22"/>
    <mergeCell ref="C23:D23"/>
    <mergeCell ref="C18:D18"/>
    <mergeCell ref="E18:H18"/>
    <mergeCell ref="C19:D19"/>
    <mergeCell ref="E29:H29"/>
    <mergeCell ref="C20:D20"/>
    <mergeCell ref="A5:F5"/>
    <mergeCell ref="A10:F10"/>
    <mergeCell ref="A6:F7"/>
    <mergeCell ref="A8:F8"/>
    <mergeCell ref="G8:J8"/>
    <mergeCell ref="E32:H32"/>
    <mergeCell ref="A11:F11"/>
    <mergeCell ref="A12:F12"/>
    <mergeCell ref="E30:H30"/>
    <mergeCell ref="E31:H3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2"/>
  <sheetViews>
    <sheetView zoomScale="50" zoomScaleNormal="50" workbookViewId="0">
      <selection activeCell="E20" sqref="E20"/>
    </sheetView>
  </sheetViews>
  <sheetFormatPr defaultColWidth="9.1796875" defaultRowHeight="14.5"/>
  <cols>
    <col min="1" max="1" width="14.54296875" customWidth="1"/>
    <col min="2" max="2" width="43.1796875" customWidth="1"/>
    <col min="3" max="3" width="19.1796875" customWidth="1"/>
    <col min="4" max="4" width="27.1796875" customWidth="1"/>
    <col min="5" max="5" width="19.453125" customWidth="1"/>
    <col min="6" max="6" width="19.1796875" customWidth="1"/>
    <col min="7" max="7" width="14.54296875" customWidth="1"/>
    <col min="8" max="8" width="22" customWidth="1"/>
    <col min="9" max="9" width="31.1796875" customWidth="1"/>
    <col min="10" max="10" width="30.453125" customWidth="1"/>
    <col min="11" max="11" width="23.81640625" customWidth="1"/>
    <col min="12" max="12" width="9.1796875" customWidth="1"/>
    <col min="13" max="14" width="8.81640625" customWidth="1"/>
  </cols>
  <sheetData>
    <row r="1" spans="1:16">
      <c r="A1" s="20"/>
      <c r="B1" t="s">
        <v>59</v>
      </c>
      <c r="C1" s="21"/>
      <c r="D1" t="s">
        <v>60</v>
      </c>
      <c r="J1" s="82"/>
      <c r="K1" t="s">
        <v>61</v>
      </c>
      <c r="M1" s="22"/>
      <c r="N1" t="s">
        <v>62</v>
      </c>
    </row>
    <row r="3" spans="1:16">
      <c r="A3" s="726" t="s">
        <v>302</v>
      </c>
      <c r="B3" s="726"/>
      <c r="C3" s="726"/>
      <c r="D3" s="726"/>
      <c r="E3" s="726"/>
      <c r="F3" s="726"/>
      <c r="G3" s="726"/>
      <c r="H3" s="726"/>
      <c r="I3" s="726"/>
      <c r="J3" s="95"/>
    </row>
    <row r="4" spans="1:16" ht="30" customHeight="1">
      <c r="A4" s="773" t="s">
        <v>766</v>
      </c>
      <c r="B4" s="773"/>
      <c r="C4" s="773"/>
      <c r="D4" s="773"/>
      <c r="E4" s="773"/>
      <c r="F4" s="773"/>
      <c r="G4" s="773"/>
      <c r="H4" s="773"/>
      <c r="I4" s="773"/>
      <c r="J4" s="95"/>
    </row>
    <row r="5" spans="1:16" ht="19" customHeight="1">
      <c r="A5" s="787" t="s">
        <v>618</v>
      </c>
      <c r="B5" s="788"/>
      <c r="C5" s="788"/>
      <c r="D5" s="788"/>
      <c r="E5" s="788"/>
      <c r="F5" s="788"/>
      <c r="G5" s="788"/>
      <c r="H5" s="788"/>
      <c r="I5" s="789"/>
      <c r="J5" s="95"/>
    </row>
    <row r="6" spans="1:16">
      <c r="A6" s="69" t="s">
        <v>44</v>
      </c>
      <c r="B6" s="88" t="s">
        <v>45</v>
      </c>
      <c r="C6" s="88" t="s">
        <v>46</v>
      </c>
      <c r="D6" s="88" t="s">
        <v>47</v>
      </c>
      <c r="E6" s="167" t="s">
        <v>48</v>
      </c>
      <c r="F6" s="88" t="s">
        <v>53</v>
      </c>
      <c r="G6" s="88" t="s">
        <v>54</v>
      </c>
      <c r="H6" s="88" t="s">
        <v>55</v>
      </c>
      <c r="I6" s="88" t="s">
        <v>56</v>
      </c>
      <c r="J6" s="95"/>
      <c r="O6" s="84"/>
    </row>
    <row r="7" spans="1:16" ht="15" customHeight="1">
      <c r="A7" s="611" t="s">
        <v>166</v>
      </c>
      <c r="B7" s="611" t="s">
        <v>173</v>
      </c>
      <c r="C7" s="681" t="s">
        <v>767</v>
      </c>
      <c r="D7" s="684" t="s">
        <v>768</v>
      </c>
      <c r="E7" s="785" t="s">
        <v>769</v>
      </c>
      <c r="F7" s="785"/>
      <c r="G7" s="785"/>
      <c r="H7" s="684" t="s">
        <v>770</v>
      </c>
      <c r="I7" s="684" t="s">
        <v>771</v>
      </c>
      <c r="J7" s="786"/>
      <c r="O7" s="54"/>
    </row>
    <row r="8" spans="1:16" ht="52.5" customHeight="1">
      <c r="A8" s="611"/>
      <c r="B8" s="784"/>
      <c r="C8" s="681"/>
      <c r="D8" s="685"/>
      <c r="E8" s="285" t="s">
        <v>772</v>
      </c>
      <c r="F8" s="285" t="s">
        <v>492</v>
      </c>
      <c r="G8" s="285" t="s">
        <v>493</v>
      </c>
      <c r="H8" s="685"/>
      <c r="I8" s="685"/>
      <c r="J8" s="786"/>
      <c r="O8" s="83"/>
    </row>
    <row r="9" spans="1:16">
      <c r="A9" s="250"/>
      <c r="B9" s="260" t="s">
        <v>12</v>
      </c>
      <c r="C9" s="260" t="s">
        <v>12</v>
      </c>
      <c r="D9" s="260" t="s">
        <v>12</v>
      </c>
      <c r="E9" s="291"/>
      <c r="F9" s="291"/>
      <c r="G9" s="292">
        <f>E9*27</f>
        <v>0</v>
      </c>
      <c r="H9" s="260" t="s">
        <v>12</v>
      </c>
      <c r="I9" s="260" t="s">
        <v>12</v>
      </c>
      <c r="J9" s="249"/>
      <c r="O9" s="84"/>
    </row>
    <row r="10" spans="1:16" ht="15">
      <c r="A10" s="94" t="s">
        <v>684</v>
      </c>
      <c r="B10" s="94"/>
      <c r="C10" s="94"/>
      <c r="D10" s="94"/>
      <c r="E10" s="4"/>
      <c r="F10" s="4"/>
      <c r="G10" s="6"/>
      <c r="H10" s="122" t="s">
        <v>174</v>
      </c>
      <c r="I10" s="114" t="s">
        <v>43</v>
      </c>
      <c r="J10" s="249"/>
      <c r="P10" s="4"/>
    </row>
    <row r="11" spans="1:16">
      <c r="A11" s="94"/>
      <c r="B11" s="94"/>
      <c r="C11" s="94"/>
      <c r="D11" s="94"/>
      <c r="E11" s="4"/>
      <c r="F11" s="4"/>
      <c r="G11" s="4"/>
      <c r="H11" s="4"/>
      <c r="I11" s="4"/>
      <c r="J11" s="249"/>
      <c r="P11" s="4"/>
    </row>
    <row r="12" spans="1:16">
      <c r="A12" s="4"/>
      <c r="B12" s="246" t="s">
        <v>165</v>
      </c>
      <c r="C12" s="246" t="s">
        <v>110</v>
      </c>
      <c r="D12" s="246" t="s">
        <v>111</v>
      </c>
      <c r="E12" s="4"/>
      <c r="F12" s="4"/>
      <c r="G12" s="4"/>
      <c r="H12" s="246" t="s">
        <v>112</v>
      </c>
      <c r="I12" s="293" t="s">
        <v>113</v>
      </c>
      <c r="J12" s="249"/>
    </row>
    <row r="13" spans="1:16" ht="49.5" customHeight="1">
      <c r="A13" s="36"/>
      <c r="B13" s="453" t="s">
        <v>935</v>
      </c>
      <c r="C13" s="267" t="s">
        <v>776</v>
      </c>
      <c r="D13" s="173" t="s">
        <v>171</v>
      </c>
      <c r="E13" s="4"/>
      <c r="F13" s="4"/>
      <c r="G13" s="4"/>
      <c r="H13" s="337" t="s">
        <v>775</v>
      </c>
      <c r="I13" s="267" t="s">
        <v>774</v>
      </c>
      <c r="J13" s="249"/>
    </row>
    <row r="14" spans="1:16" ht="38.25" customHeight="1">
      <c r="A14" s="36"/>
      <c r="B14" s="453" t="s">
        <v>936</v>
      </c>
      <c r="C14" s="332"/>
      <c r="D14" s="173" t="s">
        <v>172</v>
      </c>
      <c r="E14" s="4"/>
      <c r="F14" s="239"/>
      <c r="G14" s="4"/>
      <c r="H14" s="294" t="s">
        <v>167</v>
      </c>
      <c r="I14" s="336" t="s">
        <v>773</v>
      </c>
      <c r="J14" s="4"/>
    </row>
    <row r="15" spans="1:16" ht="38.25" customHeight="1">
      <c r="A15" s="36"/>
      <c r="B15" s="403" t="s">
        <v>937</v>
      </c>
      <c r="C15" s="332"/>
      <c r="D15" s="454"/>
      <c r="E15" s="4"/>
      <c r="F15" s="239"/>
      <c r="G15" s="4"/>
      <c r="H15" s="454"/>
      <c r="I15" s="173" t="s">
        <v>168</v>
      </c>
      <c r="J15" s="4"/>
    </row>
    <row r="16" spans="1:16" ht="38.25" customHeight="1">
      <c r="A16" s="36"/>
      <c r="B16" s="403" t="s">
        <v>938</v>
      </c>
      <c r="C16" s="332"/>
      <c r="D16" s="454"/>
      <c r="E16" s="4"/>
      <c r="F16" s="239"/>
      <c r="G16" s="4"/>
      <c r="H16" s="454"/>
      <c r="I16" s="173" t="s">
        <v>169</v>
      </c>
      <c r="J16" s="4"/>
    </row>
    <row r="17" spans="1:15" ht="43" customHeight="1">
      <c r="A17" s="94"/>
      <c r="B17" s="453" t="s">
        <v>1029</v>
      </c>
      <c r="C17" s="333"/>
      <c r="D17" s="4"/>
      <c r="E17" s="4"/>
      <c r="F17" s="295"/>
      <c r="G17" s="295"/>
      <c r="H17" s="60"/>
      <c r="I17" s="173" t="s">
        <v>170</v>
      </c>
      <c r="J17" s="249"/>
    </row>
    <row r="18" spans="1:15" ht="51" customHeight="1">
      <c r="A18" s="278"/>
      <c r="B18" s="453" t="s">
        <v>939</v>
      </c>
      <c r="C18" s="334"/>
      <c r="D18" s="4"/>
      <c r="E18" s="4"/>
      <c r="F18" s="187"/>
      <c r="G18" s="187"/>
      <c r="H18" s="60"/>
      <c r="I18" s="335" t="s">
        <v>617</v>
      </c>
      <c r="J18" s="249"/>
    </row>
    <row r="19" spans="1:15" ht="51" customHeight="1">
      <c r="A19" s="790"/>
      <c r="B19" s="453" t="s">
        <v>940</v>
      </c>
      <c r="C19" s="338"/>
      <c r="D19" s="258"/>
      <c r="E19" s="4"/>
      <c r="F19" s="296"/>
      <c r="G19" s="296"/>
      <c r="H19" s="4"/>
      <c r="I19" s="4"/>
      <c r="J19" s="297" t="s">
        <v>745</v>
      </c>
    </row>
    <row r="20" spans="1:15" ht="65">
      <c r="A20" s="790"/>
      <c r="B20" s="403" t="s">
        <v>1030</v>
      </c>
      <c r="C20" s="338"/>
      <c r="D20" s="258"/>
      <c r="E20" s="4"/>
      <c r="F20" s="239"/>
      <c r="G20" s="239"/>
      <c r="H20" s="4"/>
      <c r="J20" s="249"/>
    </row>
    <row r="21" spans="1:15">
      <c r="A21" s="4"/>
      <c r="B21" s="335" t="s">
        <v>617</v>
      </c>
      <c r="C21" s="196"/>
      <c r="D21" s="4"/>
      <c r="E21" s="298"/>
      <c r="F21" s="299"/>
      <c r="G21" s="6"/>
      <c r="H21" s="4"/>
      <c r="J21" s="249"/>
    </row>
    <row r="22" spans="1:15">
      <c r="E22" s="86"/>
      <c r="F22" s="87"/>
      <c r="J22" s="95"/>
    </row>
    <row r="23" spans="1:15">
      <c r="B23" s="227"/>
      <c r="E23" s="86"/>
      <c r="F23" s="87"/>
      <c r="J23" s="95"/>
    </row>
    <row r="24" spans="1:15">
      <c r="E24" s="40"/>
      <c r="F24" s="40"/>
      <c r="I24" s="233"/>
      <c r="J24" s="41"/>
      <c r="K24" s="39"/>
    </row>
    <row r="25" spans="1:15">
      <c r="A25" s="199"/>
      <c r="B25" s="199"/>
      <c r="E25" s="40"/>
      <c r="F25" s="40"/>
      <c r="I25" s="151"/>
      <c r="J25" s="41"/>
      <c r="K25" s="39"/>
    </row>
    <row r="26" spans="1:15" ht="19" customHeight="1">
      <c r="A26" s="687" t="s">
        <v>619</v>
      </c>
      <c r="B26" s="687"/>
      <c r="C26" s="687"/>
      <c r="D26" s="687"/>
      <c r="E26" s="687"/>
      <c r="F26" s="687"/>
      <c r="G26" s="233"/>
      <c r="H26" s="233"/>
      <c r="I26" s="228"/>
      <c r="J26" s="355"/>
    </row>
    <row r="27" spans="1:15">
      <c r="A27" s="69" t="s">
        <v>44</v>
      </c>
      <c r="B27" s="88" t="s">
        <v>45</v>
      </c>
      <c r="C27" s="88" t="s">
        <v>46</v>
      </c>
      <c r="D27" s="88" t="s">
        <v>47</v>
      </c>
      <c r="E27" s="111" t="s">
        <v>48</v>
      </c>
      <c r="F27" s="88" t="s">
        <v>53</v>
      </c>
      <c r="G27" s="151"/>
      <c r="H27" s="151"/>
      <c r="I27" s="234"/>
      <c r="J27" s="95"/>
      <c r="O27" s="84"/>
    </row>
    <row r="28" spans="1:15" ht="47.25" customHeight="1">
      <c r="A28" s="240" t="s">
        <v>166</v>
      </c>
      <c r="B28" s="242" t="s">
        <v>621</v>
      </c>
      <c r="C28" s="242" t="s">
        <v>626</v>
      </c>
      <c r="D28" s="242" t="s">
        <v>625</v>
      </c>
      <c r="E28" s="240" t="s">
        <v>631</v>
      </c>
      <c r="F28" s="240" t="s">
        <v>632</v>
      </c>
      <c r="G28" s="243"/>
      <c r="H28" s="228"/>
      <c r="J28" s="95"/>
      <c r="O28" s="83"/>
    </row>
    <row r="29" spans="1:15" ht="41.5" customHeight="1">
      <c r="A29" s="339" t="s">
        <v>620</v>
      </c>
      <c r="B29" s="252" t="s">
        <v>12</v>
      </c>
      <c r="C29" s="252" t="s">
        <v>12</v>
      </c>
      <c r="D29" s="300"/>
      <c r="E29" s="301"/>
      <c r="F29" s="291"/>
      <c r="G29" s="24"/>
      <c r="H29" s="234"/>
      <c r="J29" s="95"/>
      <c r="O29" s="84"/>
    </row>
    <row r="30" spans="1:15">
      <c r="A30" s="4"/>
      <c r="B30" s="4"/>
      <c r="C30" s="4"/>
      <c r="D30" s="4"/>
      <c r="E30" s="122" t="s">
        <v>633</v>
      </c>
      <c r="F30" s="114" t="s">
        <v>43</v>
      </c>
      <c r="J30" s="41"/>
      <c r="K30" s="39"/>
    </row>
    <row r="31" spans="1:15">
      <c r="A31" s="4"/>
      <c r="B31" s="4"/>
      <c r="C31" s="4"/>
      <c r="D31" s="299"/>
      <c r="E31" s="40"/>
      <c r="F31" s="40"/>
      <c r="J31" s="41"/>
      <c r="K31" s="39"/>
    </row>
    <row r="32" spans="1:15">
      <c r="A32" s="4"/>
      <c r="B32" s="246" t="s">
        <v>622</v>
      </c>
      <c r="C32" s="246" t="s">
        <v>627</v>
      </c>
      <c r="D32" s="299"/>
      <c r="E32" s="40"/>
      <c r="F32" s="40"/>
      <c r="J32" s="41"/>
      <c r="K32" s="39"/>
    </row>
    <row r="33" spans="1:14" ht="26">
      <c r="A33" s="4"/>
      <c r="B33" s="267" t="s">
        <v>623</v>
      </c>
      <c r="C33" s="267" t="s">
        <v>628</v>
      </c>
      <c r="D33" s="4"/>
      <c r="E33" s="40"/>
      <c r="F33" s="40"/>
      <c r="J33" s="41"/>
      <c r="K33" s="39"/>
    </row>
    <row r="34" spans="1:14">
      <c r="A34" s="4"/>
      <c r="B34" s="267" t="s">
        <v>617</v>
      </c>
      <c r="C34" s="267" t="s">
        <v>629</v>
      </c>
      <c r="D34" s="4"/>
      <c r="E34" s="41"/>
      <c r="F34" s="41"/>
      <c r="J34" s="41"/>
      <c r="K34" s="39"/>
    </row>
    <row r="35" spans="1:14" ht="26">
      <c r="A35" s="4"/>
      <c r="B35" s="267" t="s">
        <v>624</v>
      </c>
      <c r="C35" s="267" t="s">
        <v>630</v>
      </c>
      <c r="D35" s="299"/>
      <c r="E35" s="85"/>
      <c r="F35" s="85"/>
      <c r="J35" s="85"/>
      <c r="K35" s="38"/>
      <c r="M35" s="85"/>
    </row>
    <row r="36" spans="1:14">
      <c r="A36" s="4"/>
      <c r="B36" s="247" t="s">
        <v>723</v>
      </c>
      <c r="C36" s="4"/>
      <c r="D36" s="299"/>
      <c r="E36" s="42"/>
      <c r="F36" s="42"/>
      <c r="I36" s="46"/>
      <c r="J36" s="43"/>
      <c r="K36" s="39"/>
      <c r="M36" s="44"/>
      <c r="N36" s="41"/>
    </row>
    <row r="37" spans="1:14">
      <c r="A37" s="4"/>
      <c r="B37" s="4"/>
      <c r="C37" s="4"/>
      <c r="D37" s="299"/>
      <c r="E37" s="42"/>
      <c r="F37" s="42"/>
      <c r="J37" s="43"/>
      <c r="K37" s="39"/>
      <c r="M37" s="41"/>
      <c r="N37" s="41"/>
    </row>
    <row r="38" spans="1:14">
      <c r="A38" s="4"/>
      <c r="B38" s="4"/>
      <c r="C38" s="4"/>
      <c r="D38" s="45"/>
      <c r="E38" s="45"/>
      <c r="F38" s="4"/>
      <c r="I38" s="48"/>
      <c r="J38" s="47"/>
      <c r="L38" s="41"/>
      <c r="M38" s="41"/>
    </row>
    <row r="39" spans="1:14">
      <c r="A39" s="4"/>
      <c r="B39" s="4"/>
      <c r="C39" s="299"/>
      <c r="D39" s="4"/>
      <c r="E39" s="4"/>
      <c r="F39" s="4"/>
      <c r="I39" s="85"/>
      <c r="K39" s="41"/>
      <c r="L39" s="41"/>
      <c r="M39" s="41"/>
    </row>
    <row r="40" spans="1:14">
      <c r="A40" s="4"/>
      <c r="B40" s="299"/>
      <c r="C40" s="299"/>
      <c r="D40" s="48"/>
      <c r="E40" s="48"/>
      <c r="F40" s="48"/>
      <c r="G40" s="48"/>
      <c r="H40" s="48"/>
      <c r="I40" s="44"/>
      <c r="K40" s="41"/>
      <c r="L40" s="41"/>
      <c r="M40" s="41"/>
    </row>
    <row r="41" spans="1:14">
      <c r="A41" s="4"/>
      <c r="B41" s="299"/>
      <c r="C41" s="299"/>
      <c r="D41" s="39"/>
      <c r="E41" s="39"/>
      <c r="F41" s="39"/>
      <c r="G41" s="39"/>
      <c r="H41" s="39"/>
      <c r="I41" s="40"/>
      <c r="J41" s="85"/>
      <c r="K41" s="85"/>
      <c r="L41" s="41"/>
      <c r="M41" s="41"/>
    </row>
    <row r="42" spans="1:14">
      <c r="B42" s="87"/>
      <c r="C42" s="87"/>
      <c r="D42" s="44"/>
      <c r="E42" s="44"/>
      <c r="F42" s="44"/>
      <c r="G42" s="44"/>
      <c r="H42" s="44"/>
      <c r="I42" s="40"/>
      <c r="J42" s="44"/>
      <c r="K42" s="44"/>
      <c r="L42" s="41"/>
      <c r="M42" s="41"/>
    </row>
    <row r="43" spans="1:14">
      <c r="B43" s="87"/>
      <c r="D43" s="41"/>
      <c r="E43" s="41"/>
      <c r="F43" s="41"/>
      <c r="G43" s="41"/>
      <c r="H43" s="49"/>
      <c r="I43" s="40"/>
      <c r="J43" s="40"/>
      <c r="K43" s="41"/>
      <c r="L43" s="41"/>
      <c r="M43" s="41"/>
    </row>
    <row r="44" spans="1:14">
      <c r="D44" s="41"/>
      <c r="E44" s="41"/>
      <c r="F44" s="41"/>
      <c r="G44" s="41"/>
      <c r="H44" s="49"/>
      <c r="I44" s="40"/>
      <c r="J44" s="40"/>
      <c r="K44" s="41"/>
      <c r="L44" s="41"/>
      <c r="M44" s="41"/>
    </row>
    <row r="45" spans="1:14">
      <c r="D45" s="41"/>
      <c r="E45" s="41"/>
      <c r="F45" s="41"/>
      <c r="G45" s="41"/>
      <c r="H45" s="306"/>
      <c r="I45" s="40"/>
      <c r="J45" s="40"/>
      <c r="K45" s="41"/>
    </row>
    <row r="46" spans="1:14">
      <c r="D46" s="41"/>
      <c r="E46" s="41"/>
      <c r="F46" s="41"/>
      <c r="G46" s="41"/>
      <c r="H46" s="49"/>
      <c r="I46" s="40"/>
      <c r="J46" s="40"/>
      <c r="K46" s="41"/>
      <c r="L46" s="85"/>
    </row>
    <row r="47" spans="1:14">
      <c r="D47" s="41"/>
      <c r="E47" s="41"/>
      <c r="F47" s="41"/>
      <c r="G47" s="41"/>
      <c r="H47" s="49"/>
      <c r="I47" s="40"/>
      <c r="J47" s="40"/>
      <c r="K47" s="41"/>
      <c r="L47" s="44"/>
      <c r="M47" s="41"/>
    </row>
    <row r="48" spans="1:14">
      <c r="D48" s="41"/>
      <c r="E48" s="41"/>
      <c r="F48" s="41"/>
      <c r="G48" s="41"/>
      <c r="H48" s="49"/>
      <c r="I48" s="40"/>
      <c r="J48" s="40"/>
      <c r="K48" s="41"/>
      <c r="L48" s="50"/>
      <c r="M48" s="41"/>
    </row>
    <row r="49" spans="2:13">
      <c r="D49" s="41"/>
      <c r="E49" s="41"/>
      <c r="F49" s="41"/>
      <c r="G49" s="41"/>
      <c r="H49" s="49"/>
      <c r="J49" s="40"/>
      <c r="K49" s="41"/>
      <c r="L49" s="50"/>
      <c r="M49" s="41"/>
    </row>
    <row r="50" spans="2:13">
      <c r="D50" s="41"/>
      <c r="E50" s="41"/>
      <c r="F50" s="41"/>
      <c r="G50" s="41"/>
      <c r="H50" s="49"/>
      <c r="I50" s="85"/>
      <c r="J50" s="40"/>
      <c r="K50" s="41"/>
      <c r="L50" s="50"/>
      <c r="M50" s="41"/>
    </row>
    <row r="51" spans="2:13">
      <c r="I51" s="44"/>
      <c r="K51" s="41"/>
      <c r="L51" s="50"/>
      <c r="M51" s="41"/>
    </row>
    <row r="52" spans="2:13">
      <c r="C52" s="39"/>
      <c r="D52" s="39"/>
      <c r="E52" s="39"/>
      <c r="F52" s="39"/>
      <c r="G52" s="39"/>
      <c r="H52" s="39"/>
      <c r="I52" s="40"/>
      <c r="J52" s="85"/>
      <c r="K52" s="85"/>
      <c r="L52" s="50"/>
      <c r="M52" s="41"/>
    </row>
    <row r="53" spans="2:13">
      <c r="B53" s="39"/>
      <c r="C53" s="39"/>
      <c r="D53" s="44"/>
      <c r="E53" s="44"/>
      <c r="F53" s="44"/>
      <c r="G53" s="44"/>
      <c r="H53" s="44"/>
      <c r="I53" s="40"/>
      <c r="J53" s="44"/>
      <c r="K53" s="44"/>
      <c r="L53" s="50"/>
      <c r="M53" s="41"/>
    </row>
    <row r="54" spans="2:13">
      <c r="B54" s="39"/>
      <c r="C54" s="39"/>
      <c r="D54" s="41"/>
      <c r="E54" s="41"/>
      <c r="F54" s="41"/>
      <c r="G54" s="41"/>
      <c r="H54" s="49"/>
      <c r="I54" s="40"/>
      <c r="J54" s="40"/>
      <c r="K54" s="41"/>
      <c r="L54" s="50"/>
      <c r="M54" s="41"/>
    </row>
    <row r="55" spans="2:13">
      <c r="B55" s="39"/>
      <c r="C55" s="39"/>
      <c r="D55" s="41"/>
      <c r="E55" s="41"/>
      <c r="F55" s="41"/>
      <c r="G55" s="41"/>
      <c r="H55" s="49"/>
      <c r="I55" s="40"/>
      <c r="J55" s="40"/>
      <c r="K55" s="41"/>
      <c r="L55" s="41"/>
      <c r="M55" s="41"/>
    </row>
    <row r="56" spans="2:13">
      <c r="B56" s="39"/>
      <c r="C56" s="39"/>
      <c r="D56" s="41"/>
      <c r="E56" s="41"/>
      <c r="F56" s="41"/>
      <c r="G56" s="41"/>
      <c r="H56" s="49"/>
      <c r="I56" s="40"/>
      <c r="J56" s="40"/>
      <c r="K56" s="41"/>
    </row>
    <row r="57" spans="2:13">
      <c r="B57" s="39"/>
      <c r="D57" s="41"/>
      <c r="E57" s="41"/>
      <c r="F57" s="41"/>
      <c r="G57" s="41"/>
      <c r="H57" s="49"/>
      <c r="I57" s="40"/>
      <c r="J57" s="40"/>
      <c r="K57" s="41"/>
    </row>
    <row r="58" spans="2:13">
      <c r="D58" s="41"/>
      <c r="E58" s="41"/>
      <c r="F58" s="41"/>
      <c r="G58" s="41"/>
      <c r="H58" s="49"/>
      <c r="I58" s="40"/>
      <c r="J58" s="40"/>
      <c r="K58" s="41"/>
    </row>
    <row r="59" spans="2:13">
      <c r="D59" s="41"/>
      <c r="E59" s="41"/>
      <c r="F59" s="41"/>
      <c r="G59" s="41"/>
      <c r="H59" s="49"/>
      <c r="I59" s="40"/>
      <c r="J59" s="40"/>
      <c r="K59" s="41"/>
    </row>
    <row r="60" spans="2:13">
      <c r="D60" s="41"/>
      <c r="E60" s="41"/>
      <c r="F60" s="41"/>
      <c r="G60" s="41"/>
      <c r="H60" s="49"/>
      <c r="J60" s="40"/>
      <c r="K60" s="41"/>
    </row>
    <row r="61" spans="2:13">
      <c r="C61" s="39"/>
      <c r="D61" s="41"/>
      <c r="E61" s="41"/>
      <c r="F61" s="41"/>
      <c r="G61" s="41"/>
      <c r="H61" s="49"/>
      <c r="J61" s="40"/>
      <c r="K61" s="41"/>
    </row>
    <row r="62" spans="2:13">
      <c r="B62" s="39"/>
    </row>
  </sheetData>
  <mergeCells count="13">
    <mergeCell ref="J7:J8"/>
    <mergeCell ref="A5:I5"/>
    <mergeCell ref="A26:F26"/>
    <mergeCell ref="I7:I8"/>
    <mergeCell ref="A4:I4"/>
    <mergeCell ref="A19:A20"/>
    <mergeCell ref="A3:I3"/>
    <mergeCell ref="A7:A8"/>
    <mergeCell ref="B7:B8"/>
    <mergeCell ref="C7:C8"/>
    <mergeCell ref="D7:D8"/>
    <mergeCell ref="H7:H8"/>
    <mergeCell ref="E7:G7"/>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T80"/>
  <sheetViews>
    <sheetView topLeftCell="A53" zoomScale="50" zoomScaleNormal="50" workbookViewId="0">
      <selection activeCell="C79" sqref="C79:H79"/>
    </sheetView>
  </sheetViews>
  <sheetFormatPr defaultColWidth="9.1796875" defaultRowHeight="14.5"/>
  <cols>
    <col min="1" max="1" width="10.1796875" customWidth="1"/>
    <col min="2" max="2" width="17" customWidth="1"/>
    <col min="3" max="3" width="19.1796875" customWidth="1"/>
    <col min="4" max="4" width="11.453125" customWidth="1"/>
    <col min="5" max="5" width="14.1796875" customWidth="1"/>
    <col min="6" max="6" width="17" customWidth="1"/>
    <col min="7" max="7" width="16.1796875" customWidth="1"/>
    <col min="8" max="8" width="18.81640625" customWidth="1"/>
    <col min="9" max="9" width="19.81640625" customWidth="1"/>
    <col min="10" max="10" width="15.1796875" customWidth="1"/>
    <col min="11" max="11" width="9.1796875" customWidth="1"/>
    <col min="12" max="13" width="8.81640625" customWidth="1"/>
  </cols>
  <sheetData>
    <row r="1" spans="1:20">
      <c r="A1" s="20">
        <f ca="1">A1:L45</f>
        <v>0</v>
      </c>
      <c r="B1" t="s">
        <v>59</v>
      </c>
      <c r="E1" s="21"/>
      <c r="F1" s="21"/>
      <c r="G1" t="s">
        <v>60</v>
      </c>
      <c r="I1" s="82"/>
      <c r="J1" t="s">
        <v>61</v>
      </c>
      <c r="L1" s="22"/>
      <c r="M1" t="s">
        <v>62</v>
      </c>
    </row>
    <row r="4" spans="1:20">
      <c r="A4" s="588" t="s">
        <v>332</v>
      </c>
      <c r="B4" s="588"/>
      <c r="C4" s="588"/>
      <c r="D4" s="588"/>
      <c r="E4" s="588"/>
      <c r="F4" s="588"/>
      <c r="G4" s="588"/>
      <c r="H4" s="588"/>
      <c r="I4" s="588"/>
      <c r="J4" s="219"/>
      <c r="K4" s="199"/>
      <c r="L4" s="199"/>
      <c r="M4" s="199"/>
      <c r="N4" s="199"/>
      <c r="O4" s="199"/>
      <c r="P4" s="199"/>
      <c r="Q4" s="199"/>
      <c r="R4" s="199"/>
      <c r="S4" s="199"/>
      <c r="T4" s="199"/>
    </row>
    <row r="5" spans="1:20" ht="28" customHeight="1">
      <c r="A5" s="725" t="s">
        <v>941</v>
      </c>
      <c r="B5" s="725"/>
      <c r="C5" s="725"/>
      <c r="D5" s="725"/>
      <c r="E5" s="725"/>
      <c r="F5" s="725"/>
      <c r="G5" s="725"/>
      <c r="H5" s="725"/>
      <c r="I5" s="725"/>
      <c r="J5" s="199"/>
      <c r="K5" s="199"/>
      <c r="L5" s="199"/>
      <c r="M5" s="199"/>
      <c r="N5" s="199"/>
      <c r="O5" s="199"/>
      <c r="P5" s="199"/>
      <c r="Q5" s="199"/>
      <c r="R5" s="199"/>
      <c r="S5" s="199"/>
      <c r="T5" s="199"/>
    </row>
    <row r="6" spans="1:20" ht="19.5" customHeight="1">
      <c r="A6" s="687" t="s">
        <v>563</v>
      </c>
      <c r="B6" s="687"/>
      <c r="C6" s="687"/>
      <c r="D6" s="687"/>
      <c r="E6" s="687"/>
      <c r="F6" s="687"/>
      <c r="G6" s="687"/>
      <c r="H6" s="687"/>
      <c r="I6" s="687"/>
      <c r="J6" s="199"/>
      <c r="K6" s="199"/>
      <c r="L6" s="199"/>
      <c r="M6" s="199"/>
      <c r="N6" s="199"/>
      <c r="O6" s="199"/>
      <c r="P6" s="199"/>
      <c r="Q6" s="199"/>
      <c r="R6" s="199"/>
      <c r="S6" s="199"/>
      <c r="T6" s="199"/>
    </row>
    <row r="7" spans="1:20" ht="15.75" customHeight="1">
      <c r="A7" s="160" t="s">
        <v>44</v>
      </c>
      <c r="B7" s="210" t="s">
        <v>14</v>
      </c>
      <c r="C7" s="798" t="s">
        <v>433</v>
      </c>
      <c r="D7" s="798"/>
      <c r="E7" s="798"/>
      <c r="F7" s="798"/>
      <c r="G7" s="798"/>
      <c r="H7" s="798"/>
      <c r="I7" s="798"/>
      <c r="J7" s="219" t="s">
        <v>434</v>
      </c>
      <c r="K7" s="199"/>
      <c r="L7" s="199"/>
      <c r="M7" s="199"/>
      <c r="N7" s="199"/>
      <c r="O7" s="199"/>
      <c r="P7" s="199"/>
      <c r="Q7" s="199"/>
      <c r="R7" s="199"/>
      <c r="S7" s="199"/>
      <c r="T7" s="199"/>
    </row>
    <row r="8" spans="1:20" ht="15.75" customHeight="1">
      <c r="A8" s="809" t="s">
        <v>422</v>
      </c>
      <c r="B8" s="809"/>
      <c r="C8" s="809"/>
      <c r="D8" s="809"/>
      <c r="E8" s="809"/>
      <c r="F8" s="809"/>
      <c r="G8" s="809"/>
      <c r="H8" s="809"/>
      <c r="I8" s="810"/>
      <c r="J8" s="219"/>
      <c r="K8" s="199"/>
      <c r="L8" s="199"/>
      <c r="M8" s="199"/>
      <c r="N8" s="199"/>
      <c r="O8" s="199"/>
      <c r="P8" s="199"/>
      <c r="Q8" s="199"/>
      <c r="R8" s="199"/>
      <c r="S8" s="199"/>
      <c r="T8" s="199"/>
    </row>
    <row r="9" spans="1:20" ht="15.75" customHeight="1">
      <c r="A9" s="811"/>
      <c r="B9" s="811"/>
      <c r="C9" s="811"/>
      <c r="D9" s="811"/>
      <c r="E9" s="811"/>
      <c r="F9" s="811"/>
      <c r="G9" s="811"/>
      <c r="H9" s="811"/>
      <c r="I9" s="812"/>
      <c r="J9" s="219"/>
      <c r="K9" s="199"/>
      <c r="L9" s="199"/>
      <c r="M9" s="199"/>
      <c r="N9" s="199"/>
      <c r="O9" s="199"/>
      <c r="P9" s="199"/>
      <c r="Q9" s="199"/>
      <c r="R9" s="199"/>
      <c r="S9" s="199"/>
      <c r="T9" s="199"/>
    </row>
    <row r="10" spans="1:20" ht="15.75" customHeight="1">
      <c r="A10" s="815" t="s">
        <v>45</v>
      </c>
      <c r="B10" s="819" t="s">
        <v>480</v>
      </c>
      <c r="C10" s="820"/>
      <c r="D10" s="820"/>
      <c r="E10" s="820"/>
      <c r="F10" s="820"/>
      <c r="G10" s="820"/>
      <c r="H10" s="820"/>
      <c r="I10" s="821"/>
      <c r="J10" s="219"/>
      <c r="K10" s="199"/>
      <c r="L10" s="199"/>
      <c r="M10" s="199"/>
      <c r="N10" s="199"/>
      <c r="O10" s="199"/>
      <c r="P10" s="199"/>
      <c r="Q10" s="199"/>
      <c r="R10" s="199"/>
      <c r="S10" s="199"/>
      <c r="T10" s="199"/>
    </row>
    <row r="11" spans="1:20" ht="15.75" customHeight="1">
      <c r="A11" s="816"/>
      <c r="B11" s="822" t="s">
        <v>12</v>
      </c>
      <c r="C11" s="817"/>
      <c r="D11" s="817"/>
      <c r="E11" s="817"/>
      <c r="F11" s="817"/>
      <c r="G11" s="817"/>
      <c r="H11" s="817"/>
      <c r="I11" s="818"/>
      <c r="J11" s="199"/>
      <c r="K11" s="199"/>
      <c r="L11" s="199"/>
      <c r="M11" s="199"/>
      <c r="N11" s="199"/>
      <c r="O11" s="199"/>
      <c r="P11" s="199"/>
      <c r="Q11" s="199"/>
      <c r="R11" s="199"/>
      <c r="S11" s="199"/>
      <c r="T11" s="199"/>
    </row>
    <row r="12" spans="1:20" ht="15.75" customHeight="1">
      <c r="J12" s="199"/>
      <c r="K12" s="199"/>
      <c r="L12" s="199"/>
      <c r="M12" s="199"/>
      <c r="N12" s="199"/>
      <c r="O12" s="199"/>
      <c r="P12" s="199"/>
      <c r="Q12" s="199"/>
      <c r="R12" s="199"/>
      <c r="S12" s="199"/>
      <c r="T12" s="199"/>
    </row>
    <row r="13" spans="1:20" ht="15.75" customHeight="1">
      <c r="A13" s="813" t="s">
        <v>46</v>
      </c>
      <c r="B13" s="807" t="s">
        <v>489</v>
      </c>
      <c r="C13" s="807"/>
      <c r="D13" s="807"/>
      <c r="E13" s="807"/>
      <c r="F13" s="807"/>
      <c r="G13" s="807"/>
      <c r="H13" s="807"/>
      <c r="I13" s="807"/>
      <c r="J13" s="219"/>
      <c r="K13" s="199"/>
      <c r="L13" s="199"/>
      <c r="M13" s="199"/>
      <c r="N13" s="199"/>
      <c r="O13" s="199"/>
      <c r="P13" s="199"/>
      <c r="Q13" s="199"/>
      <c r="R13" s="199"/>
      <c r="S13" s="199"/>
      <c r="T13" s="199"/>
    </row>
    <row r="14" spans="1:20" ht="15.75" customHeight="1">
      <c r="A14" s="814"/>
      <c r="B14" s="808"/>
      <c r="C14" s="808"/>
      <c r="D14" s="808"/>
      <c r="E14" s="808"/>
      <c r="F14" s="808"/>
      <c r="G14" s="808"/>
      <c r="H14" s="808"/>
      <c r="I14" s="808"/>
      <c r="J14" s="219"/>
      <c r="K14" s="199"/>
      <c r="L14" s="199"/>
      <c r="M14" s="199"/>
      <c r="N14" s="199"/>
      <c r="O14" s="199"/>
      <c r="P14" s="199"/>
      <c r="Q14" s="199"/>
      <c r="R14" s="199"/>
      <c r="S14" s="199"/>
      <c r="T14" s="199"/>
    </row>
    <row r="15" spans="1:20" ht="15.75" customHeight="1">
      <c r="A15" s="814"/>
      <c r="B15" s="817" t="s">
        <v>12</v>
      </c>
      <c r="C15" s="817"/>
      <c r="D15" s="817"/>
      <c r="E15" s="817"/>
      <c r="F15" s="817"/>
      <c r="G15" s="817"/>
      <c r="H15" s="817"/>
      <c r="I15" s="818"/>
      <c r="J15" s="199"/>
      <c r="K15" s="199"/>
      <c r="L15" s="199"/>
      <c r="M15" s="199"/>
      <c r="N15" s="199"/>
      <c r="O15" s="199"/>
      <c r="P15" s="199"/>
      <c r="Q15" s="199"/>
      <c r="R15" s="199"/>
      <c r="S15" s="199"/>
      <c r="T15" s="199"/>
    </row>
    <row r="16" spans="1:20" ht="15.75" customHeight="1">
      <c r="J16" s="199"/>
      <c r="K16" s="199"/>
      <c r="L16" s="199"/>
      <c r="M16" s="199"/>
      <c r="N16" s="199"/>
      <c r="O16" s="199"/>
      <c r="P16" s="199"/>
      <c r="Q16" s="199"/>
      <c r="R16" s="199"/>
      <c r="S16" s="199"/>
      <c r="T16" s="199"/>
    </row>
    <row r="17" spans="1:20" ht="15.75" customHeight="1">
      <c r="A17" s="211" t="s">
        <v>47</v>
      </c>
      <c r="B17" s="823" t="s">
        <v>350</v>
      </c>
      <c r="C17" s="824"/>
      <c r="D17" s="193"/>
      <c r="E17" s="194"/>
      <c r="F17" s="194"/>
      <c r="G17" s="194"/>
      <c r="H17" s="194"/>
      <c r="I17" s="195"/>
      <c r="J17" s="219"/>
      <c r="K17" s="199"/>
      <c r="L17" s="199"/>
      <c r="M17" s="199"/>
      <c r="N17" s="199"/>
      <c r="O17" s="199"/>
      <c r="P17" s="199"/>
      <c r="Q17" s="199"/>
      <c r="R17" s="199"/>
      <c r="S17" s="199"/>
      <c r="T17" s="199"/>
    </row>
    <row r="18" spans="1:20" ht="15.75" customHeight="1">
      <c r="J18" s="219"/>
      <c r="K18" s="199"/>
      <c r="L18" s="199"/>
      <c r="M18" s="199"/>
      <c r="N18" s="199"/>
      <c r="O18" s="199"/>
      <c r="P18" s="199"/>
      <c r="Q18" s="199"/>
      <c r="R18" s="199"/>
      <c r="S18" s="199"/>
      <c r="T18" s="199"/>
    </row>
    <row r="19" spans="1:20" ht="15.75" customHeight="1">
      <c r="A19" s="827" t="s">
        <v>48</v>
      </c>
      <c r="B19" s="825" t="s">
        <v>481</v>
      </c>
      <c r="C19" s="825"/>
      <c r="D19" s="825"/>
      <c r="E19" s="825"/>
      <c r="F19" s="825"/>
      <c r="G19" s="825"/>
      <c r="H19" s="825"/>
      <c r="I19" s="825"/>
      <c r="J19" s="219"/>
      <c r="K19" s="199"/>
      <c r="L19" s="199"/>
      <c r="M19" s="199"/>
      <c r="N19" s="199"/>
      <c r="O19" s="199"/>
      <c r="P19" s="199"/>
      <c r="Q19" s="199"/>
      <c r="R19" s="199"/>
      <c r="S19" s="199"/>
      <c r="T19" s="199"/>
    </row>
    <row r="20" spans="1:20" ht="15.75" customHeight="1">
      <c r="A20" s="828"/>
      <c r="B20" s="826"/>
      <c r="C20" s="826"/>
      <c r="D20" s="826"/>
      <c r="E20" s="826"/>
      <c r="F20" s="826"/>
      <c r="G20" s="826"/>
      <c r="H20" s="826"/>
      <c r="I20" s="826"/>
      <c r="J20" s="219"/>
      <c r="K20" s="199"/>
      <c r="L20" s="199"/>
      <c r="M20" s="199"/>
      <c r="N20" s="199"/>
      <c r="O20" s="199"/>
      <c r="P20" s="199"/>
      <c r="Q20" s="199"/>
      <c r="R20" s="199"/>
      <c r="S20" s="199"/>
      <c r="T20" s="199"/>
    </row>
    <row r="21" spans="1:20" ht="15.75" customHeight="1">
      <c r="A21" s="829"/>
      <c r="B21" s="817" t="s">
        <v>12</v>
      </c>
      <c r="C21" s="817"/>
      <c r="D21" s="817"/>
      <c r="E21" s="817"/>
      <c r="F21" s="817"/>
      <c r="G21" s="817"/>
      <c r="H21" s="817"/>
      <c r="I21" s="818"/>
      <c r="J21" s="219"/>
      <c r="K21" s="199"/>
      <c r="L21" s="199"/>
      <c r="M21" s="199"/>
      <c r="N21" s="199"/>
      <c r="O21" s="199"/>
      <c r="P21" s="199"/>
      <c r="Q21" s="199"/>
      <c r="R21" s="199"/>
      <c r="S21" s="199"/>
      <c r="T21" s="199"/>
    </row>
    <row r="22" spans="1:20" ht="15.75" customHeight="1">
      <c r="A22" s="99"/>
      <c r="B22" s="99"/>
      <c r="C22" s="99"/>
      <c r="D22" s="185"/>
      <c r="E22" s="185"/>
      <c r="F22" s="185"/>
      <c r="G22" s="185"/>
      <c r="H22" s="185"/>
      <c r="I22" s="185"/>
      <c r="J22" s="219"/>
      <c r="K22" s="199"/>
      <c r="L22" s="199"/>
      <c r="M22" s="199"/>
      <c r="N22" s="199"/>
      <c r="O22" s="199"/>
      <c r="P22" s="199"/>
      <c r="Q22" s="199"/>
      <c r="R22" s="199"/>
      <c r="S22" s="199"/>
      <c r="T22" s="199"/>
    </row>
    <row r="23" spans="1:20">
      <c r="A23" s="687" t="s">
        <v>564</v>
      </c>
      <c r="B23" s="687"/>
      <c r="C23" s="687"/>
      <c r="D23" s="687"/>
      <c r="E23" s="687"/>
      <c r="F23" s="687"/>
      <c r="G23" s="687"/>
      <c r="H23" s="687"/>
      <c r="I23" s="687"/>
      <c r="J23" s="199"/>
      <c r="K23" s="199"/>
      <c r="L23" s="199"/>
      <c r="M23" s="196"/>
      <c r="N23" s="199"/>
      <c r="O23" s="199"/>
      <c r="P23" s="199"/>
      <c r="Q23" s="199"/>
      <c r="R23" s="199"/>
      <c r="S23" s="199"/>
      <c r="T23" s="199"/>
    </row>
    <row r="24" spans="1:20" ht="26">
      <c r="A24" s="160" t="s">
        <v>44</v>
      </c>
      <c r="B24" s="217" t="s">
        <v>442</v>
      </c>
      <c r="C24" s="218"/>
      <c r="D24" s="804" t="s">
        <v>635</v>
      </c>
      <c r="E24" s="805"/>
      <c r="F24" s="806"/>
      <c r="G24" s="801" t="s">
        <v>12</v>
      </c>
      <c r="H24" s="802"/>
      <c r="I24" s="803"/>
      <c r="J24" s="199"/>
      <c r="K24" s="199"/>
      <c r="L24" s="199"/>
      <c r="M24" s="196"/>
      <c r="N24" s="199"/>
      <c r="O24" s="199"/>
      <c r="P24" s="199"/>
      <c r="Q24" s="199"/>
      <c r="R24" s="199"/>
      <c r="S24" s="199"/>
      <c r="T24" s="199"/>
    </row>
    <row r="25" spans="1:20" ht="28.5" customHeight="1">
      <c r="A25" s="69" t="s">
        <v>45</v>
      </c>
      <c r="B25" s="69" t="s">
        <v>46</v>
      </c>
      <c r="C25" s="69" t="s">
        <v>47</v>
      </c>
      <c r="D25" s="69" t="s">
        <v>48</v>
      </c>
      <c r="E25" s="69" t="s">
        <v>53</v>
      </c>
      <c r="F25" s="69" t="s">
        <v>54</v>
      </c>
      <c r="G25" s="69" t="s">
        <v>55</v>
      </c>
      <c r="H25" s="372"/>
      <c r="I25" s="372"/>
      <c r="J25" s="199"/>
      <c r="K25" s="199"/>
      <c r="L25" s="199"/>
      <c r="M25" s="196"/>
      <c r="N25" s="199"/>
      <c r="O25" s="199"/>
      <c r="P25" s="199"/>
      <c r="Q25" s="199"/>
      <c r="R25" s="199"/>
      <c r="S25" s="199"/>
      <c r="T25" s="199"/>
    </row>
    <row r="26" spans="1:20" ht="29.25" customHeight="1">
      <c r="A26" s="602" t="s">
        <v>67</v>
      </c>
      <c r="B26" s="839" t="s">
        <v>500</v>
      </c>
      <c r="C26" s="839" t="s">
        <v>151</v>
      </c>
      <c r="D26" s="799" t="s">
        <v>338</v>
      </c>
      <c r="E26" s="799" t="s">
        <v>107</v>
      </c>
      <c r="F26" s="602" t="s">
        <v>343</v>
      </c>
      <c r="G26" s="602" t="s">
        <v>344</v>
      </c>
      <c r="H26" s="800"/>
      <c r="I26" s="800"/>
      <c r="J26" s="370"/>
      <c r="K26" s="199"/>
      <c r="L26" s="199"/>
      <c r="M26" s="199"/>
      <c r="N26" s="199"/>
      <c r="O26" s="199"/>
      <c r="P26" s="199"/>
      <c r="Q26" s="199"/>
      <c r="R26" s="199"/>
      <c r="S26" s="199"/>
      <c r="T26" s="199"/>
    </row>
    <row r="27" spans="1:20" ht="27" customHeight="1">
      <c r="A27" s="838"/>
      <c r="B27" s="840"/>
      <c r="C27" s="840"/>
      <c r="D27" s="799"/>
      <c r="E27" s="799"/>
      <c r="F27" s="602"/>
      <c r="G27" s="602"/>
      <c r="H27" s="800"/>
      <c r="I27" s="800"/>
      <c r="J27" s="199"/>
      <c r="K27" s="199"/>
      <c r="L27" s="199"/>
      <c r="M27" s="199"/>
      <c r="N27" s="199"/>
      <c r="O27" s="199"/>
      <c r="P27" s="199"/>
      <c r="Q27" s="199"/>
      <c r="R27" s="199"/>
      <c r="S27" s="199"/>
      <c r="T27" s="199"/>
    </row>
    <row r="28" spans="1:20" ht="27" customHeight="1">
      <c r="A28" s="98"/>
      <c r="B28" s="205" t="s">
        <v>12</v>
      </c>
      <c r="C28" s="205" t="s">
        <v>12</v>
      </c>
      <c r="D28" s="212"/>
      <c r="E28" s="205" t="s">
        <v>12</v>
      </c>
      <c r="F28" s="97"/>
      <c r="G28" s="104"/>
      <c r="H28" s="373"/>
      <c r="I28" s="373"/>
      <c r="J28" s="199"/>
      <c r="K28" s="199"/>
      <c r="L28" s="199"/>
      <c r="M28" s="199"/>
      <c r="N28" s="199"/>
      <c r="O28" s="199"/>
      <c r="P28" s="199"/>
      <c r="Q28" s="199"/>
      <c r="R28" s="199"/>
      <c r="S28" s="199"/>
      <c r="T28" s="199"/>
    </row>
    <row r="29" spans="1:20" ht="27" customHeight="1">
      <c r="A29" s="374"/>
      <c r="B29" s="205"/>
      <c r="C29" s="205"/>
      <c r="D29" s="212"/>
      <c r="E29" s="205"/>
      <c r="F29" s="375"/>
      <c r="G29" s="376"/>
      <c r="H29" s="836" t="s">
        <v>444</v>
      </c>
      <c r="I29" s="837"/>
      <c r="J29" s="199"/>
      <c r="K29" s="199"/>
      <c r="L29" s="199"/>
      <c r="M29" s="199"/>
      <c r="N29" s="199"/>
      <c r="O29" s="199"/>
      <c r="P29" s="199"/>
      <c r="Q29" s="199"/>
      <c r="R29" s="199"/>
      <c r="S29" s="199"/>
      <c r="T29" s="199"/>
    </row>
    <row r="30" spans="1:20" ht="15" customHeight="1">
      <c r="A30" s="377"/>
      <c r="B30" s="378"/>
      <c r="C30" s="378"/>
      <c r="D30" s="379"/>
      <c r="E30" s="378"/>
      <c r="F30" s="380"/>
      <c r="G30" s="381"/>
      <c r="H30" s="214" t="s">
        <v>154</v>
      </c>
      <c r="I30" s="215" t="s">
        <v>43</v>
      </c>
      <c r="J30" s="199"/>
      <c r="K30" s="199"/>
      <c r="L30" s="199"/>
      <c r="M30" s="199"/>
      <c r="N30" s="199"/>
      <c r="O30" s="199"/>
      <c r="P30" s="199"/>
      <c r="Q30" s="199"/>
      <c r="R30" s="199"/>
      <c r="S30" s="199"/>
      <c r="T30" s="199"/>
    </row>
    <row r="31" spans="1:20" ht="15" customHeight="1">
      <c r="A31" s="842" t="s">
        <v>685</v>
      </c>
      <c r="B31" s="842"/>
      <c r="C31" s="842"/>
      <c r="D31" s="842"/>
      <c r="E31" s="842"/>
      <c r="F31" s="842"/>
      <c r="G31" s="842"/>
      <c r="H31" s="213" t="s">
        <v>443</v>
      </c>
      <c r="I31" s="216" t="s">
        <v>43</v>
      </c>
      <c r="J31" s="199"/>
      <c r="K31" s="371"/>
      <c r="L31" s="371"/>
      <c r="M31" s="199"/>
      <c r="N31" s="199"/>
      <c r="O31" s="199"/>
      <c r="P31" s="199"/>
      <c r="Q31" s="199"/>
      <c r="R31" s="199"/>
      <c r="S31" s="199"/>
      <c r="T31" s="199"/>
    </row>
    <row r="32" spans="1:20">
      <c r="E32" s="159" t="s">
        <v>107</v>
      </c>
      <c r="H32" s="86"/>
      <c r="I32" s="178"/>
      <c r="J32" s="371"/>
      <c r="K32" s="178"/>
      <c r="L32" s="178"/>
      <c r="M32" s="199"/>
      <c r="N32" s="199"/>
      <c r="O32" s="199"/>
      <c r="P32" s="199"/>
      <c r="Q32" s="199"/>
      <c r="R32" s="199"/>
      <c r="S32" s="199"/>
      <c r="T32" s="199"/>
    </row>
    <row r="33" spans="1:20">
      <c r="E33" s="63" t="s">
        <v>339</v>
      </c>
      <c r="H33" s="86"/>
      <c r="I33" s="87"/>
      <c r="J33" s="178"/>
      <c r="K33" s="87"/>
      <c r="L33" s="87"/>
      <c r="M33" s="199"/>
      <c r="N33" s="199"/>
      <c r="O33" s="199"/>
      <c r="P33" s="199"/>
      <c r="Q33" s="199"/>
      <c r="R33" s="199"/>
      <c r="S33" s="199"/>
      <c r="T33" s="199"/>
    </row>
    <row r="34" spans="1:20">
      <c r="B34" s="159" t="s">
        <v>106</v>
      </c>
      <c r="C34" s="159" t="s">
        <v>151</v>
      </c>
      <c r="E34" s="63" t="s">
        <v>340</v>
      </c>
      <c r="H34" s="86"/>
      <c r="I34" s="87"/>
      <c r="J34" s="87"/>
      <c r="K34" s="87"/>
      <c r="L34" s="87"/>
      <c r="M34" s="199"/>
      <c r="N34" s="199"/>
      <c r="O34" s="199"/>
      <c r="P34" s="199"/>
      <c r="Q34" s="199"/>
      <c r="R34" s="199"/>
      <c r="S34" s="199"/>
      <c r="T34" s="199"/>
    </row>
    <row r="35" spans="1:20">
      <c r="B35" s="63" t="s">
        <v>152</v>
      </c>
      <c r="C35" s="63" t="s">
        <v>101</v>
      </c>
      <c r="E35" s="63" t="s">
        <v>341</v>
      </c>
      <c r="G35" s="843" t="s">
        <v>488</v>
      </c>
      <c r="H35" s="843"/>
      <c r="I35" s="843"/>
      <c r="J35" s="843"/>
      <c r="K35" s="843"/>
      <c r="L35" s="87"/>
    </row>
    <row r="36" spans="1:20" ht="25.5" customHeight="1">
      <c r="A36" s="34"/>
      <c r="B36" s="63" t="s">
        <v>153</v>
      </c>
      <c r="C36" s="177" t="s">
        <v>102</v>
      </c>
      <c r="E36" s="63" t="s">
        <v>342</v>
      </c>
      <c r="G36" s="841" t="s">
        <v>336</v>
      </c>
      <c r="H36" s="841"/>
      <c r="I36" s="841"/>
      <c r="J36" s="841"/>
      <c r="K36" s="841"/>
      <c r="L36" s="87"/>
    </row>
    <row r="37" spans="1:20" ht="23.25" customHeight="1">
      <c r="A37" s="34"/>
      <c r="B37" s="94"/>
      <c r="C37" s="63" t="s">
        <v>103</v>
      </c>
      <c r="D37" s="102"/>
      <c r="F37" s="102"/>
      <c r="G37" s="841" t="s">
        <v>334</v>
      </c>
      <c r="H37" s="841"/>
      <c r="I37" s="841"/>
      <c r="J37" s="841"/>
      <c r="K37" s="841"/>
      <c r="L37" s="87"/>
    </row>
    <row r="38" spans="1:20" ht="24.75" customHeight="1">
      <c r="A38" s="34"/>
      <c r="B38" s="93"/>
      <c r="C38" s="63" t="s">
        <v>104</v>
      </c>
      <c r="D38" s="102"/>
      <c r="E38" s="159" t="s">
        <v>107</v>
      </c>
      <c r="F38" s="102"/>
      <c r="G38" s="841" t="s">
        <v>335</v>
      </c>
      <c r="H38" s="841"/>
      <c r="I38" s="841"/>
      <c r="J38" s="841"/>
      <c r="K38" s="841"/>
      <c r="L38" s="87"/>
    </row>
    <row r="39" spans="1:20" ht="21" customHeight="1">
      <c r="A39" s="34"/>
      <c r="B39" s="103"/>
      <c r="C39" s="63" t="s">
        <v>105</v>
      </c>
      <c r="D39" s="102"/>
      <c r="E39" s="63" t="s">
        <v>339</v>
      </c>
      <c r="F39" s="102"/>
      <c r="G39" s="841" t="s">
        <v>337</v>
      </c>
      <c r="H39" s="841"/>
      <c r="I39" s="841"/>
      <c r="J39" s="841"/>
      <c r="K39" s="841"/>
      <c r="L39" s="87"/>
    </row>
    <row r="40" spans="1:20">
      <c r="A40" s="34"/>
      <c r="C40" s="153"/>
      <c r="E40" s="63" t="s">
        <v>340</v>
      </c>
      <c r="H40" s="86"/>
      <c r="I40" s="87"/>
      <c r="J40" s="87"/>
      <c r="K40" s="87"/>
      <c r="L40" s="87"/>
    </row>
    <row r="41" spans="1:20">
      <c r="F41" s="161"/>
      <c r="G41" s="161"/>
      <c r="H41" s="161"/>
      <c r="I41" s="87"/>
      <c r="J41" s="87"/>
      <c r="K41" s="87"/>
      <c r="L41" s="87"/>
    </row>
    <row r="42" spans="1:20" ht="27" customHeight="1">
      <c r="E42" s="159" t="s">
        <v>107</v>
      </c>
      <c r="F42" s="161"/>
      <c r="G42" s="161"/>
      <c r="J42" s="87"/>
    </row>
    <row r="43" spans="1:20" ht="27" customHeight="1">
      <c r="E43" s="63" t="s">
        <v>339</v>
      </c>
      <c r="F43" s="161"/>
      <c r="G43" s="161"/>
    </row>
    <row r="44" spans="1:20" ht="27" customHeight="1">
      <c r="E44" s="63" t="s">
        <v>340</v>
      </c>
    </row>
    <row r="45" spans="1:20">
      <c r="B45" s="39"/>
      <c r="D45" s="41"/>
      <c r="E45" s="63" t="s">
        <v>341</v>
      </c>
    </row>
    <row r="46" spans="1:20">
      <c r="C46" s="41"/>
    </row>
    <row r="47" spans="1:20" ht="15" customHeight="1">
      <c r="C47" s="41"/>
      <c r="D47" s="833" t="s">
        <v>482</v>
      </c>
      <c r="E47" s="834"/>
      <c r="F47" s="834"/>
      <c r="G47" s="834"/>
      <c r="H47" s="834"/>
      <c r="I47" s="835"/>
    </row>
    <row r="48" spans="1:20" ht="15" customHeight="1">
      <c r="C48" s="41"/>
      <c r="D48" s="830" t="s">
        <v>435</v>
      </c>
      <c r="E48" s="831"/>
      <c r="F48" s="831"/>
      <c r="G48" s="831"/>
      <c r="H48" s="831"/>
      <c r="I48" s="832"/>
    </row>
    <row r="49" spans="2:10" ht="24.75" customHeight="1">
      <c r="C49" s="41"/>
      <c r="D49" s="830" t="s">
        <v>436</v>
      </c>
      <c r="E49" s="831"/>
      <c r="F49" s="831"/>
      <c r="G49" s="831"/>
      <c r="H49" s="831"/>
      <c r="I49" s="832"/>
      <c r="J49" s="41"/>
    </row>
    <row r="50" spans="2:10" ht="23.25" customHeight="1">
      <c r="B50" s="39"/>
      <c r="C50" s="41"/>
      <c r="D50" s="41"/>
      <c r="E50" s="41"/>
      <c r="F50" s="41"/>
      <c r="G50" s="49"/>
      <c r="H50" s="40"/>
      <c r="I50" s="40"/>
      <c r="J50" s="41"/>
    </row>
    <row r="51" spans="2:10">
      <c r="D51" s="833" t="s">
        <v>483</v>
      </c>
      <c r="E51" s="834"/>
      <c r="F51" s="834"/>
      <c r="G51" s="834"/>
      <c r="H51" s="834"/>
      <c r="I51" s="835"/>
    </row>
    <row r="52" spans="2:10">
      <c r="D52" s="844" t="s">
        <v>484</v>
      </c>
      <c r="E52" s="844"/>
      <c r="F52" s="844"/>
      <c r="G52" s="844"/>
      <c r="H52" s="844"/>
      <c r="I52" s="844"/>
    </row>
    <row r="53" spans="2:10">
      <c r="D53" s="844" t="s">
        <v>437</v>
      </c>
      <c r="E53" s="844"/>
      <c r="F53" s="844"/>
      <c r="G53" s="844"/>
      <c r="H53" s="844"/>
      <c r="I53" s="844"/>
    </row>
    <row r="54" spans="2:10">
      <c r="D54" s="844" t="s">
        <v>438</v>
      </c>
      <c r="E54" s="844"/>
      <c r="F54" s="844"/>
      <c r="G54" s="844"/>
      <c r="H54" s="844"/>
      <c r="I54" s="844"/>
    </row>
    <row r="57" spans="2:10">
      <c r="D57" s="833" t="s">
        <v>485</v>
      </c>
      <c r="E57" s="834"/>
      <c r="F57" s="834"/>
      <c r="G57" s="834"/>
      <c r="H57" s="834"/>
      <c r="I57" s="835"/>
    </row>
    <row r="58" spans="2:10">
      <c r="D58" s="844" t="s">
        <v>486</v>
      </c>
      <c r="E58" s="844"/>
      <c r="F58" s="844"/>
      <c r="G58" s="844"/>
      <c r="H58" s="844"/>
      <c r="I58" s="844"/>
    </row>
    <row r="59" spans="2:10">
      <c r="D59" s="844" t="s">
        <v>439</v>
      </c>
      <c r="E59" s="844"/>
      <c r="F59" s="844"/>
      <c r="G59" s="844"/>
      <c r="H59" s="844"/>
      <c r="I59" s="844"/>
    </row>
    <row r="60" spans="2:10">
      <c r="D60" s="844" t="s">
        <v>487</v>
      </c>
      <c r="E60" s="844"/>
      <c r="F60" s="844"/>
      <c r="G60" s="844"/>
      <c r="H60" s="844"/>
      <c r="I60" s="844"/>
    </row>
    <row r="61" spans="2:10" ht="15" customHeight="1">
      <c r="D61" s="845" t="s">
        <v>440</v>
      </c>
      <c r="E61" s="845"/>
      <c r="F61" s="845"/>
      <c r="G61" s="845"/>
      <c r="H61" s="845"/>
      <c r="I61" s="845"/>
    </row>
    <row r="62" spans="2:10">
      <c r="D62" s="845"/>
      <c r="E62" s="845"/>
      <c r="F62" s="845"/>
      <c r="G62" s="845"/>
      <c r="H62" s="845"/>
      <c r="I62" s="845"/>
    </row>
    <row r="63" spans="2:10">
      <c r="D63" s="845" t="s">
        <v>441</v>
      </c>
      <c r="E63" s="845"/>
      <c r="F63" s="845"/>
      <c r="G63" s="845"/>
      <c r="H63" s="845"/>
      <c r="I63" s="845"/>
    </row>
    <row r="64" spans="2:10">
      <c r="D64" s="845"/>
      <c r="E64" s="845"/>
      <c r="F64" s="845"/>
      <c r="G64" s="845"/>
      <c r="H64" s="845"/>
      <c r="I64" s="845"/>
    </row>
    <row r="72" spans="1:9">
      <c r="A72" s="792" t="s">
        <v>813</v>
      </c>
      <c r="B72" s="792"/>
      <c r="C72" s="792"/>
      <c r="D72" s="792"/>
      <c r="E72" s="792"/>
      <c r="F72" s="792"/>
      <c r="G72" s="792"/>
      <c r="H72" s="792"/>
      <c r="I72" s="400" t="s">
        <v>820</v>
      </c>
    </row>
    <row r="73" spans="1:9" ht="31" customHeight="1">
      <c r="A73" s="592" t="s">
        <v>817</v>
      </c>
      <c r="B73" s="592"/>
      <c r="C73" s="592"/>
      <c r="D73" s="592"/>
      <c r="E73" s="592"/>
      <c r="F73" s="592"/>
      <c r="G73" s="592"/>
      <c r="H73" s="592"/>
    </row>
    <row r="74" spans="1:9" ht="72.650000000000006" customHeight="1">
      <c r="A74" s="394" t="s">
        <v>44</v>
      </c>
      <c r="B74" s="795" t="s">
        <v>814</v>
      </c>
      <c r="C74" s="796"/>
      <c r="D74" s="796"/>
      <c r="E74" s="797"/>
      <c r="F74" s="395" t="s">
        <v>818</v>
      </c>
      <c r="G74" s="395" t="s">
        <v>848</v>
      </c>
      <c r="H74" s="395" t="s">
        <v>819</v>
      </c>
      <c r="I74" s="393"/>
    </row>
    <row r="75" spans="1:9">
      <c r="A75" s="385"/>
      <c r="B75" s="396"/>
      <c r="C75" s="385"/>
      <c r="D75" s="385"/>
      <c r="E75" s="385"/>
      <c r="F75" s="385"/>
      <c r="G75" s="385"/>
      <c r="H75" s="385"/>
    </row>
    <row r="76" spans="1:9">
      <c r="A76" s="793" t="s">
        <v>815</v>
      </c>
      <c r="B76" s="793"/>
      <c r="C76" s="793"/>
      <c r="D76" s="793"/>
      <c r="E76" s="793"/>
      <c r="F76" s="793"/>
      <c r="G76" s="793"/>
      <c r="H76" s="793"/>
    </row>
    <row r="77" spans="1:9">
      <c r="A77" s="397"/>
      <c r="B77" s="398" t="s">
        <v>76</v>
      </c>
      <c r="C77" s="794" t="s">
        <v>655</v>
      </c>
      <c r="D77" s="794"/>
      <c r="E77" s="794"/>
      <c r="F77" s="794"/>
      <c r="G77" s="794"/>
      <c r="H77" s="794"/>
    </row>
    <row r="78" spans="1:9" ht="73.5" customHeight="1">
      <c r="A78" s="394" t="s">
        <v>45</v>
      </c>
      <c r="B78" s="399" t="s">
        <v>14</v>
      </c>
      <c r="C78" s="791" t="s">
        <v>849</v>
      </c>
      <c r="D78" s="791"/>
      <c r="E78" s="791"/>
      <c r="F78" s="791"/>
      <c r="G78" s="791"/>
      <c r="H78" s="791"/>
    </row>
    <row r="79" spans="1:9" ht="47.25" customHeight="1">
      <c r="A79" s="394" t="s">
        <v>46</v>
      </c>
      <c r="B79" s="399" t="s">
        <v>14</v>
      </c>
      <c r="C79" s="791" t="s">
        <v>816</v>
      </c>
      <c r="D79" s="791"/>
      <c r="E79" s="791"/>
      <c r="F79" s="791"/>
      <c r="G79" s="791"/>
      <c r="H79" s="791"/>
    </row>
    <row r="80" spans="1:9">
      <c r="B80" s="243"/>
    </row>
  </sheetData>
  <mergeCells count="54">
    <mergeCell ref="D59:I59"/>
    <mergeCell ref="D60:I60"/>
    <mergeCell ref="D61:I62"/>
    <mergeCell ref="D63:I64"/>
    <mergeCell ref="D51:I51"/>
    <mergeCell ref="D52:I52"/>
    <mergeCell ref="D53:I53"/>
    <mergeCell ref="D57:I57"/>
    <mergeCell ref="D58:I58"/>
    <mergeCell ref="D54:I54"/>
    <mergeCell ref="A19:A21"/>
    <mergeCell ref="D49:I49"/>
    <mergeCell ref="D48:I48"/>
    <mergeCell ref="D47:I47"/>
    <mergeCell ref="H29:I29"/>
    <mergeCell ref="A23:I23"/>
    <mergeCell ref="A26:A27"/>
    <mergeCell ref="B26:B27"/>
    <mergeCell ref="C26:C27"/>
    <mergeCell ref="I26:I27"/>
    <mergeCell ref="G39:K39"/>
    <mergeCell ref="A31:G31"/>
    <mergeCell ref="G35:K35"/>
    <mergeCell ref="G36:K36"/>
    <mergeCell ref="G37:K37"/>
    <mergeCell ref="G38:K38"/>
    <mergeCell ref="B10:I10"/>
    <mergeCell ref="B11:I11"/>
    <mergeCell ref="B17:C17"/>
    <mergeCell ref="B21:I21"/>
    <mergeCell ref="B19:I20"/>
    <mergeCell ref="A4:I4"/>
    <mergeCell ref="A5:I5"/>
    <mergeCell ref="A6:I6"/>
    <mergeCell ref="C7:I7"/>
    <mergeCell ref="D26:D27"/>
    <mergeCell ref="E26:E27"/>
    <mergeCell ref="F26:F27"/>
    <mergeCell ref="G26:G27"/>
    <mergeCell ref="H26:H27"/>
    <mergeCell ref="G24:I24"/>
    <mergeCell ref="D24:F24"/>
    <mergeCell ref="B13:I14"/>
    <mergeCell ref="A8:I9"/>
    <mergeCell ref="A13:A15"/>
    <mergeCell ref="A10:A11"/>
    <mergeCell ref="B15:I15"/>
    <mergeCell ref="C79:H79"/>
    <mergeCell ref="C78:H78"/>
    <mergeCell ref="A72:H72"/>
    <mergeCell ref="A73:H73"/>
    <mergeCell ref="A76:H76"/>
    <mergeCell ref="C77:H77"/>
    <mergeCell ref="B74:E7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6545" r:id="rId4" name="Option Button 1">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mc:AlternateContent xmlns:mc="http://schemas.openxmlformats.org/markup-compatibility/2006">
          <mc:Choice Requires="x14">
            <control shapeId="236546" r:id="rId5" name="Option Button 2">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mc:AlternateContent xmlns:mc="http://schemas.openxmlformats.org/markup-compatibility/2006">
          <mc:Choice Requires="x14">
            <control shapeId="236547" r:id="rId6" name="Option Button 3">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54"/>
  <sheetViews>
    <sheetView topLeftCell="A5" zoomScale="85" zoomScaleNormal="85" workbookViewId="0">
      <selection activeCell="E20" sqref="E20"/>
    </sheetView>
  </sheetViews>
  <sheetFormatPr defaultRowHeight="14.5"/>
  <cols>
    <col min="1" max="1" width="18.1796875" customWidth="1"/>
    <col min="2" max="2" width="13.54296875" customWidth="1"/>
    <col min="3" max="3" width="15.54296875" customWidth="1"/>
    <col min="4" max="4" width="18.1796875" customWidth="1"/>
    <col min="5" max="5" width="17.453125" customWidth="1"/>
    <col min="6" max="6" width="11.1796875" customWidth="1"/>
    <col min="7" max="7" width="14.7265625" customWidth="1"/>
    <col min="8" max="8" width="44.7265625" customWidth="1"/>
    <col min="9" max="9" width="42" customWidth="1"/>
    <col min="10" max="10" width="35" customWidth="1"/>
    <col min="11" max="11" width="34.81640625" customWidth="1"/>
    <col min="12" max="12" width="33.453125" customWidth="1"/>
    <col min="13" max="13" width="24" customWidth="1"/>
    <col min="14" max="14" width="12.453125" customWidth="1"/>
    <col min="15" max="15" width="14.453125" customWidth="1"/>
    <col min="16" max="16" width="16.7265625" customWidth="1"/>
  </cols>
  <sheetData>
    <row r="1" spans="1:15">
      <c r="A1" s="20"/>
      <c r="B1" s="20"/>
      <c r="C1" s="20"/>
      <c r="D1" s="20"/>
      <c r="E1" t="s">
        <v>59</v>
      </c>
      <c r="F1" s="21"/>
      <c r="G1" s="21"/>
      <c r="H1" t="s">
        <v>60</v>
      </c>
      <c r="I1" s="82"/>
      <c r="J1" t="s">
        <v>61</v>
      </c>
      <c r="K1" s="22"/>
    </row>
    <row r="4" spans="1:15">
      <c r="A4" s="588" t="s">
        <v>445</v>
      </c>
      <c r="B4" s="588"/>
      <c r="C4" s="588"/>
      <c r="D4" s="588"/>
      <c r="E4" s="588"/>
      <c r="F4" s="588"/>
      <c r="G4" s="588"/>
      <c r="H4" s="588"/>
      <c r="I4" s="588"/>
      <c r="J4" s="588"/>
      <c r="K4" s="588"/>
      <c r="L4" s="588"/>
    </row>
    <row r="5" spans="1:15" ht="33.75" customHeight="1">
      <c r="A5" s="773" t="s">
        <v>777</v>
      </c>
      <c r="B5" s="773"/>
      <c r="C5" s="773"/>
      <c r="D5" s="773"/>
      <c r="E5" s="773"/>
      <c r="F5" s="773"/>
      <c r="G5" s="773"/>
      <c r="H5" s="773"/>
      <c r="I5" s="773"/>
      <c r="J5" s="773"/>
      <c r="K5" s="773"/>
      <c r="L5" s="773"/>
    </row>
    <row r="6" spans="1:15">
      <c r="A6" s="111" t="s">
        <v>44</v>
      </c>
      <c r="B6" s="720" t="s">
        <v>45</v>
      </c>
      <c r="C6" s="720"/>
      <c r="D6" s="720"/>
      <c r="E6" s="720"/>
      <c r="F6" s="720"/>
      <c r="G6" s="720"/>
      <c r="H6" s="220" t="s">
        <v>46</v>
      </c>
      <c r="I6" s="221" t="s">
        <v>47</v>
      </c>
      <c r="J6" s="220" t="s">
        <v>48</v>
      </c>
      <c r="K6" s="408" t="s">
        <v>53</v>
      </c>
      <c r="L6" s="408" t="s">
        <v>54</v>
      </c>
    </row>
    <row r="7" spans="1:15" ht="28.5" customHeight="1">
      <c r="A7" s="302" t="s">
        <v>147</v>
      </c>
      <c r="B7" s="694" t="s">
        <v>366</v>
      </c>
      <c r="C7" s="893"/>
      <c r="D7" s="893"/>
      <c r="E7" s="893"/>
      <c r="F7" s="893"/>
      <c r="G7" s="894"/>
      <c r="H7" s="283" t="s">
        <v>367</v>
      </c>
      <c r="I7" s="499" t="s">
        <v>1020</v>
      </c>
      <c r="J7" s="240" t="s">
        <v>380</v>
      </c>
      <c r="K7" s="389" t="s">
        <v>830</v>
      </c>
      <c r="L7" s="389" t="s">
        <v>942</v>
      </c>
    </row>
    <row r="8" spans="1:15" ht="15" customHeight="1">
      <c r="A8" s="847"/>
      <c r="B8" s="848" t="s">
        <v>12</v>
      </c>
      <c r="C8" s="848"/>
      <c r="D8" s="848"/>
      <c r="E8" s="848"/>
      <c r="F8" s="848"/>
      <c r="G8" s="848"/>
      <c r="H8" s="848" t="s">
        <v>12</v>
      </c>
      <c r="I8" s="303" t="s">
        <v>12</v>
      </c>
      <c r="J8" s="848" t="s">
        <v>12</v>
      </c>
      <c r="K8" s="889" t="s">
        <v>12</v>
      </c>
      <c r="L8" s="889" t="s">
        <v>12</v>
      </c>
    </row>
    <row r="9" spans="1:15" ht="13.5" customHeight="1">
      <c r="A9" s="847"/>
      <c r="B9" s="848"/>
      <c r="C9" s="848"/>
      <c r="D9" s="848"/>
      <c r="E9" s="848"/>
      <c r="F9" s="848"/>
      <c r="G9" s="848"/>
      <c r="H9" s="848"/>
      <c r="I9" s="238" t="s">
        <v>12</v>
      </c>
      <c r="J9" s="848"/>
      <c r="K9" s="889"/>
      <c r="L9" s="889"/>
    </row>
    <row r="10" spans="1:15">
      <c r="A10" s="4"/>
      <c r="B10" s="4"/>
      <c r="C10" s="4"/>
      <c r="D10" s="4"/>
      <c r="E10" s="4"/>
      <c r="F10" s="4"/>
      <c r="G10" s="4"/>
      <c r="H10" s="100" t="s">
        <v>75</v>
      </c>
      <c r="I10" s="222" t="s">
        <v>454</v>
      </c>
      <c r="J10" s="109" t="s">
        <v>43</v>
      </c>
      <c r="K10" s="6"/>
      <c r="L10" s="6"/>
    </row>
    <row r="11" spans="1:15">
      <c r="A11" s="4"/>
      <c r="B11" s="4"/>
      <c r="C11" s="4"/>
      <c r="D11" s="4"/>
      <c r="E11" s="4"/>
      <c r="F11" s="4"/>
      <c r="G11" s="4"/>
      <c r="H11" s="6"/>
      <c r="I11" s="188"/>
      <c r="J11" s="6"/>
      <c r="K11" s="6"/>
      <c r="L11" s="6"/>
    </row>
    <row r="12" spans="1:15" ht="15" customHeight="1">
      <c r="A12" s="4"/>
      <c r="B12" s="733" t="s">
        <v>368</v>
      </c>
      <c r="C12" s="733"/>
      <c r="D12" s="733"/>
      <c r="E12" s="733"/>
      <c r="F12" s="733"/>
      <c r="G12" s="733"/>
      <c r="H12" s="304" t="s">
        <v>369</v>
      </c>
      <c r="I12" s="304" t="s">
        <v>375</v>
      </c>
      <c r="J12" s="406" t="s">
        <v>382</v>
      </c>
      <c r="K12" s="405" t="s">
        <v>829</v>
      </c>
      <c r="L12" s="405" t="s">
        <v>831</v>
      </c>
      <c r="O12" s="95"/>
    </row>
    <row r="13" spans="1:15" ht="56" customHeight="1">
      <c r="A13" s="4"/>
      <c r="B13" s="898" t="s">
        <v>835</v>
      </c>
      <c r="C13" s="899"/>
      <c r="D13" s="899"/>
      <c r="E13" s="899"/>
      <c r="F13" s="899"/>
      <c r="G13" s="900"/>
      <c r="H13" s="197" t="s">
        <v>370</v>
      </c>
      <c r="I13" s="402" t="s">
        <v>826</v>
      </c>
      <c r="J13" s="305" t="s">
        <v>383</v>
      </c>
      <c r="K13" s="403" t="s">
        <v>1028</v>
      </c>
      <c r="L13" s="403" t="s">
        <v>1027</v>
      </c>
      <c r="O13" s="95"/>
    </row>
    <row r="14" spans="1:15" ht="27.75" customHeight="1">
      <c r="A14" s="4"/>
      <c r="B14" s="901" t="s">
        <v>374</v>
      </c>
      <c r="C14" s="902"/>
      <c r="D14" s="902"/>
      <c r="E14" s="902"/>
      <c r="F14" s="902"/>
      <c r="G14" s="903"/>
      <c r="H14" s="305" t="s">
        <v>686</v>
      </c>
      <c r="I14" s="197" t="s">
        <v>417</v>
      </c>
      <c r="J14" s="407" t="s">
        <v>381</v>
      </c>
      <c r="K14" s="403" t="s">
        <v>833</v>
      </c>
      <c r="L14" s="403" t="s">
        <v>832</v>
      </c>
      <c r="O14" s="95"/>
    </row>
    <row r="15" spans="1:15" ht="44" customHeight="1">
      <c r="A15" s="4"/>
      <c r="B15" s="895" t="s">
        <v>258</v>
      </c>
      <c r="C15" s="896"/>
      <c r="D15" s="896"/>
      <c r="E15" s="896"/>
      <c r="F15" s="896"/>
      <c r="G15" s="897"/>
      <c r="H15" s="197" t="s">
        <v>371</v>
      </c>
      <c r="I15" s="60"/>
      <c r="J15" s="60"/>
      <c r="K15" s="403" t="s">
        <v>945</v>
      </c>
      <c r="L15" s="403" t="s">
        <v>1023</v>
      </c>
      <c r="O15" s="95"/>
    </row>
    <row r="16" spans="1:15" ht="47.5" customHeight="1">
      <c r="A16" s="4"/>
      <c r="B16" s="890" t="s">
        <v>384</v>
      </c>
      <c r="C16" s="891"/>
      <c r="D16" s="891"/>
      <c r="E16" s="891"/>
      <c r="F16" s="891"/>
      <c r="G16" s="892"/>
      <c r="H16" s="197" t="s">
        <v>372</v>
      </c>
      <c r="I16" s="4"/>
      <c r="J16" s="4"/>
      <c r="K16" s="403" t="s">
        <v>1021</v>
      </c>
      <c r="L16" s="403" t="s">
        <v>1024</v>
      </c>
    </row>
    <row r="17" spans="1:16" ht="39" customHeight="1">
      <c r="A17" s="4"/>
      <c r="B17" s="884" t="s">
        <v>943</v>
      </c>
      <c r="C17" s="884"/>
      <c r="D17" s="884"/>
      <c r="E17" s="884"/>
      <c r="F17" s="884"/>
      <c r="G17" s="884"/>
      <c r="H17" s="197" t="s">
        <v>373</v>
      </c>
      <c r="I17" s="304" t="s">
        <v>376</v>
      </c>
      <c r="J17" s="4"/>
      <c r="K17" s="403" t="s">
        <v>1022</v>
      </c>
      <c r="L17" s="403" t="s">
        <v>1026</v>
      </c>
    </row>
    <row r="18" spans="1:16" ht="45" customHeight="1">
      <c r="A18" s="4"/>
      <c r="B18" s="4"/>
      <c r="C18" s="4"/>
      <c r="D18" s="4"/>
      <c r="E18" s="4"/>
      <c r="F18" s="4"/>
      <c r="G18" s="4"/>
      <c r="H18" s="60"/>
      <c r="I18" s="197" t="s">
        <v>377</v>
      </c>
      <c r="J18" s="4"/>
      <c r="K18" s="403" t="s">
        <v>944</v>
      </c>
      <c r="L18" s="403" t="s">
        <v>946</v>
      </c>
    </row>
    <row r="19" spans="1:16" ht="49.5" customHeight="1">
      <c r="A19" s="4"/>
      <c r="B19" s="4"/>
      <c r="C19" s="4"/>
      <c r="D19" s="4"/>
      <c r="E19" s="4"/>
      <c r="F19" s="4"/>
      <c r="G19" s="4"/>
      <c r="H19" s="4"/>
      <c r="I19" s="197" t="s">
        <v>378</v>
      </c>
      <c r="J19" s="4"/>
      <c r="L19" s="403" t="s">
        <v>1025</v>
      </c>
    </row>
    <row r="20" spans="1:16" ht="26">
      <c r="A20" s="4"/>
      <c r="B20" s="4"/>
      <c r="C20" s="4"/>
      <c r="D20" s="4"/>
      <c r="E20" s="4"/>
      <c r="F20" s="4"/>
      <c r="G20" s="4"/>
      <c r="H20" s="4"/>
      <c r="I20" s="402" t="s">
        <v>828</v>
      </c>
      <c r="J20" s="4"/>
    </row>
    <row r="21" spans="1:16" ht="26">
      <c r="A21" s="4"/>
      <c r="B21" s="4"/>
      <c r="C21" s="4"/>
      <c r="D21" s="4"/>
      <c r="E21" s="4"/>
      <c r="F21" s="4"/>
      <c r="G21" s="4"/>
      <c r="H21" s="4"/>
      <c r="I21" s="404" t="s">
        <v>379</v>
      </c>
      <c r="J21" s="4"/>
    </row>
    <row r="22" spans="1:16" ht="28">
      <c r="A22" s="4"/>
      <c r="B22" s="4"/>
      <c r="C22" s="4"/>
      <c r="D22" s="4"/>
      <c r="E22" s="4"/>
      <c r="F22" s="4"/>
      <c r="G22" s="4"/>
      <c r="H22" s="4"/>
      <c r="I22" s="403" t="s">
        <v>827</v>
      </c>
      <c r="J22" s="4"/>
    </row>
    <row r="23" spans="1:16">
      <c r="I23" s="197" t="s">
        <v>417</v>
      </c>
    </row>
    <row r="26" spans="1:16">
      <c r="A26" s="385" t="s">
        <v>980</v>
      </c>
      <c r="B26" s="385"/>
      <c r="C26" s="385"/>
      <c r="D26" s="385"/>
      <c r="E26" s="385"/>
      <c r="F26" s="385"/>
    </row>
    <row r="27" spans="1:16">
      <c r="A27" s="474" t="s">
        <v>1018</v>
      </c>
      <c r="B27" s="475"/>
      <c r="C27" s="475"/>
      <c r="D27" s="475"/>
      <c r="E27" s="475"/>
      <c r="F27" s="475"/>
      <c r="G27" s="475"/>
      <c r="H27" s="475"/>
      <c r="I27" s="475"/>
      <c r="J27" s="475"/>
      <c r="K27" s="475"/>
      <c r="L27" s="475"/>
      <c r="M27" s="475"/>
      <c r="N27" s="475"/>
      <c r="O27" s="475"/>
      <c r="P27" s="476"/>
    </row>
    <row r="28" spans="1:16" ht="14.5" customHeight="1">
      <c r="A28" s="455" t="s">
        <v>947</v>
      </c>
      <c r="B28" s="456"/>
      <c r="C28" s="456"/>
      <c r="D28" s="456"/>
      <c r="E28" s="456"/>
      <c r="F28" s="456"/>
      <c r="G28" s="456"/>
      <c r="H28" s="456"/>
      <c r="I28" s="456"/>
      <c r="J28" s="456"/>
      <c r="K28" s="456"/>
      <c r="L28" s="456"/>
      <c r="M28" s="456"/>
      <c r="N28" s="456"/>
      <c r="O28" s="456"/>
      <c r="P28" s="457"/>
    </row>
    <row r="29" spans="1:16">
      <c r="A29" s="458" t="s">
        <v>927</v>
      </c>
      <c r="B29" s="459"/>
      <c r="C29" s="429" t="s">
        <v>948</v>
      </c>
      <c r="D29" s="460"/>
      <c r="E29" s="428" t="s">
        <v>949</v>
      </c>
      <c r="F29" s="461"/>
      <c r="G29" s="429" t="s">
        <v>950</v>
      </c>
      <c r="H29" s="461"/>
      <c r="I29" s="473" t="s">
        <v>951</v>
      </c>
      <c r="J29" s="472"/>
      <c r="K29" s="462" t="s">
        <v>952</v>
      </c>
      <c r="L29" s="463"/>
      <c r="M29" s="462" t="s">
        <v>953</v>
      </c>
      <c r="N29" s="463"/>
      <c r="O29" s="471" t="s">
        <v>954</v>
      </c>
      <c r="P29" s="472" t="s">
        <v>12</v>
      </c>
    </row>
    <row r="30" spans="1:16">
      <c r="A30" s="877" t="s">
        <v>44</v>
      </c>
      <c r="B30" s="877" t="s">
        <v>45</v>
      </c>
      <c r="C30" s="877" t="s">
        <v>46</v>
      </c>
      <c r="D30" s="849" t="s">
        <v>47</v>
      </c>
      <c r="E30" s="885"/>
      <c r="F30" s="885"/>
      <c r="G30" s="885"/>
      <c r="H30" s="885"/>
      <c r="I30" s="886"/>
      <c r="J30" s="877" t="s">
        <v>48</v>
      </c>
      <c r="K30" s="497" t="s">
        <v>53</v>
      </c>
      <c r="L30" s="849" t="s">
        <v>54</v>
      </c>
      <c r="M30" s="464" t="s">
        <v>55</v>
      </c>
      <c r="N30" s="464" t="s">
        <v>56</v>
      </c>
      <c r="O30" s="464" t="s">
        <v>57</v>
      </c>
      <c r="P30" s="464" t="s">
        <v>58</v>
      </c>
    </row>
    <row r="31" spans="1:16">
      <c r="A31" s="878"/>
      <c r="B31" s="878"/>
      <c r="C31" s="878"/>
      <c r="D31" s="850"/>
      <c r="E31" s="887"/>
      <c r="F31" s="887"/>
      <c r="G31" s="887"/>
      <c r="H31" s="887"/>
      <c r="I31" s="888"/>
      <c r="J31" s="878"/>
      <c r="K31" s="498"/>
      <c r="L31" s="850"/>
      <c r="M31" s="501"/>
      <c r="N31" s="747" t="s">
        <v>956</v>
      </c>
      <c r="O31" s="747"/>
      <c r="P31" s="747"/>
    </row>
    <row r="32" spans="1:16">
      <c r="A32" s="799" t="s">
        <v>957</v>
      </c>
      <c r="B32" s="799" t="s">
        <v>958</v>
      </c>
      <c r="C32" s="799" t="s">
        <v>959</v>
      </c>
      <c r="D32" s="799" t="s">
        <v>960</v>
      </c>
      <c r="E32" s="799"/>
      <c r="F32" s="799"/>
      <c r="G32" s="799"/>
      <c r="H32" s="799"/>
      <c r="I32" s="799"/>
      <c r="J32" s="880" t="s">
        <v>961</v>
      </c>
      <c r="K32" s="495" t="s">
        <v>962</v>
      </c>
      <c r="L32" s="500" t="s">
        <v>955</v>
      </c>
      <c r="M32" s="882" t="s">
        <v>964</v>
      </c>
      <c r="N32" s="880" t="s">
        <v>965</v>
      </c>
      <c r="O32" s="880" t="s">
        <v>966</v>
      </c>
      <c r="P32" s="880" t="s">
        <v>967</v>
      </c>
    </row>
    <row r="33" spans="1:16">
      <c r="A33" s="879"/>
      <c r="B33" s="799"/>
      <c r="C33" s="799"/>
      <c r="D33" s="799"/>
      <c r="E33" s="799"/>
      <c r="F33" s="799"/>
      <c r="G33" s="799"/>
      <c r="H33" s="799"/>
      <c r="I33" s="799"/>
      <c r="J33" s="881"/>
      <c r="K33" s="496"/>
      <c r="L33" s="504" t="s">
        <v>963</v>
      </c>
      <c r="M33" s="883"/>
      <c r="N33" s="881"/>
      <c r="O33" s="881"/>
      <c r="P33" s="881"/>
    </row>
    <row r="34" spans="1:16">
      <c r="A34" s="871" t="s">
        <v>968</v>
      </c>
      <c r="B34" s="872" t="s">
        <v>969</v>
      </c>
      <c r="C34" s="873"/>
      <c r="D34" s="874" t="s">
        <v>970</v>
      </c>
      <c r="E34" s="874"/>
      <c r="F34" s="874"/>
      <c r="G34" s="874"/>
      <c r="H34" s="874"/>
      <c r="I34" s="874"/>
      <c r="J34" s="875"/>
      <c r="K34" s="493"/>
      <c r="L34" s="862" t="s">
        <v>971</v>
      </c>
      <c r="M34" s="864" t="s">
        <v>972</v>
      </c>
      <c r="N34" s="867" t="s">
        <v>12</v>
      </c>
      <c r="O34" s="870" t="s">
        <v>12</v>
      </c>
      <c r="P34" s="856"/>
    </row>
    <row r="35" spans="1:16">
      <c r="A35" s="871"/>
      <c r="B35" s="872"/>
      <c r="C35" s="873"/>
      <c r="D35" s="874"/>
      <c r="E35" s="874"/>
      <c r="F35" s="874"/>
      <c r="G35" s="874"/>
      <c r="H35" s="874"/>
      <c r="I35" s="874"/>
      <c r="J35" s="876"/>
      <c r="K35" s="494"/>
      <c r="L35" s="863"/>
      <c r="M35" s="865"/>
      <c r="N35" s="868"/>
      <c r="O35" s="870"/>
      <c r="P35" s="857"/>
    </row>
    <row r="36" spans="1:16">
      <c r="A36" s="871"/>
      <c r="B36" s="872"/>
      <c r="C36" s="873"/>
      <c r="D36" s="859" t="s">
        <v>973</v>
      </c>
      <c r="E36" s="859"/>
      <c r="F36" s="859"/>
      <c r="G36" s="859"/>
      <c r="H36" s="859"/>
      <c r="I36" s="859"/>
      <c r="J36" s="860"/>
      <c r="K36" s="491"/>
      <c r="L36" s="862" t="s">
        <v>974</v>
      </c>
      <c r="M36" s="865"/>
      <c r="N36" s="868"/>
      <c r="O36" s="870"/>
      <c r="P36" s="857"/>
    </row>
    <row r="37" spans="1:16">
      <c r="A37" s="871"/>
      <c r="B37" s="872"/>
      <c r="C37" s="873"/>
      <c r="D37" s="859"/>
      <c r="E37" s="859"/>
      <c r="F37" s="859"/>
      <c r="G37" s="859"/>
      <c r="H37" s="859"/>
      <c r="I37" s="859"/>
      <c r="J37" s="861"/>
      <c r="K37" s="492"/>
      <c r="L37" s="863"/>
      <c r="M37" s="866"/>
      <c r="N37" s="869"/>
      <c r="O37" s="870"/>
      <c r="P37" s="858"/>
    </row>
    <row r="38" spans="1:16">
      <c r="A38" s="871" t="s">
        <v>975</v>
      </c>
      <c r="B38" s="872" t="s">
        <v>969</v>
      </c>
      <c r="C38" s="873"/>
      <c r="D38" s="874" t="s">
        <v>970</v>
      </c>
      <c r="E38" s="874"/>
      <c r="F38" s="874"/>
      <c r="G38" s="874"/>
      <c r="H38" s="874"/>
      <c r="I38" s="874"/>
      <c r="J38" s="875"/>
      <c r="K38" s="493"/>
      <c r="L38" s="862" t="s">
        <v>971</v>
      </c>
      <c r="M38" s="864" t="s">
        <v>972</v>
      </c>
      <c r="N38" s="867" t="s">
        <v>12</v>
      </c>
      <c r="O38" s="870" t="s">
        <v>12</v>
      </c>
      <c r="P38" s="856"/>
    </row>
    <row r="39" spans="1:16">
      <c r="A39" s="871"/>
      <c r="B39" s="872"/>
      <c r="C39" s="873"/>
      <c r="D39" s="874"/>
      <c r="E39" s="874"/>
      <c r="F39" s="874"/>
      <c r="G39" s="874"/>
      <c r="H39" s="874"/>
      <c r="I39" s="874"/>
      <c r="J39" s="876"/>
      <c r="K39" s="494"/>
      <c r="L39" s="863"/>
      <c r="M39" s="865"/>
      <c r="N39" s="868"/>
      <c r="O39" s="870"/>
      <c r="P39" s="857"/>
    </row>
    <row r="40" spans="1:16">
      <c r="A40" s="871"/>
      <c r="B40" s="872"/>
      <c r="C40" s="873"/>
      <c r="D40" s="859" t="s">
        <v>973</v>
      </c>
      <c r="E40" s="859"/>
      <c r="F40" s="859"/>
      <c r="G40" s="859"/>
      <c r="H40" s="859"/>
      <c r="I40" s="859"/>
      <c r="J40" s="860"/>
      <c r="K40" s="491"/>
      <c r="L40" s="862" t="s">
        <v>974</v>
      </c>
      <c r="M40" s="865"/>
      <c r="N40" s="868"/>
      <c r="O40" s="870"/>
      <c r="P40" s="857"/>
    </row>
    <row r="41" spans="1:16">
      <c r="A41" s="871"/>
      <c r="B41" s="872"/>
      <c r="C41" s="873"/>
      <c r="D41" s="859"/>
      <c r="E41" s="859"/>
      <c r="F41" s="859"/>
      <c r="G41" s="859"/>
      <c r="H41" s="859"/>
      <c r="I41" s="859"/>
      <c r="J41" s="861"/>
      <c r="K41" s="492"/>
      <c r="L41" s="863"/>
      <c r="M41" s="866"/>
      <c r="N41" s="869"/>
      <c r="O41" s="870"/>
      <c r="P41" s="858"/>
    </row>
    <row r="42" spans="1:16" ht="16.5">
      <c r="A42" s="851" t="s">
        <v>976</v>
      </c>
      <c r="B42" s="851"/>
      <c r="C42" s="477"/>
      <c r="D42" s="852" t="s">
        <v>977</v>
      </c>
      <c r="E42" s="853"/>
      <c r="F42" s="853"/>
      <c r="G42" s="467"/>
      <c r="H42" s="468"/>
      <c r="I42" s="469"/>
      <c r="J42" s="466" t="s">
        <v>978</v>
      </c>
      <c r="K42" s="470"/>
      <c r="L42" s="502"/>
      <c r="M42" s="503"/>
      <c r="N42" s="527" t="s">
        <v>979</v>
      </c>
      <c r="O42" s="527"/>
      <c r="P42" s="465"/>
    </row>
    <row r="44" spans="1:16">
      <c r="A44" s="385" t="s">
        <v>981</v>
      </c>
    </row>
    <row r="45" spans="1:16">
      <c r="A45" s="588" t="s">
        <v>991</v>
      </c>
      <c r="B45" s="588"/>
      <c r="C45" s="588"/>
      <c r="D45" s="588"/>
      <c r="E45" s="588"/>
      <c r="F45" s="588"/>
      <c r="G45" s="588"/>
      <c r="H45" s="588"/>
      <c r="I45" s="588"/>
      <c r="J45" s="479"/>
    </row>
    <row r="46" spans="1:16" ht="19.5" customHeight="1">
      <c r="A46" s="773" t="s">
        <v>990</v>
      </c>
      <c r="B46" s="773"/>
      <c r="C46" s="773"/>
      <c r="D46" s="773"/>
      <c r="E46" s="773"/>
      <c r="F46" s="773"/>
      <c r="G46" s="773"/>
      <c r="H46" s="773"/>
      <c r="I46" s="773"/>
      <c r="J46" s="479"/>
      <c r="K46" s="479"/>
    </row>
    <row r="47" spans="1:16">
      <c r="A47" s="111" t="s">
        <v>44</v>
      </c>
      <c r="B47" s="720" t="s">
        <v>45</v>
      </c>
      <c r="C47" s="720"/>
      <c r="D47" s="720" t="s">
        <v>46</v>
      </c>
      <c r="E47" s="720"/>
      <c r="F47" s="720" t="s">
        <v>47</v>
      </c>
      <c r="G47" s="720"/>
      <c r="H47" s="88" t="s">
        <v>48</v>
      </c>
      <c r="I47" s="64" t="s">
        <v>53</v>
      </c>
      <c r="J47" s="479"/>
      <c r="K47" s="479"/>
    </row>
    <row r="48" spans="1:16" ht="25.5" customHeight="1">
      <c r="A48" s="240" t="s">
        <v>982</v>
      </c>
      <c r="B48" s="611" t="s">
        <v>983</v>
      </c>
      <c r="C48" s="611"/>
      <c r="D48" s="611" t="s">
        <v>989</v>
      </c>
      <c r="E48" s="611"/>
      <c r="F48" s="611" t="s">
        <v>984</v>
      </c>
      <c r="G48" s="611"/>
      <c r="H48" s="55" t="s">
        <v>985</v>
      </c>
      <c r="I48" s="240" t="s">
        <v>986</v>
      </c>
      <c r="J48" s="479"/>
      <c r="K48" s="479"/>
    </row>
    <row r="49" spans="1:11">
      <c r="A49" s="847"/>
      <c r="B49" s="846"/>
      <c r="C49" s="846"/>
      <c r="D49" s="846"/>
      <c r="E49" s="846"/>
      <c r="F49" s="846"/>
      <c r="G49" s="846"/>
      <c r="H49" s="846"/>
      <c r="I49" s="848" t="s">
        <v>12</v>
      </c>
      <c r="J49" s="479"/>
      <c r="K49" s="479"/>
    </row>
    <row r="50" spans="1:11">
      <c r="A50" s="847"/>
      <c r="B50" s="846"/>
      <c r="C50" s="846"/>
      <c r="D50" s="846"/>
      <c r="E50" s="846"/>
      <c r="F50" s="846"/>
      <c r="G50" s="846"/>
      <c r="H50" s="846"/>
      <c r="I50" s="848"/>
      <c r="J50" s="479"/>
      <c r="K50" s="479"/>
    </row>
    <row r="51" spans="1:11">
      <c r="J51" s="479"/>
      <c r="K51" s="479"/>
    </row>
    <row r="52" spans="1:11">
      <c r="I52" s="764" t="s">
        <v>179</v>
      </c>
      <c r="J52" s="479"/>
      <c r="K52" s="479"/>
    </row>
    <row r="53" spans="1:11">
      <c r="I53" s="764"/>
      <c r="J53" s="479"/>
      <c r="K53" s="479"/>
    </row>
    <row r="54" spans="1:11" ht="44.25" customHeight="1">
      <c r="G54" s="854" t="s">
        <v>992</v>
      </c>
      <c r="H54" s="855"/>
      <c r="I54" s="478" t="s">
        <v>987</v>
      </c>
      <c r="K54" s="479"/>
    </row>
  </sheetData>
  <mergeCells count="77">
    <mergeCell ref="A8:A9"/>
    <mergeCell ref="B8:G9"/>
    <mergeCell ref="H8:H9"/>
    <mergeCell ref="B7:G7"/>
    <mergeCell ref="B15:G15"/>
    <mergeCell ref="B12:G12"/>
    <mergeCell ref="B13:G13"/>
    <mergeCell ref="B14:G14"/>
    <mergeCell ref="K8:K9"/>
    <mergeCell ref="L8:L9"/>
    <mergeCell ref="J8:J9"/>
    <mergeCell ref="B6:G6"/>
    <mergeCell ref="B16:G16"/>
    <mergeCell ref="A34:A37"/>
    <mergeCell ref="B34:B37"/>
    <mergeCell ref="B17:G17"/>
    <mergeCell ref="A30:A31"/>
    <mergeCell ref="B30:B31"/>
    <mergeCell ref="C30:C31"/>
    <mergeCell ref="D30:I31"/>
    <mergeCell ref="N31:P31"/>
    <mergeCell ref="A32:A33"/>
    <mergeCell ref="B32:B33"/>
    <mergeCell ref="C32:C33"/>
    <mergeCell ref="D32:I33"/>
    <mergeCell ref="J32:J33"/>
    <mergeCell ref="M32:M33"/>
    <mergeCell ref="N32:N33"/>
    <mergeCell ref="O32:O33"/>
    <mergeCell ref="P32:P33"/>
    <mergeCell ref="C34:C37"/>
    <mergeCell ref="D34:I35"/>
    <mergeCell ref="J34:J35"/>
    <mergeCell ref="L34:L35"/>
    <mergeCell ref="J30:J31"/>
    <mergeCell ref="M34:M37"/>
    <mergeCell ref="N34:N37"/>
    <mergeCell ref="O34:O37"/>
    <mergeCell ref="P34:P37"/>
    <mergeCell ref="D36:I37"/>
    <mergeCell ref="J36:J37"/>
    <mergeCell ref="L36:L37"/>
    <mergeCell ref="A38:A41"/>
    <mergeCell ref="B38:B41"/>
    <mergeCell ref="C38:C41"/>
    <mergeCell ref="D38:I39"/>
    <mergeCell ref="J38:J39"/>
    <mergeCell ref="N42:O42"/>
    <mergeCell ref="P38:P41"/>
    <mergeCell ref="D40:I41"/>
    <mergeCell ref="J40:J41"/>
    <mergeCell ref="L40:L41"/>
    <mergeCell ref="L38:L39"/>
    <mergeCell ref="M38:M41"/>
    <mergeCell ref="N38:N41"/>
    <mergeCell ref="O38:O41"/>
    <mergeCell ref="A46:I46"/>
    <mergeCell ref="A45:I45"/>
    <mergeCell ref="A42:B42"/>
    <mergeCell ref="D42:F42"/>
    <mergeCell ref="G54:H54"/>
    <mergeCell ref="A5:L5"/>
    <mergeCell ref="A4:L4"/>
    <mergeCell ref="I52:I53"/>
    <mergeCell ref="B47:C47"/>
    <mergeCell ref="D47:E47"/>
    <mergeCell ref="F47:G47"/>
    <mergeCell ref="B48:C48"/>
    <mergeCell ref="D48:E48"/>
    <mergeCell ref="F48:G48"/>
    <mergeCell ref="B49:C50"/>
    <mergeCell ref="D49:E50"/>
    <mergeCell ref="F49:G50"/>
    <mergeCell ref="A49:A50"/>
    <mergeCell ref="H49:H50"/>
    <mergeCell ref="I49:I50"/>
    <mergeCell ref="L30:L31"/>
  </mergeCells>
  <phoneticPr fontId="114" type="noConversion"/>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5397-473E-43E9-A5A6-B8E6192D3472}">
  <dimension ref="A1:N71"/>
  <sheetViews>
    <sheetView zoomScale="60" zoomScaleNormal="60" workbookViewId="0">
      <selection activeCell="G40" sqref="G40"/>
    </sheetView>
  </sheetViews>
  <sheetFormatPr defaultColWidth="9.1796875" defaultRowHeight="14.5"/>
  <cols>
    <col min="1" max="1" width="25.1796875" customWidth="1"/>
    <col min="2" max="2" width="43.1796875" customWidth="1"/>
    <col min="3" max="3" width="37.1796875" customWidth="1"/>
    <col min="4" max="4" width="20.453125" customWidth="1"/>
    <col min="5" max="5" width="19.1796875" customWidth="1"/>
    <col min="6" max="6" width="27.1796875" customWidth="1"/>
    <col min="7" max="7" width="45.453125" customWidth="1"/>
    <col min="8" max="8" width="23.81640625" customWidth="1"/>
    <col min="9" max="9" width="9.1796875" customWidth="1"/>
    <col min="10" max="11" width="8.81640625" customWidth="1"/>
  </cols>
  <sheetData>
    <row r="1" spans="1:14">
      <c r="A1" s="20"/>
      <c r="B1" t="s">
        <v>59</v>
      </c>
      <c r="C1" s="21"/>
      <c r="D1" t="s">
        <v>60</v>
      </c>
      <c r="G1" s="82"/>
      <c r="H1" t="s">
        <v>61</v>
      </c>
      <c r="J1" s="22"/>
      <c r="K1" t="s">
        <v>62</v>
      </c>
    </row>
    <row r="2" spans="1:14">
      <c r="A2" s="659"/>
      <c r="B2" s="659"/>
      <c r="C2" s="199"/>
      <c r="D2" s="199"/>
      <c r="E2" s="199"/>
      <c r="F2" s="199"/>
    </row>
    <row r="3" spans="1:14">
      <c r="A3" s="911" t="s">
        <v>565</v>
      </c>
      <c r="B3" s="911"/>
      <c r="C3" s="911"/>
      <c r="D3" s="911"/>
      <c r="E3" s="911"/>
      <c r="F3" s="911"/>
      <c r="G3" s="95"/>
    </row>
    <row r="4" spans="1:14" ht="23.15" customHeight="1">
      <c r="A4" s="773" t="s">
        <v>566</v>
      </c>
      <c r="B4" s="773"/>
      <c r="C4" s="773"/>
      <c r="D4" s="773"/>
      <c r="E4" s="773"/>
      <c r="F4" s="773"/>
      <c r="G4" s="95"/>
    </row>
    <row r="5" spans="1:14" ht="51.75" customHeight="1">
      <c r="A5" s="799" t="s">
        <v>735</v>
      </c>
      <c r="B5" s="799"/>
      <c r="C5" s="799"/>
      <c r="D5" s="312" t="s">
        <v>732</v>
      </c>
      <c r="E5" s="312" t="s">
        <v>733</v>
      </c>
      <c r="F5" s="312" t="s">
        <v>734</v>
      </c>
      <c r="G5" s="315"/>
      <c r="H5" s="315"/>
      <c r="I5" s="315"/>
      <c r="J5" s="316"/>
      <c r="K5" s="316"/>
    </row>
    <row r="6" spans="1:14" ht="19.5" customHeight="1">
      <c r="A6" s="904" t="s">
        <v>809</v>
      </c>
      <c r="B6" s="904"/>
      <c r="C6" s="904"/>
      <c r="D6" s="350"/>
      <c r="E6" s="350"/>
      <c r="F6" s="233"/>
    </row>
    <row r="7" spans="1:14">
      <c r="A7" s="69" t="s">
        <v>44</v>
      </c>
      <c r="B7" s="88" t="s">
        <v>45</v>
      </c>
      <c r="C7" s="88" t="s">
        <v>46</v>
      </c>
      <c r="D7" s="351"/>
      <c r="E7" s="352"/>
      <c r="F7" s="352"/>
      <c r="G7" s="95"/>
      <c r="L7" s="84"/>
    </row>
    <row r="8" spans="1:14" ht="15" customHeight="1">
      <c r="A8" s="611" t="s">
        <v>267</v>
      </c>
      <c r="B8" s="602" t="s">
        <v>707</v>
      </c>
      <c r="C8" s="912" t="s">
        <v>808</v>
      </c>
      <c r="D8" s="353"/>
      <c r="E8" s="354"/>
      <c r="F8" s="354"/>
      <c r="G8" s="54"/>
      <c r="H8" s="95"/>
      <c r="M8" s="54"/>
    </row>
    <row r="9" spans="1:14" ht="47.25" customHeight="1">
      <c r="A9" s="611"/>
      <c r="B9" s="838"/>
      <c r="C9" s="913"/>
      <c r="D9" s="355"/>
      <c r="E9" s="232"/>
      <c r="F9" s="232"/>
      <c r="G9" s="54"/>
      <c r="H9" s="95"/>
      <c r="M9" s="83"/>
    </row>
    <row r="10" spans="1:14">
      <c r="A10" s="291"/>
      <c r="B10" s="205" t="s">
        <v>12</v>
      </c>
      <c r="C10" s="205" t="s">
        <v>12</v>
      </c>
      <c r="D10" s="234"/>
      <c r="E10" s="199"/>
      <c r="F10" s="199"/>
      <c r="G10" s="234"/>
      <c r="H10" s="95"/>
      <c r="M10" s="84"/>
    </row>
    <row r="11" spans="1:14">
      <c r="B11" s="99"/>
      <c r="C11" s="99"/>
      <c r="D11" s="356"/>
      <c r="E11" s="199"/>
      <c r="F11" s="199"/>
      <c r="G11" s="6"/>
      <c r="H11" s="95"/>
      <c r="N11" s="4"/>
    </row>
    <row r="12" spans="1:14">
      <c r="B12" s="99"/>
      <c r="C12" s="99"/>
      <c r="D12" s="356"/>
      <c r="E12" s="199"/>
      <c r="F12" s="199"/>
      <c r="H12" s="95"/>
      <c r="N12" s="4"/>
    </row>
    <row r="13" spans="1:14">
      <c r="B13" s="159" t="s">
        <v>567</v>
      </c>
      <c r="C13" s="159" t="s">
        <v>572</v>
      </c>
      <c r="D13" s="357"/>
      <c r="E13" s="199"/>
      <c r="F13" s="199"/>
      <c r="G13" s="235"/>
      <c r="H13" s="95"/>
    </row>
    <row r="14" spans="1:14" ht="46.5" customHeight="1">
      <c r="B14" s="226" t="s">
        <v>568</v>
      </c>
      <c r="C14" s="226" t="s">
        <v>687</v>
      </c>
      <c r="D14" s="232"/>
      <c r="E14" s="199"/>
      <c r="F14" s="199"/>
      <c r="G14" s="227"/>
      <c r="H14" s="95"/>
    </row>
    <row r="15" spans="1:14" ht="36" customHeight="1">
      <c r="B15" s="226" t="s">
        <v>569</v>
      </c>
      <c r="C15" s="226" t="s">
        <v>688</v>
      </c>
      <c r="D15" s="358"/>
      <c r="E15" s="199"/>
      <c r="F15" s="359"/>
      <c r="G15" s="227"/>
    </row>
    <row r="16" spans="1:14" ht="34.5" customHeight="1">
      <c r="B16" s="226" t="s">
        <v>570</v>
      </c>
      <c r="C16" s="226" t="s">
        <v>593</v>
      </c>
      <c r="D16" s="333"/>
      <c r="E16" s="199"/>
      <c r="F16" s="360"/>
      <c r="G16" s="227"/>
      <c r="H16" s="95"/>
    </row>
    <row r="17" spans="1:13" ht="36" customHeight="1">
      <c r="B17" s="226" t="s">
        <v>571</v>
      </c>
      <c r="C17" s="83"/>
      <c r="D17" s="361"/>
      <c r="E17" s="199"/>
      <c r="F17" s="362"/>
      <c r="G17" s="227"/>
      <c r="H17" s="95"/>
    </row>
    <row r="18" spans="1:13" ht="37.5" customHeight="1">
      <c r="B18" s="430" t="s">
        <v>994</v>
      </c>
      <c r="C18" s="227"/>
      <c r="D18" s="363"/>
      <c r="E18" s="199"/>
      <c r="F18" s="364"/>
      <c r="H18" s="209"/>
    </row>
    <row r="19" spans="1:13">
      <c r="A19" s="237"/>
      <c r="B19" s="480" t="s">
        <v>993</v>
      </c>
      <c r="C19" s="103"/>
      <c r="D19" s="199"/>
      <c r="E19" s="359"/>
      <c r="F19" s="199"/>
      <c r="G19" s="95"/>
    </row>
    <row r="20" spans="1:13">
      <c r="D20" s="86"/>
      <c r="E20" s="87"/>
      <c r="G20" s="95"/>
    </row>
    <row r="21" spans="1:13" ht="19.5" customHeight="1">
      <c r="A21" s="914" t="s">
        <v>838</v>
      </c>
      <c r="B21" s="915"/>
      <c r="C21" s="915"/>
      <c r="D21" s="915"/>
      <c r="E21" s="915"/>
      <c r="F21" s="916"/>
      <c r="G21" s="233"/>
    </row>
    <row r="22" spans="1:13">
      <c r="A22" s="69" t="s">
        <v>44</v>
      </c>
      <c r="B22" s="88" t="s">
        <v>45</v>
      </c>
      <c r="C22" s="88" t="s">
        <v>46</v>
      </c>
      <c r="D22" s="167" t="s">
        <v>47</v>
      </c>
      <c r="E22" s="88" t="s">
        <v>48</v>
      </c>
      <c r="F22" s="88" t="s">
        <v>53</v>
      </c>
      <c r="G22" s="95"/>
      <c r="L22" s="84"/>
    </row>
    <row r="23" spans="1:13" ht="32.5" customHeight="1">
      <c r="A23" s="611" t="s">
        <v>267</v>
      </c>
      <c r="B23" s="611" t="s">
        <v>573</v>
      </c>
      <c r="C23" s="910" t="s">
        <v>995</v>
      </c>
      <c r="D23" s="908" t="s">
        <v>839</v>
      </c>
      <c r="E23" s="909"/>
      <c r="F23" s="906" t="s">
        <v>806</v>
      </c>
      <c r="G23" s="95"/>
      <c r="L23" s="54"/>
    </row>
    <row r="24" spans="1:13" ht="26.15" customHeight="1">
      <c r="A24" s="611"/>
      <c r="B24" s="611"/>
      <c r="C24" s="910"/>
      <c r="D24" s="240" t="s">
        <v>579</v>
      </c>
      <c r="E24" s="240" t="s">
        <v>580</v>
      </c>
      <c r="F24" s="907"/>
      <c r="G24" s="95"/>
      <c r="L24" s="83"/>
    </row>
    <row r="25" spans="1:13">
      <c r="A25" s="291"/>
      <c r="B25" s="260" t="s">
        <v>12</v>
      </c>
      <c r="C25" s="260" t="s">
        <v>12</v>
      </c>
      <c r="D25" s="291"/>
      <c r="E25" s="291"/>
      <c r="F25" s="260" t="s">
        <v>12</v>
      </c>
      <c r="G25" s="95"/>
      <c r="L25" s="84"/>
    </row>
    <row r="26" spans="1:13">
      <c r="A26" s="94"/>
      <c r="B26" s="94"/>
      <c r="C26" s="94"/>
      <c r="D26" s="4"/>
      <c r="E26" s="122" t="s">
        <v>164</v>
      </c>
      <c r="F26" s="114" t="s">
        <v>43</v>
      </c>
      <c r="G26" s="95"/>
      <c r="M26" s="4"/>
    </row>
    <row r="27" spans="1:13">
      <c r="A27" s="4"/>
      <c r="B27" s="4"/>
      <c r="C27" s="4"/>
      <c r="D27" s="298"/>
      <c r="E27" s="299"/>
      <c r="F27" s="4"/>
      <c r="G27" s="95"/>
    </row>
    <row r="28" spans="1:13">
      <c r="A28" s="4"/>
      <c r="B28" s="246" t="s">
        <v>308</v>
      </c>
      <c r="C28" s="391" t="s">
        <v>577</v>
      </c>
      <c r="D28" s="246" t="s">
        <v>579</v>
      </c>
      <c r="E28" s="246" t="s">
        <v>584</v>
      </c>
      <c r="F28" s="246" t="s">
        <v>581</v>
      </c>
      <c r="G28" s="95"/>
    </row>
    <row r="29" spans="1:13" ht="52">
      <c r="A29" s="4"/>
      <c r="B29" s="173" t="s">
        <v>574</v>
      </c>
      <c r="C29" s="390" t="s">
        <v>778</v>
      </c>
      <c r="D29" s="173" t="s">
        <v>585</v>
      </c>
      <c r="E29" s="173" t="s">
        <v>583</v>
      </c>
      <c r="F29" s="173" t="s">
        <v>582</v>
      </c>
      <c r="G29" s="41"/>
      <c r="H29" s="39"/>
    </row>
    <row r="30" spans="1:13" ht="52">
      <c r="A30" s="4"/>
      <c r="B30" s="392" t="s">
        <v>575</v>
      </c>
      <c r="C30" s="390" t="s">
        <v>578</v>
      </c>
      <c r="D30" s="173" t="s">
        <v>586</v>
      </c>
      <c r="E30" s="173" t="s">
        <v>996</v>
      </c>
      <c r="F30" s="4"/>
      <c r="G30" s="41"/>
      <c r="H30" s="39"/>
    </row>
    <row r="31" spans="1:13" ht="52">
      <c r="A31" s="4"/>
      <c r="B31" s="389" t="s">
        <v>576</v>
      </c>
      <c r="C31" s="4"/>
      <c r="D31" s="173" t="s">
        <v>587</v>
      </c>
      <c r="E31" s="389" t="s">
        <v>576</v>
      </c>
      <c r="F31" s="196"/>
      <c r="G31" s="50"/>
      <c r="H31" s="366"/>
    </row>
    <row r="32" spans="1:13">
      <c r="A32" s="4"/>
      <c r="B32" s="4"/>
      <c r="C32" s="482" t="s">
        <v>812</v>
      </c>
      <c r="D32" s="481"/>
      <c r="F32" s="196"/>
      <c r="G32" s="50"/>
      <c r="H32" s="366"/>
    </row>
    <row r="33" spans="1:13" ht="52">
      <c r="A33" s="4"/>
      <c r="B33" s="4"/>
      <c r="C33" s="392" t="s">
        <v>810</v>
      </c>
      <c r="D33" s="40"/>
      <c r="E33" s="365"/>
      <c r="F33" s="196"/>
      <c r="G33" s="50"/>
      <c r="H33" s="366"/>
    </row>
    <row r="34" spans="1:13" ht="52">
      <c r="A34" s="4"/>
      <c r="B34" s="4"/>
      <c r="C34" s="392" t="s">
        <v>811</v>
      </c>
      <c r="D34" s="40"/>
      <c r="E34" s="365"/>
      <c r="F34" s="196"/>
      <c r="G34" s="50"/>
      <c r="H34" s="366"/>
    </row>
    <row r="35" spans="1:13">
      <c r="C35" s="481"/>
      <c r="D35" s="41"/>
      <c r="E35" s="50"/>
      <c r="F35" s="199"/>
      <c r="G35" s="50"/>
      <c r="H35" s="366"/>
    </row>
    <row r="36" spans="1:13">
      <c r="D36" s="85"/>
      <c r="E36" s="330"/>
      <c r="F36" s="199"/>
      <c r="G36" s="330"/>
      <c r="H36" s="367"/>
      <c r="J36" s="85"/>
    </row>
    <row r="37" spans="1:13" ht="19.5" customHeight="1">
      <c r="A37" s="904" t="s">
        <v>997</v>
      </c>
      <c r="B37" s="904"/>
      <c r="C37" s="904"/>
      <c r="D37" s="904"/>
      <c r="E37" s="904"/>
      <c r="F37" s="904"/>
      <c r="G37" s="904"/>
      <c r="H37" s="199"/>
    </row>
    <row r="38" spans="1:13" ht="34.5" customHeight="1">
      <c r="A38" s="905" t="s">
        <v>708</v>
      </c>
      <c r="B38" s="905"/>
      <c r="C38" s="905"/>
      <c r="D38" s="905"/>
      <c r="E38" s="905"/>
      <c r="F38" s="905"/>
      <c r="G38" s="905"/>
      <c r="H38" s="199"/>
    </row>
    <row r="39" spans="1:13">
      <c r="A39" s="69" t="s">
        <v>44</v>
      </c>
      <c r="B39" s="88" t="s">
        <v>45</v>
      </c>
      <c r="C39" s="88" t="s">
        <v>46</v>
      </c>
      <c r="D39" s="484" t="s">
        <v>47</v>
      </c>
      <c r="E39" s="505" t="s">
        <v>47</v>
      </c>
      <c r="F39" s="505" t="s">
        <v>48</v>
      </c>
      <c r="G39" s="505" t="s">
        <v>53</v>
      </c>
      <c r="H39" s="199"/>
      <c r="L39" s="84"/>
    </row>
    <row r="40" spans="1:13" ht="43" customHeight="1">
      <c r="A40" s="240" t="s">
        <v>595</v>
      </c>
      <c r="B40" s="240" t="s">
        <v>588</v>
      </c>
      <c r="C40" s="392" t="s">
        <v>807</v>
      </c>
      <c r="D40" s="390" t="s">
        <v>998</v>
      </c>
      <c r="E40" s="486" t="s">
        <v>999</v>
      </c>
      <c r="F40" s="486" t="s">
        <v>1016</v>
      </c>
      <c r="G40" s="486" t="s">
        <v>1014</v>
      </c>
      <c r="H40" s="199"/>
      <c r="L40" s="54"/>
    </row>
    <row r="41" spans="1:13">
      <c r="A41" s="291"/>
      <c r="B41" s="260" t="s">
        <v>12</v>
      </c>
      <c r="C41" s="260" t="s">
        <v>12</v>
      </c>
      <c r="D41" s="433" t="s">
        <v>12</v>
      </c>
      <c r="E41" s="487" t="s">
        <v>12</v>
      </c>
      <c r="F41" s="487" t="s">
        <v>1017</v>
      </c>
      <c r="G41" s="487" t="s">
        <v>1015</v>
      </c>
      <c r="L41" s="84"/>
    </row>
    <row r="42" spans="1:13">
      <c r="A42" s="94"/>
      <c r="B42" s="94"/>
      <c r="C42" s="94"/>
      <c r="D42" s="434"/>
      <c r="E42" s="488"/>
      <c r="F42" s="6"/>
      <c r="G42" s="95"/>
      <c r="M42" s="4"/>
    </row>
    <row r="43" spans="1:13">
      <c r="A43" s="4"/>
      <c r="B43" s="4"/>
      <c r="C43" s="4"/>
      <c r="D43" s="483"/>
      <c r="E43" s="489"/>
      <c r="G43" s="95"/>
    </row>
    <row r="44" spans="1:13">
      <c r="A44" s="4"/>
      <c r="B44" s="246" t="s">
        <v>592</v>
      </c>
      <c r="C44" s="246" t="s">
        <v>594</v>
      </c>
      <c r="D44" s="391" t="s">
        <v>596</v>
      </c>
      <c r="E44" s="490" t="s">
        <v>1000</v>
      </c>
      <c r="F44" s="235"/>
      <c r="G44" s="95"/>
    </row>
    <row r="45" spans="1:13" ht="52">
      <c r="A45" s="4"/>
      <c r="B45" s="173" t="s">
        <v>589</v>
      </c>
      <c r="C45" s="173" t="s">
        <v>599</v>
      </c>
      <c r="D45" s="485" t="s">
        <v>597</v>
      </c>
      <c r="E45" s="389" t="s">
        <v>1001</v>
      </c>
      <c r="F45" s="83" t="s">
        <v>1012</v>
      </c>
      <c r="G45" s="41"/>
      <c r="H45" s="39"/>
    </row>
    <row r="46" spans="1:13" ht="52">
      <c r="A46" s="4"/>
      <c r="B46" s="173" t="s">
        <v>590</v>
      </c>
      <c r="C46" s="4"/>
      <c r="D46" s="485" t="s">
        <v>598</v>
      </c>
      <c r="E46" s="389" t="s">
        <v>1002</v>
      </c>
      <c r="F46" s="83" t="s">
        <v>1010</v>
      </c>
      <c r="G46" s="43"/>
      <c r="H46" s="39"/>
      <c r="J46" s="44"/>
      <c r="K46" s="41"/>
    </row>
    <row r="47" spans="1:13">
      <c r="A47" s="4"/>
      <c r="B47" s="173" t="s">
        <v>591</v>
      </c>
      <c r="C47" s="4"/>
      <c r="D47" s="42"/>
      <c r="E47" s="389" t="s">
        <v>1003</v>
      </c>
      <c r="F47" s="83" t="s">
        <v>1011</v>
      </c>
      <c r="G47" s="43"/>
      <c r="H47" s="39"/>
      <c r="J47" s="41"/>
      <c r="K47" s="41"/>
    </row>
    <row r="48" spans="1:13">
      <c r="D48" s="45"/>
      <c r="E48" s="389" t="s">
        <v>1004</v>
      </c>
      <c r="F48" s="83" t="s">
        <v>1011</v>
      </c>
      <c r="G48" s="47"/>
      <c r="I48" s="41"/>
      <c r="J48" s="41"/>
    </row>
    <row r="49" spans="1:10">
      <c r="A49" t="s">
        <v>703</v>
      </c>
      <c r="B49" s="87"/>
      <c r="C49" s="87"/>
      <c r="E49" s="389" t="s">
        <v>1005</v>
      </c>
      <c r="F49" s="83" t="s">
        <v>1011</v>
      </c>
      <c r="H49" s="41"/>
      <c r="I49" s="41"/>
      <c r="J49" s="41"/>
    </row>
    <row r="50" spans="1:10" ht="26">
      <c r="B50" s="87"/>
      <c r="C50" s="87"/>
      <c r="D50" s="48"/>
      <c r="E50" s="389" t="s">
        <v>1002</v>
      </c>
      <c r="F50" s="83" t="s">
        <v>1011</v>
      </c>
      <c r="H50" s="41"/>
      <c r="I50" s="41"/>
      <c r="J50" s="41"/>
    </row>
    <row r="51" spans="1:10" ht="26">
      <c r="B51" s="87"/>
      <c r="C51" s="87"/>
      <c r="D51" s="39"/>
      <c r="E51" s="389" t="s">
        <v>1006</v>
      </c>
      <c r="F51" s="83" t="s">
        <v>1011</v>
      </c>
      <c r="G51" s="85"/>
      <c r="H51" s="85"/>
      <c r="I51" s="41"/>
      <c r="J51" s="41"/>
    </row>
    <row r="52" spans="1:10">
      <c r="B52" s="87"/>
      <c r="C52" s="87"/>
      <c r="D52" s="44"/>
      <c r="E52" s="389" t="s">
        <v>1007</v>
      </c>
      <c r="F52" s="83" t="s">
        <v>1011</v>
      </c>
      <c r="G52" s="44"/>
      <c r="H52" s="44"/>
      <c r="I52" s="41"/>
      <c r="J52" s="41"/>
    </row>
    <row r="53" spans="1:10" ht="26">
      <c r="D53" s="41"/>
      <c r="E53" s="389" t="s">
        <v>1009</v>
      </c>
      <c r="F53" s="83" t="s">
        <v>1013</v>
      </c>
      <c r="G53" s="40"/>
      <c r="H53" s="41"/>
      <c r="I53" s="41"/>
      <c r="J53" s="41"/>
    </row>
    <row r="54" spans="1:10" ht="26">
      <c r="D54" s="41"/>
      <c r="E54" s="389" t="s">
        <v>1008</v>
      </c>
      <c r="F54" s="83" t="s">
        <v>1013</v>
      </c>
      <c r="G54" s="40"/>
      <c r="H54" s="41"/>
      <c r="I54" s="41"/>
      <c r="J54" s="41"/>
    </row>
    <row r="55" spans="1:10">
      <c r="D55" s="41"/>
      <c r="E55" s="41"/>
      <c r="F55" s="49"/>
      <c r="G55" s="40"/>
      <c r="H55" s="41"/>
    </row>
    <row r="56" spans="1:10">
      <c r="D56" s="41"/>
      <c r="E56" s="41"/>
      <c r="F56" s="49"/>
      <c r="G56" s="40"/>
      <c r="H56" s="41"/>
      <c r="I56" s="85"/>
    </row>
    <row r="57" spans="1:10">
      <c r="D57" s="41"/>
      <c r="E57" s="41"/>
      <c r="F57" s="49"/>
      <c r="G57" s="40"/>
      <c r="H57" s="41"/>
      <c r="I57" s="44"/>
      <c r="J57" s="41"/>
    </row>
    <row r="58" spans="1:10">
      <c r="D58" s="41"/>
      <c r="E58" s="41"/>
      <c r="F58" s="49"/>
      <c r="G58" s="40"/>
      <c r="H58" s="41"/>
      <c r="I58" s="50"/>
      <c r="J58" s="41"/>
    </row>
    <row r="59" spans="1:10">
      <c r="D59" s="41"/>
      <c r="E59" s="41"/>
      <c r="F59" s="49"/>
      <c r="G59" s="40"/>
      <c r="H59" s="41"/>
      <c r="I59" s="50"/>
      <c r="J59" s="41"/>
    </row>
    <row r="60" spans="1:10">
      <c r="D60" s="41"/>
      <c r="E60" s="41"/>
      <c r="F60" s="49"/>
      <c r="G60" s="40"/>
      <c r="H60" s="41"/>
      <c r="I60" s="50"/>
      <c r="J60" s="41"/>
    </row>
    <row r="61" spans="1:10">
      <c r="H61" s="41"/>
      <c r="I61" s="50"/>
      <c r="J61" s="41"/>
    </row>
    <row r="62" spans="1:10">
      <c r="B62" s="39"/>
      <c r="C62" s="39"/>
      <c r="D62" s="39"/>
      <c r="E62" s="39"/>
      <c r="F62" s="39"/>
      <c r="G62" s="85"/>
      <c r="H62" s="85"/>
      <c r="I62" s="50"/>
      <c r="J62" s="41"/>
    </row>
    <row r="63" spans="1:10">
      <c r="B63" s="39"/>
      <c r="C63" s="39"/>
      <c r="D63" s="44"/>
      <c r="E63" s="44"/>
      <c r="F63" s="44"/>
      <c r="G63" s="44"/>
      <c r="H63" s="44"/>
      <c r="I63" s="50"/>
      <c r="J63" s="41"/>
    </row>
    <row r="64" spans="1:10">
      <c r="B64" s="39"/>
      <c r="C64" s="39"/>
      <c r="D64" s="41"/>
      <c r="E64" s="41"/>
      <c r="F64" s="49"/>
      <c r="G64" s="40"/>
      <c r="H64" s="41"/>
      <c r="I64" s="50"/>
      <c r="J64" s="41"/>
    </row>
    <row r="65" spans="2:10">
      <c r="B65" s="39"/>
      <c r="C65" s="39"/>
      <c r="D65" s="41"/>
      <c r="E65" s="41"/>
      <c r="F65" s="49"/>
      <c r="G65" s="40"/>
      <c r="H65" s="41"/>
      <c r="I65" s="41"/>
      <c r="J65" s="41"/>
    </row>
    <row r="66" spans="2:10">
      <c r="B66" s="39"/>
      <c r="C66" s="39"/>
      <c r="D66" s="41"/>
      <c r="E66" s="41"/>
      <c r="F66" s="49"/>
      <c r="G66" s="40"/>
      <c r="H66" s="41"/>
    </row>
    <row r="67" spans="2:10">
      <c r="D67" s="41"/>
      <c r="E67" s="41"/>
      <c r="F67" s="49"/>
      <c r="G67" s="40"/>
      <c r="H67" s="41"/>
    </row>
    <row r="68" spans="2:10">
      <c r="D68" s="41"/>
      <c r="E68" s="41"/>
      <c r="F68" s="49"/>
      <c r="G68" s="40"/>
      <c r="H68" s="41"/>
    </row>
    <row r="69" spans="2:10">
      <c r="D69" s="41"/>
      <c r="E69" s="41"/>
      <c r="F69" s="49"/>
      <c r="G69" s="40"/>
      <c r="H69" s="41"/>
    </row>
    <row r="70" spans="2:10">
      <c r="D70" s="41"/>
      <c r="E70" s="41"/>
      <c r="F70" s="49"/>
      <c r="G70" s="40"/>
      <c r="H70" s="41"/>
    </row>
    <row r="71" spans="2:10">
      <c r="B71" s="39"/>
      <c r="C71" s="39"/>
      <c r="D71" s="41"/>
      <c r="E71" s="41"/>
      <c r="F71" s="49"/>
      <c r="G71" s="40"/>
      <c r="H71" s="41"/>
    </row>
  </sheetData>
  <mergeCells count="16">
    <mergeCell ref="A37:G37"/>
    <mergeCell ref="A38:G38"/>
    <mergeCell ref="F23:F24"/>
    <mergeCell ref="D23:E23"/>
    <mergeCell ref="A2:B2"/>
    <mergeCell ref="A23:A24"/>
    <mergeCell ref="B23:B24"/>
    <mergeCell ref="C23:C24"/>
    <mergeCell ref="A3:F3"/>
    <mergeCell ref="A4:F4"/>
    <mergeCell ref="B8:B9"/>
    <mergeCell ref="C8:C9"/>
    <mergeCell ref="A21:F21"/>
    <mergeCell ref="A8:A9"/>
    <mergeCell ref="A6:C6"/>
    <mergeCell ref="A5:C5"/>
  </mergeCell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DA2B-4345-409C-B880-9A4BBC13BFC4}">
  <dimension ref="A1:M37"/>
  <sheetViews>
    <sheetView zoomScaleNormal="100" workbookViewId="0">
      <selection activeCell="A13" sqref="A13"/>
    </sheetView>
  </sheetViews>
  <sheetFormatPr defaultColWidth="9.1796875" defaultRowHeight="14.5"/>
  <cols>
    <col min="1" max="1" width="34.1796875" customWidth="1"/>
    <col min="2" max="2" width="33.1796875" customWidth="1"/>
    <col min="3" max="3" width="37.1796875" customWidth="1"/>
    <col min="4" max="4" width="19.453125" customWidth="1"/>
    <col min="5" max="5" width="19.1796875" customWidth="1"/>
    <col min="6" max="6" width="27.1796875" customWidth="1"/>
    <col min="7" max="7" width="45.453125" customWidth="1"/>
    <col min="8" max="8" width="23.81640625" customWidth="1"/>
    <col min="9" max="9" width="9.1796875" customWidth="1"/>
    <col min="10" max="11" width="8.81640625" customWidth="1"/>
  </cols>
  <sheetData>
    <row r="1" spans="1:13">
      <c r="A1" s="20"/>
      <c r="B1" t="s">
        <v>59</v>
      </c>
      <c r="C1" s="21"/>
      <c r="D1" t="s">
        <v>60</v>
      </c>
      <c r="G1" s="82"/>
      <c r="H1" t="s">
        <v>61</v>
      </c>
      <c r="J1" s="22"/>
      <c r="K1" t="s">
        <v>62</v>
      </c>
    </row>
    <row r="2" spans="1:13">
      <c r="A2" s="659" t="s">
        <v>519</v>
      </c>
      <c r="B2" s="659"/>
    </row>
    <row r="3" spans="1:13">
      <c r="A3" s="911" t="s">
        <v>637</v>
      </c>
      <c r="B3" s="911"/>
      <c r="C3" s="911"/>
      <c r="D3" s="911"/>
      <c r="E3" s="911"/>
      <c r="F3" s="911"/>
      <c r="G3" s="95"/>
    </row>
    <row r="4" spans="1:13" ht="43" customHeight="1">
      <c r="A4" s="745" t="s">
        <v>705</v>
      </c>
      <c r="B4" s="745"/>
      <c r="C4" s="745"/>
      <c r="D4" s="745"/>
      <c r="E4" s="745"/>
      <c r="F4" s="745"/>
      <c r="G4" s="95"/>
    </row>
    <row r="5" spans="1:13">
      <c r="A5" s="69" t="s">
        <v>44</v>
      </c>
      <c r="B5" s="88" t="s">
        <v>45</v>
      </c>
      <c r="C5" s="88" t="s">
        <v>46</v>
      </c>
      <c r="D5" s="228"/>
      <c r="E5" s="151"/>
      <c r="F5" s="151"/>
      <c r="G5" s="95"/>
      <c r="L5" s="84"/>
    </row>
    <row r="6" spans="1:13" ht="15" customHeight="1">
      <c r="A6" s="738" t="s">
        <v>779</v>
      </c>
      <c r="B6" s="739"/>
      <c r="C6" s="611" t="s">
        <v>609</v>
      </c>
      <c r="D6" s="236"/>
      <c r="E6" s="236"/>
      <c r="F6" s="54"/>
      <c r="G6" s="95"/>
      <c r="L6" s="54"/>
    </row>
    <row r="7" spans="1:13">
      <c r="A7" s="240" t="s">
        <v>603</v>
      </c>
      <c r="B7" s="240" t="s">
        <v>604</v>
      </c>
      <c r="C7" s="611"/>
      <c r="D7" s="83"/>
      <c r="E7" s="83"/>
      <c r="F7" s="54"/>
      <c r="G7" s="95"/>
      <c r="L7" s="83"/>
    </row>
    <row r="8" spans="1:13">
      <c r="A8" s="260" t="s">
        <v>12</v>
      </c>
      <c r="B8" s="260" t="s">
        <v>12</v>
      </c>
      <c r="C8" s="260" t="s">
        <v>12</v>
      </c>
      <c r="F8" s="234"/>
      <c r="G8" s="95"/>
      <c r="L8" s="84"/>
    </row>
    <row r="9" spans="1:13">
      <c r="A9" s="94"/>
      <c r="B9" s="94"/>
      <c r="C9" s="94"/>
      <c r="F9" s="6"/>
      <c r="G9" s="95"/>
      <c r="M9" s="4"/>
    </row>
    <row r="10" spans="1:13">
      <c r="A10" s="94"/>
      <c r="B10" s="94"/>
      <c r="C10" s="94"/>
      <c r="G10" s="95"/>
      <c r="M10" s="4"/>
    </row>
    <row r="11" spans="1:13">
      <c r="A11" s="246" t="s">
        <v>608</v>
      </c>
      <c r="B11" s="246" t="s">
        <v>607</v>
      </c>
      <c r="C11" s="246" t="s">
        <v>610</v>
      </c>
      <c r="F11" s="235"/>
      <c r="G11" s="95"/>
    </row>
    <row r="12" spans="1:13" ht="26">
      <c r="A12" s="173" t="s">
        <v>605</v>
      </c>
      <c r="B12" s="173" t="s">
        <v>606</v>
      </c>
      <c r="C12" s="173" t="s">
        <v>611</v>
      </c>
      <c r="F12" s="227"/>
      <c r="G12" s="95"/>
    </row>
    <row r="13" spans="1:13" ht="54" customHeight="1">
      <c r="A13" s="173" t="s">
        <v>613</v>
      </c>
      <c r="B13" s="173" t="s">
        <v>613</v>
      </c>
      <c r="C13" s="173" t="s">
        <v>612</v>
      </c>
      <c r="E13" s="89"/>
      <c r="F13" s="227"/>
    </row>
    <row r="14" spans="1:13" ht="39" customHeight="1">
      <c r="A14" s="243"/>
      <c r="B14" s="243"/>
      <c r="C14" s="173" t="s">
        <v>613</v>
      </c>
      <c r="E14" s="90"/>
      <c r="F14" s="227"/>
      <c r="G14" s="95"/>
    </row>
    <row r="15" spans="1:13" ht="36" customHeight="1">
      <c r="A15" s="83"/>
      <c r="B15" s="83"/>
      <c r="C15" s="93"/>
      <c r="E15" s="91"/>
      <c r="F15" s="227"/>
      <c r="G15" s="95"/>
    </row>
    <row r="16" spans="1:13" ht="37.5" customHeight="1">
      <c r="A16" s="83"/>
      <c r="B16" s="227"/>
      <c r="C16" s="103"/>
      <c r="E16" s="92"/>
      <c r="G16" s="209"/>
    </row>
    <row r="17" spans="1:10">
      <c r="A17" s="237"/>
      <c r="B17" s="227"/>
      <c r="C17" s="103"/>
      <c r="E17" s="89"/>
      <c r="G17" s="95"/>
    </row>
    <row r="18" spans="1:10">
      <c r="D18" s="86"/>
      <c r="E18" s="87"/>
      <c r="G18" s="95"/>
    </row>
    <row r="19" spans="1:10">
      <c r="D19" s="41"/>
      <c r="E19" s="41"/>
      <c r="F19" s="49"/>
      <c r="G19" s="40"/>
      <c r="H19" s="41"/>
      <c r="I19" s="41"/>
      <c r="J19" s="41"/>
    </row>
    <row r="20" spans="1:10">
      <c r="D20" s="41"/>
      <c r="E20" s="41"/>
      <c r="F20" s="49"/>
      <c r="G20" s="40"/>
      <c r="H20" s="41"/>
      <c r="I20" s="41"/>
      <c r="J20" s="41"/>
    </row>
    <row r="21" spans="1:10">
      <c r="D21" s="41"/>
      <c r="E21" s="41"/>
      <c r="F21" s="49"/>
      <c r="G21" s="40"/>
      <c r="H21" s="41"/>
    </row>
    <row r="22" spans="1:10">
      <c r="D22" s="41"/>
      <c r="E22" s="41"/>
      <c r="F22" s="49"/>
      <c r="G22" s="40"/>
      <c r="H22" s="41"/>
      <c r="I22" s="85"/>
    </row>
    <row r="23" spans="1:10">
      <c r="D23" s="41"/>
      <c r="E23" s="41"/>
      <c r="F23" s="49"/>
      <c r="G23" s="40"/>
      <c r="H23" s="41"/>
      <c r="I23" s="44"/>
      <c r="J23" s="41"/>
    </row>
    <row r="24" spans="1:10">
      <c r="D24" s="41"/>
      <c r="E24" s="41"/>
      <c r="F24" s="49"/>
      <c r="G24" s="40"/>
      <c r="H24" s="41"/>
      <c r="I24" s="50"/>
      <c r="J24" s="41"/>
    </row>
    <row r="25" spans="1:10">
      <c r="D25" s="41"/>
      <c r="E25" s="41"/>
      <c r="F25" s="49"/>
      <c r="G25" s="40"/>
      <c r="H25" s="41"/>
      <c r="I25" s="50"/>
      <c r="J25" s="41"/>
    </row>
    <row r="26" spans="1:10">
      <c r="D26" s="41"/>
      <c r="E26" s="41"/>
      <c r="F26" s="49"/>
      <c r="G26" s="40"/>
      <c r="H26" s="41"/>
      <c r="I26" s="50"/>
      <c r="J26" s="41"/>
    </row>
    <row r="27" spans="1:10">
      <c r="H27" s="41"/>
      <c r="I27" s="50"/>
      <c r="J27" s="41"/>
    </row>
    <row r="28" spans="1:10">
      <c r="B28" s="39"/>
      <c r="C28" s="39"/>
      <c r="D28" s="39"/>
      <c r="E28" s="39"/>
      <c r="F28" s="39"/>
      <c r="G28" s="85"/>
      <c r="H28" s="85"/>
      <c r="I28" s="50"/>
      <c r="J28" s="41"/>
    </row>
    <row r="29" spans="1:10">
      <c r="B29" s="39"/>
      <c r="C29" s="39"/>
      <c r="D29" s="44"/>
      <c r="E29" s="44"/>
      <c r="F29" s="44"/>
      <c r="G29" s="44"/>
      <c r="H29" s="44"/>
      <c r="I29" s="50"/>
      <c r="J29" s="41"/>
    </row>
    <row r="30" spans="1:10">
      <c r="B30" s="39"/>
      <c r="C30" s="39"/>
      <c r="D30" s="41"/>
      <c r="E30" s="41"/>
      <c r="F30" s="49"/>
      <c r="G30" s="40"/>
      <c r="H30" s="41"/>
      <c r="I30" s="50"/>
      <c r="J30" s="41"/>
    </row>
    <row r="31" spans="1:10">
      <c r="B31" s="39"/>
      <c r="C31" s="39"/>
      <c r="D31" s="41"/>
      <c r="E31" s="41"/>
      <c r="F31" s="49"/>
      <c r="G31" s="40"/>
      <c r="H31" s="41"/>
      <c r="I31" s="41"/>
      <c r="J31" s="41"/>
    </row>
    <row r="32" spans="1:10">
      <c r="B32" s="39"/>
      <c r="C32" s="39"/>
      <c r="D32" s="41"/>
      <c r="E32" s="41"/>
      <c r="F32" s="49"/>
      <c r="G32" s="40"/>
      <c r="H32" s="41"/>
    </row>
    <row r="33" spans="2:8">
      <c r="D33" s="41"/>
      <c r="E33" s="41"/>
      <c r="F33" s="49"/>
      <c r="G33" s="40"/>
      <c r="H33" s="41"/>
    </row>
    <row r="34" spans="2:8">
      <c r="D34" s="41"/>
      <c r="E34" s="41"/>
      <c r="F34" s="49"/>
      <c r="G34" s="40"/>
      <c r="H34" s="41"/>
    </row>
    <row r="35" spans="2:8">
      <c r="D35" s="41"/>
      <c r="E35" s="41"/>
      <c r="F35" s="49"/>
      <c r="G35" s="40"/>
      <c r="H35" s="41"/>
    </row>
    <row r="36" spans="2:8">
      <c r="D36" s="41"/>
      <c r="E36" s="41"/>
      <c r="F36" s="49"/>
      <c r="G36" s="40"/>
      <c r="H36" s="41"/>
    </row>
    <row r="37" spans="2:8">
      <c r="B37" s="39"/>
      <c r="C37" s="39"/>
      <c r="D37" s="41"/>
      <c r="E37" s="41"/>
      <c r="F37" s="49"/>
      <c r="G37" s="40"/>
      <c r="H37" s="41"/>
    </row>
  </sheetData>
  <mergeCells count="5">
    <mergeCell ref="A6:B6"/>
    <mergeCell ref="C6:C7"/>
    <mergeCell ref="A2:B2"/>
    <mergeCell ref="A3:F3"/>
    <mergeCell ref="A4:F4"/>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E37D-E649-44AF-9FB2-87078378B678}">
  <sheetPr>
    <tabColor rgb="FFFF0000"/>
  </sheetPr>
  <dimension ref="A1:P53"/>
  <sheetViews>
    <sheetView zoomScaleNormal="100" workbookViewId="0">
      <selection activeCell="A14" sqref="A14"/>
    </sheetView>
  </sheetViews>
  <sheetFormatPr defaultColWidth="9.1796875" defaultRowHeight="14.5"/>
  <cols>
    <col min="1" max="1" width="16.1796875" customWidth="1"/>
    <col min="2" max="2" width="27.1796875" customWidth="1"/>
    <col min="3" max="3" width="26.81640625" customWidth="1"/>
    <col min="4" max="4" width="19.453125" customWidth="1"/>
    <col min="5" max="6" width="21.81640625" customWidth="1"/>
    <col min="7" max="8" width="27.1796875" customWidth="1"/>
    <col min="9" max="9" width="23" customWidth="1"/>
    <col min="10" max="11" width="23.81640625" customWidth="1"/>
    <col min="12" max="12" width="22.26953125" customWidth="1"/>
    <col min="13" max="13" width="18.81640625" customWidth="1"/>
    <col min="14" max="14" width="8.81640625" customWidth="1"/>
  </cols>
  <sheetData>
    <row r="1" spans="1:16">
      <c r="A1" s="20"/>
      <c r="B1" t="s">
        <v>59</v>
      </c>
      <c r="C1" s="21"/>
      <c r="D1" t="s">
        <v>60</v>
      </c>
      <c r="I1" s="82"/>
      <c r="J1" t="s">
        <v>61</v>
      </c>
      <c r="M1" s="22"/>
      <c r="N1" t="s">
        <v>62</v>
      </c>
    </row>
    <row r="2" spans="1:16">
      <c r="A2" s="734"/>
      <c r="B2" s="734"/>
      <c r="K2" s="4"/>
    </row>
    <row r="3" spans="1:16">
      <c r="A3" s="920" t="s">
        <v>709</v>
      </c>
      <c r="B3" s="921"/>
      <c r="C3" s="921"/>
      <c r="D3" s="921"/>
      <c r="E3" s="921"/>
      <c r="F3" s="921"/>
      <c r="G3" s="921"/>
      <c r="H3" s="921"/>
      <c r="I3" s="921"/>
      <c r="J3" s="922"/>
      <c r="K3" s="4"/>
      <c r="L3" s="225"/>
      <c r="M3" s="225"/>
    </row>
    <row r="4" spans="1:16" ht="14.5" customHeight="1">
      <c r="A4" s="923" t="s">
        <v>710</v>
      </c>
      <c r="B4" s="924"/>
      <c r="C4" s="924"/>
      <c r="D4" s="924"/>
      <c r="E4" s="924"/>
      <c r="F4" s="924"/>
      <c r="G4" s="924"/>
      <c r="H4" s="924"/>
      <c r="I4" s="924"/>
      <c r="J4" s="925"/>
      <c r="K4" s="4"/>
      <c r="L4" s="424"/>
      <c r="M4" s="424"/>
    </row>
    <row r="5" spans="1:16" ht="14.5" customHeight="1">
      <c r="A5" s="431" t="s">
        <v>44</v>
      </c>
      <c r="B5" s="890" t="s">
        <v>889</v>
      </c>
      <c r="C5" s="892"/>
      <c r="D5" s="432"/>
      <c r="E5" s="432"/>
      <c r="F5" s="432"/>
      <c r="G5" s="432"/>
      <c r="H5" s="432"/>
      <c r="I5" s="432"/>
      <c r="J5" s="432"/>
      <c r="K5" s="4"/>
      <c r="L5" s="424"/>
      <c r="M5" s="424"/>
    </row>
    <row r="6" spans="1:16">
      <c r="A6" s="431" t="s">
        <v>44</v>
      </c>
      <c r="B6" s="411" t="s">
        <v>45</v>
      </c>
      <c r="C6" s="411" t="s">
        <v>46</v>
      </c>
      <c r="D6" s="411" t="s">
        <v>47</v>
      </c>
      <c r="E6" s="411" t="s">
        <v>48</v>
      </c>
      <c r="F6" s="411" t="s">
        <v>53</v>
      </c>
      <c r="G6" s="411" t="s">
        <v>903</v>
      </c>
      <c r="H6" s="411" t="s">
        <v>55</v>
      </c>
      <c r="I6" s="411" t="s">
        <v>904</v>
      </c>
      <c r="J6" s="411" t="s">
        <v>905</v>
      </c>
      <c r="L6" s="417"/>
      <c r="M6" s="417"/>
      <c r="O6" s="84"/>
    </row>
    <row r="7" spans="1:16" ht="26">
      <c r="A7" s="390" t="s">
        <v>638</v>
      </c>
      <c r="B7" s="390" t="s">
        <v>640</v>
      </c>
      <c r="C7" s="390" t="s">
        <v>841</v>
      </c>
      <c r="D7" s="390" t="s">
        <v>641</v>
      </c>
      <c r="E7" s="390" t="s">
        <v>906</v>
      </c>
      <c r="F7" s="390" t="s">
        <v>844</v>
      </c>
      <c r="G7" s="390" t="s">
        <v>907</v>
      </c>
      <c r="H7" s="390" t="s">
        <v>890</v>
      </c>
      <c r="I7" s="390" t="s">
        <v>642</v>
      </c>
      <c r="J7" s="390" t="s">
        <v>654</v>
      </c>
      <c r="L7" s="418"/>
      <c r="M7" s="418"/>
      <c r="O7" s="83"/>
    </row>
    <row r="8" spans="1:16">
      <c r="A8" s="433"/>
      <c r="B8" s="433" t="s">
        <v>12</v>
      </c>
      <c r="C8" s="433" t="s">
        <v>12</v>
      </c>
      <c r="D8" s="433" t="s">
        <v>12</v>
      </c>
      <c r="E8" s="433" t="s">
        <v>12</v>
      </c>
      <c r="F8" s="433" t="s">
        <v>12</v>
      </c>
      <c r="G8" s="433" t="s">
        <v>12</v>
      </c>
      <c r="H8" s="433" t="s">
        <v>12</v>
      </c>
      <c r="I8" s="433" t="s">
        <v>12</v>
      </c>
      <c r="J8" s="433" t="s">
        <v>12</v>
      </c>
      <c r="L8" s="419"/>
      <c r="M8" s="419"/>
      <c r="O8" s="84"/>
    </row>
    <row r="9" spans="1:16" ht="15">
      <c r="A9" s="414" t="s">
        <v>840</v>
      </c>
      <c r="B9" s="414"/>
      <c r="C9" s="414"/>
      <c r="D9" s="434"/>
      <c r="E9" s="434"/>
      <c r="F9" s="435"/>
      <c r="G9" s="412"/>
      <c r="H9" s="412"/>
      <c r="I9" s="436"/>
      <c r="J9" s="434"/>
      <c r="L9" s="4"/>
      <c r="M9" s="4"/>
      <c r="P9" s="4"/>
    </row>
    <row r="10" spans="1:16">
      <c r="A10" s="94"/>
      <c r="B10" s="94"/>
      <c r="C10" s="94"/>
      <c r="D10" s="4"/>
      <c r="E10" s="4"/>
      <c r="F10" s="421"/>
      <c r="G10" s="413"/>
      <c r="H10" s="413"/>
      <c r="I10" s="249"/>
      <c r="J10" s="4"/>
      <c r="L10" s="4"/>
      <c r="M10" s="4"/>
      <c r="P10" s="4"/>
    </row>
    <row r="11" spans="1:16" ht="26">
      <c r="A11" s="258"/>
      <c r="B11" s="410" t="s">
        <v>627</v>
      </c>
      <c r="C11" s="410" t="s">
        <v>643</v>
      </c>
      <c r="D11" s="410" t="s">
        <v>644</v>
      </c>
      <c r="E11" s="410" t="s">
        <v>899</v>
      </c>
      <c r="F11" s="410" t="s">
        <v>845</v>
      </c>
      <c r="G11" s="391" t="s">
        <v>908</v>
      </c>
      <c r="H11" s="410" t="s">
        <v>891</v>
      </c>
      <c r="I11" s="410" t="s">
        <v>650</v>
      </c>
      <c r="J11" s="410" t="s">
        <v>653</v>
      </c>
      <c r="L11" s="420"/>
      <c r="M11" s="420"/>
    </row>
    <row r="12" spans="1:16" ht="147" customHeight="1">
      <c r="A12" s="243"/>
      <c r="B12" s="389" t="s">
        <v>847</v>
      </c>
      <c r="C12" s="389" t="s">
        <v>909</v>
      </c>
      <c r="D12" s="389" t="s">
        <v>645</v>
      </c>
      <c r="E12" s="390" t="s">
        <v>842</v>
      </c>
      <c r="F12" s="389" t="s">
        <v>900</v>
      </c>
      <c r="G12" s="390" t="s">
        <v>843</v>
      </c>
      <c r="H12" s="389" t="s">
        <v>894</v>
      </c>
      <c r="I12" s="389" t="s">
        <v>910</v>
      </c>
      <c r="J12" s="389" t="s">
        <v>651</v>
      </c>
      <c r="L12" s="418"/>
      <c r="M12" s="418"/>
    </row>
    <row r="13" spans="1:16" ht="61.5" customHeight="1">
      <c r="A13" s="243"/>
      <c r="B13" s="389" t="s">
        <v>846</v>
      </c>
      <c r="C13" s="389" t="s">
        <v>646</v>
      </c>
      <c r="D13" s="389" t="s">
        <v>646</v>
      </c>
      <c r="E13" s="389" t="s">
        <v>646</v>
      </c>
      <c r="F13" s="389" t="s">
        <v>901</v>
      </c>
      <c r="G13" s="390" t="s">
        <v>647</v>
      </c>
      <c r="H13" s="389" t="s">
        <v>892</v>
      </c>
      <c r="I13" s="389" t="s">
        <v>649</v>
      </c>
      <c r="J13" s="389" t="s">
        <v>652</v>
      </c>
    </row>
    <row r="14" spans="1:16" ht="54.75" customHeight="1">
      <c r="A14" s="243"/>
      <c r="B14" s="389" t="s">
        <v>639</v>
      </c>
      <c r="C14" s="243"/>
      <c r="D14" s="4"/>
      <c r="E14" s="295"/>
      <c r="F14" s="389" t="s">
        <v>646</v>
      </c>
      <c r="G14" s="390" t="s">
        <v>648</v>
      </c>
      <c r="H14" s="389" t="s">
        <v>893</v>
      </c>
      <c r="I14" s="249"/>
      <c r="J14" s="4"/>
    </row>
    <row r="15" spans="1:16" ht="49.5" customHeight="1">
      <c r="A15" s="83"/>
      <c r="B15" s="83"/>
      <c r="C15" s="93"/>
      <c r="E15" s="91"/>
      <c r="F15" s="91"/>
      <c r="G15" s="389" t="s">
        <v>646</v>
      </c>
      <c r="H15" s="389" t="s">
        <v>895</v>
      </c>
      <c r="I15" s="95"/>
    </row>
    <row r="16" spans="1:16" ht="60" customHeight="1">
      <c r="A16" s="83"/>
      <c r="B16" s="83"/>
      <c r="C16" s="93"/>
      <c r="E16" s="91"/>
      <c r="F16" s="91"/>
      <c r="H16" s="389" t="s">
        <v>896</v>
      </c>
      <c r="I16" s="95"/>
    </row>
    <row r="17" spans="1:13" ht="49.5" customHeight="1">
      <c r="A17" s="83"/>
      <c r="B17" s="83"/>
      <c r="C17" s="93"/>
      <c r="E17" s="91"/>
      <c r="F17" s="91"/>
      <c r="H17" s="389" t="s">
        <v>897</v>
      </c>
      <c r="I17" s="95"/>
    </row>
    <row r="18" spans="1:13" ht="43.5" customHeight="1">
      <c r="A18" s="83"/>
      <c r="B18" s="83"/>
      <c r="C18" s="93"/>
      <c r="E18" s="91"/>
      <c r="F18" s="91"/>
      <c r="H18" s="389" t="s">
        <v>898</v>
      </c>
      <c r="I18" s="95"/>
    </row>
    <row r="19" spans="1:13" ht="36" customHeight="1">
      <c r="A19" s="83"/>
      <c r="B19" s="83"/>
      <c r="C19" s="93"/>
      <c r="E19" s="91"/>
      <c r="F19" s="91"/>
      <c r="H19" s="389" t="s">
        <v>646</v>
      </c>
      <c r="I19" s="95"/>
    </row>
    <row r="20" spans="1:13" ht="36" customHeight="1">
      <c r="A20" s="83"/>
      <c r="B20" s="83"/>
      <c r="C20" s="93"/>
      <c r="E20" s="91"/>
      <c r="F20" s="91"/>
      <c r="I20" s="95"/>
    </row>
    <row r="21" spans="1:13" ht="36" customHeight="1">
      <c r="A21" s="83"/>
      <c r="B21" s="83"/>
      <c r="C21" s="93"/>
      <c r="E21" s="91"/>
      <c r="F21" s="91"/>
      <c r="I21" s="95"/>
    </row>
    <row r="22" spans="1:13" ht="36" customHeight="1">
      <c r="A22" s="83"/>
      <c r="B22" s="83"/>
      <c r="C22" s="93"/>
      <c r="E22" s="91"/>
      <c r="F22" s="91"/>
      <c r="I22" s="95"/>
    </row>
    <row r="23" spans="1:13" ht="19" customHeight="1">
      <c r="A23" s="919" t="s">
        <v>661</v>
      </c>
      <c r="B23" s="919"/>
      <c r="C23" s="919"/>
      <c r="D23" s="919"/>
      <c r="E23" s="919"/>
      <c r="F23" s="919"/>
      <c r="G23" s="919"/>
      <c r="H23" s="919"/>
      <c r="I23" s="919"/>
      <c r="M23" s="95"/>
    </row>
    <row r="24" spans="1:13" s="244" customFormat="1" ht="13">
      <c r="A24" s="437"/>
      <c r="B24" s="438" t="s">
        <v>76</v>
      </c>
      <c r="C24" s="438" t="s">
        <v>295</v>
      </c>
      <c r="D24" s="918" t="s">
        <v>655</v>
      </c>
      <c r="E24" s="918"/>
      <c r="F24" s="918"/>
      <c r="G24" s="918"/>
      <c r="H24" s="918"/>
      <c r="I24" s="918"/>
    </row>
    <row r="25" spans="1:13" s="244" customFormat="1" ht="92.25" customHeight="1">
      <c r="A25" s="416" t="s">
        <v>56</v>
      </c>
      <c r="B25" s="415" t="s">
        <v>14</v>
      </c>
      <c r="C25" s="415"/>
      <c r="D25" s="917" t="s">
        <v>911</v>
      </c>
      <c r="E25" s="917"/>
      <c r="F25" s="917"/>
      <c r="G25" s="917"/>
      <c r="H25" s="917"/>
      <c r="I25" s="917"/>
    </row>
    <row r="26" spans="1:13" s="244" customFormat="1" ht="34.5" customHeight="1">
      <c r="A26" s="416" t="s">
        <v>57</v>
      </c>
      <c r="B26" s="415" t="s">
        <v>14</v>
      </c>
      <c r="C26" s="415"/>
      <c r="D26" s="917" t="s">
        <v>656</v>
      </c>
      <c r="E26" s="917"/>
      <c r="F26" s="917"/>
      <c r="G26" s="917"/>
      <c r="H26" s="917"/>
      <c r="I26" s="917"/>
    </row>
    <row r="27" spans="1:13" s="244" customFormat="1" ht="19.5" customHeight="1">
      <c r="A27" s="416" t="s">
        <v>58</v>
      </c>
      <c r="B27" s="415" t="s">
        <v>14</v>
      </c>
      <c r="C27" s="415"/>
      <c r="D27" s="917" t="s">
        <v>657</v>
      </c>
      <c r="E27" s="917"/>
      <c r="F27" s="917"/>
      <c r="G27" s="917"/>
      <c r="H27" s="917"/>
      <c r="I27" s="917"/>
    </row>
    <row r="28" spans="1:13" s="244" customFormat="1" ht="119.5" customHeight="1">
      <c r="A28" s="416" t="s">
        <v>912</v>
      </c>
      <c r="B28" s="415" t="s">
        <v>14</v>
      </c>
      <c r="C28" s="415" t="s">
        <v>14</v>
      </c>
      <c r="D28" s="917" t="s">
        <v>913</v>
      </c>
      <c r="E28" s="917"/>
      <c r="F28" s="917"/>
      <c r="G28" s="917"/>
      <c r="H28" s="917"/>
      <c r="I28" s="917"/>
    </row>
    <row r="29" spans="1:13" s="244" customFormat="1" ht="109.5" customHeight="1">
      <c r="A29" s="416" t="s">
        <v>914</v>
      </c>
      <c r="B29" s="415" t="s">
        <v>14</v>
      </c>
      <c r="C29" s="415"/>
      <c r="D29" s="917" t="s">
        <v>658</v>
      </c>
      <c r="E29" s="917"/>
      <c r="F29" s="917"/>
      <c r="G29" s="917"/>
      <c r="H29" s="917"/>
      <c r="I29" s="917"/>
    </row>
    <row r="30" spans="1:13" s="244" customFormat="1" ht="16.5" customHeight="1">
      <c r="A30" s="416" t="s">
        <v>915</v>
      </c>
      <c r="B30" s="415" t="s">
        <v>14</v>
      </c>
      <c r="C30" s="415"/>
      <c r="D30" s="917" t="s">
        <v>659</v>
      </c>
      <c r="E30" s="917"/>
      <c r="F30" s="917"/>
      <c r="G30" s="917"/>
      <c r="H30" s="917"/>
      <c r="I30" s="917"/>
    </row>
    <row r="31" spans="1:13" s="244" customFormat="1" ht="25.5" customHeight="1">
      <c r="A31" s="416" t="s">
        <v>916</v>
      </c>
      <c r="B31" s="415" t="s">
        <v>14</v>
      </c>
      <c r="C31" s="415"/>
      <c r="D31" s="917" t="s">
        <v>660</v>
      </c>
      <c r="E31" s="917"/>
      <c r="F31" s="917"/>
      <c r="G31" s="917"/>
      <c r="H31" s="917"/>
      <c r="I31" s="917"/>
    </row>
    <row r="32" spans="1:13" ht="37.5" customHeight="1">
      <c r="A32" s="83"/>
      <c r="B32" s="227"/>
      <c r="C32" s="103"/>
      <c r="E32" s="92"/>
      <c r="F32" s="92"/>
      <c r="I32" s="209"/>
    </row>
    <row r="33" spans="1:13">
      <c r="A33" s="237"/>
      <c r="B33" s="227"/>
      <c r="C33" s="103"/>
      <c r="E33" s="89"/>
      <c r="F33" s="89"/>
      <c r="I33" s="95"/>
    </row>
    <row r="34" spans="1:13">
      <c r="D34" s="86"/>
      <c r="E34" s="87"/>
      <c r="F34" s="87"/>
      <c r="I34" s="95"/>
    </row>
    <row r="35" spans="1:13">
      <c r="D35" s="41"/>
      <c r="E35" s="41"/>
      <c r="F35" s="41"/>
      <c r="G35" s="49"/>
      <c r="H35" s="49"/>
      <c r="I35" s="40"/>
      <c r="J35" s="41"/>
      <c r="K35" s="41"/>
      <c r="L35" s="41"/>
      <c r="M35" s="41"/>
    </row>
    <row r="36" spans="1:13">
      <c r="D36" s="41"/>
      <c r="E36" s="41"/>
      <c r="F36" s="41"/>
      <c r="G36" s="49"/>
      <c r="H36" s="49"/>
      <c r="I36" s="40"/>
      <c r="J36" s="41"/>
      <c r="K36" s="41"/>
      <c r="L36" s="41"/>
      <c r="M36" s="41"/>
    </row>
    <row r="37" spans="1:13">
      <c r="D37" s="41"/>
      <c r="E37" s="41"/>
      <c r="F37" s="41"/>
      <c r="G37" s="49"/>
      <c r="H37" s="49"/>
      <c r="I37" s="40"/>
      <c r="J37" s="41"/>
      <c r="K37" s="41"/>
    </row>
    <row r="38" spans="1:13">
      <c r="D38" s="41"/>
      <c r="E38" s="41"/>
      <c r="F38" s="41"/>
      <c r="G38" s="49"/>
      <c r="H38" s="49"/>
      <c r="I38" s="40"/>
      <c r="J38" s="41"/>
      <c r="K38" s="41"/>
      <c r="L38" s="85"/>
    </row>
    <row r="39" spans="1:13">
      <c r="D39" s="41"/>
      <c r="E39" s="41"/>
      <c r="F39" s="41"/>
      <c r="G39" s="49"/>
      <c r="H39" s="49"/>
      <c r="I39" s="40"/>
      <c r="J39" s="41"/>
      <c r="K39" s="41"/>
      <c r="L39" s="44"/>
      <c r="M39" s="41"/>
    </row>
    <row r="40" spans="1:13">
      <c r="D40" s="41"/>
      <c r="E40" s="41"/>
      <c r="F40" s="41"/>
      <c r="G40" s="49"/>
      <c r="H40" s="49"/>
      <c r="I40" s="40"/>
      <c r="J40" s="41"/>
      <c r="K40" s="41"/>
      <c r="L40" s="50"/>
      <c r="M40" s="41"/>
    </row>
    <row r="41" spans="1:13">
      <c r="D41" s="41"/>
      <c r="E41" s="41"/>
      <c r="F41" s="41"/>
      <c r="G41" s="49"/>
      <c r="H41" s="49"/>
      <c r="I41" s="40"/>
      <c r="J41" s="41"/>
      <c r="K41" s="41"/>
      <c r="L41" s="50"/>
      <c r="M41" s="41"/>
    </row>
    <row r="42" spans="1:13">
      <c r="D42" s="41"/>
      <c r="E42" s="41"/>
      <c r="F42" s="41"/>
      <c r="G42" s="49"/>
      <c r="H42" s="49"/>
      <c r="I42" s="40"/>
      <c r="J42" s="41"/>
      <c r="K42" s="41"/>
      <c r="L42" s="50"/>
      <c r="M42" s="41"/>
    </row>
    <row r="43" spans="1:13">
      <c r="J43" s="41"/>
      <c r="K43" s="41"/>
      <c r="L43" s="50"/>
      <c r="M43" s="41"/>
    </row>
    <row r="44" spans="1:13">
      <c r="B44" s="39"/>
      <c r="C44" s="39"/>
      <c r="D44" s="39"/>
      <c r="E44" s="39"/>
      <c r="F44" s="39"/>
      <c r="G44" s="39"/>
      <c r="H44" s="39"/>
      <c r="I44" s="85"/>
      <c r="J44" s="85"/>
      <c r="K44" s="85"/>
      <c r="L44" s="50"/>
      <c r="M44" s="41"/>
    </row>
    <row r="45" spans="1:13">
      <c r="B45" s="39"/>
      <c r="C45" s="39"/>
      <c r="D45" s="44"/>
      <c r="E45" s="44"/>
      <c r="F45" s="44"/>
      <c r="G45" s="44"/>
      <c r="H45" s="44"/>
      <c r="I45" s="44"/>
      <c r="J45" s="44"/>
      <c r="K45" s="44"/>
      <c r="L45" s="50"/>
      <c r="M45" s="41"/>
    </row>
    <row r="46" spans="1:13">
      <c r="B46" s="39"/>
      <c r="C46" s="39"/>
      <c r="D46" s="41"/>
      <c r="E46" s="41"/>
      <c r="F46" s="41"/>
      <c r="G46" s="49"/>
      <c r="H46" s="49"/>
      <c r="I46" s="40"/>
      <c r="J46" s="41"/>
      <c r="K46" s="41"/>
      <c r="L46" s="50"/>
      <c r="M46" s="41"/>
    </row>
    <row r="47" spans="1:13">
      <c r="B47" s="39"/>
      <c r="C47" s="39"/>
      <c r="D47" s="41"/>
      <c r="E47" s="41"/>
      <c r="F47" s="41"/>
      <c r="G47" s="49"/>
      <c r="H47" s="49"/>
      <c r="I47" s="40"/>
      <c r="J47" s="41"/>
      <c r="K47" s="41"/>
      <c r="L47" s="41"/>
      <c r="M47" s="41"/>
    </row>
    <row r="48" spans="1:13">
      <c r="B48" s="39"/>
      <c r="C48" s="39"/>
      <c r="D48" s="41"/>
      <c r="E48" s="41"/>
      <c r="F48" s="41"/>
      <c r="G48" s="49"/>
      <c r="H48" s="49"/>
      <c r="I48" s="40"/>
      <c r="J48" s="41"/>
      <c r="K48" s="41"/>
    </row>
    <row r="49" spans="2:11">
      <c r="D49" s="41"/>
      <c r="E49" s="41"/>
      <c r="F49" s="41"/>
      <c r="G49" s="49"/>
      <c r="H49" s="49"/>
      <c r="I49" s="40"/>
      <c r="J49" s="41"/>
      <c r="K49" s="41"/>
    </row>
    <row r="50" spans="2:11">
      <c r="D50" s="41"/>
      <c r="E50" s="41"/>
      <c r="F50" s="41"/>
      <c r="G50" s="49"/>
      <c r="H50" s="49"/>
      <c r="I50" s="40"/>
      <c r="J50" s="41"/>
      <c r="K50" s="41"/>
    </row>
    <row r="51" spans="2:11">
      <c r="D51" s="41"/>
      <c r="E51" s="41"/>
      <c r="F51" s="41"/>
      <c r="G51" s="49"/>
      <c r="H51" s="49"/>
      <c r="I51" s="40"/>
      <c r="J51" s="41"/>
      <c r="K51" s="41"/>
    </row>
    <row r="52" spans="2:11">
      <c r="D52" s="41"/>
      <c r="E52" s="41"/>
      <c r="F52" s="41"/>
      <c r="G52" s="49"/>
      <c r="H52" s="49"/>
      <c r="I52" s="40"/>
      <c r="J52" s="41"/>
      <c r="K52" s="41"/>
    </row>
    <row r="53" spans="2:11">
      <c r="B53" s="39"/>
      <c r="C53" s="39"/>
      <c r="D53" s="41"/>
      <c r="E53" s="41"/>
      <c r="F53" s="41"/>
      <c r="G53" s="49"/>
      <c r="H53" s="49"/>
      <c r="I53" s="40"/>
      <c r="J53" s="41"/>
      <c r="K53" s="41"/>
    </row>
  </sheetData>
  <mergeCells count="13">
    <mergeCell ref="A23:I23"/>
    <mergeCell ref="A2:B2"/>
    <mergeCell ref="D29:I29"/>
    <mergeCell ref="B5:C5"/>
    <mergeCell ref="A3:J3"/>
    <mergeCell ref="A4:J4"/>
    <mergeCell ref="D30:I30"/>
    <mergeCell ref="D31:I31"/>
    <mergeCell ref="D24:I24"/>
    <mergeCell ref="D25:I25"/>
    <mergeCell ref="D26:I26"/>
    <mergeCell ref="D27:I27"/>
    <mergeCell ref="D28:I28"/>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ED1C-996A-4C51-A4ED-AA241218D22C}">
  <dimension ref="A1:M11"/>
  <sheetViews>
    <sheetView zoomScaleNormal="100" workbookViewId="0">
      <selection activeCell="C11" sqref="C11"/>
    </sheetView>
  </sheetViews>
  <sheetFormatPr defaultColWidth="8.81640625" defaultRowHeight="14.5"/>
  <cols>
    <col min="3" max="3" width="88.81640625" customWidth="1"/>
    <col min="4" max="5" width="9.1796875" customWidth="1"/>
  </cols>
  <sheetData>
    <row r="1" spans="1:13">
      <c r="A1" s="20"/>
      <c r="B1" t="s">
        <v>59</v>
      </c>
      <c r="D1" s="21"/>
      <c r="E1" t="s">
        <v>60</v>
      </c>
      <c r="G1" s="520"/>
      <c r="H1" s="520"/>
      <c r="I1" t="s">
        <v>61</v>
      </c>
      <c r="L1" s="22"/>
      <c r="M1" t="s">
        <v>62</v>
      </c>
    </row>
    <row r="2" spans="1:13">
      <c r="A2" s="4"/>
      <c r="B2" s="4"/>
      <c r="C2" s="4"/>
      <c r="D2" s="4"/>
      <c r="E2" s="4"/>
      <c r="F2" s="4"/>
      <c r="G2" s="4"/>
      <c r="H2" s="4"/>
      <c r="I2" s="4"/>
      <c r="J2" s="4"/>
      <c r="K2" s="4"/>
    </row>
    <row r="3" spans="1:13">
      <c r="A3" s="926" t="s">
        <v>780</v>
      </c>
      <c r="B3" s="927"/>
      <c r="C3" s="927"/>
      <c r="D3" s="927"/>
      <c r="E3" s="928"/>
      <c r="F3" s="29"/>
      <c r="G3" s="29"/>
      <c r="H3" s="29"/>
      <c r="I3" s="29"/>
      <c r="J3" s="29"/>
      <c r="K3" s="29"/>
    </row>
    <row r="4" spans="1:13" ht="47.5" customHeight="1">
      <c r="A4" s="930" t="s">
        <v>856</v>
      </c>
      <c r="B4" s="930"/>
      <c r="C4" s="930"/>
      <c r="D4" s="930"/>
      <c r="E4" s="930"/>
      <c r="F4" s="28"/>
      <c r="G4" s="28" t="s">
        <v>455</v>
      </c>
      <c r="H4" s="28"/>
      <c r="I4" s="28"/>
      <c r="J4" s="28"/>
      <c r="K4" s="28"/>
    </row>
    <row r="5" spans="1:13">
      <c r="A5" s="784" t="s">
        <v>65</v>
      </c>
      <c r="B5" s="784" t="s">
        <v>64</v>
      </c>
      <c r="C5" s="784" t="s">
        <v>68</v>
      </c>
      <c r="D5" s="784" t="s">
        <v>69</v>
      </c>
      <c r="E5" s="784"/>
      <c r="F5" s="4"/>
      <c r="G5" s="4"/>
      <c r="H5" s="4"/>
      <c r="I5" s="4"/>
      <c r="J5" s="4"/>
      <c r="K5" s="4"/>
    </row>
    <row r="6" spans="1:13">
      <c r="A6" s="784"/>
      <c r="B6" s="784"/>
      <c r="C6" s="784"/>
      <c r="D6" s="55" t="s">
        <v>66</v>
      </c>
      <c r="E6" s="55" t="s">
        <v>70</v>
      </c>
      <c r="F6" s="4"/>
      <c r="G6" s="4"/>
      <c r="H6" s="4"/>
      <c r="I6" s="4"/>
      <c r="J6" s="4"/>
      <c r="K6" s="4"/>
    </row>
    <row r="7" spans="1:13" ht="20">
      <c r="A7" s="224" t="s">
        <v>71</v>
      </c>
      <c r="B7" s="223" t="s">
        <v>72</v>
      </c>
      <c r="C7" s="313" t="s">
        <v>781</v>
      </c>
      <c r="D7" s="30" t="s">
        <v>73</v>
      </c>
      <c r="E7" s="30" t="s">
        <v>73</v>
      </c>
      <c r="F7" s="4"/>
      <c r="G7" s="4"/>
      <c r="H7" s="4"/>
      <c r="I7" s="4"/>
      <c r="J7" s="4"/>
      <c r="K7" s="4"/>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sheetData>
  <mergeCells count="7">
    <mergeCell ref="G1:H1"/>
    <mergeCell ref="A3:E3"/>
    <mergeCell ref="A4:E4"/>
    <mergeCell ref="A5:A6"/>
    <mergeCell ref="B5:B6"/>
    <mergeCell ref="C5:C6"/>
    <mergeCell ref="D5:E5"/>
  </mergeCells>
  <pageMargins left="0.7" right="0.7" top="0.75" bottom="0.75" header="0.3" footer="0.3"/>
  <pageSetup orientation="portrait" horizontalDpi="90" verticalDpi="90"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1"/>
  <sheetViews>
    <sheetView zoomScale="70" zoomScaleNormal="70" workbookViewId="0">
      <selection activeCell="A4" sqref="A4:E4"/>
    </sheetView>
  </sheetViews>
  <sheetFormatPr defaultRowHeight="14.5"/>
  <cols>
    <col min="3" max="3" width="88.81640625" customWidth="1"/>
    <col min="4" max="5" width="9.1796875" customWidth="1"/>
  </cols>
  <sheetData>
    <row r="1" spans="1:13">
      <c r="A1" s="20"/>
      <c r="B1" t="s">
        <v>59</v>
      </c>
      <c r="D1" s="21"/>
      <c r="E1" t="s">
        <v>60</v>
      </c>
      <c r="G1" s="520"/>
      <c r="H1" s="520"/>
      <c r="I1" t="s">
        <v>61</v>
      </c>
      <c r="L1" s="22"/>
      <c r="M1" t="s">
        <v>62</v>
      </c>
    </row>
    <row r="2" spans="1:13">
      <c r="A2" s="4"/>
      <c r="B2" s="4"/>
      <c r="C2" s="4"/>
      <c r="D2" s="4"/>
      <c r="E2" s="4"/>
      <c r="F2" s="4"/>
      <c r="G2" s="4"/>
      <c r="H2" s="4"/>
      <c r="I2" s="4"/>
      <c r="J2" s="4"/>
      <c r="K2" s="4"/>
    </row>
    <row r="3" spans="1:13">
      <c r="A3" s="926" t="s">
        <v>780</v>
      </c>
      <c r="B3" s="927"/>
      <c r="C3" s="927"/>
      <c r="D3" s="927"/>
      <c r="E3" s="928"/>
      <c r="F3" s="29"/>
      <c r="G3" s="29"/>
      <c r="H3" s="29"/>
      <c r="I3" s="29"/>
      <c r="J3" s="29"/>
      <c r="K3" s="29"/>
    </row>
    <row r="4" spans="1:13" ht="47.5" customHeight="1">
      <c r="A4" s="929" t="s">
        <v>855</v>
      </c>
      <c r="B4" s="929"/>
      <c r="C4" s="929"/>
      <c r="D4" s="929"/>
      <c r="E4" s="929"/>
      <c r="F4" s="28"/>
      <c r="G4" s="28" t="s">
        <v>455</v>
      </c>
      <c r="H4" s="28"/>
      <c r="I4" s="28"/>
      <c r="J4" s="28"/>
      <c r="K4" s="28"/>
    </row>
    <row r="5" spans="1:13">
      <c r="A5" s="784" t="s">
        <v>65</v>
      </c>
      <c r="B5" s="784" t="s">
        <v>64</v>
      </c>
      <c r="C5" s="784" t="s">
        <v>68</v>
      </c>
      <c r="D5" s="784" t="s">
        <v>69</v>
      </c>
      <c r="E5" s="784"/>
      <c r="F5" s="4"/>
      <c r="G5" s="4"/>
      <c r="H5" s="4"/>
      <c r="I5" s="4"/>
      <c r="J5" s="4"/>
      <c r="K5" s="4"/>
    </row>
    <row r="6" spans="1:13">
      <c r="A6" s="784"/>
      <c r="B6" s="784"/>
      <c r="C6" s="784"/>
      <c r="D6" s="55" t="s">
        <v>66</v>
      </c>
      <c r="E6" s="55" t="s">
        <v>70</v>
      </c>
      <c r="F6" s="4"/>
      <c r="G6" s="4"/>
      <c r="H6" s="4"/>
      <c r="I6" s="4"/>
      <c r="J6" s="4"/>
      <c r="K6" s="4"/>
    </row>
    <row r="7" spans="1:13" ht="20">
      <c r="A7" s="224" t="s">
        <v>71</v>
      </c>
      <c r="B7" s="223" t="s">
        <v>72</v>
      </c>
      <c r="C7" s="340" t="s">
        <v>744</v>
      </c>
      <c r="D7" s="30" t="s">
        <v>73</v>
      </c>
      <c r="E7" s="30" t="s">
        <v>73</v>
      </c>
      <c r="F7" s="4"/>
      <c r="G7" s="4"/>
      <c r="H7" s="4"/>
      <c r="I7" s="4"/>
      <c r="J7" s="4"/>
      <c r="K7" s="4"/>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sheetData>
  <mergeCells count="7">
    <mergeCell ref="G1:H1"/>
    <mergeCell ref="D5:E5"/>
    <mergeCell ref="A3:E3"/>
    <mergeCell ref="C5:C6"/>
    <mergeCell ref="B5:B6"/>
    <mergeCell ref="A5:A6"/>
    <mergeCell ref="A4:E4"/>
  </mergeCells>
  <pageMargins left="0.7" right="0.7" top="0.75" bottom="0.75" header="0.3" footer="0.3"/>
  <pageSetup orientation="portrait" horizontalDpi="90" verticalDpi="90"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6"/>
  <sheetViews>
    <sheetView topLeftCell="A8" zoomScaleNormal="100" workbookViewId="0">
      <selection activeCell="C12" sqref="C12"/>
    </sheetView>
  </sheetViews>
  <sheetFormatPr defaultColWidth="9.1796875" defaultRowHeight="14.5"/>
  <cols>
    <col min="1" max="1" width="10.1796875" customWidth="1"/>
    <col min="2" max="2" width="10.453125" customWidth="1"/>
    <col min="3" max="3" width="67.1796875" customWidth="1"/>
    <col min="4" max="5" width="7.453125" customWidth="1"/>
    <col min="6" max="6" width="31.81640625" customWidth="1"/>
    <col min="7" max="7" width="40.81640625" customWidth="1"/>
    <col min="8" max="8" width="10.54296875" customWidth="1"/>
    <col min="9" max="9" width="10.1796875" customWidth="1"/>
    <col min="15" max="15" width="11.1796875" customWidth="1"/>
    <col min="16" max="16" width="11.81640625" customWidth="1"/>
    <col min="17" max="17" width="10.453125" customWidth="1"/>
    <col min="19" max="19" width="11.81640625" customWidth="1"/>
  </cols>
  <sheetData>
    <row r="1" spans="1:13">
      <c r="A1" s="20"/>
      <c r="B1" t="s">
        <v>59</v>
      </c>
      <c r="D1" s="21"/>
      <c r="E1" t="s">
        <v>60</v>
      </c>
      <c r="G1" s="520"/>
      <c r="H1" s="520"/>
      <c r="I1" t="s">
        <v>61</v>
      </c>
      <c r="L1" s="22"/>
      <c r="M1" t="s">
        <v>62</v>
      </c>
    </row>
    <row r="2" spans="1:13">
      <c r="A2" s="314"/>
      <c r="B2" s="25"/>
      <c r="C2" s="25"/>
      <c r="D2" s="25"/>
      <c r="E2" s="25"/>
      <c r="F2" s="25"/>
      <c r="G2" s="25"/>
      <c r="H2" s="25"/>
      <c r="I2" s="25"/>
      <c r="J2" s="25"/>
      <c r="K2" s="25"/>
    </row>
    <row r="4" spans="1:13">
      <c r="A4" s="926" t="s">
        <v>782</v>
      </c>
      <c r="B4" s="927"/>
      <c r="C4" s="927"/>
      <c r="D4" s="927"/>
      <c r="E4" s="928"/>
    </row>
    <row r="5" spans="1:13" ht="60.65" customHeight="1">
      <c r="A5" s="935" t="s">
        <v>502</v>
      </c>
      <c r="B5" s="576"/>
      <c r="C5" s="576"/>
      <c r="D5" s="576"/>
      <c r="E5" s="577"/>
    </row>
    <row r="6" spans="1:13">
      <c r="A6" s="784" t="s">
        <v>65</v>
      </c>
      <c r="B6" s="784" t="s">
        <v>64</v>
      </c>
      <c r="C6" s="784" t="s">
        <v>68</v>
      </c>
      <c r="D6" s="784" t="s">
        <v>69</v>
      </c>
      <c r="E6" s="784"/>
    </row>
    <row r="7" spans="1:13">
      <c r="A7" s="784"/>
      <c r="B7" s="784"/>
      <c r="C7" s="784"/>
      <c r="D7" s="55" t="s">
        <v>66</v>
      </c>
      <c r="E7" s="55" t="s">
        <v>70</v>
      </c>
    </row>
    <row r="8" spans="1:13" ht="25.5" customHeight="1">
      <c r="A8" s="223" t="s">
        <v>72</v>
      </c>
      <c r="B8" s="223" t="s">
        <v>72</v>
      </c>
      <c r="C8" s="80" t="s">
        <v>1031</v>
      </c>
      <c r="D8" s="30" t="s">
        <v>73</v>
      </c>
      <c r="E8" s="30" t="s">
        <v>73</v>
      </c>
      <c r="F8" s="931" t="s">
        <v>345</v>
      </c>
      <c r="G8" s="932"/>
      <c r="H8" s="79"/>
    </row>
    <row r="9" spans="1:13" ht="25.5" customHeight="1">
      <c r="A9" s="223" t="s">
        <v>72</v>
      </c>
      <c r="B9" s="223" t="s">
        <v>72</v>
      </c>
      <c r="C9" s="945" t="s">
        <v>1032</v>
      </c>
      <c r="D9" s="30" t="s">
        <v>73</v>
      </c>
      <c r="E9" s="30" t="s">
        <v>73</v>
      </c>
      <c r="F9" s="931" t="s">
        <v>345</v>
      </c>
      <c r="G9" s="932"/>
      <c r="H9" s="79"/>
    </row>
    <row r="10" spans="1:13">
      <c r="A10" s="223" t="s">
        <v>72</v>
      </c>
      <c r="B10" s="223" t="s">
        <v>72</v>
      </c>
      <c r="C10" s="80" t="s">
        <v>1033</v>
      </c>
      <c r="D10" s="30" t="s">
        <v>73</v>
      </c>
      <c r="E10" s="30" t="s">
        <v>73</v>
      </c>
      <c r="F10" s="931" t="s">
        <v>499</v>
      </c>
      <c r="G10" s="932"/>
    </row>
    <row r="11" spans="1:13">
      <c r="A11" s="223" t="s">
        <v>72</v>
      </c>
      <c r="B11" s="223" t="s">
        <v>72</v>
      </c>
      <c r="C11" s="80" t="s">
        <v>1034</v>
      </c>
      <c r="D11" s="30" t="s">
        <v>73</v>
      </c>
      <c r="E11" s="30" t="s">
        <v>73</v>
      </c>
      <c r="F11" s="931" t="s">
        <v>346</v>
      </c>
      <c r="G11" s="932"/>
      <c r="M11" s="141"/>
    </row>
    <row r="12" spans="1:13" ht="25.5" customHeight="1">
      <c r="A12" s="223" t="s">
        <v>72</v>
      </c>
      <c r="B12" s="223" t="s">
        <v>72</v>
      </c>
      <c r="C12" s="80" t="s">
        <v>93</v>
      </c>
      <c r="D12" s="30" t="s">
        <v>73</v>
      </c>
      <c r="E12" s="30" t="s">
        <v>73</v>
      </c>
      <c r="F12" s="931" t="s">
        <v>349</v>
      </c>
      <c r="G12" s="932"/>
    </row>
    <row r="13" spans="1:13" ht="29.25" customHeight="1">
      <c r="A13" s="223" t="s">
        <v>72</v>
      </c>
      <c r="B13" s="223" t="s">
        <v>72</v>
      </c>
      <c r="C13" s="80" t="s">
        <v>94</v>
      </c>
      <c r="D13" s="30" t="s">
        <v>73</v>
      </c>
      <c r="E13" s="30" t="s">
        <v>73</v>
      </c>
      <c r="F13" s="931" t="s">
        <v>388</v>
      </c>
      <c r="G13" s="932"/>
    </row>
    <row r="14" spans="1:13" ht="30.75" customHeight="1">
      <c r="A14" s="223" t="s">
        <v>72</v>
      </c>
      <c r="B14" s="223" t="s">
        <v>72</v>
      </c>
      <c r="C14" s="80" t="s">
        <v>496</v>
      </c>
      <c r="D14" s="30" t="s">
        <v>73</v>
      </c>
      <c r="E14" s="30" t="s">
        <v>73</v>
      </c>
      <c r="F14" s="931" t="s">
        <v>389</v>
      </c>
      <c r="G14" s="932"/>
    </row>
    <row r="15" spans="1:13" ht="30.75" customHeight="1">
      <c r="A15" s="223" t="s">
        <v>72</v>
      </c>
      <c r="B15" s="223" t="s">
        <v>72</v>
      </c>
      <c r="C15" s="197" t="s">
        <v>497</v>
      </c>
      <c r="D15" s="30" t="s">
        <v>73</v>
      </c>
      <c r="E15" s="30" t="s">
        <v>73</v>
      </c>
      <c r="F15" s="931" t="s">
        <v>392</v>
      </c>
      <c r="G15" s="932"/>
    </row>
    <row r="16" spans="1:13" ht="30" customHeight="1">
      <c r="A16" s="223" t="s">
        <v>72</v>
      </c>
      <c r="B16" s="223" t="s">
        <v>72</v>
      </c>
      <c r="C16" s="197" t="s">
        <v>498</v>
      </c>
      <c r="D16" s="30" t="s">
        <v>73</v>
      </c>
      <c r="E16" s="30" t="s">
        <v>73</v>
      </c>
      <c r="F16" s="931" t="s">
        <v>390</v>
      </c>
      <c r="G16" s="932"/>
    </row>
    <row r="17" spans="1:7" ht="26">
      <c r="A17" s="223" t="s">
        <v>72</v>
      </c>
      <c r="B17" s="223" t="s">
        <v>72</v>
      </c>
      <c r="C17" s="197" t="s">
        <v>95</v>
      </c>
      <c r="D17" s="30" t="s">
        <v>73</v>
      </c>
      <c r="E17" s="30" t="s">
        <v>73</v>
      </c>
      <c r="F17" s="931" t="s">
        <v>391</v>
      </c>
      <c r="G17" s="932"/>
    </row>
    <row r="18" spans="1:7" ht="114.65" customHeight="1">
      <c r="A18" s="307" t="s">
        <v>72</v>
      </c>
      <c r="B18" s="307" t="s">
        <v>72</v>
      </c>
      <c r="C18" s="335" t="s">
        <v>783</v>
      </c>
      <c r="D18" s="341" t="s">
        <v>73</v>
      </c>
      <c r="E18" s="341" t="s">
        <v>73</v>
      </c>
      <c r="F18" s="931" t="s">
        <v>546</v>
      </c>
      <c r="G18" s="932"/>
    </row>
    <row r="19" spans="1:7">
      <c r="A19" s="223" t="s">
        <v>72</v>
      </c>
      <c r="B19" s="223" t="s">
        <v>72</v>
      </c>
      <c r="C19" s="197" t="s">
        <v>96</v>
      </c>
      <c r="D19" s="30" t="s">
        <v>73</v>
      </c>
      <c r="E19" s="30" t="s">
        <v>73</v>
      </c>
      <c r="F19" s="931" t="s">
        <v>347</v>
      </c>
      <c r="G19" s="932"/>
    </row>
    <row r="20" spans="1:7">
      <c r="A20" s="223" t="s">
        <v>72</v>
      </c>
      <c r="B20" s="223" t="s">
        <v>72</v>
      </c>
      <c r="C20" s="197" t="s">
        <v>97</v>
      </c>
      <c r="D20" s="30" t="s">
        <v>73</v>
      </c>
      <c r="E20" s="30" t="s">
        <v>73</v>
      </c>
      <c r="F20" s="931" t="s">
        <v>348</v>
      </c>
      <c r="G20" s="932"/>
    </row>
    <row r="21" spans="1:7" ht="45" customHeight="1">
      <c r="A21" s="223" t="s">
        <v>72</v>
      </c>
      <c r="B21" s="223" t="s">
        <v>72</v>
      </c>
      <c r="C21" s="197" t="s">
        <v>385</v>
      </c>
      <c r="D21" s="30" t="s">
        <v>73</v>
      </c>
      <c r="E21" s="30" t="s">
        <v>73</v>
      </c>
      <c r="F21" s="933" t="s">
        <v>988</v>
      </c>
      <c r="G21" s="934"/>
    </row>
    <row r="22" spans="1:7" ht="30.75" customHeight="1">
      <c r="A22" s="223" t="s">
        <v>72</v>
      </c>
      <c r="B22" s="223" t="s">
        <v>72</v>
      </c>
      <c r="C22" s="197" t="s">
        <v>386</v>
      </c>
      <c r="D22" s="30" t="s">
        <v>73</v>
      </c>
      <c r="E22" s="30" t="s">
        <v>73</v>
      </c>
      <c r="F22" s="931" t="s">
        <v>387</v>
      </c>
      <c r="G22" s="932"/>
    </row>
    <row r="23" spans="1:7" ht="30.75" customHeight="1">
      <c r="A23" s="307" t="s">
        <v>72</v>
      </c>
      <c r="B23" s="307" t="s">
        <v>72</v>
      </c>
      <c r="C23" s="335" t="s">
        <v>614</v>
      </c>
      <c r="D23" s="341" t="s">
        <v>73</v>
      </c>
      <c r="E23" s="341" t="s">
        <v>73</v>
      </c>
      <c r="F23" s="931" t="s">
        <v>615</v>
      </c>
      <c r="G23" s="932"/>
    </row>
    <row r="26" spans="1:7">
      <c r="C26" s="60"/>
    </row>
  </sheetData>
  <mergeCells count="23">
    <mergeCell ref="F8:G8"/>
    <mergeCell ref="F23:G23"/>
    <mergeCell ref="F22:G22"/>
    <mergeCell ref="F21:G21"/>
    <mergeCell ref="G1:H1"/>
    <mergeCell ref="A4:E4"/>
    <mergeCell ref="A5:E5"/>
    <mergeCell ref="A6:A7"/>
    <mergeCell ref="B6:B7"/>
    <mergeCell ref="C6:C7"/>
    <mergeCell ref="D6:E6"/>
    <mergeCell ref="F14:G14"/>
    <mergeCell ref="F9:G9"/>
    <mergeCell ref="F10:G10"/>
    <mergeCell ref="F11:G11"/>
    <mergeCell ref="F12:G12"/>
    <mergeCell ref="F20:G20"/>
    <mergeCell ref="F19:G19"/>
    <mergeCell ref="F18:G18"/>
    <mergeCell ref="F13:G13"/>
    <mergeCell ref="F15:G15"/>
    <mergeCell ref="F16:G16"/>
    <mergeCell ref="F17:G17"/>
  </mergeCells>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F20"/>
  <sheetViews>
    <sheetView showGridLines="0" zoomScale="70" zoomScaleNormal="70" workbookViewId="0">
      <selection activeCell="L8" sqref="L8"/>
    </sheetView>
  </sheetViews>
  <sheetFormatPr defaultColWidth="8.81640625" defaultRowHeight="14.5"/>
  <cols>
    <col min="2" max="2" width="26.81640625" customWidth="1"/>
    <col min="3" max="3" width="34.81640625" customWidth="1"/>
    <col min="4" max="4" width="27.81640625" customWidth="1"/>
    <col min="5" max="5" width="35.54296875" customWidth="1"/>
  </cols>
  <sheetData>
    <row r="3" spans="2:6">
      <c r="B3" s="936" t="s">
        <v>461</v>
      </c>
      <c r="C3" s="937"/>
      <c r="D3" s="937"/>
      <c r="E3" s="938"/>
      <c r="F3" s="189"/>
    </row>
    <row r="4" spans="2:6">
      <c r="B4" s="190" t="s">
        <v>462</v>
      </c>
      <c r="C4" s="190"/>
      <c r="D4" s="190" t="s">
        <v>463</v>
      </c>
      <c r="E4" s="190"/>
    </row>
    <row r="5" spans="2:6">
      <c r="B5" s="190" t="s">
        <v>464</v>
      </c>
      <c r="C5" s="190"/>
      <c r="D5" s="190" t="s">
        <v>465</v>
      </c>
      <c r="E5" s="190"/>
    </row>
    <row r="6" spans="2:6">
      <c r="B6" s="190" t="s">
        <v>466</v>
      </c>
      <c r="C6" s="190"/>
      <c r="D6" s="387" t="s">
        <v>801</v>
      </c>
      <c r="E6" s="190"/>
    </row>
    <row r="7" spans="2:6">
      <c r="B7" s="190" t="s">
        <v>467</v>
      </c>
      <c r="C7" s="190"/>
      <c r="D7" s="190" t="s">
        <v>468</v>
      </c>
      <c r="E7" s="190"/>
    </row>
    <row r="8" spans="2:6" ht="183.65" customHeight="1">
      <c r="B8" s="939" t="s">
        <v>469</v>
      </c>
      <c r="C8" s="940"/>
      <c r="D8" s="940"/>
      <c r="E8" s="941"/>
    </row>
    <row r="9" spans="2:6">
      <c r="B9" s="190" t="s">
        <v>470</v>
      </c>
      <c r="C9" s="190"/>
      <c r="D9" s="190" t="s">
        <v>471</v>
      </c>
      <c r="E9" s="190"/>
    </row>
    <row r="10" spans="2:6">
      <c r="B10" s="388" t="s">
        <v>802</v>
      </c>
      <c r="C10" s="942"/>
      <c r="D10" s="943"/>
      <c r="E10" s="944"/>
    </row>
    <row r="11" spans="2:6">
      <c r="B11" s="190" t="s">
        <v>464</v>
      </c>
      <c r="C11" s="190"/>
      <c r="D11" s="190" t="s">
        <v>472</v>
      </c>
      <c r="E11" s="190"/>
    </row>
    <row r="12" spans="2:6">
      <c r="B12" s="190" t="s">
        <v>466</v>
      </c>
      <c r="C12" s="190"/>
      <c r="D12" s="190" t="s">
        <v>473</v>
      </c>
      <c r="E12" s="190"/>
    </row>
    <row r="13" spans="2:6">
      <c r="B13" s="190" t="s">
        <v>467</v>
      </c>
      <c r="C13" s="190"/>
      <c r="D13" s="190" t="s">
        <v>468</v>
      </c>
      <c r="E13" s="190"/>
    </row>
    <row r="14" spans="2:6"/>
    <row r="16" spans="2:6">
      <c r="B16" s="59" t="s">
        <v>86</v>
      </c>
    </row>
    <row r="17" spans="2:2">
      <c r="B17" s="4" t="s">
        <v>475</v>
      </c>
    </row>
    <row r="19" spans="2:2">
      <c r="B19" s="225"/>
    </row>
    <row r="20" spans="2:2">
      <c r="B20" s="225" t="s">
        <v>474</v>
      </c>
    </row>
  </sheetData>
  <mergeCells count="3">
    <mergeCell ref="B3:E3"/>
    <mergeCell ref="B8:E8"/>
    <mergeCell ref="C10:E10"/>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A6EAC41B-D951-4C6C-B045-6FF3D9276435}"/>
</file>

<file path=customXml/itemProps2.xml><?xml version="1.0" encoding="utf-8"?>
<ds:datastoreItem xmlns:ds="http://schemas.openxmlformats.org/officeDocument/2006/customXml" ds:itemID="{B0C7BBDC-E82B-4434-A24B-2DD6325EE35D}"/>
</file>

<file path=customXml/itemProps3.xml><?xml version="1.0" encoding="utf-8"?>
<ds:datastoreItem xmlns:ds="http://schemas.openxmlformats.org/officeDocument/2006/customXml" ds:itemID="{97C66059-DBAC-48B2-B406-F7B66615688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9</vt:i4>
      </vt:variant>
    </vt:vector>
  </HeadingPairs>
  <TitlesOfParts>
    <vt:vector size="40" baseType="lpstr">
      <vt:lpstr>Change Log</vt:lpstr>
      <vt:lpstr>New Table Sequence</vt:lpstr>
      <vt:lpstr>Code References</vt:lpstr>
      <vt:lpstr>NRCC Headers</vt:lpstr>
      <vt:lpstr>LMCC Headers</vt:lpstr>
      <vt:lpstr>NRCC Footers</vt:lpstr>
      <vt:lpstr>LMCC Footers</vt:lpstr>
      <vt:lpstr>NRCC A. General Info</vt:lpstr>
      <vt:lpstr>LMCC A. General Info</vt:lpstr>
      <vt:lpstr>NRCC B. Project Scope</vt:lpstr>
      <vt:lpstr>LMCC B. Project Scope</vt:lpstr>
      <vt:lpstr>C. Compliance</vt:lpstr>
      <vt:lpstr>D. Exceptional Conditions</vt:lpstr>
      <vt:lpstr>E. Additional Remarks</vt:lpstr>
      <vt:lpstr>NRCC F. Refrigerated Warehouse</vt:lpstr>
      <vt:lpstr>NRCC G. Commercial Refrig</vt:lpstr>
      <vt:lpstr>H. Garage Exhaust</vt:lpstr>
      <vt:lpstr>NRCC I. Process Boiler</vt:lpstr>
      <vt:lpstr>NRCC J. Compressed Air</vt:lpstr>
      <vt:lpstr>K. Elevator</vt:lpstr>
      <vt:lpstr>NRCC L. Escalator</vt:lpstr>
      <vt:lpstr>NRCC M. Computer Room</vt:lpstr>
      <vt:lpstr>N. Commercial Kitchen</vt:lpstr>
      <vt:lpstr>NRCC O. Lab Exhaust</vt:lpstr>
      <vt:lpstr>NRCC P. CEH</vt:lpstr>
      <vt:lpstr>NRCC Q. Steam Trap</vt:lpstr>
      <vt:lpstr>R. PoolSpa</vt:lpstr>
      <vt:lpstr>S. LMCI</vt:lpstr>
      <vt:lpstr>S. NRCI</vt:lpstr>
      <vt:lpstr>T. NRCA</vt:lpstr>
      <vt:lpstr>Signature</vt:lpstr>
      <vt:lpstr>'C. Compliance'!Print_Area</vt:lpstr>
      <vt:lpstr>'D. Exceptional Conditions'!Print_Area</vt:lpstr>
      <vt:lpstr>'E. Additional Remarks'!Print_Area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2018-07-06T18:51:16Z</cp:lastPrinted>
  <dcterms:created xsi:type="dcterms:W3CDTF">2017-03-06T18:27:21Z</dcterms:created>
  <dcterms:modified xsi:type="dcterms:W3CDTF">2025-05-21T20:51:04Z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2024-04-17T16:08:16Z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73d4a0e5-59c4-4380-a8af-7974bc51c685</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2024-12-05T20:55:53Z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dc04e1f9-8625-4960-a0fc-e7092490525d</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