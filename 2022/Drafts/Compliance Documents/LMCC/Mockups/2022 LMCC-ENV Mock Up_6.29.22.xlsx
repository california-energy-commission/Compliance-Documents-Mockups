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3.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2.xml" ContentType="application/vnd.openxmlformats-officedocument.spreadsheetml.comments+xml"/>
  <Override PartName="/xl/comments19.xml" ContentType="application/vnd.openxmlformats-officedocument.spreadsheetml.comments+xml"/>
  <Override PartName="/xl/comments14.xml" ContentType="application/vnd.openxmlformats-officedocument.spreadsheetml.comments+xml"/>
  <Override PartName="/xl/comments20.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1.xml" ContentType="application/vnd.openxmlformats-officedocument.spreadsheetml.comments+xml"/>
  <Override PartName="/xl/comments8.xml" ContentType="application/vnd.openxmlformats-officedocument.spreadsheetml.comments+xml"/>
  <Override PartName="/xl/threadedComments/threadedComment1.xml" ContentType="application/vnd.ms-excel.threadedcomments+xml"/>
  <Override PartName="/xl/comments15.xml" ContentType="application/vnd.openxmlformats-officedocument.spreadsheetml.comments+xml"/>
  <Override PartName="/xl/threadedComments/threadedComment2.xml" ContentType="application/vnd.ms-excel.threadedcomments+xml"/>
  <Override PartName="/xl/comments21.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showInkAnnotation="0"/>
  <mc:AlternateContent xmlns:mc="http://schemas.openxmlformats.org/markup-compatibility/2006">
    <mc:Choice Requires="x15">
      <x15ac:absPath xmlns:x15ac="http://schemas.microsoft.com/office/spreadsheetml/2010/11/ac" url="N:\Prj_SUS\2021\S21283 PG&amp;E CI 2021-2022\Task 1 Compliance Forms\NRCC-ENV\2022\"/>
    </mc:Choice>
  </mc:AlternateContent>
  <xr:revisionPtr revIDLastSave="0" documentId="13_ncr:1_{54A4C322-BEC1-4C56-A0D8-BE70E1DC8586}" xr6:coauthVersionLast="47" xr6:coauthVersionMax="47" xr10:uidLastSave="{00000000-0000-0000-0000-000000000000}"/>
  <bookViews>
    <workbookView xWindow="22605" yWindow="-14265" windowWidth="11070" windowHeight="6300" tabRatio="942" firstSheet="13" activeTab="13" xr2:uid="{00000000-000D-0000-FFFF-FFFF00000000}"/>
  </bookViews>
  <sheets>
    <sheet name="Table Sequence" sheetId="17" r:id="rId1"/>
    <sheet name="Hyperlinks" sheetId="49" r:id="rId2"/>
    <sheet name="NRCC Headers" sheetId="1" r:id="rId3"/>
    <sheet name="LMCC Headers" sheetId="104" r:id="rId4"/>
    <sheet name="NRCC Footers" sheetId="111" r:id="rId5"/>
    <sheet name="LMCC Footers" sheetId="112" r:id="rId6"/>
    <sheet name="NRCC A. General Info" sheetId="78" r:id="rId7"/>
    <sheet name="LMCC A. General Info" sheetId="105" r:id="rId8"/>
    <sheet name="NRCC B. Project Scope" sheetId="108" r:id="rId9"/>
    <sheet name="LMCC B. Project Scope" sheetId="82" r:id="rId10"/>
    <sheet name="C. Compliance" sheetId="102" r:id="rId11"/>
    <sheet name="D. Exceptional Conditions" sheetId="18" r:id="rId12"/>
    <sheet name="E. Additional Remarks" sheetId="19" r:id="rId13"/>
    <sheet name="F. Roof Assembly Schedule" sheetId="88" r:id="rId14"/>
    <sheet name="G. Rated Cool Roof" sheetId="100" r:id="rId15"/>
    <sheet name="H. Wall Assembly Schedule" sheetId="97" r:id="rId16"/>
    <sheet name="I. Floor Assembly Schedule" sheetId="98" r:id="rId17"/>
    <sheet name="J. Door Schedule" sheetId="99" r:id="rId18"/>
    <sheet name="NRCC K. Fenestration Schedule" sheetId="101" r:id="rId19"/>
    <sheet name="LMCC K. Fenestration Schedule" sheetId="106" r:id="rId20"/>
    <sheet name="L. Daylighting" sheetId="80" r:id="rId21"/>
    <sheet name="M. NRCI" sheetId="52" r:id="rId22"/>
    <sheet name="M. LMCI" sheetId="107" r:id="rId23"/>
    <sheet name="N. NRCA" sheetId="53" r:id="rId24"/>
    <sheet name="N. LMCA" sheetId="109" r:id="rId25"/>
    <sheet name="O. NRCV" sheetId="103" r:id="rId26"/>
    <sheet name="O. LMCV" sheetId="110" r:id="rId27"/>
  </sheets>
  <externalReferences>
    <externalReference r:id="rId28"/>
    <externalReference r:id="rId29"/>
  </externalReferences>
  <definedNames>
    <definedName name="CalcMethod" localSheetId="13">#REF!</definedName>
    <definedName name="CalcMethod" localSheetId="14">#REF!</definedName>
    <definedName name="CalcMethod" localSheetId="15">#REF!</definedName>
    <definedName name="CalcMethod" localSheetId="1">#REF!</definedName>
    <definedName name="CalcMethod" localSheetId="16">#REF!</definedName>
    <definedName name="CalcMethod" localSheetId="17">#REF!</definedName>
    <definedName name="CalcMethod" localSheetId="20">#REF!</definedName>
    <definedName name="CalcMethod" localSheetId="7">#REF!</definedName>
    <definedName name="CalcMethod" localSheetId="9">'LMCC B. Project Scope'!#REF!</definedName>
    <definedName name="CalcMethod" localSheetId="5">'[1]NRCC B. Project Scope'!#REF!</definedName>
    <definedName name="CalcMethod" localSheetId="19">#REF!</definedName>
    <definedName name="CalcMethod" localSheetId="22">'[2]B. Project Scope'!#REF!</definedName>
    <definedName name="CalcMethod" localSheetId="21">'[2]B. Project Scope'!#REF!</definedName>
    <definedName name="CalcMethod" localSheetId="24">'[2]B. Project Scope'!#REF!</definedName>
    <definedName name="CalcMethod" localSheetId="23">'[2]B. Project Scope'!#REF!</definedName>
    <definedName name="CalcMethod" localSheetId="6">#REF!</definedName>
    <definedName name="CalcMethod" localSheetId="8">'NRCC B. Project Scope'!#REF!</definedName>
    <definedName name="CalcMethod" localSheetId="4">'[1]NRCC B. Project Scope'!#REF!</definedName>
    <definedName name="CalcMethod" localSheetId="18">#REF!</definedName>
    <definedName name="CalcMethod" localSheetId="26">#REF!</definedName>
    <definedName name="CalcMethod" localSheetId="25">#REF!</definedName>
    <definedName name="CalcMethod">#REF!</definedName>
    <definedName name="_xlnm.Print_Area" localSheetId="10">'C. Compliance'!$A$3:$L$21</definedName>
    <definedName name="_xlnm.Print_Area" localSheetId="11">'D. Exceptional Conditions'!$A$2:$K$7</definedName>
    <definedName name="_xlnm.Print_Area" localSheetId="12">'E. Additional Remarks'!$A$2:$K$7</definedName>
    <definedName name="_xlnm.Print_Area" localSheetId="13">'F. Roof Assembly Schedule'!$A$3:$O$303</definedName>
    <definedName name="_xlnm.Print_Area" localSheetId="14">'G. Rated Cool Roof'!$A$3:$S$35</definedName>
    <definedName name="_xlnm.Print_Area" localSheetId="15">'H. Wall Assembly Schedule'!$A$3:$O$347</definedName>
    <definedName name="_xlnm.Print_Area" localSheetId="16">'I. Floor Assembly Schedule'!$A$3:$O$138</definedName>
    <definedName name="_xlnm.Print_Area" localSheetId="17">'J. Door Schedule'!$A$3:$O$26</definedName>
    <definedName name="_xlnm.Print_Area" localSheetId="20">'L. Daylighting'!$A$3:$M$34</definedName>
    <definedName name="_xlnm.Print_Area" localSheetId="7">'LMCC A. General Info'!$A$4:$U$39</definedName>
    <definedName name="_xlnm.Print_Area" localSheetId="9">'LMCC B. Project Scope'!$A$3:$S$37</definedName>
    <definedName name="_xlnm.Print_Area" localSheetId="3">'LMCC Headers'!$A$3:$K$23</definedName>
    <definedName name="_xlnm.Print_Area" localSheetId="19">'LMCC K. Fenestration Schedule'!$A$1:$K$120</definedName>
    <definedName name="_xlnm.Print_Area" localSheetId="22">'M. LMCI'!$A$2:$K$2</definedName>
    <definedName name="_xlnm.Print_Area" localSheetId="21">'M. NRCI'!$A$2:$K$6</definedName>
    <definedName name="_xlnm.Print_Area" localSheetId="24">'N. LMCA'!$A$2:$K$5</definedName>
    <definedName name="_xlnm.Print_Area" localSheetId="23">'N. NRCA'!$A$2:$K$5</definedName>
    <definedName name="_xlnm.Print_Area" localSheetId="6">'NRCC A. General Info'!$A$4:$U$39</definedName>
    <definedName name="_xlnm.Print_Area" localSheetId="8">'NRCC B. Project Scope'!$A$3:$S$37</definedName>
    <definedName name="_xlnm.Print_Area" localSheetId="2">'NRCC Headers'!$A$3:$K$23</definedName>
    <definedName name="_xlnm.Print_Area" localSheetId="18">'NRCC K. Fenestration Schedule'!$A$1:$K$121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17" i="106" l="1"/>
  <c r="R78" i="106"/>
  <c r="AC59" i="106"/>
  <c r="AD46" i="106"/>
  <c r="D26" i="106"/>
  <c r="D13" i="106"/>
  <c r="D26" i="101"/>
  <c r="I9" i="80"/>
  <c r="D13" i="101"/>
  <c r="M5" i="100"/>
  <c r="P125" i="97"/>
  <c r="C118" i="101"/>
  <c r="F9" i="80"/>
  <c r="G9" i="80"/>
  <c r="N251" i="97"/>
  <c r="H308" i="88"/>
  <c r="I308" i="88"/>
  <c r="R78" i="101"/>
  <c r="AC59" i="101"/>
  <c r="AD46" i="101"/>
  <c r="R85" i="97"/>
  <c r="I310" i="88"/>
  <c r="J308" i="88"/>
  <c r="J309" i="88"/>
  <c r="J310" i="88"/>
  <c r="I309" i="88"/>
  <c r="H310" i="8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K9" authorId="0" shapeId="0" xr:uid="{9BB87656-D276-452C-A41B-C7DD887F3AC3}">
      <text>
        <r>
          <rPr>
            <b/>
            <sz val="9"/>
            <color indexed="10"/>
            <rFont val="Tahoma"/>
            <family val="2"/>
          </rPr>
          <t>8.26.21:</t>
        </r>
        <r>
          <rPr>
            <sz val="9"/>
            <color indexed="10"/>
            <rFont val="Tahoma"/>
            <family val="2"/>
          </rPr>
          <t xml:space="preserve">
Update w new URL when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N9" authorId="0" shapeId="0" xr:uid="{6E609C77-7FC0-4C3D-B0AE-05B3DCF888C3}">
      <text>
        <r>
          <rPr>
            <b/>
            <sz val="9"/>
            <color indexed="10"/>
            <rFont val="Tahoma"/>
            <family val="2"/>
          </rPr>
          <t>8.26.21:</t>
        </r>
        <r>
          <rPr>
            <sz val="9"/>
            <color indexed="10"/>
            <rFont val="Tahoma"/>
            <family val="2"/>
          </rPr>
          <t xml:space="preserve">
Update w new URL when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300-000001000000}">
      <text>
        <r>
          <rPr>
            <b/>
            <sz val="9"/>
            <color indexed="81"/>
            <rFont val="Tahoma"/>
            <family val="2"/>
          </rPr>
          <t>Sally Blair:</t>
        </r>
        <r>
          <rPr>
            <sz val="9"/>
            <color indexed="81"/>
            <rFont val="Tahoma"/>
            <family val="2"/>
          </rPr>
          <t xml:space="preserve">
Grey out if CZ 1 or 16 is selected in column 03
This button triggers Table 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EAD7647B-C22D-4535-8632-8B05EDF7B428}">
      <text>
        <r>
          <rPr>
            <b/>
            <sz val="9"/>
            <color indexed="81"/>
            <rFont val="Tahoma"/>
            <family val="2"/>
          </rPr>
          <t>Sally Blair:</t>
        </r>
        <r>
          <rPr>
            <sz val="9"/>
            <color indexed="81"/>
            <rFont val="Tahoma"/>
            <family val="2"/>
          </rPr>
          <t xml:space="preserve">
Grey out if CZ 1 or 16 is selected in column 03
This button triggers Table 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1" authorId="0" shapeId="0" xr:uid="{3B47BB9B-80DA-4074-B249-D613D0CEA76B}">
      <text>
        <r>
          <rPr>
            <b/>
            <sz val="9"/>
            <color indexed="81"/>
            <rFont val="Tahoma"/>
            <family val="2"/>
          </rPr>
          <t>Sally Blair:</t>
        </r>
        <r>
          <rPr>
            <sz val="9"/>
            <color indexed="81"/>
            <rFont val="Tahoma"/>
            <family val="2"/>
          </rPr>
          <t xml:space="preserve">
Selecting "New Construction or Newly Conditioned" automatically greys out the "Addition" and "Alteration" options.  New construction is entirely new or newly conditioned, as distinguished from an addition or alteration to existing conditioned space.</t>
        </r>
      </text>
    </comment>
    <comment ref="E11" authorId="0" shapeId="0" xr:uid="{870BC16E-83E6-452E-8F23-773C929A517F}">
      <text>
        <r>
          <rPr>
            <b/>
            <sz val="9"/>
            <color indexed="81"/>
            <rFont val="Tahoma"/>
            <family val="2"/>
          </rPr>
          <t>Sally Blair:</t>
        </r>
        <r>
          <rPr>
            <sz val="9"/>
            <color indexed="81"/>
            <rFont val="Tahoma"/>
            <family val="2"/>
          </rPr>
          <t xml:space="preserve">
Any selection of Roof in column 02 triggers Tables F &amp; G.</t>
        </r>
      </text>
    </comment>
    <comment ref="B12" authorId="0" shapeId="0" xr:uid="{691A1C62-E04A-4376-9274-F079D9647994}">
      <text>
        <r>
          <rPr>
            <b/>
            <sz val="9"/>
            <color indexed="81"/>
            <rFont val="Tahoma"/>
            <family val="2"/>
          </rPr>
          <t>Sally Blair:</t>
        </r>
        <r>
          <rPr>
            <sz val="9"/>
            <color indexed="81"/>
            <rFont val="Tahoma"/>
            <family val="2"/>
          </rPr>
          <t xml:space="preserve">
These three check boxes trigger Table L.  Checkboxes should be greyed out for CZ 1 &amp; 16 from Table A column 03.</t>
        </r>
      </text>
    </comment>
    <comment ref="A14" authorId="0" shapeId="0" xr:uid="{A0BC4F9B-1345-416C-B1B8-466D621B6A88}">
      <text>
        <r>
          <rPr>
            <b/>
            <sz val="9"/>
            <color indexed="81"/>
            <rFont val="Tahoma"/>
            <family val="2"/>
          </rPr>
          <t>Sally Blair:</t>
        </r>
        <r>
          <rPr>
            <sz val="9"/>
            <color indexed="81"/>
            <rFont val="Tahoma"/>
            <family val="2"/>
          </rPr>
          <t xml:space="preserve">
Selecting "Addition" or "Alteration" automatically greys out the "New Construction" option in rows 11&amp;12.  A project can have both additions and alterations.</t>
        </r>
      </text>
    </comment>
    <comment ref="E14" authorId="0" shapeId="0" xr:uid="{1B141AB8-BB9B-48F7-BEBA-DBB3D4DCFD0D}">
      <text>
        <r>
          <rPr>
            <b/>
            <sz val="9"/>
            <color indexed="81"/>
            <rFont val="Tahoma"/>
            <family val="2"/>
          </rPr>
          <t>Sally Blair:</t>
        </r>
        <r>
          <rPr>
            <sz val="9"/>
            <color indexed="81"/>
            <rFont val="Tahoma"/>
            <family val="2"/>
          </rPr>
          <t xml:space="preserve">
Any selection of Roof in column 02 triggers Tables F &amp; G.</t>
        </r>
      </text>
    </comment>
    <comment ref="H14" authorId="0" shapeId="0" xr:uid="{11D8C92B-75F1-4ECA-ACE2-565EB2DD07E8}">
      <text>
        <r>
          <rPr>
            <b/>
            <sz val="9"/>
            <color indexed="81"/>
            <rFont val="Tahoma"/>
            <family val="2"/>
          </rPr>
          <t>Sally Blair:</t>
        </r>
        <r>
          <rPr>
            <sz val="9"/>
            <color indexed="81"/>
            <rFont val="Tahoma"/>
            <family val="2"/>
          </rPr>
          <t xml:space="preserve">
Any selection of Doors in column 02 triggers Table J</t>
        </r>
      </text>
    </comment>
    <comment ref="E19" authorId="0" shapeId="0" xr:uid="{B4C8DCCD-14FB-4902-8E28-2657D81C4826}">
      <text>
        <r>
          <rPr>
            <b/>
            <sz val="9"/>
            <color indexed="81"/>
            <rFont val="Tahoma"/>
            <family val="2"/>
          </rPr>
          <t>Sally Blair:</t>
        </r>
        <r>
          <rPr>
            <sz val="9"/>
            <color indexed="81"/>
            <rFont val="Tahoma"/>
            <family val="2"/>
          </rPr>
          <t xml:space="preserve">
Triggers Tables F</t>
        </r>
      </text>
    </comment>
    <comment ref="G19" authorId="0" shapeId="0" xr:uid="{94B4922F-00C1-45AD-AF30-A3EA9119BB0B}">
      <text>
        <r>
          <rPr>
            <b/>
            <sz val="9"/>
            <color indexed="81"/>
            <rFont val="Tahoma"/>
            <family val="2"/>
          </rPr>
          <t>Sally Blair:</t>
        </r>
        <r>
          <rPr>
            <sz val="9"/>
            <color indexed="81"/>
            <rFont val="Tahoma"/>
            <family val="2"/>
          </rPr>
          <t xml:space="preserve">
Any selection of Walls in column 02 triggers Table H.</t>
        </r>
      </text>
    </comment>
    <comment ref="E20" authorId="0" shapeId="0" xr:uid="{BF33F74C-003B-43C6-A577-BD827731FE1C}">
      <text>
        <r>
          <rPr>
            <b/>
            <sz val="9"/>
            <color indexed="81"/>
            <rFont val="Tahoma"/>
            <family val="2"/>
          </rPr>
          <t>Sally Blair:</t>
        </r>
        <r>
          <rPr>
            <sz val="9"/>
            <color indexed="81"/>
            <rFont val="Tahoma"/>
            <family val="2"/>
          </rPr>
          <t xml:space="preserve">
Triggers Tables G</t>
        </r>
      </text>
    </comment>
    <comment ref="G20" authorId="0" shapeId="0" xr:uid="{12740BE9-8D42-4A3B-BB24-18B63E3E64C5}">
      <text>
        <r>
          <rPr>
            <b/>
            <sz val="9"/>
            <color indexed="81"/>
            <rFont val="Tahoma"/>
            <family val="2"/>
          </rPr>
          <t>Sally Blair:</t>
        </r>
        <r>
          <rPr>
            <sz val="9"/>
            <color indexed="81"/>
            <rFont val="Tahoma"/>
            <family val="2"/>
          </rPr>
          <t xml:space="preserve">
Any selection of Floors in column 02 triggers Table I.</t>
        </r>
      </text>
    </comment>
    <comment ref="H20" authorId="0" shapeId="0" xr:uid="{EDDF36DC-A852-4C03-A192-740233125A67}">
      <text>
        <r>
          <rPr>
            <b/>
            <sz val="9"/>
            <color indexed="81"/>
            <rFont val="Tahoma"/>
            <family val="2"/>
          </rPr>
          <t>Sally Blair:</t>
        </r>
        <r>
          <rPr>
            <sz val="9"/>
            <color indexed="81"/>
            <rFont val="Tahoma"/>
            <family val="2"/>
          </rPr>
          <t xml:space="preserve">
Any selection of Fenestration in column 02 triggers Table 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1" authorId="0" shapeId="0" xr:uid="{00000000-0006-0000-0400-000001000000}">
      <text>
        <r>
          <rPr>
            <b/>
            <sz val="9"/>
            <color indexed="81"/>
            <rFont val="Tahoma"/>
            <family val="2"/>
          </rPr>
          <t>Sally Blair:</t>
        </r>
        <r>
          <rPr>
            <sz val="9"/>
            <color indexed="81"/>
            <rFont val="Tahoma"/>
            <family val="2"/>
          </rPr>
          <t xml:space="preserve">
Selecting "New Construction or Newly Conditioned" automatically greys out the "Addition" and "Alteration" options.  New construction is entirely new or newly conditioned, as distinguished from an addition or alteration to existing conditioned space.</t>
        </r>
      </text>
    </comment>
    <comment ref="E11" authorId="0" shapeId="0" xr:uid="{00000000-0006-0000-0400-000002000000}">
      <text>
        <r>
          <rPr>
            <b/>
            <sz val="9"/>
            <color indexed="81"/>
            <rFont val="Tahoma"/>
            <family val="2"/>
          </rPr>
          <t>Sally Blair:</t>
        </r>
        <r>
          <rPr>
            <sz val="9"/>
            <color indexed="81"/>
            <rFont val="Tahoma"/>
            <family val="2"/>
          </rPr>
          <t xml:space="preserve">
Any selection of Roof in column 02 triggers Tables F &amp; G.</t>
        </r>
      </text>
    </comment>
    <comment ref="B12" authorId="0" shapeId="0" xr:uid="{00000000-0006-0000-0400-000003000000}">
      <text>
        <r>
          <rPr>
            <b/>
            <sz val="9"/>
            <color indexed="81"/>
            <rFont val="Tahoma"/>
            <family val="2"/>
          </rPr>
          <t>Sally Blair:</t>
        </r>
        <r>
          <rPr>
            <sz val="9"/>
            <color indexed="81"/>
            <rFont val="Tahoma"/>
            <family val="2"/>
          </rPr>
          <t xml:space="preserve">
These three check boxes trigger Table L.  Checkboxes should be greyed out for CZ 1 &amp; 16 from Table A column 03.</t>
        </r>
      </text>
    </comment>
    <comment ref="A14" authorId="0" shapeId="0" xr:uid="{00000000-0006-0000-0400-000004000000}">
      <text>
        <r>
          <rPr>
            <b/>
            <sz val="9"/>
            <color indexed="81"/>
            <rFont val="Tahoma"/>
            <family val="2"/>
          </rPr>
          <t>Sally Blair:</t>
        </r>
        <r>
          <rPr>
            <sz val="9"/>
            <color indexed="81"/>
            <rFont val="Tahoma"/>
            <family val="2"/>
          </rPr>
          <t xml:space="preserve">
Selecting "Addition" or "Alteration" automatically greys out the "New Construction" option.  A project can have both additions and alterations.</t>
        </r>
      </text>
    </comment>
    <comment ref="E14" authorId="0" shapeId="0" xr:uid="{00000000-0006-0000-0400-000005000000}">
      <text>
        <r>
          <rPr>
            <b/>
            <sz val="9"/>
            <color indexed="81"/>
            <rFont val="Tahoma"/>
            <family val="2"/>
          </rPr>
          <t>Sally Blair:</t>
        </r>
        <r>
          <rPr>
            <sz val="9"/>
            <color indexed="81"/>
            <rFont val="Tahoma"/>
            <family val="2"/>
          </rPr>
          <t xml:space="preserve">
Any selection of Roof in column 02 triggers Tables F &amp; G.</t>
        </r>
      </text>
    </comment>
    <comment ref="H14" authorId="0" shapeId="0" xr:uid="{00000000-0006-0000-0400-000006000000}">
      <text>
        <r>
          <rPr>
            <b/>
            <sz val="9"/>
            <color indexed="81"/>
            <rFont val="Tahoma"/>
            <family val="2"/>
          </rPr>
          <t>Sally Blair:</t>
        </r>
        <r>
          <rPr>
            <sz val="9"/>
            <color indexed="81"/>
            <rFont val="Tahoma"/>
            <family val="2"/>
          </rPr>
          <t xml:space="preserve">
Any selection of Doors in column 02 triggers Table J</t>
        </r>
      </text>
    </comment>
    <comment ref="B16" authorId="0" shapeId="0" xr:uid="{56A5783C-0C0E-4D5E-AF0B-09324A194A19}">
      <text>
        <r>
          <rPr>
            <b/>
            <sz val="9"/>
            <color indexed="39"/>
            <rFont val="Tahoma"/>
            <family val="2"/>
          </rPr>
          <t xml:space="preserve">8.21.21:
</t>
        </r>
        <r>
          <rPr>
            <sz val="9"/>
            <color indexed="39"/>
            <rFont val="Tahoma"/>
            <family val="2"/>
          </rPr>
          <t>If A04 = "Low-rise Residential" AND
Selection of "New Construction or Newly Conditioned Space" OR "Addition is &gt; 700ft2" 
trigger Row 21 Note in Table D &amp; LMCI 21 &amp; 22 in Table M Installation Certificates and Table O Certificates of Verification.</t>
        </r>
      </text>
    </comment>
    <comment ref="E19" authorId="0" shapeId="0" xr:uid="{00000000-0006-0000-0400-000007000000}">
      <text>
        <r>
          <rPr>
            <b/>
            <sz val="9"/>
            <color indexed="81"/>
            <rFont val="Tahoma"/>
            <family val="2"/>
          </rPr>
          <t>Sally Blair:</t>
        </r>
        <r>
          <rPr>
            <sz val="9"/>
            <color indexed="81"/>
            <rFont val="Tahoma"/>
            <family val="2"/>
          </rPr>
          <t xml:space="preserve">
Triggers Tables F</t>
        </r>
      </text>
    </comment>
    <comment ref="G19" authorId="0" shapeId="0" xr:uid="{00000000-0006-0000-0400-000008000000}">
      <text>
        <r>
          <rPr>
            <b/>
            <sz val="9"/>
            <color indexed="81"/>
            <rFont val="Tahoma"/>
            <family val="2"/>
          </rPr>
          <t>Sally Blair:</t>
        </r>
        <r>
          <rPr>
            <sz val="9"/>
            <color indexed="81"/>
            <rFont val="Tahoma"/>
            <family val="2"/>
          </rPr>
          <t xml:space="preserve">
Any selection of Walls in column 02 triggers Table H.</t>
        </r>
      </text>
    </comment>
    <comment ref="E20" authorId="0" shapeId="0" xr:uid="{A1D3FA3B-2EA6-42E8-BD97-57F05FBE19B6}">
      <text>
        <r>
          <rPr>
            <b/>
            <sz val="9"/>
            <color indexed="81"/>
            <rFont val="Tahoma"/>
            <family val="2"/>
          </rPr>
          <t>Sally Blair:</t>
        </r>
        <r>
          <rPr>
            <sz val="9"/>
            <color indexed="81"/>
            <rFont val="Tahoma"/>
            <family val="2"/>
          </rPr>
          <t xml:space="preserve">
Triggers Tables G</t>
        </r>
      </text>
    </comment>
    <comment ref="G20" authorId="0" shapeId="0" xr:uid="{00000000-0006-0000-0400-00000A000000}">
      <text>
        <r>
          <rPr>
            <b/>
            <sz val="9"/>
            <color indexed="81"/>
            <rFont val="Tahoma"/>
            <family val="2"/>
          </rPr>
          <t>Sally Blair:</t>
        </r>
        <r>
          <rPr>
            <sz val="9"/>
            <color indexed="81"/>
            <rFont val="Tahoma"/>
            <family val="2"/>
          </rPr>
          <t xml:space="preserve">
Any selection of Floors in column 02 triggers Table I.</t>
        </r>
      </text>
    </comment>
    <comment ref="H20" authorId="0" shapeId="0" xr:uid="{00000000-0006-0000-0400-00000B000000}">
      <text>
        <r>
          <rPr>
            <b/>
            <sz val="9"/>
            <color indexed="81"/>
            <rFont val="Tahoma"/>
            <family val="2"/>
          </rPr>
          <t>Sally Blair:</t>
        </r>
        <r>
          <rPr>
            <sz val="9"/>
            <color indexed="81"/>
            <rFont val="Tahoma"/>
            <family val="2"/>
          </rPr>
          <t xml:space="preserve">
Any selection of Fenestration in column 02 triggers Table 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9" authorId="0" shapeId="0" xr:uid="{00000000-0006-0000-0500-000001000000}">
      <text>
        <r>
          <rPr>
            <b/>
            <sz val="9"/>
            <color indexed="81"/>
            <rFont val="Tahoma"/>
            <family val="2"/>
          </rPr>
          <t>Sally Blair:</t>
        </r>
        <r>
          <rPr>
            <sz val="9"/>
            <color indexed="81"/>
            <rFont val="Tahoma"/>
            <family val="2"/>
          </rPr>
          <t xml:space="preserve">
Says "COMPLIES" if 01-07 say "Yes" if not grey.
Says "COMPLIES with Exceptional Conditions" if 01-07 say "Yes" if not grey &amp; any notes are triggered in Table D.
Says "DOES NOT COMPLY" if any of 01-07 say "No"</t>
        </r>
      </text>
    </comment>
    <comment ref="C10" authorId="0" shapeId="0" xr:uid="{00000000-0006-0000-0500-000002000000}">
      <text>
        <r>
          <rPr>
            <b/>
            <sz val="9"/>
            <color indexed="81"/>
            <rFont val="Tahoma"/>
            <family val="2"/>
          </rPr>
          <t xml:space="preserve">Sally Blair:
</t>
        </r>
        <r>
          <rPr>
            <sz val="9"/>
            <color indexed="81"/>
            <rFont val="Tahoma"/>
            <family val="2"/>
          </rPr>
          <t xml:space="preserve">Says "Yes" if all subtables expanded meet compliance logic below, otherwise says "No".
</t>
        </r>
        <r>
          <rPr>
            <b/>
            <sz val="9"/>
            <color indexed="81"/>
            <rFont val="Tahoma"/>
            <family val="2"/>
          </rPr>
          <t>Framed Roof Subtable:</t>
        </r>
        <r>
          <rPr>
            <sz val="9"/>
            <color indexed="81"/>
            <rFont val="Tahoma"/>
            <family val="2"/>
          </rPr>
          <t xml:space="preserve">
Complies IF-
- 02-06 completed if not grey
AND
- 08-16 completed if not grey &amp; something is populated in 07.
AND
- if 01 is not checked, either:
    - "R-value" in 13 and 12 &gt;= 14, if not grey
       OR
    - "U-factor" in 13 and 15 &lt;= 14 </t>
        </r>
        <r>
          <rPr>
            <b/>
            <sz val="9"/>
            <color indexed="10"/>
            <rFont val="Tahoma"/>
            <family val="2"/>
          </rPr>
          <t>AND 11 OR 12 &gt;=ten (the # ten, not the column)</t>
        </r>
        <r>
          <rPr>
            <sz val="9"/>
            <color indexed="81"/>
            <rFont val="Tahoma"/>
            <family val="2"/>
          </rPr>
          <t xml:space="preserve">, if not grey
- if 01 is checked: Area-weighted Average table for framed, SIPs, etc. says "Complies"
</t>
        </r>
        <r>
          <rPr>
            <b/>
            <sz val="9"/>
            <color indexed="81"/>
            <rFont val="Tahoma"/>
            <family val="2"/>
          </rPr>
          <t>SIPs Subtable:</t>
        </r>
        <r>
          <rPr>
            <sz val="9"/>
            <color indexed="81"/>
            <rFont val="Tahoma"/>
            <family val="2"/>
          </rPr>
          <t xml:space="preserve">
Complies IF-
- 02-06 completed if not grey
AND
- 08-16 completed if not grey &amp; something is populated in 07.
AND
- if 01 is not checked, either:
    - "R-value" in 13 and 12 &gt;= 14, if not grey
       OR
    - "U-factor" in 13 and 15 &lt;= 14 </t>
        </r>
        <r>
          <rPr>
            <b/>
            <sz val="9"/>
            <color indexed="10"/>
            <rFont val="Tahoma"/>
            <family val="2"/>
          </rPr>
          <t>AND 11 OR 12 &gt;=ten (the # ten, not the column)</t>
        </r>
        <r>
          <rPr>
            <sz val="9"/>
            <color indexed="81"/>
            <rFont val="Tahoma"/>
            <family val="2"/>
          </rPr>
          <t xml:space="preserve">, if not grey
- if 01 is checked: Area-weighted Average table for framed, SIPs, etc. says "Complies"
</t>
        </r>
        <r>
          <rPr>
            <b/>
            <sz val="9"/>
            <color indexed="81"/>
            <rFont val="Tahoma"/>
            <family val="2"/>
          </rPr>
          <t>Span Deck &amp; Concrete Subtable:</t>
        </r>
        <r>
          <rPr>
            <sz val="9"/>
            <color indexed="81"/>
            <rFont val="Tahoma"/>
            <family val="2"/>
          </rPr>
          <t xml:space="preserve">
Complies IF-
- 02-06 completed if not grey
AND
- 08-15 completed if not grey &amp; something is populated in 07.
AND
- if 01 is not checked, either:
    - "R-value" in 12 and 11 &gt;= 13, if not grey
       OR
    - "U-factor" in 12 and 14 &lt;= 13  </t>
        </r>
        <r>
          <rPr>
            <b/>
            <sz val="9"/>
            <color indexed="10"/>
            <rFont val="Tahoma"/>
            <family val="2"/>
          </rPr>
          <t>AND 11 &gt;=ten (the # ten, not the column)</t>
        </r>
        <r>
          <rPr>
            <sz val="9"/>
            <color indexed="81"/>
            <rFont val="Tahoma"/>
            <family val="2"/>
          </rPr>
          <t xml:space="preserve">, if not grey
- if 01 is checked: Area-weighted Average table for framed, SIPs, etc. says "Complies"
</t>
        </r>
        <r>
          <rPr>
            <b/>
            <sz val="9"/>
            <color indexed="81"/>
            <rFont val="Tahoma"/>
            <family val="2"/>
          </rPr>
          <t>Metal Panel Subtable:</t>
        </r>
        <r>
          <rPr>
            <sz val="9"/>
            <color indexed="81"/>
            <rFont val="Tahoma"/>
            <family val="2"/>
          </rPr>
          <t xml:space="preserve">
Complies IF-
- 02-06 completed if not grey
AND
- 08-13 completed if not grey &amp; something is populated in 07.
AND
- if 01 is not checked, either:
    - 12 &lt;= 11, if not grey
- if 01 is checked: Area-weighted Average table for framed, SIPs, etc. says "Complies"
</t>
        </r>
        <r>
          <rPr>
            <b/>
            <sz val="9"/>
            <color indexed="81"/>
            <rFont val="Tahoma"/>
            <family val="2"/>
          </rPr>
          <t>Metal Building Subtable:</t>
        </r>
        <r>
          <rPr>
            <sz val="9"/>
            <color indexed="81"/>
            <rFont val="Tahoma"/>
            <family val="2"/>
          </rPr>
          <t xml:space="preserve">
Complies IF-
- 02-06 completed if not grey
AND
- 08-15 completed if not grey &amp; something is populated in 07.
AND
- if 01 is not checked, either:
    - "R-value" in 12 and 11 &gt;= 13, if not grey
       OR
    - "U-factor" in 12 and 14 &lt;= 13 </t>
        </r>
        <r>
          <rPr>
            <b/>
            <sz val="9"/>
            <color indexed="10"/>
            <rFont val="Tahoma"/>
            <family val="2"/>
          </rPr>
          <t>AND 10 OR 11 &gt;=ten (the # ten, not the column),</t>
        </r>
        <r>
          <rPr>
            <sz val="9"/>
            <color indexed="81"/>
            <rFont val="Tahoma"/>
            <family val="2"/>
          </rPr>
          <t xml:space="preserve"> if not grey
- if 01 is checked: Area-weighted Average table for Metal Building Roof says "Complies"
</t>
        </r>
        <r>
          <rPr>
            <b/>
            <sz val="9"/>
            <color indexed="10"/>
            <rFont val="Tahoma"/>
            <family val="2"/>
          </rPr>
          <t>Multifamily Framed Roof Subtable:</t>
        </r>
        <r>
          <rPr>
            <sz val="9"/>
            <color indexed="10"/>
            <rFont val="Tahoma"/>
            <family val="2"/>
          </rPr>
          <t xml:space="preserve">
Complies IF-
- 02-08 completed if not grey
AND
- If Ufactor subtable triggered:
01 is true &amp; AWA table says "Complies" OR 01 is false &amp; col 17 &lt;= col 16 if not grey
- If Rvalue subtable triggered:
23 &gt;=22 if not grey</t>
        </r>
      </text>
    </comment>
    <comment ref="D10" authorId="0" shapeId="0" xr:uid="{00000000-0006-0000-0500-000003000000}">
      <text>
        <r>
          <rPr>
            <b/>
            <sz val="9"/>
            <color indexed="81"/>
            <rFont val="Tahoma"/>
            <family val="2"/>
          </rPr>
          <t>Sally Blair:</t>
        </r>
        <r>
          <rPr>
            <sz val="9"/>
            <color indexed="81"/>
            <rFont val="Tahoma"/>
            <family val="2"/>
          </rPr>
          <t xml:space="preserve">
Says "Yes" if:
- 01-10 are completed if not grey
AND 09 &gt;= 08, if not grey
otherwise says "No"
</t>
        </r>
      </text>
    </comment>
    <comment ref="E10" authorId="0" shapeId="0" xr:uid="{00000000-0006-0000-0500-000004000000}">
      <text>
        <r>
          <rPr>
            <b/>
            <sz val="9"/>
            <color indexed="10"/>
            <rFont val="Tahoma"/>
            <family val="2"/>
          </rPr>
          <t>Mass Subtable Logic Updated 8.10.21</t>
        </r>
        <r>
          <rPr>
            <b/>
            <sz val="9"/>
            <color indexed="81"/>
            <rFont val="Tahoma"/>
            <family val="2"/>
          </rPr>
          <t xml:space="preserve">
Metal Panel Subtable Logic Updated 9.8.20
</t>
        </r>
        <r>
          <rPr>
            <sz val="9"/>
            <color indexed="81"/>
            <rFont val="Tahoma"/>
            <family val="2"/>
          </rPr>
          <t xml:space="preserve">
Says "Yes" if all subtables expanded meet compliance logic below, otherwise says "No".
</t>
        </r>
        <r>
          <rPr>
            <b/>
            <sz val="9"/>
            <color indexed="81"/>
            <rFont val="Tahoma"/>
            <family val="2"/>
          </rPr>
          <t>Framed Subtable:</t>
        </r>
        <r>
          <rPr>
            <sz val="9"/>
            <color indexed="81"/>
            <rFont val="Tahoma"/>
            <family val="2"/>
          </rPr>
          <t xml:space="preserve">
Complies IF-
- 03-13 completed if not grey
AND
- if 01 or 02 is not checked, either:
    - "R-value" in 10 and 08 &gt;= 11
       OR
    - "U-factor" in 10 and 12 &lt;= 11
AND
- if 01 is checked: Area-weighted Average table for metal framed says "Complies"
AND
- if 02 is checked: Area-weighted Average table for wood, SIPs, etc. framed says "Complies"
</t>
        </r>
        <r>
          <rPr>
            <b/>
            <sz val="9"/>
            <color indexed="10"/>
            <rFont val="Tahoma"/>
            <family val="2"/>
          </rPr>
          <t>Mass Subtable: Updated 8.10.21</t>
        </r>
        <r>
          <rPr>
            <sz val="9"/>
            <color indexed="81"/>
            <rFont val="Tahoma"/>
            <family val="2"/>
          </rPr>
          <t xml:space="preserve">
Complies IF-
- 02-07 and 11&amp;12 completed if not grey
AND
- if 01 is not checked, 11 &lt;= 10
AND
- if 01 is checked: Area-weighted Average table for mass says "Complies"</t>
        </r>
        <r>
          <rPr>
            <b/>
            <sz val="9"/>
            <color indexed="10"/>
            <rFont val="Tahoma"/>
            <family val="2"/>
          </rPr>
          <t xml:space="preserve"> </t>
        </r>
        <r>
          <rPr>
            <sz val="9"/>
            <color indexed="81"/>
            <rFont val="Tahoma"/>
            <family val="2"/>
          </rPr>
          <t xml:space="preserve">
</t>
        </r>
        <r>
          <rPr>
            <b/>
            <sz val="9"/>
            <color indexed="81"/>
            <rFont val="Tahoma"/>
            <family val="2"/>
          </rPr>
          <t>Concrete Sandwich Panel Subtable:</t>
        </r>
        <r>
          <rPr>
            <sz val="9"/>
            <color indexed="81"/>
            <rFont val="Tahoma"/>
            <family val="2"/>
          </rPr>
          <t xml:space="preserve">
Complies IF-
- 02-12 completed if not grey
AND
- if 01 is not checked, 11 &lt;= 10
AND
- if 01 is checked: Area-weighted Average table for mass says "Complies"
</t>
        </r>
        <r>
          <rPr>
            <b/>
            <sz val="9"/>
            <color indexed="81"/>
            <rFont val="Tahoma"/>
            <family val="2"/>
          </rPr>
          <t>SIPS Subtable:</t>
        </r>
        <r>
          <rPr>
            <sz val="9"/>
            <color indexed="81"/>
            <rFont val="Tahoma"/>
            <family val="2"/>
          </rPr>
          <t xml:space="preserve">
Complies IF-
- 02-12 completed if not grey
AND
- if 01 is not checked, either:
    - "R-value" in 09 and 07 &gt;= 10
       OR
    - "U-factor" in 09 and 11 &lt;= 10
AND
- if 01 is checked: Area-weighted Average table for wood, SIPs, etc. says "Complies"
</t>
        </r>
        <r>
          <rPr>
            <b/>
            <sz val="9"/>
            <color indexed="81"/>
            <rFont val="Tahoma"/>
            <family val="2"/>
          </rPr>
          <t>Spandrel Subtable:</t>
        </r>
        <r>
          <rPr>
            <sz val="9"/>
            <color indexed="81"/>
            <rFont val="Tahoma"/>
            <family val="2"/>
          </rPr>
          <t xml:space="preserve">
Complies IF-
- 02-11 completed if not grey
AND
- if 01 is not checked, either:
    - "R-value" in 08 and 07 &gt;= 09
       OR
    - "U-factor" in 08 and 10 &lt;= 09
AND
- if 01 is checked: Area-weighted Average table for wood, SIPs, etc. says "Complies"
</t>
        </r>
        <r>
          <rPr>
            <b/>
            <sz val="9"/>
            <color indexed="81"/>
            <rFont val="Tahoma"/>
            <family val="2"/>
          </rPr>
          <t>Metal Building Subtable:</t>
        </r>
        <r>
          <rPr>
            <sz val="9"/>
            <color indexed="81"/>
            <rFont val="Tahoma"/>
            <family val="2"/>
          </rPr>
          <t xml:space="preserve">
Complies IF-
- 02-11 completed if not grey
AND
- if 01 is not checked, either:
    - "R-value" in 08 and 06 &gt;= 09
       OR
    - "U-factor" in 08 and 10 &lt;= 09
AND
- if 01 is checked: Area-weighted Average table for metal building says "Complies"
</t>
        </r>
        <r>
          <rPr>
            <b/>
            <sz val="9"/>
            <color indexed="81"/>
            <rFont val="Tahoma"/>
            <family val="2"/>
          </rPr>
          <t>Metal Panel Subtable:</t>
        </r>
        <r>
          <rPr>
            <sz val="9"/>
            <color indexed="81"/>
            <rFont val="Tahoma"/>
            <family val="2"/>
          </rPr>
          <t xml:space="preserve">
Complies IF-
- 02-06 completed if not grey
AND
- if 01 is not checked:
     - "U-factor" in 08 &lt;= 07
AND
- if 01 is checked: Area-weighted Average table for wood, SIPs, etc. says "Complies"
</t>
        </r>
        <r>
          <rPr>
            <b/>
            <sz val="9"/>
            <color indexed="81"/>
            <rFont val="Tahoma"/>
            <family val="2"/>
          </rPr>
          <t>Log Home Subtable:</t>
        </r>
        <r>
          <rPr>
            <sz val="9"/>
            <color indexed="81"/>
            <rFont val="Tahoma"/>
            <family val="2"/>
          </rPr>
          <t xml:space="preserve">
Complies IF-
- 02-10 completed if not grey
AND
- if 01 is not checked, 09 &lt;= 08
AND
- if 01 is checked: Area-weighted Average table for mass says "Complies"
</t>
        </r>
        <r>
          <rPr>
            <b/>
            <sz val="9"/>
            <color indexed="81"/>
            <rFont val="Tahoma"/>
            <family val="2"/>
          </rPr>
          <t>Strawbale Subtable:</t>
        </r>
        <r>
          <rPr>
            <sz val="9"/>
            <color indexed="81"/>
            <rFont val="Tahoma"/>
            <family val="2"/>
          </rPr>
          <t xml:space="preserve">
Complies IF-
- 02-10 completed if not grey
AND
- if 01 is not checked, either:
    - "R-value" in 07 and 06 &gt;= 08
       OR
    - "U-factor" in 07 and 09 &lt;= 08
AND
- if 01 is checked: Area-weighted Average table for wood, SIPs, etc. says "Complies"
ICF Subtable:
Complies IF-
- 02-11 completed if not grey
AND
- if 01 is not checked, 10 &lt;= 09
AND
- if 01 is checked: Area-weighted Average table for mass says "Complies"</t>
        </r>
      </text>
    </comment>
    <comment ref="F10" authorId="0" shapeId="0" xr:uid="{00000000-0006-0000-0500-000005000000}">
      <text>
        <r>
          <rPr>
            <b/>
            <sz val="9"/>
            <color indexed="81"/>
            <rFont val="Tahoma"/>
            <family val="2"/>
          </rPr>
          <t>Sally Blair:</t>
        </r>
        <r>
          <rPr>
            <sz val="9"/>
            <color indexed="81"/>
            <rFont val="Tahoma"/>
            <family val="2"/>
          </rPr>
          <t xml:space="preserve">
Says "Yes" if all subtables expanded meet compliance logic below, otherwise says "No".
</t>
        </r>
        <r>
          <rPr>
            <b/>
            <sz val="9"/>
            <color indexed="81"/>
            <rFont val="Tahoma"/>
            <family val="2"/>
          </rPr>
          <t>Framed Subtable:</t>
        </r>
        <r>
          <rPr>
            <sz val="9"/>
            <color indexed="81"/>
            <rFont val="Tahoma"/>
            <family val="2"/>
          </rPr>
          <t xml:space="preserve">
Complies IF-
- 02-12 completed if not grey
AND
- if 01 is not checked, either:
    - "R-value" in 09 and 07 &gt;= 10
       OR
    - "U-factor" in 09 and 11 &lt;= 10
AND
- if 01 is checked: Area-weighted Average table for framed, SIPs, etc. says "Complies"
</t>
        </r>
        <r>
          <rPr>
            <b/>
            <sz val="9"/>
            <color indexed="81"/>
            <rFont val="Tahoma"/>
            <family val="2"/>
          </rPr>
          <t>SIPS Subtable:</t>
        </r>
        <r>
          <rPr>
            <sz val="9"/>
            <color indexed="81"/>
            <rFont val="Tahoma"/>
            <family val="2"/>
          </rPr>
          <t xml:space="preserve">
Complies IF-
- 02-12 completed if not grey
AND
- if 01 is not checked, 11 &lt;= 10
AND
- if 01 is checked: Area-weighted Average table for framed, SIPs, etc. says "Complies"
</t>
        </r>
        <r>
          <rPr>
            <b/>
            <sz val="9"/>
            <color indexed="81"/>
            <rFont val="Tahoma"/>
            <family val="2"/>
          </rPr>
          <t>Raised Mass Subtable:</t>
        </r>
        <r>
          <rPr>
            <sz val="9"/>
            <color indexed="81"/>
            <rFont val="Tahoma"/>
            <family val="2"/>
          </rPr>
          <t xml:space="preserve">
Complies IF-
- 02-11 completed if not grey
AND
- if 01 is not checked, either:
    - "R-value" in 08 and 07 &gt;= 09
       OR
    - "U-factor" in 08 and 10 &lt;= 09
AND
- if 01 is checked: Area-weighted Average table for raised mass says "Complies"
</t>
        </r>
        <r>
          <rPr>
            <b/>
            <sz val="9"/>
            <color indexed="81"/>
            <rFont val="Tahoma"/>
            <family val="2"/>
          </rPr>
          <t>Slab on grade Updated for 2019:</t>
        </r>
        <r>
          <rPr>
            <sz val="9"/>
            <color indexed="81"/>
            <rFont val="Tahoma"/>
            <family val="2"/>
          </rPr>
          <t xml:space="preserve">
</t>
        </r>
        <r>
          <rPr>
            <b/>
            <sz val="9"/>
            <color indexed="81"/>
            <rFont val="Tahoma"/>
            <family val="2"/>
          </rPr>
          <t>Slab on Grade Subtable:</t>
        </r>
        <r>
          <rPr>
            <sz val="9"/>
            <color indexed="81"/>
            <rFont val="Tahoma"/>
            <family val="2"/>
          </rPr>
          <t xml:space="preserve">
Complies IF-
- 01-03, 05, 06 &amp; 08 completed if not grey
AND
- 06 &gt;= 05
</t>
        </r>
        <r>
          <rPr>
            <b/>
            <sz val="9"/>
            <color indexed="10"/>
            <rFont val="Tahoma"/>
            <family val="2"/>
          </rPr>
          <t>Low-rise Multifamily Slab-on-Grade Floors SUbtable:
Complies IF
- 06 &lt;= 05 if Ufactor in col 04 OR
- 06 &gt;= 05 if Rvalue in col 04</t>
        </r>
      </text>
    </comment>
    <comment ref="G10" authorId="0" shapeId="0" xr:uid="{00000000-0006-0000-0500-000006000000}">
      <text>
        <r>
          <rPr>
            <b/>
            <sz val="9"/>
            <color indexed="81"/>
            <rFont val="Tahoma"/>
            <family val="2"/>
          </rPr>
          <t>Sally Blair:</t>
        </r>
        <r>
          <rPr>
            <sz val="9"/>
            <color indexed="81"/>
            <rFont val="Tahoma"/>
            <family val="2"/>
          </rPr>
          <t xml:space="preserve">
Says "Yes" if:
- 01-07 are completed
AND 07 &lt;= 06
otherwise says "No"</t>
        </r>
      </text>
    </comment>
    <comment ref="H10" authorId="0" shapeId="0" xr:uid="{00000000-0006-0000-0500-000007000000}">
      <text>
        <r>
          <rPr>
            <b/>
            <sz val="9"/>
            <color indexed="10"/>
            <rFont val="Tahoma"/>
            <family val="2"/>
          </rPr>
          <t>7.30.21</t>
        </r>
        <r>
          <rPr>
            <sz val="9"/>
            <color indexed="81"/>
            <rFont val="Tahoma"/>
            <family val="2"/>
          </rPr>
          <t xml:space="preserve">
Says "Yes" if all subtables expanded meet compliance logic below, otherwise says "No".
</t>
        </r>
        <r>
          <rPr>
            <b/>
            <sz val="9"/>
            <color indexed="81"/>
            <rFont val="Tahoma"/>
            <family val="2"/>
          </rPr>
          <t>Vertical Fen Total Bldg &amp; West Area Subtable:</t>
        </r>
        <r>
          <rPr>
            <sz val="9"/>
            <color indexed="81"/>
            <rFont val="Tahoma"/>
            <family val="2"/>
          </rPr>
          <t xml:space="preserve">
Complies IF-
- 02-05 completed 
AND
- 06 &gt;= 07
AND
- 08 &gt;= 09
</t>
        </r>
        <r>
          <rPr>
            <b/>
            <sz val="9"/>
            <color indexed="10"/>
            <rFont val="Tahoma"/>
            <family val="2"/>
          </rPr>
          <t>Multifamily Vertical Fen Total Bldg Area Subtable:</t>
        </r>
        <r>
          <rPr>
            <sz val="9"/>
            <color indexed="10"/>
            <rFont val="Tahoma"/>
            <family val="2"/>
          </rPr>
          <t xml:space="preserve">
Complies IF-
- 02-05 completed 
AND
- 06 &gt;= 07
</t>
        </r>
        <r>
          <rPr>
            <sz val="9"/>
            <color indexed="81"/>
            <rFont val="Tahoma"/>
            <family val="2"/>
          </rPr>
          <t xml:space="preserve">
</t>
        </r>
        <r>
          <rPr>
            <b/>
            <sz val="9"/>
            <color indexed="81"/>
            <rFont val="Tahoma"/>
            <family val="2"/>
          </rPr>
          <t>Vert Fen U-factor/SHGC/VT Subtable:</t>
        </r>
        <r>
          <rPr>
            <sz val="9"/>
            <color indexed="81"/>
            <rFont val="Tahoma"/>
            <family val="2"/>
          </rPr>
          <t xml:space="preserve">
Complies IF-
- 04-13 completed if not grey (excluding OH checkbox, that can be left unchecked)
AND
- if 01 is not checked:
    - "U-factor" in 11 &gt;= 12
AND
- if 01 is checked: U-factor in Area-weighted Average table for Vertical/ Glazed Doors says "Complies"
AND
- if 02 is not checked:
    - "SHGC" in 11 &gt;= 12
AND
- if 02 is checked: SHGC in Area-weighted Average table for Vertical/ Glazed Doors says "Complies"
AND
- if 03 is not checked:
    - "VT" in 11 &lt;= 12
AND
- if 02 is checked: VT in Area-weighted Average table for Vertical/ Glazed Doors says "Complies"
</t>
        </r>
        <r>
          <rPr>
            <b/>
            <strike/>
            <sz val="9"/>
            <color indexed="10"/>
            <rFont val="Tahoma"/>
            <family val="2"/>
          </rPr>
          <t>AND 
33 says "Complies"</t>
        </r>
        <r>
          <rPr>
            <sz val="9"/>
            <color indexed="81"/>
            <rFont val="Tahoma"/>
            <family val="2"/>
          </rPr>
          <t xml:space="preserve">
</t>
        </r>
        <r>
          <rPr>
            <b/>
            <sz val="9"/>
            <color indexed="81"/>
            <rFont val="Tahoma"/>
            <family val="2"/>
          </rPr>
          <t>Skylight Area Subtable:</t>
        </r>
        <r>
          <rPr>
            <sz val="9"/>
            <color indexed="81"/>
            <rFont val="Tahoma"/>
            <family val="2"/>
          </rPr>
          <t xml:space="preserve">
Complies IF-
- 01-04 completed </t>
        </r>
        <r>
          <rPr>
            <b/>
            <sz val="9"/>
            <color indexed="10"/>
            <rFont val="Tahoma"/>
            <family val="2"/>
          </rPr>
          <t>if not grey</t>
        </r>
        <r>
          <rPr>
            <sz val="9"/>
            <color indexed="81"/>
            <rFont val="Tahoma"/>
            <family val="2"/>
          </rPr>
          <t xml:space="preserve">
AND
- 03 &gt;= 04 </t>
        </r>
        <r>
          <rPr>
            <b/>
            <sz val="9"/>
            <color indexed="10"/>
            <rFont val="Tahoma"/>
            <family val="2"/>
          </rPr>
          <t>if not grey</t>
        </r>
        <r>
          <rPr>
            <sz val="9"/>
            <color indexed="81"/>
            <rFont val="Tahoma"/>
            <family val="2"/>
          </rPr>
          <t xml:space="preserve">
</t>
        </r>
        <r>
          <rPr>
            <b/>
            <sz val="9"/>
            <color indexed="81"/>
            <rFont val="Tahoma"/>
            <family val="2"/>
          </rPr>
          <t>Skylight U-factor/SHGC/VT Subtable:</t>
        </r>
        <r>
          <rPr>
            <sz val="9"/>
            <color indexed="81"/>
            <rFont val="Tahoma"/>
            <family val="2"/>
          </rPr>
          <t xml:space="preserve">
Complies IF-
- 04-12 completed if not grey 
AND
- if 01 is not checked:
    - "U-factor" in 10 &gt;= 11
AND
- if 01 is checked: U-factor in Area-weighted Average table for Skylights says "Complies"
AND
- if 02 is not checked:
    - "SHGC" in 10 &gt;= 11
AND
- if 02 is checked: SHGC in Area-weighted Average table for Skylights says "Complies"
AND
- if 03 is not checked:
    - "VT" in 10 &lt;= 11
AND
- if 02 is checked: VT in Area-weighted Average table for Skylights says "Complies"
</t>
        </r>
      </text>
    </comment>
    <comment ref="I10" authorId="0" shapeId="0" xr:uid="{00000000-0006-0000-0500-000008000000}">
      <text>
        <r>
          <rPr>
            <b/>
            <sz val="9"/>
            <color indexed="81"/>
            <rFont val="Tahoma"/>
            <family val="2"/>
          </rPr>
          <t>Sally Blair:</t>
        </r>
        <r>
          <rPr>
            <sz val="9"/>
            <color indexed="81"/>
            <rFont val="Tahoma"/>
            <family val="2"/>
          </rPr>
          <t xml:space="preserve">
Says "Yes" if:
- 01-08 are completed if not grey
AND 
- 07 &lt;= 08 if not grey
AND either:
      - 10 &gt;= 3% if not grey OR
      - 11b &gt;= 1.5% if not grey
otherwise says "No"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21" authorId="0" shapeId="0" xr:uid="{4DCA4DF5-C9DA-4F0E-87E0-D3888D9E854A}">
      <text>
        <r>
          <rPr>
            <b/>
            <sz val="9"/>
            <color indexed="10"/>
            <rFont val="Tahoma"/>
            <family val="2"/>
          </rPr>
          <t>8.21.21:</t>
        </r>
        <r>
          <rPr>
            <sz val="9"/>
            <color indexed="10"/>
            <rFont val="Tahoma"/>
            <family val="2"/>
          </rPr>
          <t xml:space="preserve">
Triggered by Table B01 &amp; A04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s>
  <commentList>
    <comment ref="E5" authorId="0" shapeId="0" xr:uid="{00000000-0006-0000-0800-000001000000}">
      <text>
        <r>
          <rPr>
            <b/>
            <sz val="9"/>
            <color indexed="81"/>
            <rFont val="Tahoma"/>
            <family val="2"/>
          </rPr>
          <t>Sally Blair:</t>
        </r>
        <r>
          <rPr>
            <sz val="9"/>
            <color indexed="81"/>
            <rFont val="Tahoma"/>
            <family val="2"/>
          </rPr>
          <t xml:space="preserve">
These selections expand appropriate sub section of Table F.</t>
        </r>
      </text>
    </comment>
    <comment ref="F5" authorId="0" shapeId="0" xr:uid="{40C0AE97-E63D-44C6-8E7B-C8588DFA031A}">
      <text>
        <r>
          <rPr>
            <b/>
            <sz val="9"/>
            <color indexed="10"/>
            <rFont val="Tahoma"/>
            <family val="2"/>
          </rPr>
          <t>8.5.21:
New Framed Multifamily subtable for 2022</t>
        </r>
      </text>
    </comment>
    <comment ref="D11" authorId="0" shapeId="0" xr:uid="{00000000-0006-0000-0800-000002000000}">
      <text>
        <r>
          <rPr>
            <b/>
            <sz val="9"/>
            <color indexed="81"/>
            <rFont val="Tahoma"/>
            <family val="2"/>
          </rPr>
          <t>Sally Blair:</t>
        </r>
        <r>
          <rPr>
            <sz val="9"/>
            <color indexed="81"/>
            <rFont val="Tahoma"/>
            <family val="2"/>
          </rPr>
          <t xml:space="preserve">
This cell should default to "None of these exceptions apply"
If user selects "New" in column 04, this cell greys out and the Tag/Plan ID is transferred to column 07.  
If user selects "Altered" in column 04 &amp; "None of the exceptions apply" here, the Tag/Plan ID is transferred to column 07.  
If user selects "Altered" in column 04 &amp; anything OTHER THAN "None of the exceptions apply" here, the Tag/Plan ID is transferred to column 07, but columns 08-16 grey out for that row only.</t>
        </r>
      </text>
    </comment>
    <comment ref="C13" authorId="0" shapeId="0" xr:uid="{00000000-0006-0000-0800-000003000000}">
      <text>
        <r>
          <rPr>
            <b/>
            <sz val="9"/>
            <color indexed="81"/>
            <rFont val="Tahoma"/>
            <family val="2"/>
          </rPr>
          <t>Sally Blair:</t>
        </r>
        <r>
          <rPr>
            <sz val="9"/>
            <color indexed="81"/>
            <rFont val="Tahoma"/>
            <family val="2"/>
          </rPr>
          <t xml:space="preserve">
Ben, columns 08-11, 15 &amp; 16 grey out if "R-value" is selected in column 13.</t>
        </r>
      </text>
    </comment>
    <comment ref="G15" authorId="0" shapeId="0" xr:uid="{00000000-0006-0000-0800-000005000000}">
      <text>
        <r>
          <rPr>
            <b/>
            <sz val="9"/>
            <color indexed="81"/>
            <rFont val="Tahoma"/>
            <family val="2"/>
          </rPr>
          <t>Sally Blair:</t>
        </r>
        <r>
          <rPr>
            <sz val="9"/>
            <color indexed="81"/>
            <rFont val="Tahoma"/>
            <family val="2"/>
          </rPr>
          <t xml:space="preserve">
this is only a dropdown if column 04 is "Alteration" AND column 01 "Include Framed Roof in Area-weighted…" is NOT checked.  Otherwise, it auto-selects U-factor and is not editable by the user.
</t>
        </r>
      </text>
    </comment>
    <comment ref="H15" authorId="0" shapeId="0" xr:uid="{00000000-0006-0000-0800-000006000000}">
      <text>
        <r>
          <rPr>
            <b/>
            <sz val="9"/>
            <color indexed="10"/>
            <rFont val="Tahoma"/>
            <family val="2"/>
          </rPr>
          <t>7.30.21:</t>
        </r>
        <r>
          <rPr>
            <sz val="9"/>
            <color indexed="81"/>
            <rFont val="Tahoma"/>
            <family val="2"/>
          </rPr>
          <t xml:space="preserve">
Ben, For "New" assemblies (see column 04), this value comes from the Tables in Section 140.3.  Which table to use depends on the occupancy type in column 06: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For "Alteration"assemblies (column 04), this value comes from </t>
        </r>
        <r>
          <rPr>
            <b/>
            <sz val="9"/>
            <color indexed="10"/>
            <rFont val="Tahoma"/>
            <family val="2"/>
          </rPr>
          <t xml:space="preserve">Table 141.0-C.*      
*Please see table updates for 2022 </t>
        </r>
      </text>
    </comment>
    <comment ref="J15" authorId="0" shapeId="0" xr:uid="{00000000-0006-0000-0800-000007000000}">
      <text>
        <r>
          <rPr>
            <b/>
            <sz val="9"/>
            <color indexed="10"/>
            <rFont val="Tahoma"/>
            <family val="2"/>
          </rPr>
          <t>7.30.21:</t>
        </r>
        <r>
          <rPr>
            <sz val="9"/>
            <color indexed="81"/>
            <rFont val="Tahoma"/>
            <family val="2"/>
          </rPr>
          <t xml:space="preserve">
Cell will be open for user input if Column 08 is"JA4 Tables", but greyed out if it is "Approved Software" OR "Other per JA4...".
Correct table in JA4 for look up value depends on the selection in 09:
Attic-Wood = Table 4.2.1
Attic-Metal = Table 4.2.4
Rafter- Wood = </t>
        </r>
        <r>
          <rPr>
            <b/>
            <sz val="9"/>
            <color indexed="10"/>
            <rFont val="Tahoma"/>
            <family val="2"/>
          </rPr>
          <t>Table 4.2.2*
* Please review, added new values for R-17, R-20 &amp; R-23 continuous</t>
        </r>
        <r>
          <rPr>
            <sz val="9"/>
            <color indexed="81"/>
            <rFont val="Tahoma"/>
            <family val="2"/>
          </rPr>
          <t xml:space="preserve">
Rafter-Metal = Table 4.2.5
</t>
        </r>
      </text>
    </comment>
    <comment ref="K15" authorId="0" shapeId="0" xr:uid="{00000000-0006-0000-0800-000008000000}">
      <text>
        <r>
          <rPr>
            <b/>
            <sz val="9"/>
            <color indexed="81"/>
            <rFont val="Tahoma"/>
            <family val="2"/>
          </rPr>
          <t>Sally Blair:</t>
        </r>
        <r>
          <rPr>
            <sz val="9"/>
            <color indexed="81"/>
            <rFont val="Tahoma"/>
            <family val="2"/>
          </rPr>
          <t xml:space="preserve">
cell opens for user input if column 01 "Include Framed Roof in Area Weighted Calculation per?" is checked, otherwise grey out.</t>
        </r>
      </text>
    </comment>
    <comment ref="C16" authorId="0" shapeId="0" xr:uid="{00000000-0006-0000-0800-000009000000}">
      <text>
        <r>
          <rPr>
            <b/>
            <sz val="9"/>
            <color indexed="81"/>
            <rFont val="Tahoma"/>
            <family val="2"/>
          </rPr>
          <t>Sally Blair:</t>
        </r>
        <r>
          <rPr>
            <sz val="9"/>
            <color indexed="81"/>
            <rFont val="Tahoma"/>
            <family val="2"/>
          </rPr>
          <t xml:space="preserve">
Column 08 determines if Columns 09 through 12 &amp; 15 use the pull downs (upper row) or the user input (lower row) for assembly information. "Approved software" OR "Other per.." = user inputs &amp; "JA4 tables" = pull downs. The other row will grey out when 08 is selected.
</t>
        </r>
      </text>
    </comment>
    <comment ref="J16" authorId="0" shapeId="0" xr:uid="{00000000-0006-0000-0800-00000A000000}">
      <text>
        <r>
          <rPr>
            <b/>
            <sz val="9"/>
            <color indexed="81"/>
            <rFont val="Tahoma"/>
            <family val="2"/>
          </rPr>
          <t>Sally Blair:</t>
        </r>
        <r>
          <rPr>
            <sz val="9"/>
            <color indexed="81"/>
            <rFont val="Tahoma"/>
            <family val="2"/>
          </rPr>
          <t xml:space="preserve">
Cell will be open for user entry if Column 08 is "Approved Software" OR "Other per JA4...", but greyed out if it is " JA4 Tables".</t>
        </r>
      </text>
    </comment>
    <comment ref="E28" authorId="0" shapeId="0" xr:uid="{00000000-0006-0000-0800-00000C000000}">
      <text>
        <r>
          <rPr>
            <b/>
            <sz val="9"/>
            <color indexed="81"/>
            <rFont val="Tahoma"/>
            <family val="2"/>
          </rPr>
          <t>Sally Blair:</t>
        </r>
        <r>
          <rPr>
            <sz val="9"/>
            <color indexed="81"/>
            <rFont val="Tahoma"/>
            <family val="2"/>
          </rPr>
          <t xml:space="preserve">
Ben, custom dropdown depending on selection in column 10.</t>
        </r>
      </text>
    </comment>
    <comment ref="B29" authorId="0" shapeId="0" xr:uid="{00000000-0006-0000-0800-00000D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F38" authorId="0" shapeId="0" xr:uid="{BAA0932A-A085-41DE-BE98-56E70B8A7561}">
      <text>
        <r>
          <rPr>
            <b/>
            <sz val="9"/>
            <color indexed="10"/>
            <rFont val="Tahoma"/>
            <family val="2"/>
          </rPr>
          <t>7.30.21:</t>
        </r>
        <r>
          <rPr>
            <sz val="9"/>
            <color indexed="10"/>
            <rFont val="Tahoma"/>
            <family val="2"/>
          </rPr>
          <t xml:space="preserve">
Custom Dropdown if "Rafter-Wood" in col09</t>
        </r>
      </text>
    </comment>
    <comment ref="E54" authorId="0" shapeId="0" xr:uid="{00000000-0006-0000-0800-00000E000000}">
      <text>
        <r>
          <rPr>
            <b/>
            <sz val="9"/>
            <color indexed="81"/>
            <rFont val="Tahoma"/>
            <family val="2"/>
          </rPr>
          <t>Sally Blair:</t>
        </r>
        <r>
          <rPr>
            <sz val="9"/>
            <color indexed="81"/>
            <rFont val="Tahoma"/>
            <family val="2"/>
          </rPr>
          <t xml:space="preserve">
Only applicable for "Rafter-Wood" selection in 09.</t>
        </r>
      </text>
    </comment>
    <comment ref="E61" authorId="0" shapeId="0" xr:uid="{00000000-0006-0000-0800-00000F000000}">
      <text>
        <r>
          <rPr>
            <b/>
            <sz val="9"/>
            <color indexed="81"/>
            <rFont val="Tahoma"/>
            <family val="2"/>
          </rPr>
          <t>Sally Blair:</t>
        </r>
        <r>
          <rPr>
            <sz val="9"/>
            <color indexed="81"/>
            <rFont val="Tahoma"/>
            <family val="2"/>
          </rPr>
          <t xml:space="preserve">
Only applicable for "Rafter-Wood" selection in 09.</t>
        </r>
      </text>
    </comment>
    <comment ref="D75" authorId="0" shapeId="0" xr:uid="{00000000-0006-0000-0800-000010000000}">
      <text>
        <r>
          <rPr>
            <b/>
            <sz val="9"/>
            <color indexed="81"/>
            <rFont val="Tahoma"/>
            <family val="2"/>
          </rPr>
          <t>Sally Blair:</t>
        </r>
        <r>
          <rPr>
            <sz val="9"/>
            <color indexed="81"/>
            <rFont val="Tahoma"/>
            <family val="2"/>
          </rPr>
          <t xml:space="preserve">
This cell should default to "None of these exceptions apply"
If user selects "New" in column 04, this cell greys out and the Tag/Plan ID is transferred to column 07.  
If user selects "Altered" in column 04 &amp; "None of the exceptions apply" here, the Tag/Plan ID is transferred to column 07.  
If user selects "Altered" in column 04 &amp; anything OTHER THAN "None of the exceptions apply" here, the Tag/Plan ID is transferred to column 07, but columns 08-16 grey out for that row only.</t>
        </r>
      </text>
    </comment>
    <comment ref="C77" authorId="0" shapeId="0" xr:uid="{00000000-0006-0000-0800-000011000000}">
      <text>
        <r>
          <rPr>
            <b/>
            <sz val="9"/>
            <color indexed="81"/>
            <rFont val="Tahoma"/>
            <family val="2"/>
          </rPr>
          <t>Sally Blair:</t>
        </r>
        <r>
          <rPr>
            <sz val="9"/>
            <color indexed="81"/>
            <rFont val="Tahoma"/>
            <family val="2"/>
          </rPr>
          <t xml:space="preserve">
Ben, columns 08-11, 15 &amp; 16 grey out if "R-value" is selected in column 13.</t>
        </r>
      </text>
    </comment>
    <comment ref="G79" authorId="0" shapeId="0" xr:uid="{00000000-0006-0000-0800-000013000000}">
      <text>
        <r>
          <rPr>
            <b/>
            <sz val="9"/>
            <color indexed="81"/>
            <rFont val="Tahoma"/>
            <family val="2"/>
          </rPr>
          <t>Sally Blair:</t>
        </r>
        <r>
          <rPr>
            <sz val="9"/>
            <color indexed="81"/>
            <rFont val="Tahoma"/>
            <family val="2"/>
          </rPr>
          <t xml:space="preserve">
Ben, this is only a dropdown if column 04 is "Alteration" AND column 02 "Include SIPs Roof in Area-weighted…" is NOT checked.  Otherwise, it auto-selects U-factor and is not editable by the user.
</t>
        </r>
      </text>
    </comment>
    <comment ref="H79" authorId="0" shapeId="0" xr:uid="{00000000-0006-0000-0800-000014000000}">
      <text>
        <r>
          <rPr>
            <b/>
            <sz val="9"/>
            <color indexed="10"/>
            <rFont val="Tahoma"/>
            <family val="2"/>
          </rPr>
          <t>7.30.21:</t>
        </r>
        <r>
          <rPr>
            <sz val="9"/>
            <color indexed="81"/>
            <rFont val="Tahoma"/>
            <family val="2"/>
          </rPr>
          <t xml:space="preserve">
For "New" assemblies (see column 04), this value comes from the Tables in Section 140.3.  Which table to use depends on the occupancy type from column 06: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Table 170.2-A (Use Opt. D non-attic)</t>
        </r>
        <r>
          <rPr>
            <sz val="9"/>
            <color indexed="81"/>
            <rFont val="Tahoma"/>
            <family val="2"/>
          </rPr>
          <t xml:space="preserve">
For "Alteration" projects (see column 04), this value comes from </t>
        </r>
        <r>
          <rPr>
            <b/>
            <sz val="9"/>
            <color indexed="10"/>
            <rFont val="Tahoma"/>
            <family val="2"/>
          </rPr>
          <t>Table 141.0-C*.      
*Please see table updates for 2022
OR if Multifamily is selected in col 06 &amp; Altered in col 04 use:
- U 0.039 OR R-14 if A03 CZ 1,2,4, 8-16. Grey&amp;blank if another CZ.</t>
        </r>
      </text>
    </comment>
    <comment ref="J79" authorId="0" shapeId="0" xr:uid="{00000000-0006-0000-0800-000015000000}">
      <text>
        <r>
          <rPr>
            <b/>
            <sz val="9"/>
            <color indexed="81"/>
            <rFont val="Tahoma"/>
            <family val="2"/>
          </rPr>
          <t>Sally Blair:</t>
        </r>
        <r>
          <rPr>
            <sz val="9"/>
            <color indexed="81"/>
            <rFont val="Tahoma"/>
            <family val="2"/>
          </rPr>
          <t xml:space="preserve">
Cell will be open for user input if Column 08 is"JA4 Tables", but greyed out if it is "Approved Software" OR "Other per JA4...".
Use Table 4.2.3 in JA4 for look up value.
Ben, the JA4 tables can be found here:
https://energycodeace.com/site/custom/public/reference-ace-2016/Documents/ja42roofsandceilings.htm
</t>
        </r>
      </text>
    </comment>
    <comment ref="K79" authorId="0" shapeId="0" xr:uid="{00000000-0006-0000-0800-000016000000}">
      <text>
        <r>
          <rPr>
            <b/>
            <sz val="9"/>
            <color indexed="81"/>
            <rFont val="Tahoma"/>
            <family val="2"/>
          </rPr>
          <t>Sally Blair:</t>
        </r>
        <r>
          <rPr>
            <sz val="9"/>
            <color indexed="81"/>
            <rFont val="Tahoma"/>
            <family val="2"/>
          </rPr>
          <t xml:space="preserve">
cell opens for user input if column 01 "Include SIPs Roof in Area Weighted Calculation per?" is checked, otherwise grey out.</t>
        </r>
      </text>
    </comment>
    <comment ref="C80" authorId="0" shapeId="0" xr:uid="{00000000-0006-0000-0800-000017000000}">
      <text>
        <r>
          <rPr>
            <b/>
            <sz val="9"/>
            <color indexed="81"/>
            <rFont val="Tahoma"/>
            <family val="2"/>
          </rPr>
          <t>Sally Blair:</t>
        </r>
        <r>
          <rPr>
            <sz val="9"/>
            <color indexed="81"/>
            <rFont val="Tahoma"/>
            <family val="2"/>
          </rPr>
          <t xml:space="preserve">
Column 08 determines if Columns 09 through 12 &amp; 15 use the pull downs (upper row) or the user input (lower row) for assembly information. "Approved software" OR "Other per.." = user inputs &amp; "JA4 tables" = pull downs. The other row will grey out when 08 is selected.</t>
        </r>
      </text>
    </comment>
    <comment ref="J80" authorId="0" shapeId="0" xr:uid="{00000000-0006-0000-0800-000018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E91" authorId="0" shapeId="0" xr:uid="{00000000-0006-0000-0800-00001A000000}">
      <text>
        <r>
          <rPr>
            <b/>
            <sz val="9"/>
            <color indexed="81"/>
            <rFont val="Tahoma"/>
            <family val="2"/>
          </rPr>
          <t>Sally Blair:</t>
        </r>
        <r>
          <rPr>
            <sz val="9"/>
            <color indexed="81"/>
            <rFont val="Tahoma"/>
            <family val="2"/>
          </rPr>
          <t xml:space="preserve">
This dropdown needs to be custom based on panel thickness in column 10:
choices for 6.5in:
 R-22
 R-33
choices for 8.25in:
 R-28
choices for 10.25in:
 R-36
 R-55
choices for 12.25in:
 R-44
choices for 48in:
 R-14
 R-22
 R-28
 R-36</t>
        </r>
      </text>
    </comment>
    <comment ref="B92" authorId="0" shapeId="0" xr:uid="{00000000-0006-0000-0800-00001B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108" authorId="0" shapeId="0" xr:uid="{00000000-0006-0000-0800-00001C000000}">
      <text>
        <r>
          <rPr>
            <b/>
            <sz val="9"/>
            <color indexed="81"/>
            <rFont val="Tahoma"/>
            <family val="2"/>
          </rPr>
          <t>Sally Blair:</t>
        </r>
        <r>
          <rPr>
            <sz val="9"/>
            <color indexed="81"/>
            <rFont val="Tahoma"/>
            <family val="2"/>
          </rPr>
          <t xml:space="preserve">
This cell should default to "None of these exceptions apply"
If user selects "New" in column 04, this cell greys out and the Tag/Plan ID is transferred to column 07.  
If user selects "Altered" in column 04 &amp; "None of the exceptions apply" here, the Tag/Plan ID is transferred to column 07.  
If user selects "Altered" in column 04 &amp; anything OTHER THAN "None of the exceptions apply" here, the Tag/Plan ID is transferred to column 07, but columns 08-15 grey out for that row only.</t>
        </r>
      </text>
    </comment>
    <comment ref="C110" authorId="0" shapeId="0" xr:uid="{00000000-0006-0000-0800-00001D000000}">
      <text>
        <r>
          <rPr>
            <b/>
            <sz val="9"/>
            <color indexed="81"/>
            <rFont val="Tahoma"/>
            <family val="2"/>
          </rPr>
          <t>Sally Blair:</t>
        </r>
        <r>
          <rPr>
            <sz val="9"/>
            <color indexed="81"/>
            <rFont val="Tahoma"/>
            <family val="2"/>
          </rPr>
          <t xml:space="preserve">
Ben, columns 08-10 &amp; 14 grey out if "R-value" is selected in column 12.</t>
        </r>
      </text>
    </comment>
    <comment ref="B112" authorId="0" shapeId="0" xr:uid="{00000000-0006-0000-0800-00001F000000}">
      <text>
        <r>
          <rPr>
            <b/>
            <sz val="9"/>
            <color indexed="81"/>
            <rFont val="Tahoma"/>
            <family val="2"/>
          </rPr>
          <t>Sally Blair:</t>
        </r>
        <r>
          <rPr>
            <sz val="9"/>
            <color indexed="81"/>
            <rFont val="Tahoma"/>
            <family val="2"/>
          </rPr>
          <t xml:space="preserve">
Column 08 determines if Columns 09 through 11 &amp; 14 use the pull downs (upper row) or the user input (lower row) for assembly information. "Approved software" OR "Other per.." = user inputs &amp; "JA4 tables" = pull downs. The other row will grey out when 08 is selected.</t>
        </r>
      </text>
    </comment>
    <comment ref="F112" authorId="0" shapeId="0" xr:uid="{00000000-0006-0000-0800-000020000000}">
      <text>
        <r>
          <rPr>
            <b/>
            <sz val="9"/>
            <color indexed="81"/>
            <rFont val="Tahoma"/>
            <family val="2"/>
          </rPr>
          <t>Sally Blair:</t>
        </r>
        <r>
          <rPr>
            <sz val="9"/>
            <color indexed="81"/>
            <rFont val="Tahoma"/>
            <family val="2"/>
          </rPr>
          <t xml:space="preserve">
Ben, this is only a dropdown if column 04 is "Alteration" AND column 01 "Include Span Deck &amp; Concrete Roof in Area-weighted…" is NOT checked.  Otherwise, it auto-selects U-factor and is not editable by the user.</t>
        </r>
      </text>
    </comment>
    <comment ref="G112" authorId="0" shapeId="0" xr:uid="{00000000-0006-0000-0800-000021000000}">
      <text>
        <r>
          <rPr>
            <b/>
            <sz val="9"/>
            <color indexed="10"/>
            <rFont val="Tahoma"/>
            <family val="2"/>
          </rPr>
          <t>8.2.21:</t>
        </r>
        <r>
          <rPr>
            <sz val="9"/>
            <color indexed="81"/>
            <rFont val="Tahoma"/>
            <family val="2"/>
          </rPr>
          <t xml:space="preserve">
Ben, For "New" assemblies (see column 04), this value comes from the Tables in Section 140.3.  Which table to use depends on the occupancy type from column 06: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 xml:space="preserve">Multifamily = Table 170.2-A (Use Opt. D non-attic)
</t>
        </r>
        <r>
          <rPr>
            <sz val="9"/>
            <color indexed="81"/>
            <rFont val="Tahoma"/>
            <family val="2"/>
          </rPr>
          <t xml:space="preserve">For "Alteration" projects (see column 04), this value comes from </t>
        </r>
        <r>
          <rPr>
            <b/>
            <sz val="9"/>
            <color indexed="10"/>
            <rFont val="Tahoma"/>
            <family val="2"/>
          </rPr>
          <t>Table 141.0-C*.      
*Please see table updates for 2022
OR if Multifamily is selected in col 06 &amp; Altered in col 04 use:
- U 0.039 OR R-14 if A03 CZ 1,2,4, 8-16. Grey&amp;blank if another CZ.</t>
        </r>
      </text>
    </comment>
    <comment ref="I112" authorId="0" shapeId="0" xr:uid="{00000000-0006-0000-0800-000022000000}">
      <text>
        <r>
          <rPr>
            <b/>
            <sz val="9"/>
            <color indexed="81"/>
            <rFont val="Tahoma"/>
            <family val="2"/>
          </rPr>
          <t>Sally Blair:</t>
        </r>
        <r>
          <rPr>
            <sz val="9"/>
            <color indexed="81"/>
            <rFont val="Tahoma"/>
            <family val="2"/>
          </rPr>
          <t xml:space="preserve">
Cell will be open for user input if Column 08 is"JA4 Tables", but greyed out if it is "Approved Software" OR "Other per JA4..."
Use Table 4.2.6 in JA4 for look up value.
</t>
        </r>
      </text>
    </comment>
    <comment ref="J112" authorId="0" shapeId="0" xr:uid="{00000000-0006-0000-0800-000023000000}">
      <text>
        <r>
          <rPr>
            <b/>
            <sz val="9"/>
            <color indexed="81"/>
            <rFont val="Tahoma"/>
            <family val="2"/>
          </rPr>
          <t>Sally Blair:</t>
        </r>
        <r>
          <rPr>
            <sz val="9"/>
            <color indexed="81"/>
            <rFont val="Tahoma"/>
            <family val="2"/>
          </rPr>
          <t xml:space="preserve">
cell opens for user input if column 01 "Include Span Deck &amp; Concrete Roof in Area Weighted Calculation per?" is checked, otherwise grey out.</t>
        </r>
      </text>
    </comment>
    <comment ref="I113" authorId="0" shapeId="0" xr:uid="{00000000-0006-0000-0800-000024000000}">
      <text>
        <r>
          <rPr>
            <b/>
            <sz val="9"/>
            <color indexed="81"/>
            <rFont val="Tahoma"/>
            <family val="2"/>
          </rPr>
          <t>Sally Blair:</t>
        </r>
        <r>
          <rPr>
            <sz val="9"/>
            <color indexed="81"/>
            <rFont val="Tahoma"/>
            <family val="2"/>
          </rPr>
          <t xml:space="preserve">
Cell will be open for user entry if Column 08 is "Approved Software" OR "Other per JA4...", but greyed out if it is " JA4 Tables".</t>
        </r>
      </text>
    </comment>
    <comment ref="B126" authorId="0" shapeId="0" xr:uid="{00000000-0006-0000-0800-000026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139" authorId="0" shapeId="0" xr:uid="{00000000-0006-0000-0800-000027000000}">
      <text>
        <r>
          <rPr>
            <b/>
            <sz val="9"/>
            <color indexed="81"/>
            <rFont val="Tahoma"/>
            <family val="2"/>
          </rPr>
          <t>Sally Blair:</t>
        </r>
        <r>
          <rPr>
            <sz val="9"/>
            <color indexed="81"/>
            <rFont val="Tahoma"/>
            <family val="2"/>
          </rPr>
          <t xml:space="preserve">
This cell should default to "None of these exceptions apply"
If user selects "New" in column 04, this cell greys out and the Tag/Plan ID is transferred to column 07.  
If user selects "Altered" in column 04 &amp; "None of the exceptions apply" here, the Tag/Plan ID is transferred to column 07.  
If user selects "Altered" in column 04 &amp; anything OTHER THAN "None of the exceptions apply" here, the Tag/Plan ID is transferred to column 07, but columns 08-13 grey out for that row only.</t>
        </r>
      </text>
    </comment>
    <comment ref="B143" authorId="0" shapeId="0" xr:uid="{00000000-0006-0000-0800-000029000000}">
      <text>
        <r>
          <rPr>
            <b/>
            <sz val="9"/>
            <color indexed="81"/>
            <rFont val="Tahoma"/>
            <family val="2"/>
          </rPr>
          <t>Sally Blair:</t>
        </r>
        <r>
          <rPr>
            <sz val="9"/>
            <color indexed="81"/>
            <rFont val="Tahoma"/>
            <family val="2"/>
          </rPr>
          <t xml:space="preserve">
Column 08 determines if Columns 09 &amp; 12 use the pull downs (upper row) or the user input (lower row) for assembly information. "Approved software" OR "Other per.." = user inputs &amp; "JA4 tables" = pull downs. The other row will grey out when 08 is selected.</t>
        </r>
      </text>
    </comment>
    <comment ref="E143" authorId="0" shapeId="0" xr:uid="{00000000-0006-0000-0800-00002A000000}">
      <text>
        <r>
          <rPr>
            <b/>
            <sz val="9"/>
            <color indexed="10"/>
            <rFont val="Tahoma"/>
            <family val="2"/>
          </rPr>
          <t>7.30.21:</t>
        </r>
        <r>
          <rPr>
            <sz val="9"/>
            <color indexed="81"/>
            <rFont val="Tahoma"/>
            <family val="2"/>
          </rPr>
          <t xml:space="preserve">
Ben, For "New" assemblies (see column 04), this value comes from the Tables in Section 140.3.  Which table to use depends on the occupancy type from column 06: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 xml:space="preserve">Multifamily = Table 170.2-A (Use Opt. D non-attic)
</t>
        </r>
        <r>
          <rPr>
            <sz val="9"/>
            <color indexed="81"/>
            <rFont val="Tahoma"/>
            <family val="2"/>
          </rPr>
          <t>For "Alteration" projects (see column 04), this value comes from</t>
        </r>
        <r>
          <rPr>
            <b/>
            <sz val="9"/>
            <color indexed="10"/>
            <rFont val="Tahoma"/>
            <family val="2"/>
          </rPr>
          <t xml:space="preserve"> Table 141.0-C*.      
*Please see table updates for 2022
OR if Multifamily is selected in col 06 &amp; Altered in col 04 use:
- U 0.039 OR R-14 if A03 CZ 1,2,4, 8-16. Grey&amp;blank if another CZ.</t>
        </r>
      </text>
    </comment>
    <comment ref="G143" authorId="0" shapeId="0" xr:uid="{00000000-0006-0000-0800-00002B000000}">
      <text>
        <r>
          <rPr>
            <b/>
            <sz val="9"/>
            <color indexed="81"/>
            <rFont val="Tahoma"/>
            <family val="2"/>
          </rPr>
          <t>Sally Blair:</t>
        </r>
        <r>
          <rPr>
            <sz val="9"/>
            <color indexed="81"/>
            <rFont val="Tahoma"/>
            <family val="2"/>
          </rPr>
          <t xml:space="preserve">
Cell will be open for user input if Column 08 is"JA4 Tables", but greyed out if it is "Approved Software" OR "Other per JA4...".
Use Table 4.2.9 in JA4 for look up value.</t>
        </r>
      </text>
    </comment>
    <comment ref="H143" authorId="0" shapeId="0" xr:uid="{00000000-0006-0000-0800-00002C000000}">
      <text>
        <r>
          <rPr>
            <b/>
            <sz val="9"/>
            <color indexed="81"/>
            <rFont val="Tahoma"/>
            <family val="2"/>
          </rPr>
          <t>Sally Blair:</t>
        </r>
        <r>
          <rPr>
            <sz val="9"/>
            <color indexed="81"/>
            <rFont val="Tahoma"/>
            <family val="2"/>
          </rPr>
          <t xml:space="preserve">
cell opens for user input if column 01 "Include Metal Panel Roof in Area Weighted Calculation per?" is checked, otherwise grey out.</t>
        </r>
      </text>
    </comment>
    <comment ref="G144" authorId="0" shapeId="0" xr:uid="{00000000-0006-0000-0800-00002D000000}">
      <text>
        <r>
          <rPr>
            <b/>
            <sz val="9"/>
            <color indexed="81"/>
            <rFont val="Tahoma"/>
            <family val="2"/>
          </rPr>
          <t>Sally Blair:</t>
        </r>
        <r>
          <rPr>
            <sz val="9"/>
            <color indexed="81"/>
            <rFont val="Tahoma"/>
            <family val="2"/>
          </rPr>
          <t xml:space="preserve">
Cell will be open for user entry if Column 08 is "Approved Software" OR "Other per JA4...", but greyed out if it is " JA4 Tables".</t>
        </r>
      </text>
    </comment>
    <comment ref="B155" authorId="0" shapeId="0" xr:uid="{00000000-0006-0000-0800-00002F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165" authorId="0" shapeId="0" xr:uid="{00000000-0006-0000-0800-000030000000}">
      <text>
        <r>
          <rPr>
            <b/>
            <sz val="9"/>
            <color indexed="81"/>
            <rFont val="Tahoma"/>
            <family val="2"/>
          </rPr>
          <t>Sally Blair:</t>
        </r>
        <r>
          <rPr>
            <sz val="9"/>
            <color indexed="81"/>
            <rFont val="Tahoma"/>
            <family val="2"/>
          </rPr>
          <t xml:space="preserve">
This cell should default to "None of these exceptions apply"
If user selects "New" in column 04, this cell greys out and the Tag/Plan ID is transferred to column 07.  
If user selects "Altered" in column 04 &amp; "None of the exceptions apply" here, the Tag/Plan ID is transferred to column 07.  
If user selects "Altered" in column 04 &amp; anything OTHER THAN "None of the exceptions apply" here, the Tag/Plan ID is transferred to column 07, but columns 08-15 grey out for that row only.</t>
        </r>
      </text>
    </comment>
    <comment ref="C167" authorId="0" shapeId="0" xr:uid="{00000000-0006-0000-0800-000031000000}">
      <text>
        <r>
          <rPr>
            <b/>
            <sz val="9"/>
            <color indexed="81"/>
            <rFont val="Tahoma"/>
            <family val="2"/>
          </rPr>
          <t>Sally Blair:</t>
        </r>
        <r>
          <rPr>
            <sz val="9"/>
            <color indexed="81"/>
            <rFont val="Tahoma"/>
            <family val="2"/>
          </rPr>
          <t xml:space="preserve">
Ben, columns 08-10 &amp; 14 grey out if "R-value" is selected in column 12.</t>
        </r>
      </text>
    </comment>
    <comment ref="B169" authorId="0" shapeId="0" xr:uid="{00000000-0006-0000-0800-000033000000}">
      <text>
        <r>
          <rPr>
            <b/>
            <sz val="9"/>
            <color indexed="81"/>
            <rFont val="Tahoma"/>
            <family val="2"/>
          </rPr>
          <t>Sally Blair:</t>
        </r>
        <r>
          <rPr>
            <sz val="9"/>
            <color indexed="81"/>
            <rFont val="Tahoma"/>
            <family val="2"/>
          </rPr>
          <t xml:space="preserve">
Column 08 determines if Columns 09 through 11 &amp; 14 use the pull downs (upper row) or the user input (lower row) for assembly information. "Approved software" OR "Other per.." = user inputs &amp; "JA4 tables" = pull downs. The other row will grey out when 08 is selected.</t>
        </r>
      </text>
    </comment>
    <comment ref="G169" authorId="0" shapeId="0" xr:uid="{00000000-0006-0000-0800-000034000000}">
      <text>
        <r>
          <rPr>
            <b/>
            <sz val="9"/>
            <color indexed="81"/>
            <rFont val="Tahoma"/>
            <family val="2"/>
          </rPr>
          <t>Sally Blair:</t>
        </r>
        <r>
          <rPr>
            <sz val="9"/>
            <color indexed="81"/>
            <rFont val="Tahoma"/>
            <family val="2"/>
          </rPr>
          <t xml:space="preserve">
this is only a dropdown if column 04 is "Alteration" AND column 02 "Calculate Area-Weighted " is NOT checked.  Otherwise, it auto-selects U-factor and is not editable by the user.</t>
        </r>
      </text>
    </comment>
    <comment ref="H169" authorId="0" shapeId="0" xr:uid="{00000000-0006-0000-0800-000035000000}">
      <text>
        <r>
          <rPr>
            <b/>
            <sz val="9"/>
            <color indexed="10"/>
            <rFont val="Tahoma"/>
            <family val="2"/>
          </rPr>
          <t>7.30.21:</t>
        </r>
        <r>
          <rPr>
            <sz val="9"/>
            <color indexed="81"/>
            <rFont val="Tahoma"/>
            <family val="2"/>
          </rPr>
          <t xml:space="preserve">
For "New" assemblies (see column 04), this value comes from the Tables in Section 140.3.   Which table to use depends on the occupancy type from Table A column 06:
Nonresidential &amp; Relocatables = Table 140.3-B
</t>
        </r>
        <r>
          <rPr>
            <b/>
            <strike/>
            <sz val="9"/>
            <color indexed="10"/>
            <rFont val="Tahoma"/>
            <family val="2"/>
          </rPr>
          <t>High-rise Res &amp;</t>
        </r>
        <r>
          <rPr>
            <sz val="9"/>
            <color indexed="81"/>
            <rFont val="Tahoma"/>
            <family val="2"/>
          </rPr>
          <t xml:space="preserve"> Hotel/Motel =Table 140.3-C
Relocatables All CZ =Table 140.3-D
Note that the correct factor in these tables is in the row for "Metal Building".
</t>
        </r>
        <r>
          <rPr>
            <b/>
            <sz val="9"/>
            <color indexed="10"/>
            <rFont val="Tahoma"/>
            <family val="2"/>
          </rPr>
          <t>Multifamily = 0.041</t>
        </r>
        <r>
          <rPr>
            <sz val="9"/>
            <color indexed="81"/>
            <rFont val="Tahoma"/>
            <family val="2"/>
          </rPr>
          <t xml:space="preserve">
For "Alteration" projects (see column 04), this value comes from </t>
        </r>
        <r>
          <rPr>
            <b/>
            <sz val="9"/>
            <color indexed="10"/>
            <rFont val="Tahoma"/>
            <family val="2"/>
          </rPr>
          <t xml:space="preserve">Table 141.0-C*.      
*Please see table updates for 2022 </t>
        </r>
        <r>
          <rPr>
            <b/>
            <sz val="9"/>
            <color indexed="81"/>
            <rFont val="Tahoma"/>
            <family val="2"/>
          </rPr>
          <t xml:space="preserve">  
</t>
        </r>
        <r>
          <rPr>
            <b/>
            <sz val="9"/>
            <color indexed="10"/>
            <rFont val="Tahoma"/>
            <family val="2"/>
          </rPr>
          <t>OR if Multifamily is selected in col 06 &amp; Altered in col 04 use:
- U 0.039 OR R-14 if A03 CZ 1,2,4, 8-16. Grey&amp;blank if another CZ.</t>
        </r>
      </text>
    </comment>
    <comment ref="J169" authorId="0" shapeId="0" xr:uid="{00000000-0006-0000-0800-000036000000}">
      <text>
        <r>
          <rPr>
            <b/>
            <sz val="9"/>
            <color indexed="81"/>
            <rFont val="Tahoma"/>
            <family val="2"/>
          </rPr>
          <t>Sally Blair:</t>
        </r>
        <r>
          <rPr>
            <sz val="9"/>
            <color indexed="81"/>
            <rFont val="Tahoma"/>
            <family val="2"/>
          </rPr>
          <t xml:space="preserve">
Cell will be open for user input if Column 08 is"JA4 Tables", but greyed out if it is "Approved Software" OR "Other per JA4..."..
Use Table 4.2.7 in JA4
</t>
        </r>
      </text>
    </comment>
    <comment ref="K169" authorId="0" shapeId="0" xr:uid="{00000000-0006-0000-0800-000037000000}">
      <text>
        <r>
          <rPr>
            <b/>
            <sz val="9"/>
            <color indexed="81"/>
            <rFont val="Tahoma"/>
            <family val="2"/>
          </rPr>
          <t>Sally Blair:</t>
        </r>
        <r>
          <rPr>
            <sz val="9"/>
            <color indexed="81"/>
            <rFont val="Tahoma"/>
            <family val="2"/>
          </rPr>
          <t xml:space="preserve">
cell opens for user input if column 01 "Calculate Area Weighted Average..." is checked, otherwise grey out.</t>
        </r>
      </text>
    </comment>
    <comment ref="J170" authorId="0" shapeId="0" xr:uid="{00000000-0006-0000-0800-000038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E182" authorId="0" shapeId="0" xr:uid="{00000000-0006-0000-0800-00003A000000}">
      <text>
        <r>
          <rPr>
            <b/>
            <sz val="9"/>
            <color indexed="81"/>
            <rFont val="Tahoma"/>
            <family val="2"/>
          </rPr>
          <t>Sally Blair:</t>
        </r>
        <r>
          <rPr>
            <sz val="9"/>
            <color indexed="81"/>
            <rFont val="Tahoma"/>
            <family val="2"/>
          </rPr>
          <t xml:space="preserve">
The dropdown changes based on selection in column 09.</t>
        </r>
      </text>
    </comment>
    <comment ref="F182" authorId="0" shapeId="0" xr:uid="{00000000-0006-0000-0800-00003B000000}">
      <text>
        <r>
          <rPr>
            <b/>
            <sz val="9"/>
            <color indexed="81"/>
            <rFont val="Tahoma"/>
            <family val="2"/>
          </rPr>
          <t>Sally Blair:</t>
        </r>
        <r>
          <rPr>
            <sz val="9"/>
            <color indexed="81"/>
            <rFont val="Tahoma"/>
            <family val="2"/>
          </rPr>
          <t xml:space="preserve">
Ben, the values in the JA4 Table 4.2.7 for this selection are in the column titled "Overall  U-Factor for Entire Base Roof Assembly".  </t>
        </r>
      </text>
    </comment>
    <comment ref="B183" authorId="0" shapeId="0" xr:uid="{00000000-0006-0000-0800-00003C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B213" authorId="0" shapeId="0" xr:uid="{33F2110A-F909-49F9-9F17-0C64776A3A38}">
      <text>
        <r>
          <rPr>
            <b/>
            <sz val="9"/>
            <color indexed="81"/>
            <rFont val="Tahoma"/>
            <family val="2"/>
          </rPr>
          <t>8.21.21:</t>
        </r>
        <r>
          <rPr>
            <sz val="9"/>
            <color indexed="81"/>
            <rFont val="Tahoma"/>
            <family val="2"/>
          </rPr>
          <t xml:space="preserve">
New Area-weighted Table below for 2022</t>
        </r>
      </text>
    </comment>
    <comment ref="E216" authorId="0" shapeId="0" xr:uid="{F509A06D-C9CF-45C0-9C6F-1EE28E8940F9}">
      <text>
        <r>
          <rPr>
            <b/>
            <sz val="9"/>
            <color indexed="81"/>
            <rFont val="Tahoma"/>
            <family val="2"/>
          </rPr>
          <t>8.20.21:</t>
        </r>
        <r>
          <rPr>
            <sz val="9"/>
            <color indexed="81"/>
            <rFont val="Tahoma"/>
            <family val="2"/>
          </rPr>
          <t xml:space="preserve">
This cell should default to "None of these exceptions apply"
If user selects "New or Add &gt; 700" OR "Add &lt;=700" in column 04, this cell greys out and the Tag/Plan ID is transferred to column 09 or 19 depending on selection in col 08.  
If user selects "Altered" in column 04 &amp; "None of the exceptions apply" here, the Tag/Plan ID is transferred to column 09 or 19 depending on selection in col 08.  
If user selects "Altered" in column 04 &amp; anything OTHER THAN "None of the exceptions apply" here, columns 07&amp;08 grey out for that row only.</t>
        </r>
      </text>
    </comment>
    <comment ref="A220" authorId="1" shapeId="0" xr:uid="{9CAC304F-59A6-4506-88F0-FB2CDEDB23C5}">
      <text>
        <r>
          <rPr>
            <b/>
            <sz val="9"/>
            <color indexed="10"/>
            <rFont val="Tahoma"/>
            <family val="2"/>
          </rPr>
          <t>Alexis Markstrum:</t>
        </r>
        <r>
          <rPr>
            <sz val="9"/>
            <color indexed="10"/>
            <rFont val="Tahoma"/>
            <family val="2"/>
          </rPr>
          <t xml:space="preserve">
If 07 'Compliance Unit' is grayed out, do not require this table</t>
        </r>
      </text>
    </comment>
    <comment ref="B223" authorId="0" shapeId="0" xr:uid="{EF8EE345-CB33-4CFF-8E00-061A793E4797}">
      <text>
        <r>
          <rPr>
            <b/>
            <sz val="9"/>
            <color indexed="81"/>
            <rFont val="Tahoma"/>
            <family val="2"/>
          </rPr>
          <t>Sally Blair:</t>
        </r>
        <r>
          <rPr>
            <sz val="9"/>
            <color indexed="81"/>
            <rFont val="Tahoma"/>
            <family val="2"/>
          </rPr>
          <t xml:space="preserve">
Sally Blair:
Column10 determines if Columns 10 - 13 &amp; 16 use the pull downs (upper row) or the user input (lower row) for assembly information. "Approved software" OR "Other per.." = user inputs &amp; "JA4 tables" = pull downs. The other row will grey out when 10 is selected.</t>
        </r>
      </text>
    </comment>
    <comment ref="H223" authorId="0" shapeId="0" xr:uid="{EB73F193-7ADA-457F-8FBE-B0D6F0BC4F82}">
      <text>
        <r>
          <rPr>
            <b/>
            <sz val="9"/>
            <color indexed="81"/>
            <rFont val="Tahoma"/>
            <family val="2"/>
          </rPr>
          <t>8.20.21</t>
        </r>
        <r>
          <rPr>
            <sz val="9"/>
            <color indexed="81"/>
            <rFont val="Tahoma"/>
            <family val="2"/>
          </rPr>
          <t xml:space="preserve">
If "New &amp; Add &gt;700" in col 04 &amp; CZ 1,2, 4, 8-16 in A03 = 0.028
If "New &amp; Add &gt;700" in col 04 &amp; CZ 3,5,6 in A03 = 0.034
If "New &amp; Add &gt;700" in col 04 &amp; CZ 7 in A03 = 0.039
If "Add &lt;=700" in col 04 &amp; "Vented Attic" in col 05 &amp; CZ 1,2, 4, 8-16 in A03 = 0.025
If "Add &lt;=700" in col 04 &amp; "Vented Attic" in col 05 &amp; CZ 3,5-7 in A03 = 0.031
If "Add &lt;=700" in col 04 &amp; "Enclosed Rafter" in col 05 = 0.075
If "Alt Low-sloped" in col 04 &amp; CZ 1,2, 4, 8-16 in A03 = 0.039
If "Alt Steep-sloped" in col 04 &amp; "Vented Attic" in col 05 &amp; CZ 1,2, 4, 8-16 in A03 = 0.020
Otherwise grey col 15 -17 for this row.</t>
        </r>
      </text>
    </comment>
    <comment ref="J223" authorId="0" shapeId="0" xr:uid="{DD998225-1A40-4B5E-94E5-4A8AF3C49D3B}">
      <text>
        <r>
          <rPr>
            <b/>
            <sz val="9"/>
            <color indexed="10"/>
            <rFont val="Tahoma"/>
            <family val="2"/>
          </rPr>
          <t>7.30.21:</t>
        </r>
        <r>
          <rPr>
            <sz val="9"/>
            <color indexed="81"/>
            <rFont val="Tahoma"/>
            <family val="2"/>
          </rPr>
          <t xml:space="preserve">
Cell will be open for user input if Column 08 is"JA4 Tables", but greyed out if it is "Approved Software" OR "Other per JA4...".
Correct table in JA4 for look up value depends on the selection in 09:
Attic-Wood = Table 4.2.1
Attic-Metal = Table 4.2.4
Rafter- Wood = </t>
        </r>
        <r>
          <rPr>
            <b/>
            <sz val="9"/>
            <color indexed="10"/>
            <rFont val="Tahoma"/>
            <family val="2"/>
          </rPr>
          <t>Table 4.2.2
* Please review, added new values for R-17, R-20 &amp; R-23 continuous</t>
        </r>
        <r>
          <rPr>
            <sz val="9"/>
            <color indexed="81"/>
            <rFont val="Tahoma"/>
            <family val="2"/>
          </rPr>
          <t xml:space="preserve">
Rafter-Metal = Table 4.2.5
</t>
        </r>
      </text>
    </comment>
    <comment ref="K223" authorId="0" shapeId="0" xr:uid="{33A1EDD3-6DBC-4022-8B10-A3A4CBC89048}">
      <text>
        <r>
          <rPr>
            <b/>
            <sz val="9"/>
            <color indexed="81"/>
            <rFont val="Tahoma"/>
            <family val="2"/>
          </rPr>
          <t>Sally Blair:</t>
        </r>
        <r>
          <rPr>
            <sz val="9"/>
            <color indexed="81"/>
            <rFont val="Tahoma"/>
            <family val="2"/>
          </rPr>
          <t xml:space="preserve">
cell opens for user input if column 01 "Include Framed Roof in Area Weighted Calculation per?" is checked, otherwise grey out.</t>
        </r>
      </text>
    </comment>
    <comment ref="J224" authorId="0" shapeId="0" xr:uid="{02A172AC-63A2-49C3-B692-970FA4069B1B}">
      <text>
        <r>
          <rPr>
            <b/>
            <sz val="9"/>
            <color indexed="81"/>
            <rFont val="Tahoma"/>
            <family val="2"/>
          </rPr>
          <t>Sally Blair:</t>
        </r>
        <r>
          <rPr>
            <sz val="9"/>
            <color indexed="81"/>
            <rFont val="Tahoma"/>
            <family val="2"/>
          </rPr>
          <t xml:space="preserve">
Cell will be open for user entry if Column 08 is "Approved Software" OR "Other per JA4...", but greyed out if it is " JA4 Tables".</t>
        </r>
      </text>
    </comment>
    <comment ref="A228" authorId="1" shapeId="0" xr:uid="{791EC69A-AA87-47DD-921E-E01921A67AC1}">
      <text>
        <r>
          <rPr>
            <b/>
            <sz val="9"/>
            <color indexed="10"/>
            <rFont val="Tahoma"/>
            <family val="2"/>
          </rPr>
          <t>Alexis Markstrum:</t>
        </r>
        <r>
          <rPr>
            <sz val="9"/>
            <color indexed="10"/>
            <rFont val="Tahoma"/>
            <family val="2"/>
          </rPr>
          <t xml:space="preserve">
If 07 'Compliance unit' is grayed out, do not require this table</t>
        </r>
      </text>
    </comment>
    <comment ref="B231" authorId="0" shapeId="0" xr:uid="{CFC1EDA9-E765-4827-9E26-D125E9E7FC6D}">
      <text>
        <r>
          <rPr>
            <b/>
            <sz val="9"/>
            <color indexed="81"/>
            <rFont val="Tahoma"/>
            <family val="2"/>
          </rPr>
          <t>8.21.21:</t>
        </r>
        <r>
          <rPr>
            <sz val="9"/>
            <color indexed="81"/>
            <rFont val="Tahoma"/>
            <family val="2"/>
          </rPr>
          <t xml:space="preserve">
If "Attic- Opt. B" in col 05 &amp; CZ 2,3,5-7 in A03 = "Yes"
If "Attic- Opt. C" in col 05 &amp; CZ 2-15 in A03 = "Yes"
If "Add&lt;=700" in col 04 &amp; "MF &lt;= 3stories" in col 07 &amp; CZ 2-15 in A03 = "Yes"
Otherwise = "No"</t>
        </r>
      </text>
    </comment>
    <comment ref="E231" authorId="0" shapeId="0" xr:uid="{9E53BA32-3D81-4365-AEAB-C68187B361C5}">
      <text>
        <r>
          <rPr>
            <b/>
            <sz val="9"/>
            <color indexed="81"/>
            <rFont val="Tahoma"/>
            <family val="2"/>
          </rPr>
          <t>8.21.21:</t>
        </r>
        <r>
          <rPr>
            <sz val="9"/>
            <color indexed="81"/>
            <rFont val="Tahoma"/>
            <family val="2"/>
          </rPr>
          <t xml:space="preserve">
If "Attic- Opt. B" in col 05 &amp; CZ 4,8,9,11-15 in A03 = 19
If "Attic- Opt. B" in col 05 &amp; CZ 10,16 in A03 = 13
If "Alt. Low Slope" in col 04 &amp; "Other than Vented Attic" in col 05 &amp; CZ 1,2,4,8-16 in A03 = 14
Otherwise grey out this row for col 22 &amp; col 23</t>
        </r>
      </text>
    </comment>
    <comment ref="E232" authorId="0" shapeId="0" xr:uid="{A79E0A89-2702-48E1-9552-A6D4429DF0BB}">
      <text>
        <r>
          <rPr>
            <b/>
            <sz val="9"/>
            <color indexed="81"/>
            <rFont val="Tahoma"/>
            <family val="2"/>
          </rPr>
          <t>8.21.21:</t>
        </r>
        <r>
          <rPr>
            <sz val="9"/>
            <color indexed="81"/>
            <rFont val="Tahoma"/>
            <family val="2"/>
          </rPr>
          <t xml:space="preserve">
If "Attic- Opt. B" in col 05 &amp; CZ 1,2,4,8-16 in A03 = 38
If "Attic- Opt. B" in col 05 &amp; CZ 3,5-7 in A03 = 30
If "Attic- Opt. C" in col 05 &amp; CZ 1,11-16 in A03 = 38
If "Attic- Opt. C" in col 05 &amp; CZ 2-10 in A03 = 30
If "Add&lt;=700" in col 04 &amp; "Vented Attic" in col 05 &amp; CZ 1,2,4,8-16 in A03 = 38
If "Add&lt;=700" in col 04 &amp; "Vented Attic" in col 05 &amp; CZ 3,5-7 in A03 = 30
If "Alt. Low Slope" in col 04 &amp; "Vented Attic" in col 05 &amp; CZ 1-4,8-16 in A03 = 49
If "Alt. Steep Slope" in col 04 &amp; "Vented Attic" in col 05 &amp; CZ 1-4,8-16 in A03 = 49
Otherwise grey out this row for col 21 &amp; col 22</t>
        </r>
      </text>
    </comment>
    <comment ref="D235" authorId="0" shapeId="0" xr:uid="{C5F7D89F-AE9E-4B92-A8EB-A48CB2D1B16E}">
      <text>
        <r>
          <rPr>
            <b/>
            <sz val="9"/>
            <color indexed="81"/>
            <rFont val="Tahoma"/>
            <family val="2"/>
          </rPr>
          <t>8.20.21:</t>
        </r>
        <r>
          <rPr>
            <sz val="9"/>
            <color indexed="81"/>
            <rFont val="Tahoma"/>
            <family val="2"/>
          </rPr>
          <t xml:space="preserve">
Custom dropdown when "New or Add &gt; 700ft2" selected in col 04.</t>
        </r>
      </text>
    </comment>
    <comment ref="E235" authorId="0" shapeId="0" xr:uid="{88F04CAD-8DDC-4507-8E4B-63825C2653D2}">
      <text>
        <r>
          <rPr>
            <b/>
            <sz val="9"/>
            <color indexed="81"/>
            <rFont val="Tahoma"/>
            <family val="2"/>
          </rPr>
          <t>8.29.21:</t>
        </r>
        <r>
          <rPr>
            <sz val="9"/>
            <color indexed="81"/>
            <rFont val="Tahoma"/>
            <family val="2"/>
          </rPr>
          <t xml:space="preserve">
Custom dropdown when "Altered- Low Slope" selected in column 04</t>
        </r>
      </text>
    </comment>
    <comment ref="D242" authorId="0" shapeId="0" xr:uid="{58472338-578B-446B-9C4C-78B9B9121C08}">
      <text>
        <r>
          <rPr>
            <b/>
            <sz val="9"/>
            <color indexed="81"/>
            <rFont val="Tahoma"/>
            <family val="2"/>
          </rPr>
          <t>8.20.21:</t>
        </r>
        <r>
          <rPr>
            <sz val="9"/>
            <color indexed="81"/>
            <rFont val="Tahoma"/>
            <family val="2"/>
          </rPr>
          <t xml:space="preserve">
Custom dropdown when "Add &lt;= 700ft2" selected in col 04.</t>
        </r>
      </text>
    </comment>
    <comment ref="E242" authorId="0" shapeId="0" xr:uid="{A0022011-1F42-4DA6-95BE-1F63C9F8CC3D}">
      <text>
        <r>
          <rPr>
            <b/>
            <sz val="9"/>
            <color indexed="81"/>
            <rFont val="Tahoma"/>
            <family val="2"/>
          </rPr>
          <t>8.29.21:</t>
        </r>
        <r>
          <rPr>
            <sz val="9"/>
            <color indexed="81"/>
            <rFont val="Tahoma"/>
            <family val="2"/>
          </rPr>
          <t xml:space="preserve">
Custom dropdown when "Altered- Steep Slope" selected in column 04 AND Vented Attic selected in col 05</t>
        </r>
      </text>
    </comment>
    <comment ref="D245" authorId="0" shapeId="0" xr:uid="{F775EA5C-0C68-4336-BFFD-522B9007202C}">
      <text>
        <r>
          <rPr>
            <b/>
            <sz val="9"/>
            <color indexed="81"/>
            <rFont val="Tahoma"/>
            <family val="2"/>
          </rPr>
          <t>8.20.21:</t>
        </r>
        <r>
          <rPr>
            <sz val="9"/>
            <color indexed="81"/>
            <rFont val="Tahoma"/>
            <family val="2"/>
          </rPr>
          <t xml:space="preserve">
If selected greys out col 06-</t>
        </r>
        <r>
          <rPr>
            <b/>
            <sz val="9"/>
            <color indexed="81"/>
            <rFont val="Tahoma"/>
            <family val="2"/>
          </rPr>
          <t>07</t>
        </r>
        <r>
          <rPr>
            <strike/>
            <sz val="9"/>
            <color indexed="81"/>
            <rFont val="Tahoma"/>
            <family val="2"/>
          </rPr>
          <t>08</t>
        </r>
        <r>
          <rPr>
            <sz val="9"/>
            <color indexed="81"/>
            <rFont val="Tahoma"/>
            <family val="2"/>
          </rPr>
          <t xml:space="preserve"> for this row</t>
        </r>
      </text>
    </comment>
    <comment ref="D247" authorId="0" shapeId="0" xr:uid="{454ED751-CACB-41FC-9834-D1FFD1A416A3}">
      <text>
        <r>
          <rPr>
            <b/>
            <sz val="9"/>
            <color indexed="81"/>
            <rFont val="Tahoma"/>
            <family val="2"/>
          </rPr>
          <t>8.20.21:</t>
        </r>
        <r>
          <rPr>
            <sz val="9"/>
            <color indexed="81"/>
            <rFont val="Tahoma"/>
            <family val="2"/>
          </rPr>
          <t xml:space="preserve">
Custom dropdown when "Alt low-slope" OR "Alt. steep-slope" selected in col 04.</t>
        </r>
      </text>
    </comment>
    <comment ref="D249" authorId="0" shapeId="0" xr:uid="{4A48EC5E-1550-488F-82AC-42E12E3CE3C3}">
      <text>
        <r>
          <rPr>
            <b/>
            <sz val="9"/>
            <color indexed="81"/>
            <rFont val="Tahoma"/>
            <family val="2"/>
          </rPr>
          <t>8.20.21:</t>
        </r>
        <r>
          <rPr>
            <sz val="9"/>
            <color indexed="81"/>
            <rFont val="Tahoma"/>
            <family val="2"/>
          </rPr>
          <t xml:space="preserve">
If selected AND "Alt. Steep-sloped" in col 04, grey out col 06-</t>
        </r>
        <r>
          <rPr>
            <b/>
            <sz val="9"/>
            <color indexed="81"/>
            <rFont val="Tahoma"/>
            <family val="2"/>
          </rPr>
          <t>07</t>
        </r>
        <r>
          <rPr>
            <strike/>
            <sz val="9"/>
            <color indexed="81"/>
            <rFont val="Tahoma"/>
            <family val="2"/>
          </rPr>
          <t>08</t>
        </r>
        <r>
          <rPr>
            <sz val="9"/>
            <color indexed="81"/>
            <rFont val="Tahoma"/>
            <family val="2"/>
          </rPr>
          <t xml:space="preserve"> for this row</t>
        </r>
      </text>
    </comment>
    <comment ref="E255" authorId="0" shapeId="0" xr:uid="{CDC0B96F-C9DE-4C71-A86C-2552841202A9}">
      <text>
        <r>
          <rPr>
            <b/>
            <sz val="9"/>
            <color indexed="81"/>
            <rFont val="Tahoma"/>
            <family val="2"/>
          </rPr>
          <t>Sally Blair:</t>
        </r>
        <r>
          <rPr>
            <sz val="9"/>
            <color indexed="81"/>
            <rFont val="Tahoma"/>
            <family val="2"/>
          </rPr>
          <t xml:space="preserve">
Custom dropdown depending on selection in column 11.</t>
        </r>
      </text>
    </comment>
    <comment ref="B256" authorId="0" shapeId="0" xr:uid="{30F4BD7F-A1A3-4581-9464-7920B87E0709}">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258" authorId="0" shapeId="0" xr:uid="{54C18444-71A3-44D9-B1CD-F1653F2D3F2C}">
      <text>
        <r>
          <rPr>
            <b/>
            <sz val="9"/>
            <color indexed="81"/>
            <rFont val="Tahoma"/>
            <family val="2"/>
          </rPr>
          <t>8.20.21:</t>
        </r>
        <r>
          <rPr>
            <sz val="9"/>
            <color indexed="81"/>
            <rFont val="Tahoma"/>
            <family val="2"/>
          </rPr>
          <t xml:space="preserve">
Use Rafter dropdown for anything other than "Attic" selected in column 05</t>
        </r>
      </text>
    </comment>
    <comment ref="F265" authorId="0" shapeId="0" xr:uid="{566D6536-4954-4D3E-8EEC-273456FC71B8}">
      <text>
        <r>
          <rPr>
            <b/>
            <sz val="9"/>
            <color indexed="81"/>
            <rFont val="Tahoma"/>
            <family val="2"/>
          </rPr>
          <t>7.30.21:</t>
        </r>
        <r>
          <rPr>
            <sz val="9"/>
            <color indexed="81"/>
            <rFont val="Tahoma"/>
            <family val="2"/>
          </rPr>
          <t xml:space="preserve">
Custom Dropdown if Anyting other than "Attic" in col 05 AND "wood" in col 10</t>
        </r>
      </text>
    </comment>
    <comment ref="E281" authorId="0" shapeId="0" xr:uid="{3023F67E-CC29-4C20-93D8-2F42A5FBF262}">
      <text>
        <r>
          <rPr>
            <b/>
            <sz val="9"/>
            <color indexed="81"/>
            <rFont val="Tahoma"/>
            <family val="2"/>
          </rPr>
          <t>Sally Blair:</t>
        </r>
        <r>
          <rPr>
            <sz val="9"/>
            <color indexed="81"/>
            <rFont val="Tahoma"/>
            <family val="2"/>
          </rPr>
          <t xml:space="preserve">
Only applicable for Anyting other than "Attic" in col 05 AND "wood" in col 10</t>
        </r>
      </text>
    </comment>
    <comment ref="E288" authorId="0" shapeId="0" xr:uid="{C4019B86-F27A-4273-895B-5D33B1E55761}">
      <text>
        <r>
          <rPr>
            <b/>
            <sz val="9"/>
            <color indexed="81"/>
            <rFont val="Tahoma"/>
            <family val="2"/>
          </rPr>
          <t>Sally Blair:</t>
        </r>
        <r>
          <rPr>
            <sz val="9"/>
            <color indexed="81"/>
            <rFont val="Tahoma"/>
            <family val="2"/>
          </rPr>
          <t xml:space="preserve">
Only applicable for Anyting other than "Attic" in col 05 AND "wood" in col 10</t>
        </r>
      </text>
    </comment>
    <comment ref="A304" authorId="0" shapeId="0" xr:uid="{00000000-0006-0000-0800-00003D000000}">
      <text>
        <r>
          <rPr>
            <b/>
            <sz val="9"/>
            <color indexed="81"/>
            <rFont val="Tahoma"/>
            <family val="2"/>
          </rPr>
          <t>Sally Blair:</t>
        </r>
        <r>
          <rPr>
            <sz val="9"/>
            <color indexed="81"/>
            <rFont val="Tahoma"/>
            <family val="2"/>
          </rPr>
          <t xml:space="preserve">
Ben, this section is triggered if column 01 "Include X Roof in Area Weighted Calc…." are selected above in ANY of the following subtables:
- Framed
- SIPs
- Span Deck &amp; Concrete
- Metal Panel</t>
        </r>
      </text>
    </comment>
    <comment ref="D308" authorId="0" shapeId="0" xr:uid="{00000000-0006-0000-0800-00003E000000}">
      <text>
        <r>
          <rPr>
            <b/>
            <sz val="9"/>
            <color indexed="81"/>
            <rFont val="Tahoma"/>
            <family val="2"/>
          </rPr>
          <t>2019 Update:</t>
        </r>
        <r>
          <rPr>
            <sz val="9"/>
            <color indexed="81"/>
            <rFont val="Tahoma"/>
            <family val="2"/>
          </rPr>
          <t xml:space="preserve">
Please truncate value to 4 decimal places.</t>
        </r>
      </text>
    </comment>
    <comment ref="C309" authorId="0" shapeId="0" xr:uid="{00000000-0006-0000-0800-00003F000000}">
      <text>
        <r>
          <rPr>
            <b/>
            <sz val="9"/>
            <color indexed="81"/>
            <rFont val="Tahoma"/>
            <family val="2"/>
          </rPr>
          <t>2019 Update:</t>
        </r>
        <r>
          <rPr>
            <sz val="9"/>
            <color indexed="81"/>
            <rFont val="Tahoma"/>
            <family val="2"/>
          </rPr>
          <t xml:space="preserve">
This is not summing columns 03 or column 04.  This is area weighting.  I'm showing an example above, please see formulas in highlighted cells.</t>
        </r>
      </text>
    </comment>
    <comment ref="E309" authorId="0" shapeId="0" xr:uid="{00000000-0006-0000-0800-000040000000}">
      <text>
        <r>
          <rPr>
            <b/>
            <sz val="9"/>
            <color indexed="81"/>
            <rFont val="Tahoma"/>
            <family val="2"/>
          </rPr>
          <t>Sally Blair:</t>
        </r>
        <r>
          <rPr>
            <sz val="9"/>
            <color indexed="81"/>
            <rFont val="Tahoma"/>
            <family val="2"/>
          </rPr>
          <t xml:space="preserve">
Says "COMPLIES" if column 03 &gt;= column 04 for all roof types.
Otherwise, says "DOES NOT COMPLY"</t>
        </r>
      </text>
    </comment>
    <comment ref="A311" authorId="0" shapeId="0" xr:uid="{00000000-0006-0000-0800-000041000000}">
      <text>
        <r>
          <rPr>
            <b/>
            <sz val="9"/>
            <color indexed="81"/>
            <rFont val="Tahoma"/>
            <family val="2"/>
          </rPr>
          <t>Sally Blair:</t>
        </r>
        <r>
          <rPr>
            <sz val="9"/>
            <color indexed="81"/>
            <rFont val="Tahoma"/>
            <family val="2"/>
          </rPr>
          <t xml:space="preserve">
Ben, this section is triggered if column 01 "Calculate Area Weighted Average for Metal Building Roof …." is selected above in the Metal Building Roof Subtable</t>
        </r>
      </text>
    </comment>
    <comment ref="E315" authorId="0" shapeId="0" xr:uid="{00000000-0006-0000-0800-000042000000}">
      <text>
        <r>
          <rPr>
            <b/>
            <sz val="9"/>
            <color indexed="81"/>
            <rFont val="Tahoma"/>
            <family val="2"/>
          </rPr>
          <t>Sally Blair:</t>
        </r>
        <r>
          <rPr>
            <sz val="9"/>
            <color indexed="81"/>
            <rFont val="Tahoma"/>
            <family val="2"/>
          </rPr>
          <t xml:space="preserve">
Says "COMPLIES" if column 03 &gt;= column 04.
Otherwise, says "DOES NOT COMPLY"</t>
        </r>
      </text>
    </comment>
    <comment ref="A322" authorId="0" shapeId="0" xr:uid="{47A00A7A-ABB0-4974-A700-4371BD6855F0}">
      <text>
        <r>
          <rPr>
            <b/>
            <sz val="9"/>
            <color indexed="81"/>
            <rFont val="Tahoma"/>
            <family val="2"/>
          </rPr>
          <t>8.21.21:</t>
        </r>
        <r>
          <rPr>
            <sz val="9"/>
            <color indexed="81"/>
            <rFont val="Tahoma"/>
            <family val="2"/>
          </rPr>
          <t xml:space="preserve">
This section is triggered if co-umn 01 "Calculate Area Weighted Average for Multifamily Framed Roof …." is selected above in the Multifamily Framed Roof Subtable</t>
        </r>
      </text>
    </comment>
    <comment ref="E326" authorId="0" shapeId="0" xr:uid="{640B82AF-C69B-425F-B093-C73EB81FC2C8}">
      <text>
        <r>
          <rPr>
            <b/>
            <sz val="9"/>
            <color indexed="81"/>
            <rFont val="Tahoma"/>
            <family val="2"/>
          </rPr>
          <t>Sally Blair:</t>
        </r>
        <r>
          <rPr>
            <sz val="9"/>
            <color indexed="81"/>
            <rFont val="Tahoma"/>
            <family val="2"/>
          </rPr>
          <t xml:space="preserve">
Says "COMPLIES" if column 03 &gt;= column 04.
Otherwise, says "DOES NOT COMPLY"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6" authorId="0" shapeId="0" xr:uid="{00000000-0006-0000-0900-000001000000}">
      <text>
        <r>
          <rPr>
            <b/>
            <sz val="9"/>
            <color indexed="10"/>
            <rFont val="Tahoma"/>
            <family val="2"/>
          </rPr>
          <t>7.30.21</t>
        </r>
        <r>
          <rPr>
            <sz val="9"/>
            <color indexed="81"/>
            <rFont val="Tahoma"/>
            <family val="2"/>
          </rPr>
          <t xml:space="preserve">
Grey out columns 07-10 if the following conditions apply:
- </t>
        </r>
        <r>
          <rPr>
            <b/>
            <strike/>
            <sz val="9"/>
            <color indexed="10"/>
            <rFont val="Tahoma"/>
            <family val="2"/>
          </rPr>
          <t xml:space="preserve">High-rise Res/ </t>
        </r>
        <r>
          <rPr>
            <sz val="9"/>
            <color indexed="81"/>
            <rFont val="Tahoma"/>
            <family val="2"/>
          </rPr>
          <t xml:space="preserve">Hotel/Motel AND
- new AND
- Low slope AND
- CZ 1-8. 12, 16
- </t>
        </r>
        <r>
          <rPr>
            <b/>
            <strike/>
            <sz val="9"/>
            <color indexed="10"/>
            <rFont val="Tahoma"/>
            <family val="2"/>
          </rPr>
          <t xml:space="preserve">High-rise Res/ </t>
        </r>
        <r>
          <rPr>
            <sz val="9"/>
            <color indexed="81"/>
            <rFont val="Tahoma"/>
            <family val="2"/>
          </rPr>
          <t xml:space="preserve">Hotel/Motel AND
- new AND
- Steep slope AND
- CZ 1, 16
- </t>
        </r>
        <r>
          <rPr>
            <b/>
            <strike/>
            <sz val="9"/>
            <color indexed="10"/>
            <rFont val="Tahoma"/>
            <family val="2"/>
          </rPr>
          <t xml:space="preserve">High-rise Res/ </t>
        </r>
        <r>
          <rPr>
            <sz val="9"/>
            <color indexed="81"/>
            <rFont val="Tahoma"/>
            <family val="2"/>
          </rPr>
          <t>Hotel/Motel AND
- altered AND
- Low slope AND
- CZ 1-</t>
        </r>
        <r>
          <rPr>
            <b/>
            <sz val="9"/>
            <color indexed="10"/>
            <rFont val="Tahoma"/>
            <family val="2"/>
          </rPr>
          <t>8</t>
        </r>
        <r>
          <rPr>
            <sz val="9"/>
            <color indexed="81"/>
            <rFont val="Tahoma"/>
            <family val="2"/>
          </rPr>
          <t xml:space="preserve"> </t>
        </r>
        <r>
          <rPr>
            <b/>
            <strike/>
            <sz val="9"/>
            <color indexed="10"/>
            <rFont val="Tahoma"/>
            <family val="2"/>
          </rPr>
          <t>9</t>
        </r>
        <r>
          <rPr>
            <sz val="9"/>
            <color indexed="81"/>
            <rFont val="Tahoma"/>
            <family val="2"/>
          </rPr>
          <t xml:space="preserve">, 12, 16
- </t>
        </r>
        <r>
          <rPr>
            <b/>
            <strike/>
            <sz val="9"/>
            <color indexed="10"/>
            <rFont val="Tahoma"/>
            <family val="2"/>
          </rPr>
          <t xml:space="preserve">High-rise Res/ </t>
        </r>
        <r>
          <rPr>
            <sz val="9"/>
            <color indexed="81"/>
            <rFont val="Tahoma"/>
            <family val="2"/>
          </rPr>
          <t xml:space="preserve">Hotel/Motel AND
- altered AND
- Steep slope AND
- CZ 1, 16
</t>
        </r>
        <r>
          <rPr>
            <b/>
            <sz val="9"/>
            <color indexed="10"/>
            <rFont val="Tahoma"/>
            <family val="2"/>
          </rPr>
          <t>- Multifamily-Attic Roof AND
- Low-slope AND New AND
- CZ 1-12, 14, 16
- Multifamily-Attic Roof AND
- Steep-slope AND New AND
- CZ 1-9, 16
- Multifamily-Non-attic Roof AND
- Low-slope AND New AND
- CZ 1-8, 12, 16
- Multifamily-Non-attic Roof  AND
- Steep-slope AND New AND
- CZ 1, 16
- Multifamily-Attic Roof OR Multfamily Non-attic Roof AND
- Low-slope AND Altered AND
- CZ 1, 3, 5, 16
- Multifamily-Attic Roof OR Multfamily Non-attic Roof AND
- Steep-slope AND Altered AND
- CZ 1-3, 5-7, 16</t>
        </r>
      </text>
    </comment>
    <comment ref="H6" authorId="0" shapeId="0" xr:uid="{00000000-0006-0000-0900-000002000000}">
      <text>
        <r>
          <rPr>
            <b/>
            <sz val="9"/>
            <color indexed="10"/>
            <rFont val="Tahoma"/>
            <family val="2"/>
          </rPr>
          <t>7.30.21:</t>
        </r>
        <r>
          <rPr>
            <sz val="9"/>
            <color indexed="81"/>
            <rFont val="Tahoma"/>
            <family val="2"/>
          </rPr>
          <t xml:space="preserve">
If column 04 is "Nonresidential/ Relocatable 1 CZ" &amp; column 05 is "Low sloped", here are the values:
Solar Reflectance: 0.63
Emittance: 0.75
SRI: 75
If column 04 is "Nonresidential/ Relocatable 1 CZ" &amp; column 05 is "Steep sloped", </t>
        </r>
        <r>
          <rPr>
            <b/>
            <sz val="9"/>
            <color indexed="10"/>
            <rFont val="Tahoma"/>
            <family val="2"/>
          </rPr>
          <t>&amp; CZ in A03 is 1 OR 3,</t>
        </r>
        <r>
          <rPr>
            <sz val="9"/>
            <color indexed="81"/>
            <rFont val="Tahoma"/>
            <family val="2"/>
          </rPr>
          <t xml:space="preserve"> here are the values:
Solar Reflectance: 0.2
Emittance: 0.75
SRI: 16
</t>
        </r>
        <r>
          <rPr>
            <b/>
            <sz val="9"/>
            <color indexed="10"/>
            <rFont val="Tahoma"/>
            <family val="2"/>
          </rPr>
          <t>If column 04 is "Nonresidential/ Relocatable 1 CZ" &amp; column 05 is "Steep sloped", &amp; CZ in A03 is 2 OR 4-16 here are the values:
Solar Reflectance: 0.25
Emittance: 0.80
SRI: 23</t>
        </r>
        <r>
          <rPr>
            <sz val="9"/>
            <color indexed="81"/>
            <rFont val="Tahoma"/>
            <family val="2"/>
          </rPr>
          <t xml:space="preserve">
If column 07 says "U-factor Trade-off per Table 140.3" need to populate the reflectance per the table to the right, based on the U-factor in column 10 &amp; the roof type specified in Table F column 01 &amp; CZ in table A column 03.
If column 07 says "U-factor Trade-off per Table 141.0-B" need to populate the reflectance per the table to the right, based on the U-factor in column 10 &amp; the CZ in table A column 03.
If column 04 is "</t>
        </r>
        <r>
          <rPr>
            <b/>
            <strike/>
            <sz val="9"/>
            <color indexed="10"/>
            <rFont val="Tahoma"/>
            <family val="2"/>
          </rPr>
          <t xml:space="preserve">HRR/ </t>
        </r>
        <r>
          <rPr>
            <sz val="9"/>
            <color indexed="81"/>
            <rFont val="Tahoma"/>
            <family val="2"/>
          </rPr>
          <t>Hotel/ Motel" &amp; column 05 is "steep sloped" &amp; Table A column 03 is CZ 2-15, here are the values:
Solar Reflectance: 0.20
Emittance: 0.75
SRI: 16
If the CZ is 1 or 16 grey out this column &amp; column 09 for that row.
If column 04 is "</t>
        </r>
        <r>
          <rPr>
            <b/>
            <strike/>
            <sz val="9"/>
            <color indexed="10"/>
            <rFont val="Tahoma"/>
            <family val="2"/>
          </rPr>
          <t xml:space="preserve">HRR/ </t>
        </r>
        <r>
          <rPr>
            <sz val="9"/>
            <color indexed="81"/>
            <rFont val="Tahoma"/>
            <family val="2"/>
          </rPr>
          <t>Hotel/ Motel" &amp; column 05 is "Low sloped" &amp; Table A column 03 is 9,10,11,13,14 or 15 And column 03 is "New", here are the values:
Solar Reflectance: 0.55
Emittance: 0.75
SRI: 64.
If the CZ is 1-8 or 12, 16 grey out this column &amp; column 09 for that row..
If column 04 is "</t>
        </r>
        <r>
          <rPr>
            <b/>
            <strike/>
            <sz val="9"/>
            <color indexed="10"/>
            <rFont val="Tahoma"/>
            <family val="2"/>
          </rPr>
          <t xml:space="preserve">HRR/ </t>
        </r>
        <r>
          <rPr>
            <sz val="9"/>
            <color indexed="81"/>
            <rFont val="Tahoma"/>
            <family val="2"/>
          </rPr>
          <t xml:space="preserve">Hotel/ Motel" &amp; column 05 is "Low sloped" &amp; Table A column 03 is </t>
        </r>
        <r>
          <rPr>
            <b/>
            <sz val="9"/>
            <color indexed="10"/>
            <rFont val="Tahoma"/>
            <family val="2"/>
          </rPr>
          <t>9,</t>
        </r>
        <r>
          <rPr>
            <sz val="9"/>
            <color indexed="81"/>
            <rFont val="Tahoma"/>
            <family val="2"/>
          </rPr>
          <t xml:space="preserve"> 10,11,13,14 or 15 And column 03 is "Altered", here are the values:
Solar Reflectance: 0.55
Emittance: 0.75
SRI: 64.
If the CZ is 1-</t>
        </r>
        <r>
          <rPr>
            <b/>
            <sz val="9"/>
            <color indexed="10"/>
            <rFont val="Tahoma"/>
            <family val="2"/>
          </rPr>
          <t xml:space="preserve">8 </t>
        </r>
        <r>
          <rPr>
            <b/>
            <strike/>
            <sz val="9"/>
            <color indexed="10"/>
            <rFont val="Tahoma"/>
            <family val="2"/>
          </rPr>
          <t>9</t>
        </r>
        <r>
          <rPr>
            <sz val="9"/>
            <color indexed="81"/>
            <rFont val="Tahoma"/>
            <family val="2"/>
          </rPr>
          <t xml:space="preserve"> or 12, 16 grey out this column &amp; column 09 for that row..
If column 04 is "Relocatable All CZ" &amp; column 05 is "Low sloped", here are the values:
Solar Reflectance: 0.63
Emittance: 0.75
SRI greys out
If column 04 is "Relocatable All CZ" &amp; column 05 is "Steep sloped", here are the values:
Solar Reflectance: </t>
        </r>
        <r>
          <rPr>
            <b/>
            <sz val="9"/>
            <color indexed="10"/>
            <rFont val="Tahoma"/>
            <family val="2"/>
          </rPr>
          <t xml:space="preserve">0.25 </t>
        </r>
        <r>
          <rPr>
            <b/>
            <strike/>
            <sz val="9"/>
            <color indexed="10"/>
            <rFont val="Tahoma"/>
            <family val="2"/>
          </rPr>
          <t>0.20</t>
        </r>
        <r>
          <rPr>
            <sz val="9"/>
            <color indexed="81"/>
            <rFont val="Tahoma"/>
            <family val="2"/>
          </rPr>
          <t xml:space="preserve">
Emittance: </t>
        </r>
        <r>
          <rPr>
            <b/>
            <sz val="9"/>
            <color indexed="10"/>
            <rFont val="Tahoma"/>
            <family val="2"/>
          </rPr>
          <t xml:space="preserve">0.80 </t>
        </r>
        <r>
          <rPr>
            <b/>
            <strike/>
            <sz val="9"/>
            <color indexed="10"/>
            <rFont val="Tahoma"/>
            <family val="2"/>
          </rPr>
          <t>0.75</t>
        </r>
        <r>
          <rPr>
            <sz val="9"/>
            <color indexed="81"/>
            <rFont val="Tahoma"/>
            <family val="2"/>
          </rPr>
          <t xml:space="preserve">
SRI greys out
</t>
        </r>
        <r>
          <rPr>
            <b/>
            <sz val="9"/>
            <color indexed="10"/>
            <rFont val="Tahoma"/>
            <family val="2"/>
          </rPr>
          <t>If column 04 is "Multifamily-Attic Roof" &amp; column 05 is "low-sloped" &amp; Table A column 03 is CZ 13 or 15 AND column 03 is "New", here are the values:
Solar Reflectance: 0.63
Emittance: 0.75
SRI: 75
If the CZ is 1-12, 14 or 16 grey out this column &amp; column 09 for that row.
If column 04 is "Multifamily-Attic Roof" &amp; column 05 is "steep-sloped" &amp; Table A column 03 is CZ 10-15 AND column 03 is "New", here are the values:
Solar Reflectance: 0.20
Emittance: 0.75
SRI: 16
If the CZ is 1-9 or 16 grey out this column &amp; column 09 for that row.
If column 04 is "Multifamily-Non-attic Roof" &amp; column 05 is "low-sloped" &amp; Table A column 03 is CZ 9-11 or 13-15 AND column 03 is "New", here are the values:
Solar Reflectance: 0.63
Emittance: 0.75
SRI: 75
If the CZ is 1-8, 12 or 16 grey out this column &amp; column 09 for that row.
If column 04 is "Multifamily-Non-attic Roof" &amp; column 05 is "steep-sloped" &amp; Table A column 03 is CZ 2-15 AND column 03 is "New", here are the values:
Solar Reflectance: 0.20
Emittance: 0.75
SRI: 16
If the CZ is 1 or 16 grey out this column &amp; column 09 for that row.
If column 04 is "Multifamily-Non-attic Roof" OR "Multifamily-Attic Roof" &amp; column 05 is "Low sloped" &amp; Table A column 03 is 2,4, 6-15 AND column 03 is "Altered", here are the values:
Solar Reflectance: 0.63
Emittance: 0.75
SRI: 75
If the CZ is 1, 3, 5, 16 grey out this column &amp; column 09 for that row..
If column 07 says "R-value Trade-off per Table 180.2-A" need to populate the reflectance per the table to the right, based on the R-value in column 10 &amp; the CZ in table A column 03.
If column 04 is "Multifamily-Non-attic Roof" OR "Multifamily-Attic Roof" &amp; column 05 is "Steep sloped" &amp; Table A column 03 is 4, 8-15 AND column 03 is "Altered", here are the values:
Solar Reflectance: 0.20
Emittance: 0.75
SRI: 16
If the CZ is 1-3, 5-7, 16 grey out this column &amp; column 09 for that row..</t>
        </r>
      </text>
    </comment>
    <comment ref="J7" authorId="0" shapeId="0" xr:uid="{00000000-0006-0000-0900-000003000000}">
      <text>
        <r>
          <rPr>
            <b/>
            <sz val="9"/>
            <color indexed="81"/>
            <rFont val="Tahoma"/>
            <family val="2"/>
          </rPr>
          <t>Sally Blair:</t>
        </r>
        <r>
          <rPr>
            <sz val="9"/>
            <color indexed="81"/>
            <rFont val="Tahoma"/>
            <family val="2"/>
          </rPr>
          <t xml:space="preserve">
If "SR (initial)…" is selcted in column 07, we need to convert whatever the user enters here to aged using this eq:
ρaged=[0.2+β[ρinitial-0.2]
If "field applied coating" is selected in column 06, β=0.65
If any other selection in column 06, β=0.70</t>
        </r>
      </text>
    </comment>
    <comment ref="K7" authorId="0" shapeId="0" xr:uid="{00000000-0006-0000-0900-000004000000}">
      <text>
        <r>
          <rPr>
            <b/>
            <sz val="9"/>
            <color indexed="81"/>
            <rFont val="Tahoma"/>
            <family val="2"/>
          </rPr>
          <t>2019 Update:</t>
        </r>
        <r>
          <rPr>
            <sz val="9"/>
            <color indexed="81"/>
            <rFont val="Tahoma"/>
            <family val="2"/>
          </rPr>
          <t xml:space="preserve">
These reflectance &amp; emittance rows in columns 08/09 are only open if "Solar Reflectance…/emittance" OR "U-factor Trade-off per…" is selected in column 07.
Otherwise grey out.</t>
        </r>
      </text>
    </comment>
    <comment ref="L7" authorId="0" shapeId="0" xr:uid="{00000000-0006-0000-0900-000005000000}">
      <text>
        <r>
          <rPr>
            <b/>
            <sz val="9"/>
            <color indexed="81"/>
            <rFont val="Tahoma"/>
            <family val="2"/>
          </rPr>
          <t>1/3/22</t>
        </r>
        <r>
          <rPr>
            <sz val="9"/>
            <color indexed="81"/>
            <rFont val="Tahoma"/>
            <family val="2"/>
          </rPr>
          <t xml:space="preserve">
This is only open if "U-factor Trade-off per Table.." OR ""R value trade-off…." OR "NA: wood framed roof…" is selected in column 07. 
Otherwise grey out.</t>
        </r>
      </text>
    </comment>
    <comment ref="I9" authorId="0" shapeId="0" xr:uid="{00000000-0006-0000-0900-000006000000}">
      <text>
        <r>
          <rPr>
            <b/>
            <sz val="9"/>
            <color indexed="81"/>
            <rFont val="Tahoma"/>
            <family val="2"/>
          </rPr>
          <t>Sally Blair:</t>
        </r>
        <r>
          <rPr>
            <sz val="9"/>
            <color indexed="81"/>
            <rFont val="Tahoma"/>
            <family val="2"/>
          </rPr>
          <t xml:space="preserve">
This SRI row in columns 08/09 are only open if "Solar Reflectance Index" is selected in column 07.
Otherwise grey out.</t>
        </r>
      </text>
    </comment>
    <comment ref="G11" authorId="0" shapeId="0" xr:uid="{00000000-0006-0000-0900-000007000000}">
      <text>
        <r>
          <rPr>
            <b/>
            <sz val="9"/>
            <color indexed="10"/>
            <rFont val="Tahoma"/>
            <family val="2"/>
          </rPr>
          <t>7.30.21:</t>
        </r>
        <r>
          <rPr>
            <sz val="9"/>
            <color indexed="81"/>
            <rFont val="Tahoma"/>
            <family val="2"/>
          </rPr>
          <t xml:space="preserve">
Custom dropdown when column 03 is "Altered" and column 04 is Nonresidential </t>
        </r>
        <r>
          <rPr>
            <b/>
            <sz val="9"/>
            <color indexed="10"/>
            <rFont val="Tahoma"/>
            <family val="2"/>
          </rPr>
          <t>or Hotel/ Motel and
column 05 is low-sloped</t>
        </r>
      </text>
    </comment>
    <comment ref="L11" authorId="0" shapeId="0" xr:uid="{00000000-0006-0000-0900-000008000000}">
      <text>
        <r>
          <rPr>
            <b/>
            <sz val="9"/>
            <color indexed="81"/>
            <rFont val="Tahoma"/>
            <family val="2"/>
          </rPr>
          <t>2019 Update:</t>
        </r>
        <r>
          <rPr>
            <sz val="9"/>
            <color indexed="81"/>
            <rFont val="Tahoma"/>
            <family val="2"/>
          </rPr>
          <t xml:space="preserve">
Custom dropdown when column 03 is "New" and column 06 is Metal Building</t>
        </r>
      </text>
    </comment>
    <comment ref="L17" authorId="0" shapeId="0" xr:uid="{00000000-0006-0000-0900-00000B000000}">
      <text>
        <r>
          <rPr>
            <b/>
            <sz val="9"/>
            <color indexed="10"/>
            <rFont val="Tahoma"/>
            <family val="2"/>
          </rPr>
          <t>7.30.21:</t>
        </r>
        <r>
          <rPr>
            <sz val="9"/>
            <color indexed="81"/>
            <rFont val="Tahoma"/>
            <family val="2"/>
          </rPr>
          <t xml:space="preserve">
Custom dropdown when column 03 is "New" and column 06 is anything OTHER THAN "Metal Building" and A03 is </t>
        </r>
        <r>
          <rPr>
            <b/>
            <sz val="9"/>
            <color indexed="10"/>
            <rFont val="Tahoma"/>
            <family val="2"/>
          </rPr>
          <t>8</t>
        </r>
        <r>
          <rPr>
            <sz val="9"/>
            <color indexed="81"/>
            <rFont val="Tahoma"/>
            <family val="2"/>
          </rPr>
          <t xml:space="preserve"> </t>
        </r>
        <r>
          <rPr>
            <b/>
            <strike/>
            <sz val="9"/>
            <color indexed="10"/>
            <rFont val="Tahoma"/>
            <family val="2"/>
          </rPr>
          <t>either "6" or "7"</t>
        </r>
      </text>
    </comment>
    <comment ref="G21" authorId="0" shapeId="0" xr:uid="{00000000-0006-0000-0900-00000C000000}">
      <text>
        <r>
          <rPr>
            <b/>
            <sz val="9"/>
            <color indexed="10"/>
            <rFont val="Tahoma"/>
            <family val="2"/>
          </rPr>
          <t>7.30.21:</t>
        </r>
        <r>
          <rPr>
            <sz val="9"/>
            <color indexed="81"/>
            <rFont val="Tahoma"/>
            <family val="2"/>
          </rPr>
          <t xml:space="preserve">
Custom dropdown when column 03 is "Altered" and column 04 is </t>
        </r>
        <r>
          <rPr>
            <b/>
            <strike/>
            <sz val="9"/>
            <color indexed="10"/>
            <rFont val="Tahoma"/>
            <family val="2"/>
          </rPr>
          <t xml:space="preserve">HRR/ </t>
        </r>
        <r>
          <rPr>
            <sz val="9"/>
            <color indexed="81"/>
            <rFont val="Tahoma"/>
            <family val="2"/>
          </rPr>
          <t xml:space="preserve">Hotel/Motel </t>
        </r>
        <r>
          <rPr>
            <b/>
            <sz val="9"/>
            <color indexed="10"/>
            <rFont val="Tahoma"/>
            <family val="2"/>
          </rPr>
          <t>or Nonresidential and 
column 05 is steep sloped</t>
        </r>
      </text>
    </comment>
    <comment ref="L23" authorId="0" shapeId="0" xr:uid="{00000000-0006-0000-0900-00000D000000}">
      <text>
        <r>
          <rPr>
            <b/>
            <sz val="9"/>
            <color indexed="81"/>
            <rFont val="Tahoma"/>
            <family val="2"/>
          </rPr>
          <t>2019 Update:</t>
        </r>
        <r>
          <rPr>
            <sz val="9"/>
            <color indexed="81"/>
            <rFont val="Tahoma"/>
            <family val="2"/>
          </rPr>
          <t xml:space="preserve">
Custom dropdown when column 03 is "New" and column 06 is anything OTHER THAN "Metal Building" and A03 is 1-5, or 8-16</t>
        </r>
      </text>
    </comment>
    <comment ref="L29" authorId="0" shapeId="0" xr:uid="{00000000-0006-0000-0900-00000E000000}">
      <text>
        <r>
          <rPr>
            <b/>
            <sz val="9"/>
            <color indexed="10"/>
            <rFont val="Tahoma"/>
            <family val="2"/>
          </rPr>
          <t>7.30.21:</t>
        </r>
        <r>
          <rPr>
            <sz val="9"/>
            <color indexed="81"/>
            <rFont val="Tahoma"/>
            <family val="2"/>
          </rPr>
          <t xml:space="preserve">
Custom dropdown when column 03 is "Altered" and A03 is </t>
        </r>
        <r>
          <rPr>
            <b/>
            <sz val="9"/>
            <color indexed="10"/>
            <rFont val="Tahoma"/>
            <family val="2"/>
          </rPr>
          <t xml:space="preserve">6, 7, 8 </t>
        </r>
        <r>
          <rPr>
            <b/>
            <strike/>
            <sz val="9"/>
            <color indexed="10"/>
            <rFont val="Tahoma"/>
            <family val="2"/>
          </rPr>
          <t>1, or 3-9</t>
        </r>
      </text>
    </comment>
    <comment ref="G30" authorId="0" shapeId="0" xr:uid="{00000000-0006-0000-0900-00000F000000}">
      <text>
        <r>
          <rPr>
            <b/>
            <sz val="9"/>
            <color indexed="81"/>
            <rFont val="Tahoma"/>
            <family val="2"/>
          </rPr>
          <t>Sally Blair:</t>
        </r>
        <r>
          <rPr>
            <sz val="9"/>
            <color indexed="81"/>
            <rFont val="Tahoma"/>
            <family val="2"/>
          </rPr>
          <t xml:space="preserve">
Custom dropdown when column 04 is Nonresidential, column 05 is Low slope &amp; Table A column 3 indicates CZ 1,2,4,6-16.</t>
        </r>
      </text>
    </comment>
    <comment ref="G39" authorId="0" shapeId="0" xr:uid="{00000000-0006-0000-0900-000010000000}">
      <text>
        <r>
          <rPr>
            <b/>
            <sz val="9"/>
            <color indexed="81"/>
            <rFont val="Tahoma"/>
            <family val="2"/>
          </rPr>
          <t>Sally Blair:</t>
        </r>
        <r>
          <rPr>
            <sz val="9"/>
            <color indexed="81"/>
            <rFont val="Tahoma"/>
            <family val="2"/>
          </rPr>
          <t xml:space="preserve">
Custom dropdown when column 04 is Nonresidential, column 05 is Low slope &amp; Table A column 3 indicated CZ 3 or CZ 5.</t>
        </r>
      </text>
    </comment>
    <comment ref="L39" authorId="0" shapeId="0" xr:uid="{00000000-0006-0000-0900-000011000000}">
      <text>
        <r>
          <rPr>
            <b/>
            <sz val="9"/>
            <color indexed="10"/>
            <rFont val="Tahoma"/>
            <family val="2"/>
          </rPr>
          <t>7.30.21:</t>
        </r>
        <r>
          <rPr>
            <sz val="9"/>
            <color indexed="81"/>
            <rFont val="Tahoma"/>
            <family val="2"/>
          </rPr>
          <t xml:space="preserve">
Custom dropdown when column 03 is "Altered" and A03 is </t>
        </r>
        <r>
          <rPr>
            <b/>
            <sz val="9"/>
            <color indexed="10"/>
            <rFont val="Tahoma"/>
            <family val="2"/>
          </rPr>
          <t xml:space="preserve">1-5, 9-16 </t>
        </r>
        <r>
          <rPr>
            <b/>
            <strike/>
            <sz val="9"/>
            <color indexed="10"/>
            <rFont val="Tahoma"/>
            <family val="2"/>
          </rPr>
          <t>10-16</t>
        </r>
      </text>
    </comment>
    <comment ref="G49" authorId="0" shapeId="0" xr:uid="{00000000-0006-0000-0900-000012000000}">
      <text>
        <r>
          <rPr>
            <b/>
            <sz val="9"/>
            <color indexed="10"/>
            <rFont val="Tahoma"/>
            <family val="2"/>
          </rPr>
          <t>7.30.21:</t>
        </r>
        <r>
          <rPr>
            <sz val="9"/>
            <color indexed="81"/>
            <rFont val="Tahoma"/>
            <family val="2"/>
          </rPr>
          <t xml:space="preserve">
Custom dropdown when column 04 is </t>
        </r>
        <r>
          <rPr>
            <b/>
            <strike/>
            <sz val="9"/>
            <color indexed="10"/>
            <rFont val="Tahoma"/>
            <family val="2"/>
          </rPr>
          <t>HRR/</t>
        </r>
        <r>
          <rPr>
            <sz val="9"/>
            <color indexed="81"/>
            <rFont val="Tahoma"/>
            <family val="2"/>
          </rPr>
          <t xml:space="preserve">Hote/Motel, column 05 is Low slope </t>
        </r>
        <r>
          <rPr>
            <b/>
            <sz val="9"/>
            <color indexed="10"/>
            <rFont val="Tahoma"/>
            <family val="2"/>
          </rPr>
          <t>OR
when column 03 is "New" AND 
column 04 is Multifamily-Attic Roof OR Multifamily Non-attic Roof</t>
        </r>
      </text>
    </comment>
    <comment ref="L49" authorId="0" shapeId="0" xr:uid="{53A3799C-5156-476D-B331-8DB0181054B3}">
      <text>
        <r>
          <rPr>
            <b/>
            <sz val="9"/>
            <color indexed="10"/>
            <rFont val="Tahoma"/>
            <family val="2"/>
          </rPr>
          <t>7.30.21:</t>
        </r>
        <r>
          <rPr>
            <sz val="9"/>
            <color indexed="81"/>
            <rFont val="Tahoma"/>
            <family val="2"/>
          </rPr>
          <t xml:space="preserve">
</t>
        </r>
        <r>
          <rPr>
            <b/>
            <sz val="9"/>
            <color indexed="10"/>
            <rFont val="Tahoma"/>
            <family val="2"/>
          </rPr>
          <t>Custom dropdown when column 07 is "R-value Trade-off per Table 180.2-A" and A03 is 6, 7</t>
        </r>
      </text>
    </comment>
    <comment ref="G57" authorId="0" shapeId="0" xr:uid="{00000000-0006-0000-0900-000013000000}">
      <text>
        <r>
          <rPr>
            <b/>
            <sz val="9"/>
            <color indexed="81"/>
            <rFont val="Tahoma"/>
            <family val="2"/>
          </rPr>
          <t>Sally Blair:</t>
        </r>
        <r>
          <rPr>
            <sz val="9"/>
            <color indexed="81"/>
            <rFont val="Tahoma"/>
            <family val="2"/>
          </rPr>
          <t xml:space="preserve">
Custom dropdown when column 03 is "New", when column 05 is Steep slope.</t>
        </r>
      </text>
    </comment>
    <comment ref="L57" authorId="0" shapeId="0" xr:uid="{2A5F9DD6-3A88-41C6-B20B-214808B38BF2}">
      <text>
        <r>
          <rPr>
            <b/>
            <sz val="9"/>
            <color indexed="10"/>
            <rFont val="Tahoma"/>
            <family val="2"/>
          </rPr>
          <t>7.30.21:</t>
        </r>
        <r>
          <rPr>
            <sz val="9"/>
            <color indexed="81"/>
            <rFont val="Tahoma"/>
            <family val="2"/>
          </rPr>
          <t xml:space="preserve">
</t>
        </r>
        <r>
          <rPr>
            <b/>
            <sz val="9"/>
            <color indexed="10"/>
            <rFont val="Tahoma"/>
            <family val="2"/>
          </rPr>
          <t>Custom dropdown when column 07 is "R-value Trade-off per Table 180.2-A" and A03 is 2, 4, 8-15</t>
        </r>
      </text>
    </comment>
    <comment ref="G64" authorId="0" shapeId="0" xr:uid="{00000000-0006-0000-0900-000014000000}">
      <text>
        <r>
          <rPr>
            <b/>
            <sz val="9"/>
            <color indexed="81"/>
            <rFont val="Tahoma"/>
            <family val="2"/>
          </rPr>
          <t>2019 Update:</t>
        </r>
        <r>
          <rPr>
            <sz val="9"/>
            <color indexed="81"/>
            <rFont val="Tahoma"/>
            <family val="2"/>
          </rPr>
          <t xml:space="preserve">
Custom dropdown when column 04 is "Relacatable All CZ"</t>
        </r>
      </text>
    </comment>
    <comment ref="G69" authorId="0" shapeId="0" xr:uid="{02E22E0F-312A-4A3B-A505-32D720773A93}">
      <text>
        <r>
          <rPr>
            <b/>
            <sz val="9"/>
            <color indexed="10"/>
            <rFont val="Tahoma"/>
            <family val="2"/>
          </rPr>
          <t xml:space="preserve">7.30.21:
Custom dropdown when column 03 is "Altered" and column 04 is Multifamily-Attic Roof OR Multifamily Non-attic Roof AND
column 05 is Low-sloped
</t>
        </r>
      </text>
    </comment>
    <comment ref="G79" authorId="0" shapeId="0" xr:uid="{8D6633D7-ED21-4B1C-9955-C43CA572D84B}">
      <text>
        <r>
          <rPr>
            <b/>
            <sz val="9"/>
            <color indexed="10"/>
            <rFont val="Tahoma"/>
            <family val="2"/>
          </rPr>
          <t xml:space="preserve">7.30.21:
Custom dropdown when column 03 is "Altered" and column 04 is Multifamily-Attic Roof OR Multifamily Non-attic Roof AND
column 05 is Steep-sloped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5" authorId="0" shapeId="0" xr:uid="{00000000-0006-0000-0A00-000001000000}">
      <text>
        <r>
          <rPr>
            <b/>
            <sz val="9"/>
            <color indexed="81"/>
            <rFont val="Tahoma"/>
            <family val="2"/>
          </rPr>
          <t>Sally Blair:</t>
        </r>
        <r>
          <rPr>
            <sz val="9"/>
            <color indexed="81"/>
            <rFont val="Tahoma"/>
            <family val="2"/>
          </rPr>
          <t xml:space="preserve">
These selections expand appropriate sub section of Table H.  </t>
        </r>
      </text>
    </comment>
    <comment ref="C12" authorId="0" shapeId="0" xr:uid="{00000000-0006-0000-0A00-000002000000}">
      <text>
        <r>
          <rPr>
            <b/>
            <sz val="9"/>
            <color indexed="81"/>
            <rFont val="Tahoma"/>
            <family val="2"/>
          </rPr>
          <t>Sally Blair:</t>
        </r>
        <r>
          <rPr>
            <sz val="9"/>
            <color indexed="81"/>
            <rFont val="Tahoma"/>
            <family val="2"/>
          </rPr>
          <t xml:space="preserve">
Ben, columns 05, 09, 12 &amp; 13 grey out if "R-value" is selected in column 10.</t>
        </r>
      </text>
    </comment>
    <comment ref="C14" authorId="0" shapeId="0" xr:uid="{00000000-0006-0000-0A00-000004000000}">
      <text>
        <r>
          <rPr>
            <b/>
            <sz val="9"/>
            <color indexed="81"/>
            <rFont val="Tahoma"/>
            <family val="2"/>
          </rPr>
          <t>2019 Update:</t>
        </r>
        <r>
          <rPr>
            <sz val="9"/>
            <color indexed="81"/>
            <rFont val="Tahoma"/>
            <family val="2"/>
          </rPr>
          <t xml:space="preserve">
Column 05 determines if Columns 08 through 09 &amp; 12 use the pull downs (upper row) or the user input (lower row) for assembly information. "Approved software" OR "Other per.." = user inputs &amp; "JA4 tables" = pull downs. The other row will grey out when 05 is selected. (same as how Table F roof assembly is working for 2016)</t>
        </r>
      </text>
    </comment>
    <comment ref="H14" authorId="0" shapeId="0" xr:uid="{00000000-0006-0000-0A00-000006000000}">
      <text>
        <r>
          <rPr>
            <b/>
            <sz val="9"/>
            <color indexed="81"/>
            <rFont val="Tahoma"/>
            <family val="2"/>
          </rPr>
          <t>Sally Blair:</t>
        </r>
        <r>
          <rPr>
            <sz val="9"/>
            <color indexed="81"/>
            <rFont val="Tahoma"/>
            <family val="2"/>
          </rPr>
          <t xml:space="preserve">
Ben, this is only a dropdown if column 04 is "Any Occupancy: Altered" AND columns 01 or 02 "Calculate Area-Weighted..." is NOT checked.  Otherwise, it auto-selects U-factor and is not editable by the user.</t>
        </r>
      </text>
    </comment>
    <comment ref="I14" authorId="0" shapeId="0" xr:uid="{00000000-0006-0000-0A00-000007000000}">
      <text>
        <r>
          <rPr>
            <b/>
            <sz val="9"/>
            <color indexed="10"/>
            <rFont val="Tahoma"/>
            <family val="2"/>
          </rPr>
          <t>7.30.21:</t>
        </r>
        <r>
          <rPr>
            <sz val="9"/>
            <color indexed="81"/>
            <rFont val="Tahoma"/>
            <family val="2"/>
          </rPr>
          <t xml:space="preserve">
when column 03 says any of the 3 choices that include "New" AND column 06 says "Exterior", this value comes from the Tables in Section 140.3.  Which table to use depends on the occupancy type in column 03:
</t>
        </r>
        <r>
          <rPr>
            <b/>
            <sz val="9"/>
            <color indexed="10"/>
            <rFont val="Tahoma"/>
            <family val="2"/>
          </rPr>
          <t>Nonresidential &amp; Relocatables = Table 140.3-B
*Please review, values for metal framed walls changed for all CZ.</t>
        </r>
        <r>
          <rPr>
            <sz val="9"/>
            <color indexed="81"/>
            <rFont val="Tahoma"/>
            <family val="2"/>
          </rPr>
          <t xml:space="preserve">
</t>
        </r>
        <r>
          <rPr>
            <b/>
            <strike/>
            <sz val="9"/>
            <color indexed="10"/>
            <rFont val="Tahoma"/>
            <family val="2"/>
          </rPr>
          <t xml:space="preserve">High-rise Res &amp; </t>
        </r>
        <r>
          <rPr>
            <sz val="9"/>
            <color indexed="81"/>
            <rFont val="Tahoma"/>
            <family val="2"/>
          </rPr>
          <t xml:space="preserve">Hotel/Motel =Table 140.3-C
Relocatables All CZ =Table 140.3-D
Also note the correct value in the table is for "metal framed" or "wood framed", based on column 07.
</t>
        </r>
        <r>
          <rPr>
            <b/>
            <sz val="9"/>
            <color indexed="10"/>
            <rFont val="Tahoma"/>
            <family val="2"/>
          </rPr>
          <t>Multifamily in col 03 &amp; "&gt;1hr fire" in col 06 &amp; A03 is CZ 1-5, 8-10, 12, 13 = 0.059
Multifamily in col 03 &amp; "&gt;1hr fire" in col 06 &amp; A03 is CZ 11, 14-16 = 0.051</t>
        </r>
        <r>
          <rPr>
            <sz val="9"/>
            <color indexed="81"/>
            <rFont val="Tahoma"/>
            <family val="2"/>
          </rPr>
          <t xml:space="preserve">
</t>
        </r>
        <r>
          <rPr>
            <b/>
            <sz val="9"/>
            <color indexed="10"/>
            <rFont val="Tahoma"/>
            <family val="2"/>
          </rPr>
          <t>Multifamily in col 03 &amp; "&gt;1hr fire" in col 06 &amp; A03 is CZ 6, 7 = 0.065</t>
        </r>
        <r>
          <rPr>
            <sz val="9"/>
            <color indexed="81"/>
            <rFont val="Tahoma"/>
            <family val="2"/>
          </rPr>
          <t xml:space="preserve">
</t>
        </r>
        <r>
          <rPr>
            <b/>
            <sz val="9"/>
            <color indexed="10"/>
            <rFont val="Tahoma"/>
            <family val="2"/>
          </rPr>
          <t>Multifamily in col 03 &amp; "&lt;=1hr fire" in col 06 &amp; A03 is CZ 1-5, 8-16 = 0.051
Multifamily in col 03 &amp; "&lt;=1hr fire" in col 06 &amp; A03 is CZ 6,7 = 0.065</t>
        </r>
        <r>
          <rPr>
            <sz val="9"/>
            <color indexed="81"/>
            <rFont val="Tahoma"/>
            <family val="2"/>
          </rPr>
          <t xml:space="preserve">
Ben, when column 03 says "New" AND column 06 says "Demising", here are the values:
Metal framed: U-0.151
Wood framed: U-0.099
When column 03 says "Any Occupancy: Altered" here are the values:
Metal framed: R-13 or U-0.217
Wood framed: R-11 or U-0.110</t>
        </r>
      </text>
    </comment>
    <comment ref="K14" authorId="0" shapeId="0" xr:uid="{00000000-0006-0000-0A00-000008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"Per Software" cell open if Column 05 is "Approved Software" OR "Other per JA4..." &amp; grey if "JA4 Tables".
For wood framed walls w 1/2" gyp use Table 4.3.1 in JA4
For wood framed walls w 5/8" gyp use Table 4.3.1(a) in JA4
For metal framed walls use 4.3.3 in JA4
Framing type is from column 07</t>
        </r>
      </text>
    </comment>
    <comment ref="L14" authorId="0" shapeId="0" xr:uid="{00000000-0006-0000-0A00-000009000000}">
      <text>
        <r>
          <rPr>
            <b/>
            <sz val="9"/>
            <color indexed="81"/>
            <rFont val="Tahoma"/>
            <family val="2"/>
          </rPr>
          <t>Sally Blair:</t>
        </r>
        <r>
          <rPr>
            <sz val="9"/>
            <color indexed="81"/>
            <rFont val="Tahoma"/>
            <family val="2"/>
          </rPr>
          <t xml:space="preserve">
Ben, this is open for user entry if columns 01 or 02 are checked.
Otherwise, grey out.</t>
        </r>
      </text>
    </comment>
    <comment ref="D19" authorId="0" shapeId="0" xr:uid="{7213D6C8-94FE-4AE5-B955-06C7499DDF17}">
      <text>
        <r>
          <rPr>
            <b/>
            <sz val="9"/>
            <color indexed="10"/>
            <rFont val="Tahoma"/>
            <family val="2"/>
          </rPr>
          <t>8.6.21:</t>
        </r>
        <r>
          <rPr>
            <sz val="9"/>
            <color indexed="81"/>
            <rFont val="Tahoma"/>
            <family val="2"/>
          </rPr>
          <t xml:space="preserve">
Dropdown if any of the following in Column 04:
- Nonres/Relocatable 1 CZ
- Hotel/Motel: New
- Relocatable all CZ: New
- Any Occupancy: Altered</t>
        </r>
      </text>
    </comment>
    <comment ref="F19" authorId="0" shapeId="0" xr:uid="{00000000-0006-0000-0A00-00000C000000}">
      <text>
        <r>
          <rPr>
            <b/>
            <sz val="9"/>
            <color indexed="81"/>
            <rFont val="Tahoma"/>
            <family val="2"/>
          </rPr>
          <t>9.8.20 Update:</t>
        </r>
        <r>
          <rPr>
            <sz val="9"/>
            <color indexed="81"/>
            <rFont val="Tahoma"/>
            <family val="2"/>
          </rPr>
          <t xml:space="preserve">
Custom dropdown if Metal 2x4 choices are selected in column 07. </t>
        </r>
      </text>
    </comment>
    <comment ref="C21" authorId="0" shapeId="0" xr:uid="{00000000-0006-0000-0A00-00000D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23" authorId="0" shapeId="0" xr:uid="{85CD9B2C-BD94-466D-9347-6E5E6279DBB7}">
      <text>
        <r>
          <rPr>
            <b/>
            <sz val="9"/>
            <color indexed="10"/>
            <rFont val="Tahoma"/>
            <family val="2"/>
          </rPr>
          <t>8.6.21:</t>
        </r>
        <r>
          <rPr>
            <sz val="9"/>
            <color indexed="81"/>
            <rFont val="Tahoma"/>
            <family val="2"/>
          </rPr>
          <t xml:space="preserve">
</t>
        </r>
        <r>
          <rPr>
            <b/>
            <sz val="9"/>
            <color indexed="10"/>
            <rFont val="Tahoma"/>
            <family val="2"/>
          </rPr>
          <t xml:space="preserve">Dropdown if any of the following in Column 04:
- Multifamily
</t>
        </r>
      </text>
    </comment>
    <comment ref="F26" authorId="0" shapeId="0" xr:uid="{00000000-0006-0000-0A00-00000E000000}">
      <text>
        <r>
          <rPr>
            <b/>
            <sz val="9"/>
            <color indexed="81"/>
            <rFont val="Tahoma"/>
            <family val="2"/>
          </rPr>
          <t>9.8.20 Update:</t>
        </r>
        <r>
          <rPr>
            <sz val="9"/>
            <color indexed="81"/>
            <rFont val="Tahoma"/>
            <family val="2"/>
          </rPr>
          <t xml:space="preserve">
Custom dropdown if Metal 2x6 choices are selected in column 07. </t>
        </r>
      </text>
    </comment>
    <comment ref="F32" authorId="0" shapeId="0" xr:uid="{00000000-0006-0000-0A00-00000F000000}">
      <text>
        <r>
          <rPr>
            <b/>
            <sz val="9"/>
            <color indexed="81"/>
            <rFont val="Tahoma"/>
            <family val="2"/>
          </rPr>
          <t>9.8.20 Update:</t>
        </r>
        <r>
          <rPr>
            <sz val="9"/>
            <color indexed="81"/>
            <rFont val="Tahoma"/>
            <family val="2"/>
          </rPr>
          <t xml:space="preserve">
Custom dropdown if Metal 2x8 choices are selected in column 07. </t>
        </r>
      </text>
    </comment>
    <comment ref="F39" authorId="0" shapeId="0" xr:uid="{00000000-0006-0000-0A00-000010000000}">
      <text>
        <r>
          <rPr>
            <b/>
            <sz val="9"/>
            <color indexed="81"/>
            <rFont val="Tahoma"/>
            <family val="2"/>
          </rPr>
          <t>9.8.20 Update:</t>
        </r>
        <r>
          <rPr>
            <sz val="9"/>
            <color indexed="81"/>
            <rFont val="Tahoma"/>
            <family val="2"/>
          </rPr>
          <t xml:space="preserve">
Custom dropdown if Wood 2x4 choices are selected in column 07. </t>
        </r>
      </text>
    </comment>
    <comment ref="F45" authorId="0" shapeId="0" xr:uid="{00000000-0006-0000-0A00-000011000000}">
      <text>
        <r>
          <rPr>
            <b/>
            <sz val="9"/>
            <color indexed="81"/>
            <rFont val="Tahoma"/>
            <family val="2"/>
          </rPr>
          <t>9.8.20 Update:</t>
        </r>
        <r>
          <rPr>
            <sz val="9"/>
            <color indexed="81"/>
            <rFont val="Tahoma"/>
            <family val="2"/>
          </rPr>
          <t xml:space="preserve">
Custom dropdown if Wood 2x6 &amp; 1/2" gyp choices are selected in column 07. </t>
        </r>
      </text>
    </comment>
    <comment ref="F54" authorId="0" shapeId="0" xr:uid="{00000000-0006-0000-0A00-000012000000}">
      <text>
        <r>
          <rPr>
            <b/>
            <sz val="9"/>
            <color indexed="81"/>
            <rFont val="Tahoma"/>
            <family val="2"/>
          </rPr>
          <t>9.8.20 Update:</t>
        </r>
        <r>
          <rPr>
            <sz val="9"/>
            <color indexed="81"/>
            <rFont val="Tahoma"/>
            <family val="2"/>
          </rPr>
          <t xml:space="preserve">
Custom dropdown if Wood 2x6 &amp; 5/8" gypchoices are selected in column 07. </t>
        </r>
      </text>
    </comment>
    <comment ref="F60" authorId="0" shapeId="0" xr:uid="{00000000-0006-0000-0A00-000013000000}">
      <text>
        <r>
          <rPr>
            <b/>
            <sz val="9"/>
            <color indexed="81"/>
            <rFont val="Tahoma"/>
            <family val="2"/>
          </rPr>
          <t>9.8.20 Update:</t>
        </r>
        <r>
          <rPr>
            <sz val="9"/>
            <color indexed="81"/>
            <rFont val="Tahoma"/>
            <family val="2"/>
          </rPr>
          <t xml:space="preserve">
Custom dropdown if Wood 2x8 choices are selected in column 07. </t>
        </r>
      </text>
    </comment>
    <comment ref="K70" authorId="0" shapeId="0" xr:uid="{00000000-0006-0000-0A00-000014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 &amp; grey if "JA4 Tables".</t>
        </r>
      </text>
    </comment>
    <comment ref="C72" authorId="0" shapeId="0" xr:uid="{00000000-0006-0000-0A00-000016000000}">
      <text>
        <r>
          <rPr>
            <b/>
            <sz val="9"/>
            <color indexed="81"/>
            <rFont val="Tahoma"/>
            <family val="2"/>
          </rPr>
          <t>2019 Update:</t>
        </r>
        <r>
          <rPr>
            <sz val="9"/>
            <color indexed="81"/>
            <rFont val="Tahoma"/>
            <family val="2"/>
          </rPr>
          <t xml:space="preserve">
Column 04 determines if Columns 08-09 &amp; 11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J72" authorId="0" shapeId="0" xr:uid="{00000000-0006-0000-0A00-000017000000}">
      <text>
        <r>
          <rPr>
            <b/>
            <sz val="9"/>
            <color indexed="10"/>
            <rFont val="Tahoma"/>
            <family val="2"/>
          </rPr>
          <t>8.10.21:</t>
        </r>
        <r>
          <rPr>
            <sz val="9"/>
            <color indexed="81"/>
            <rFont val="Tahoma"/>
            <family val="2"/>
          </rPr>
          <t xml:space="preserve">
Ben, the value here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Table 170.2-A</t>
        </r>
        <r>
          <rPr>
            <sz val="9"/>
            <color indexed="81"/>
            <rFont val="Tahoma"/>
            <family val="2"/>
          </rPr>
          <t xml:space="preserve">
Also note the correct value in the table is for "light mass" or "heavy mass" or "Wood framed &amp; Other", this is determined by "HC" which is a value from the JA4 tables.  So, when you program the requirement, you'll need to reference this from the JA4 table to select the correct value.  Let me know if we need to talk through it. 
Heat Capacity &lt; 7 the value is "Wood framed &amp; Other" </t>
        </r>
        <r>
          <rPr>
            <b/>
            <sz val="9"/>
            <color indexed="10"/>
            <rFont val="Tahoma"/>
            <family val="2"/>
          </rPr>
          <t>(MF also depends on fire rating in col 03)</t>
        </r>
        <r>
          <rPr>
            <sz val="9"/>
            <color indexed="81"/>
            <rFont val="Tahoma"/>
            <family val="2"/>
          </rPr>
          <t xml:space="preserve">
Light = 7.0 &lt; heat capacity &lt; 15.0
Heavy = heat capacity &gt; 15.0
</t>
        </r>
      </text>
    </comment>
    <comment ref="L72" authorId="0" shapeId="0" xr:uid="{00000000-0006-0000-0A00-000018000000}">
      <text>
        <r>
          <rPr>
            <b/>
            <sz val="9"/>
            <color indexed="81"/>
            <rFont val="Tahoma"/>
            <family val="2"/>
          </rPr>
          <t>Sally Blair:</t>
        </r>
        <r>
          <rPr>
            <sz val="9"/>
            <color indexed="81"/>
            <rFont val="Tahoma"/>
            <family val="2"/>
          </rPr>
          <t xml:space="preserve">
Ben, if 06 is "solid unit" this would come from JA Table 4.3.6. AND if there are values in columns 08/09 you would add the value from Table 4.3.14
If 06 is anything </t>
        </r>
        <r>
          <rPr>
            <b/>
            <sz val="9"/>
            <color indexed="81"/>
            <rFont val="Tahoma"/>
            <family val="2"/>
          </rPr>
          <t>OTHER THAN</t>
        </r>
        <r>
          <rPr>
            <sz val="9"/>
            <color indexed="81"/>
            <rFont val="Tahoma"/>
            <family val="2"/>
          </rPr>
          <t xml:space="preserve"> "solid unit" this comes from JA4 Table 4.3.5 AND if there are values in columns 08/09 you would add the value from Table 4.3.14
Use Equation 4-4 in JA4.1.4 to get the actual requirement since Mass is in U-factor and Additional Insulation from Table 4.3.14 is in R-value.</t>
        </r>
      </text>
    </comment>
    <comment ref="M72" authorId="0" shapeId="0" xr:uid="{00000000-0006-0000-0A00-000019000000}">
      <text>
        <r>
          <rPr>
            <b/>
            <sz val="9"/>
            <color indexed="81"/>
            <rFont val="Tahoma"/>
            <family val="2"/>
          </rPr>
          <t>Sally Blair:</t>
        </r>
        <r>
          <rPr>
            <sz val="9"/>
            <color indexed="81"/>
            <rFont val="Tahoma"/>
            <family val="2"/>
          </rPr>
          <t xml:space="preserve">
Ben, this is open for user entry if column 01 is checked.
Otherwise, grey out.</t>
        </r>
      </text>
    </comment>
    <comment ref="E78" authorId="0" shapeId="0" xr:uid="{00000000-0006-0000-0A00-00001B000000}">
      <text>
        <r>
          <rPr>
            <b/>
            <sz val="9"/>
            <color indexed="81"/>
            <rFont val="Tahoma"/>
            <family val="2"/>
          </rPr>
          <t>Sally Blair:</t>
        </r>
        <r>
          <rPr>
            <sz val="9"/>
            <color indexed="81"/>
            <rFont val="Tahoma"/>
            <family val="2"/>
          </rPr>
          <t xml:space="preserve">
If 05 is "Solid Concrete" or "Clay Brick"</t>
        </r>
      </text>
    </comment>
    <comment ref="F78" authorId="0" shapeId="0" xr:uid="{00000000-0006-0000-0A00-00001C000000}">
      <text>
        <r>
          <rPr>
            <b/>
            <sz val="9"/>
            <color indexed="81"/>
            <rFont val="Tahoma"/>
            <family val="2"/>
          </rPr>
          <t>Sally Blair:</t>
        </r>
        <r>
          <rPr>
            <sz val="9"/>
            <color indexed="81"/>
            <rFont val="Tahoma"/>
            <family val="2"/>
          </rPr>
          <t xml:space="preserve">
Dropdown if "solid unit"
selected in 06.</t>
        </r>
      </text>
    </comment>
    <comment ref="C80" authorId="0" shapeId="0" xr:uid="{00000000-0006-0000-0A00-00001E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E80" authorId="0" shapeId="0" xr:uid="{00000000-0006-0000-0A00-00001F000000}">
      <text>
        <r>
          <rPr>
            <b/>
            <sz val="9"/>
            <color indexed="81"/>
            <rFont val="Tahoma"/>
            <family val="2"/>
          </rPr>
          <t>Update 9.24.20:</t>
        </r>
        <r>
          <rPr>
            <sz val="9"/>
            <color indexed="81"/>
            <rFont val="Tahoma"/>
            <family val="2"/>
          </rPr>
          <t xml:space="preserve">
If 05 is any of the following:
- CMU-LW
- CMU- MW
- CMU- NW
- Hollow Clay Unit</t>
        </r>
      </text>
    </comment>
    <comment ref="E86" authorId="0" shapeId="0" xr:uid="{00000000-0006-0000-0A00-000020000000}">
      <text>
        <r>
          <rPr>
            <b/>
            <sz val="9"/>
            <color indexed="81"/>
            <rFont val="Tahoma"/>
            <family val="2"/>
          </rPr>
          <t>Update 9.24.20:</t>
        </r>
        <r>
          <rPr>
            <sz val="9"/>
            <color indexed="81"/>
            <rFont val="Tahoma"/>
            <family val="2"/>
          </rPr>
          <t xml:space="preserve">
If 05 is 
- Hollow Clay Unit
</t>
        </r>
      </text>
    </comment>
    <comment ref="F89" authorId="0" shapeId="0" xr:uid="{00000000-0006-0000-0A00-000021000000}">
      <text>
        <r>
          <rPr>
            <b/>
            <sz val="9"/>
            <color indexed="81"/>
            <rFont val="Tahoma"/>
            <family val="2"/>
          </rPr>
          <t>Sally Blair:</t>
        </r>
        <r>
          <rPr>
            <sz val="9"/>
            <color indexed="81"/>
            <rFont val="Tahoma"/>
            <family val="2"/>
          </rPr>
          <t xml:space="preserve">
Dropdown if 06 is any of the following:
- Solid Grout
- Partial Grout-uninsulated
- Partial Grout- Insulated</t>
        </r>
      </text>
    </comment>
    <comment ref="F95" authorId="0" shapeId="0" xr:uid="{00000000-0006-0000-0A00-000022000000}">
      <text>
        <r>
          <rPr>
            <b/>
            <sz val="9"/>
            <color indexed="81"/>
            <rFont val="Tahoma"/>
            <family val="2"/>
          </rPr>
          <t>Updated 9.15.20:</t>
        </r>
        <r>
          <rPr>
            <sz val="9"/>
            <color indexed="81"/>
            <rFont val="Tahoma"/>
            <family val="2"/>
          </rPr>
          <t xml:space="preserve">
Dropdown if 05 is Clay Brick
</t>
        </r>
      </text>
    </comment>
    <comment ref="F100" authorId="0" shapeId="0" xr:uid="{00000000-0006-0000-0A00-000023000000}">
      <text>
        <r>
          <rPr>
            <b/>
            <sz val="9"/>
            <color indexed="81"/>
            <rFont val="Tahoma"/>
            <family val="2"/>
          </rPr>
          <t xml:space="preserve">Updated 9.15.20:
</t>
        </r>
        <r>
          <rPr>
            <sz val="9"/>
            <color indexed="81"/>
            <rFont val="Tahoma"/>
            <family val="2"/>
          </rPr>
          <t>Dropdown if 05 is Hollow Clay Unit</t>
        </r>
      </text>
    </comment>
    <comment ref="J109" authorId="0" shapeId="0" xr:uid="{00000000-0006-0000-0A00-000024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JA4..."&amp; grey if "JA4 Tables".</t>
        </r>
      </text>
    </comment>
    <comment ref="C111" authorId="0" shapeId="0" xr:uid="{00000000-0006-0000-0A00-000026000000}">
      <text>
        <r>
          <rPr>
            <b/>
            <sz val="9"/>
            <color indexed="81"/>
            <rFont val="Tahoma"/>
            <family val="2"/>
          </rPr>
          <t>Sally Blair:</t>
        </r>
        <r>
          <rPr>
            <sz val="9"/>
            <color indexed="81"/>
            <rFont val="Tahoma"/>
            <family val="2"/>
          </rPr>
          <t xml:space="preserve">
Column 04 determines if Columns 08 -09 &amp; 11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I111" authorId="0" shapeId="0" xr:uid="{00000000-0006-0000-0A00-000027000000}">
      <text>
        <r>
          <rPr>
            <b/>
            <sz val="9"/>
            <color indexed="10"/>
            <rFont val="Tahoma"/>
            <family val="2"/>
          </rPr>
          <t>8.10.21:</t>
        </r>
        <r>
          <rPr>
            <sz val="9"/>
            <color indexed="81"/>
            <rFont val="Tahoma"/>
            <family val="2"/>
          </rPr>
          <t xml:space="preserve">
Ben, the value here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170.2-A</t>
        </r>
        <r>
          <rPr>
            <sz val="9"/>
            <color indexed="81"/>
            <rFont val="Tahoma"/>
            <family val="2"/>
          </rPr>
          <t xml:space="preserve">
Also note the correct value in the table is for "light mass" or "heavy mass" or "Wood framed &amp; Other", this is determined by "HC" which is a value from the JA4 tables.  So, when you program the requirement, you'll need to reference this from the JA4 table to select the correct value.  Let me know if we need to talk through it. 
</t>
        </r>
        <r>
          <rPr>
            <b/>
            <sz val="9"/>
            <color indexed="81"/>
            <rFont val="Tahoma"/>
            <family val="2"/>
          </rPr>
          <t>All of these U-factor's will be considered Heavy = heat capacity &gt; 15.0. 
Use "Mass, Heavy" from Table 140.3</t>
        </r>
      </text>
    </comment>
    <comment ref="K111" authorId="0" shapeId="0" xr:uid="{00000000-0006-0000-0A00-000028000000}">
      <text>
        <r>
          <rPr>
            <b/>
            <sz val="9"/>
            <color indexed="81"/>
            <rFont val="Tahoma"/>
            <family val="2"/>
          </rPr>
          <t>Sally Blair:</t>
        </r>
        <r>
          <rPr>
            <sz val="9"/>
            <color indexed="81"/>
            <rFont val="Tahoma"/>
            <family val="2"/>
          </rPr>
          <t xml:space="preserve">
Ben, this would come from JA Table 4.3.7. AND if there are values in columns 08/09 you would add the value from Table 4.3.14
Use Equation 4-4 in JA4.1.4 to get the actual requirement since CSP is in U-factor and Additional Insulation from Table 4.3.14 is in R-value.</t>
        </r>
      </text>
    </comment>
    <comment ref="L111" authorId="0" shapeId="0" xr:uid="{00000000-0006-0000-0A00-000029000000}">
      <text>
        <r>
          <rPr>
            <b/>
            <sz val="9"/>
            <color indexed="81"/>
            <rFont val="Tahoma"/>
            <family val="2"/>
          </rPr>
          <t>Sally Blair:</t>
        </r>
        <r>
          <rPr>
            <sz val="9"/>
            <color indexed="81"/>
            <rFont val="Tahoma"/>
            <family val="2"/>
          </rPr>
          <t xml:space="preserve">
Ben, this is open for user entry if column 01 is checked.
Otherwise, grey out.</t>
        </r>
      </text>
    </comment>
    <comment ref="C118" authorId="0" shapeId="0" xr:uid="{00000000-0006-0000-0A00-00002C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C146" authorId="0" shapeId="0" xr:uid="{00000000-0006-0000-0A00-00002D000000}">
      <text>
        <r>
          <rPr>
            <b/>
            <sz val="9"/>
            <color indexed="81"/>
            <rFont val="Tahoma"/>
            <family val="2"/>
          </rPr>
          <t>Sally Blair:</t>
        </r>
        <r>
          <rPr>
            <sz val="9"/>
            <color indexed="81"/>
            <rFont val="Tahoma"/>
            <family val="2"/>
          </rPr>
          <t xml:space="preserve">
Ben, columns 04-06, 08, 11 &amp; 12 grey out if "R-value" is selected in column 09.</t>
        </r>
      </text>
    </comment>
    <comment ref="C148" authorId="0" shapeId="0" xr:uid="{00000000-0006-0000-0A00-00002F000000}">
      <text>
        <r>
          <rPr>
            <b/>
            <sz val="9"/>
            <color indexed="81"/>
            <rFont val="Tahoma"/>
            <family val="2"/>
          </rPr>
          <t>2019 Update:</t>
        </r>
        <r>
          <rPr>
            <sz val="9"/>
            <color indexed="81"/>
            <rFont val="Tahoma"/>
            <family val="2"/>
          </rPr>
          <t xml:space="preserve">
Column 04 determines if Columns 05 through 08 &amp; 11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H148" authorId="0" shapeId="0" xr:uid="{00000000-0006-0000-0A00-000030000000}">
      <text>
        <r>
          <rPr>
            <b/>
            <sz val="9"/>
            <color indexed="81"/>
            <rFont val="Tahoma"/>
            <family val="2"/>
          </rPr>
          <t>Sally Blair:</t>
        </r>
        <r>
          <rPr>
            <sz val="9"/>
            <color indexed="81"/>
            <rFont val="Tahoma"/>
            <family val="2"/>
          </rPr>
          <t xml:space="preserve">
Ben, this is only a dropdown if column 03 is "Any Occupancy: Altered" AND column 01 "Include SIPs Wall in Area-weighted…" is NOT checked.  Otherwise, it auto-selects U-factor and is not editable by the user.
</t>
        </r>
      </text>
    </comment>
    <comment ref="I148" authorId="0" shapeId="0" xr:uid="{00000000-0006-0000-0A00-000031000000}">
      <text>
        <r>
          <rPr>
            <b/>
            <sz val="9"/>
            <color indexed="81"/>
            <rFont val="Tahoma"/>
            <family val="2"/>
          </rPr>
          <t>8.10.21:</t>
        </r>
        <r>
          <rPr>
            <sz val="9"/>
            <color indexed="81"/>
            <rFont val="Tahoma"/>
            <family val="2"/>
          </rPr>
          <t xml:space="preserve">
Ben, For "New" walls (column 03), this value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"&gt;1hr fire" in col 03 &amp; A03 is CZ 1-5, 8-10, 12, 13 = 0.059
Multifamily "&gt;1hr fire" in col 03 &amp; A03 is CZ 11, 14-16 = 0.051
Multifamily "&gt;1hr fire" in col 03 &amp; A03 is CZ 6, 7 = 0.065
Multifamily "&lt;=1hr fire" in col 03 &amp; A03 is CZ 1-5, 8-16 = 0.051
Multifamily "&lt;=1hr fire" in col 03 &amp; A03 is CZ 6,7 = 0.065</t>
        </r>
        <r>
          <rPr>
            <sz val="9"/>
            <color indexed="81"/>
            <rFont val="Tahoma"/>
            <family val="2"/>
          </rPr>
          <t xml:space="preserve">
For "Any Occupancy: Altered" walls (see column 03), this value comes from 141.0(b)1B3 </t>
        </r>
        <r>
          <rPr>
            <b/>
            <sz val="9"/>
            <color indexed="10"/>
            <rFont val="Tahoma"/>
            <family val="2"/>
          </rPr>
          <t xml:space="preserve">&amp; 180.2(a)2C, which for 2022 is the same.    </t>
        </r>
      </text>
    </comment>
    <comment ref="K148" authorId="0" shapeId="0" xr:uid="{00000000-0006-0000-0A00-000032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4.3.2 in JA4 for look up value.
</t>
        </r>
      </text>
    </comment>
    <comment ref="L148" authorId="0" shapeId="0" xr:uid="{00000000-0006-0000-0A00-000033000000}">
      <text>
        <r>
          <rPr>
            <b/>
            <sz val="9"/>
            <color indexed="81"/>
            <rFont val="Tahoma"/>
            <family val="2"/>
          </rPr>
          <t>Sally Blair:</t>
        </r>
        <r>
          <rPr>
            <sz val="9"/>
            <color indexed="81"/>
            <rFont val="Tahoma"/>
            <family val="2"/>
          </rPr>
          <t xml:space="preserve">
cell opens for user input if column 01 "Include SIPs Wall in Area Weighted Calculation per?" is checked, otherwise grey out.</t>
        </r>
      </text>
    </comment>
    <comment ref="K149" authorId="0" shapeId="0" xr:uid="{00000000-0006-0000-0A00-000034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F154" authorId="0" shapeId="0" xr:uid="{00000000-0006-0000-0A00-000036000000}">
      <text>
        <r>
          <rPr>
            <b/>
            <sz val="9"/>
            <color indexed="81"/>
            <rFont val="Tahoma"/>
            <family val="2"/>
          </rPr>
          <t>Sally Blair:</t>
        </r>
        <r>
          <rPr>
            <sz val="9"/>
            <color indexed="81"/>
            <rFont val="Tahoma"/>
            <family val="2"/>
          </rPr>
          <t xml:space="preserve">
This dropdown needs to be custom based on panel thickness in column 06:
choices for 4.5in:
 R-14
 R-18
choices for 6.5in:
 R-22
 R-33
choices for 8.25in:
 R-28
choices for 10.25in:
 R-36
 R-55
choices for 12.25in:
 R-44
</t>
        </r>
      </text>
    </comment>
    <comment ref="C155" authorId="0" shapeId="0" xr:uid="{00000000-0006-0000-0A00-000037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C177" authorId="0" shapeId="0" xr:uid="{00000000-0006-0000-0A00-000039000000}">
      <text>
        <r>
          <rPr>
            <b/>
            <sz val="9"/>
            <color indexed="81"/>
            <rFont val="Tahoma"/>
            <family val="2"/>
          </rPr>
          <t>2019 Update:</t>
        </r>
        <r>
          <rPr>
            <sz val="9"/>
            <color indexed="81"/>
            <rFont val="Tahoma"/>
            <family val="2"/>
          </rPr>
          <t xml:space="preserve">
Ben, columns 04-06, 10 &amp; 11 grey out if "R-value" is selected in column 08.</t>
        </r>
      </text>
    </comment>
    <comment ref="C179" authorId="0" shapeId="0" xr:uid="{00000000-0006-0000-0A00-00003B000000}">
      <text>
        <r>
          <rPr>
            <b/>
            <sz val="9"/>
            <color indexed="81"/>
            <rFont val="Tahoma"/>
            <family val="2"/>
          </rPr>
          <t>2019 Update:</t>
        </r>
        <r>
          <rPr>
            <sz val="9"/>
            <color indexed="81"/>
            <rFont val="Tahoma"/>
            <family val="2"/>
          </rPr>
          <t xml:space="preserve">
Column 04 determines if Columns 05 through 07 &amp; 10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I179" authorId="0" shapeId="0" xr:uid="{00000000-0006-0000-0A00-00003C000000}">
      <text>
        <r>
          <rPr>
            <b/>
            <sz val="9"/>
            <color indexed="81"/>
            <rFont val="Tahoma"/>
            <family val="2"/>
          </rPr>
          <t>Sally Blair:</t>
        </r>
        <r>
          <rPr>
            <sz val="9"/>
            <color indexed="81"/>
            <rFont val="Tahoma"/>
            <family val="2"/>
          </rPr>
          <t xml:space="preserve">
Ben, this is only a dropdown if column 03 is "Any Occupancy: Altered" AND column 01 "Include Spandrel/ curtain Wall in Area-weighted…" is NOT checked.  Otherwise, it auto-selects U-factor and is not editable by the user.
</t>
        </r>
      </text>
    </comment>
    <comment ref="J179" authorId="0" shapeId="0" xr:uid="{00000000-0006-0000-0A00-00003D000000}">
      <text>
        <r>
          <rPr>
            <b/>
            <sz val="9"/>
            <color indexed="10"/>
            <rFont val="Tahoma"/>
            <family val="2"/>
          </rPr>
          <t>8.10.21:</t>
        </r>
        <r>
          <rPr>
            <sz val="9"/>
            <color indexed="81"/>
            <rFont val="Tahoma"/>
            <family val="2"/>
          </rPr>
          <t xml:space="preserve">
Ben, For "New" walls (column 03), this value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"&gt;1hr fire" in col 03 &amp; A03 is CZ 1-5, 8-10, 12, 13 = 0.059
Multifamily "&gt;1hr fire" in col 03 &amp; A03 is CZ 11, 14-16 = 0.051
Multifamily "&gt;1hr fire" in col 03 &amp; A03 is CZ 6, 7 = 0.065
Multifamily "&lt;=1hr fire" in col 03 &amp; A03 is CZ 1-5, 8-16 = 0.051
Multifamily "&lt;=1hr fire" in col 03 &amp; A03 is CZ 6,7 = 0.065</t>
        </r>
        <r>
          <rPr>
            <sz val="9"/>
            <color indexed="81"/>
            <rFont val="Tahoma"/>
            <family val="2"/>
          </rPr>
          <t xml:space="preserve">
Use requirements for "Wood Framed &amp; Other".
For "Any Occupancy: Altered" walls (see column 03), this value comes from 141.0(b)1B4 </t>
        </r>
        <r>
          <rPr>
            <b/>
            <sz val="9"/>
            <color indexed="10"/>
            <rFont val="Tahoma"/>
            <family val="2"/>
          </rPr>
          <t xml:space="preserve">&amp; 180.2(a)2D, which for 2022 are the same.    </t>
        </r>
      </text>
    </comment>
    <comment ref="L179" authorId="0" shapeId="0" xr:uid="{00000000-0006-0000-0A00-00003E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4.3.8 in JA4 for look up value.
</t>
        </r>
      </text>
    </comment>
    <comment ref="M179" authorId="0" shapeId="0" xr:uid="{00000000-0006-0000-0A00-00003F000000}">
      <text>
        <r>
          <rPr>
            <b/>
            <sz val="9"/>
            <color indexed="81"/>
            <rFont val="Tahoma"/>
            <family val="2"/>
          </rPr>
          <t>Sally Blair:</t>
        </r>
        <r>
          <rPr>
            <sz val="9"/>
            <color indexed="81"/>
            <rFont val="Tahoma"/>
            <family val="2"/>
          </rPr>
          <t xml:space="preserve">
cell opens for user input if column 01 "Include Spandrel/ curtain Wall in Area Weighted Calculation per?" is checked, otherwise grey out.</t>
        </r>
      </text>
    </comment>
    <comment ref="L180" authorId="0" shapeId="0" xr:uid="{00000000-0006-0000-0A00-000040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C185" authorId="0" shapeId="0" xr:uid="{00000000-0006-0000-0A00-000042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C195" authorId="0" shapeId="0" xr:uid="{00000000-0006-0000-0A00-000043000000}">
      <text>
        <r>
          <rPr>
            <b/>
            <sz val="9"/>
            <color indexed="81"/>
            <rFont val="Tahoma"/>
            <family val="2"/>
          </rPr>
          <t>Sally Blair:</t>
        </r>
        <r>
          <rPr>
            <sz val="9"/>
            <color indexed="81"/>
            <rFont val="Tahoma"/>
            <family val="2"/>
          </rPr>
          <t xml:space="preserve">
Ben, columns 04-05, 07, 10 &amp; 11 grey out if "R-value" is selected in column 08.</t>
        </r>
      </text>
    </comment>
    <comment ref="C197" authorId="0" shapeId="0" xr:uid="{00000000-0006-0000-0A00-000045000000}">
      <text>
        <r>
          <rPr>
            <b/>
            <sz val="9"/>
            <color indexed="81"/>
            <rFont val="Tahoma"/>
            <family val="2"/>
          </rPr>
          <t>2019 Update:</t>
        </r>
        <r>
          <rPr>
            <sz val="9"/>
            <color indexed="81"/>
            <rFont val="Tahoma"/>
            <family val="2"/>
          </rPr>
          <t xml:space="preserve">
Column 04 determines if Columns 05 through 07 &amp; 10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H197" authorId="0" shapeId="0" xr:uid="{00000000-0006-0000-0A00-000046000000}">
      <text>
        <r>
          <rPr>
            <b/>
            <sz val="9"/>
            <color indexed="81"/>
            <rFont val="Tahoma"/>
            <family val="2"/>
          </rPr>
          <t>Sally Blair:</t>
        </r>
        <r>
          <rPr>
            <sz val="9"/>
            <color indexed="81"/>
            <rFont val="Tahoma"/>
            <family val="2"/>
          </rPr>
          <t xml:space="preserve">
Ben, this is only a dropdown if column 03 is "Any Occupancy: Altered" AND column 01 "Calculate Area-weighted…" is NOT checked.  Otherwise, it auto-selects U-factor and is not editable by the user.
</t>
        </r>
      </text>
    </comment>
    <comment ref="I197" authorId="0" shapeId="0" xr:uid="{00000000-0006-0000-0A00-000047000000}">
      <text>
        <r>
          <rPr>
            <b/>
            <sz val="9"/>
            <color indexed="10"/>
            <rFont val="Tahoma"/>
            <family val="2"/>
          </rPr>
          <t>8.10.21:</t>
        </r>
        <r>
          <rPr>
            <sz val="9"/>
            <color indexed="81"/>
            <rFont val="Tahoma"/>
            <family val="2"/>
          </rPr>
          <t xml:space="preserve">
Ben, For "New" walls (column 03), this value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Table 170.2-A</t>
        </r>
        <r>
          <rPr>
            <sz val="9"/>
            <color indexed="81"/>
            <rFont val="Tahoma"/>
            <family val="2"/>
          </rPr>
          <t xml:space="preserve">
For "Any Occupancy: Altered" walls (see column 03), this value comes from 141.0(b)1B1 </t>
        </r>
        <r>
          <rPr>
            <b/>
            <sz val="9"/>
            <color indexed="10"/>
            <rFont val="Tahoma"/>
            <family val="2"/>
          </rPr>
          <t xml:space="preserve">or 180.2(a)2A, which for 2022 is the same.    </t>
        </r>
      </text>
    </comment>
    <comment ref="K197" authorId="0" shapeId="0" xr:uid="{00000000-0006-0000-0A00-000048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Use Table 4.3.9 in JA4 for look up value.
</t>
        </r>
      </text>
    </comment>
    <comment ref="L197" authorId="0" shapeId="0" xr:uid="{00000000-0006-0000-0A00-000049000000}">
      <text>
        <r>
          <rPr>
            <b/>
            <sz val="9"/>
            <color indexed="81"/>
            <rFont val="Tahoma"/>
            <family val="2"/>
          </rPr>
          <t>Sally Blair:</t>
        </r>
        <r>
          <rPr>
            <sz val="9"/>
            <color indexed="81"/>
            <rFont val="Tahoma"/>
            <family val="2"/>
          </rPr>
          <t xml:space="preserve">
cell opens for user input if column 01 "Calculate Area Weighted ..." is checked, otherwise grey out.</t>
        </r>
      </text>
    </comment>
    <comment ref="K198" authorId="0" shapeId="0" xr:uid="{00000000-0006-0000-0A00-00004A000000}">
      <text>
        <r>
          <rPr>
            <b/>
            <sz val="9"/>
            <color indexed="81"/>
            <rFont val="Tahoma"/>
            <family val="2"/>
          </rPr>
          <t>Sally Blair:</t>
        </r>
        <r>
          <rPr>
            <sz val="9"/>
            <color indexed="81"/>
            <rFont val="Tahoma"/>
            <family val="2"/>
          </rPr>
          <t xml:space="preserve">
Cell will be open for user entry if Column 04 is "Approved Software" OR "Other per JA4...", but greyed out if it is " JA4 Tables".</t>
        </r>
      </text>
    </comment>
    <comment ref="F203" authorId="0" shapeId="0" xr:uid="{00000000-0006-0000-0A00-00004C000000}">
      <text>
        <r>
          <rPr>
            <b/>
            <sz val="9"/>
            <color indexed="81"/>
            <rFont val="Tahoma"/>
            <family val="2"/>
          </rPr>
          <t>Sally Blair:</t>
        </r>
        <r>
          <rPr>
            <sz val="9"/>
            <color indexed="81"/>
            <rFont val="Tahoma"/>
            <family val="2"/>
          </rPr>
          <t xml:space="preserve">
Custom based on selection in column 05.</t>
        </r>
      </text>
    </comment>
    <comment ref="C204" authorId="0" shapeId="0" xr:uid="{00000000-0006-0000-0A00-00004D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222" authorId="0" shapeId="0" xr:uid="{00000000-0006-0000-0A00-00004F000000}">
      <text>
        <r>
          <rPr>
            <b/>
            <sz val="9"/>
            <color indexed="81"/>
            <rFont val="Tahoma"/>
            <family val="2"/>
          </rPr>
          <t>2019 Update:</t>
        </r>
        <r>
          <rPr>
            <sz val="9"/>
            <color indexed="81"/>
            <rFont val="Tahoma"/>
            <family val="2"/>
          </rPr>
          <t xml:space="preserve">
Column 05 determines if Columns 06 &amp; 08 use the pull downs (upper row) or the user input (lower row) for assembly information. "Approved software" OR "Other per.." = user inputs &amp; "JA4 tables" = pull downs. The other row will grey out when 05 is selected. (same as how Table F roof assembly is working for 2016)</t>
        </r>
      </text>
    </comment>
    <comment ref="F222" authorId="0" shapeId="0" xr:uid="{00000000-0006-0000-0A00-000050000000}">
      <text>
        <r>
          <rPr>
            <b/>
            <sz val="9"/>
            <color indexed="10"/>
            <rFont val="Tahoma"/>
            <family val="2"/>
          </rPr>
          <t>8.10.21:</t>
        </r>
        <r>
          <rPr>
            <sz val="9"/>
            <color indexed="81"/>
            <rFont val="Tahoma"/>
            <family val="2"/>
          </rPr>
          <t xml:space="preserve">
Ben, For "New" walls (column 04), this value comes from the Tables in Section 140.3.  Which table to use depends on the occupancy type from column 04: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"&gt;1hr fire" in col 03 &amp; A03 is CZ 1-5, 8-10, 12, 13 = 0.059
Multifamily "&gt;1hr fire" in col 03 &amp; A03 is CZ 11, 14-16 = 0.051
Multifamily "&gt;1hr fire" in col 03 &amp; A03 is CZ 6, 7 = 0.065
Multifamily "&lt;=1hr fire" in col 03 &amp; A03 is CZ 1-5, 8-16 = 0.051
Multifamily "&lt;=1hr fire" in col 03 &amp; A03 is CZ 6,7 = 0.065</t>
        </r>
        <r>
          <rPr>
            <sz val="9"/>
            <color indexed="81"/>
            <rFont val="Tahoma"/>
            <family val="2"/>
          </rPr>
          <t xml:space="preserve">
For "Any Occupancy: Altered" walls (see column 04), this value comes from 141.0(b)1B3 </t>
        </r>
        <r>
          <rPr>
            <b/>
            <sz val="9"/>
            <color indexed="10"/>
            <rFont val="Tahoma"/>
            <family val="2"/>
          </rPr>
          <t xml:space="preserve">&amp; 180.2(a)@C, which for 2022 are the same.    </t>
        </r>
      </text>
    </comment>
    <comment ref="H222" authorId="0" shapeId="0" xr:uid="{00000000-0006-0000-0A00-000051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4.3.10 in JA4 for look up value.
</t>
        </r>
      </text>
    </comment>
    <comment ref="I222" authorId="0" shapeId="0" xr:uid="{00000000-0006-0000-0A00-000052000000}">
      <text>
        <r>
          <rPr>
            <b/>
            <sz val="9"/>
            <color indexed="81"/>
            <rFont val="Tahoma"/>
            <family val="2"/>
          </rPr>
          <t>Sally Blair:</t>
        </r>
        <r>
          <rPr>
            <sz val="9"/>
            <color indexed="81"/>
            <rFont val="Tahoma"/>
            <family val="2"/>
          </rPr>
          <t xml:space="preserve">
cell opens for user input if column 01 "Include Metal Panel Wall in Area Weighted Calculation" is checked, otherwise grey out.</t>
        </r>
      </text>
    </comment>
    <comment ref="H223" authorId="0" shapeId="0" xr:uid="{00000000-0006-0000-0A00-000053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D228" authorId="0" shapeId="0" xr:uid="{00000000-0006-0000-0A00-000055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H243" authorId="0" shapeId="0" xr:uid="{00000000-0006-0000-0A00-000056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 &amp; grey if "JA4 Tables".</t>
        </r>
      </text>
    </comment>
    <comment ref="C245" authorId="0" shapeId="0" xr:uid="{00000000-0006-0000-0A00-000058000000}">
      <text>
        <r>
          <rPr>
            <b/>
            <sz val="9"/>
            <color indexed="81"/>
            <rFont val="Tahoma"/>
            <family val="2"/>
          </rPr>
          <t>2019 Update:</t>
        </r>
        <r>
          <rPr>
            <sz val="9"/>
            <color indexed="81"/>
            <rFont val="Tahoma"/>
            <family val="2"/>
          </rPr>
          <t xml:space="preserve">
Column 04 determines if Columns 06- 07 &amp; 09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G245" authorId="0" shapeId="0" xr:uid="{00000000-0006-0000-0A00-000059000000}">
      <text>
        <r>
          <rPr>
            <b/>
            <sz val="9"/>
            <color indexed="81"/>
            <rFont val="Tahoma"/>
            <family val="2"/>
          </rPr>
          <t>Sally Blair:</t>
        </r>
        <r>
          <rPr>
            <sz val="9"/>
            <color indexed="81"/>
            <rFont val="Tahoma"/>
            <family val="2"/>
          </rPr>
          <t xml:space="preserve">
Ben, the value here comes from the Tables in Section 140.3.  Which table to use depends on the occupancy type from column 03:
Nonresidential &amp; Relocatables = Table 140.3-B
High-rise Res &amp; Hotel/Motel =Table 140.3-C
Also note the correct value in the table is for "light mass" or "Wood framed &amp; Other", (see below for categorization based on column 05.
Wood Frame &amp; Other:
- 6"
- 8"
- 10"
Light Mass:
- 12"
- 14"
- 16"
</t>
        </r>
      </text>
    </comment>
    <comment ref="I245" authorId="0" shapeId="0" xr:uid="{00000000-0006-0000-0A00-00005A000000}">
      <text>
        <r>
          <rPr>
            <b/>
            <sz val="9"/>
            <color indexed="81"/>
            <rFont val="Tahoma"/>
            <family val="2"/>
          </rPr>
          <t>Sally Blair:</t>
        </r>
        <r>
          <rPr>
            <sz val="9"/>
            <color indexed="81"/>
            <rFont val="Tahoma"/>
            <family val="2"/>
          </rPr>
          <t xml:space="preserve">
Ben, this would come from JA Table 4.3.11. AND if there are values in columns 06/07 you would add the value from Table 4.3.14
Use Equation 4-4 in JA4.1.4 to get the actual requirement since Log is in U-factor and Additional Insulation from Table 4.3.14 is in R-value.</t>
        </r>
      </text>
    </comment>
    <comment ref="J245" authorId="0" shapeId="0" xr:uid="{00000000-0006-0000-0A00-00005B000000}">
      <text>
        <r>
          <rPr>
            <b/>
            <sz val="9"/>
            <color indexed="81"/>
            <rFont val="Tahoma"/>
            <family val="2"/>
          </rPr>
          <t>Sally Blair:</t>
        </r>
        <r>
          <rPr>
            <sz val="9"/>
            <color indexed="81"/>
            <rFont val="Tahoma"/>
            <family val="2"/>
          </rPr>
          <t xml:space="preserve">
Ben, this is open for user entry if column 01 is checked.
Otherwise, grey out.</t>
        </r>
      </text>
    </comment>
    <comment ref="C252" authorId="0" shapeId="0" xr:uid="{00000000-0006-0000-0A00-00005D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281" authorId="0" shapeId="0" xr:uid="{00000000-0006-0000-0A00-00005E000000}">
      <text>
        <r>
          <rPr>
            <b/>
            <sz val="9"/>
            <color indexed="81"/>
            <rFont val="Tahoma"/>
            <family val="2"/>
          </rPr>
          <t>Sally Blair:</t>
        </r>
        <r>
          <rPr>
            <sz val="9"/>
            <color indexed="81"/>
            <rFont val="Tahoma"/>
            <family val="2"/>
          </rPr>
          <t xml:space="preserve">
Ben, columns 05, 09 &amp; 10 grey out if "R-value" is selected in column 07.</t>
        </r>
      </text>
    </comment>
    <comment ref="D283" authorId="0" shapeId="0" xr:uid="{00000000-0006-0000-0A00-000060000000}">
      <text>
        <r>
          <rPr>
            <b/>
            <sz val="9"/>
            <color indexed="81"/>
            <rFont val="Tahoma"/>
            <family val="2"/>
          </rPr>
          <t>2019 Update:</t>
        </r>
        <r>
          <rPr>
            <sz val="9"/>
            <color indexed="81"/>
            <rFont val="Tahoma"/>
            <family val="2"/>
          </rPr>
          <t xml:space="preserve">
Column 05 determines if Columns 06 &amp; 09 use the pull downs (upper row) or the user input (lower row) for assembly information. "Approved software" OR "Other per.." = user inputs &amp; "JA4 tables" = pull downs. The other row will grey out when 05 is selected. (same as how Table F roof assembly is working for 2016)</t>
        </r>
      </text>
    </comment>
    <comment ref="F283" authorId="0" shapeId="0" xr:uid="{00000000-0006-0000-0A00-000061000000}">
      <text>
        <r>
          <rPr>
            <b/>
            <sz val="9"/>
            <color indexed="81"/>
            <rFont val="Tahoma"/>
            <family val="2"/>
          </rPr>
          <t>Sally Blair:</t>
        </r>
        <r>
          <rPr>
            <sz val="9"/>
            <color indexed="81"/>
            <rFont val="Tahoma"/>
            <family val="2"/>
          </rPr>
          <t xml:space="preserve">
Ben, this is only a dropdown if column 04 is "Any Occupancy: Altered" AND column 01 "Include strawbale Wall in Area-weighted…" is NOT checked.  Otherwise, it auto-selects U-factor and is not editable by the user.
</t>
        </r>
      </text>
    </comment>
    <comment ref="G283" authorId="0" shapeId="0" xr:uid="{00000000-0006-0000-0A00-000062000000}">
      <text>
        <r>
          <rPr>
            <b/>
            <sz val="9"/>
            <color indexed="81"/>
            <rFont val="Tahoma"/>
            <family val="2"/>
          </rPr>
          <t>Sally Blair:</t>
        </r>
        <r>
          <rPr>
            <sz val="9"/>
            <color indexed="81"/>
            <rFont val="Tahoma"/>
            <family val="2"/>
          </rPr>
          <t xml:space="preserve">
Ben, For "New" walls (column 04), this value comes from the Tables in Section 140.3.  Which table to use depends on the occupancy type from column 04:
Nonresidential &amp; Relocatables = Table 140.3-B
High-rise Res &amp; Hotel/Motel =Table 140.3-C
Relocatables All CZ =Table 140.3-D
Use "Wood framed and other" category
For "Any Occupancy: Altered" walls (see column 04), this value comes from 141.0(b)1B3.  </t>
        </r>
        <r>
          <rPr>
            <b/>
            <sz val="9"/>
            <color indexed="81"/>
            <rFont val="Tahoma"/>
            <family val="2"/>
          </rPr>
          <t xml:space="preserve">  </t>
        </r>
      </text>
    </comment>
    <comment ref="I283" authorId="0" shapeId="0" xr:uid="{00000000-0006-0000-0A00-000063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4.3.12 in JA4 for look up value.
</t>
        </r>
      </text>
    </comment>
    <comment ref="J283" authorId="0" shapeId="0" xr:uid="{00000000-0006-0000-0A00-000064000000}">
      <text>
        <r>
          <rPr>
            <b/>
            <sz val="9"/>
            <color indexed="81"/>
            <rFont val="Tahoma"/>
            <family val="2"/>
          </rPr>
          <t>Sally Blair:</t>
        </r>
        <r>
          <rPr>
            <sz val="9"/>
            <color indexed="81"/>
            <rFont val="Tahoma"/>
            <family val="2"/>
          </rPr>
          <t xml:space="preserve">
cell opens for user input if column 01 "Include straw bale Wall in Area Weighted Calculation per?" is checked, otherwise grey out.</t>
        </r>
      </text>
    </comment>
    <comment ref="I284" authorId="0" shapeId="0" xr:uid="{00000000-0006-0000-0A00-000065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D290" authorId="0" shapeId="0" xr:uid="{00000000-0006-0000-0A00-000067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I303" authorId="0" shapeId="0" xr:uid="{00000000-0006-0000-0A00-000068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 &amp; grey if "JA4 Tables".</t>
        </r>
      </text>
    </comment>
    <comment ref="C305" authorId="0" shapeId="0" xr:uid="{00000000-0006-0000-0A00-00006A000000}">
      <text>
        <r>
          <rPr>
            <b/>
            <sz val="9"/>
            <color indexed="81"/>
            <rFont val="Tahoma"/>
            <family val="2"/>
          </rPr>
          <t>Updated 9.8.20</t>
        </r>
        <r>
          <rPr>
            <sz val="9"/>
            <color indexed="81"/>
            <rFont val="Tahoma"/>
            <family val="2"/>
          </rPr>
          <t xml:space="preserve">
Column 04 determines if Columns 08 &amp; 10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H305" authorId="0" shapeId="0" xr:uid="{00000000-0006-0000-0A00-00006B000000}">
      <text>
        <r>
          <rPr>
            <b/>
            <sz val="9"/>
            <color indexed="81"/>
            <rFont val="Tahoma"/>
            <family val="2"/>
          </rPr>
          <t>Sally Blair:</t>
        </r>
        <r>
          <rPr>
            <sz val="9"/>
            <color indexed="81"/>
            <rFont val="Tahoma"/>
            <family val="2"/>
          </rPr>
          <t xml:space="preserve">
Ben, the value here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170.2-A</t>
        </r>
        <r>
          <rPr>
            <sz val="9"/>
            <color indexed="81"/>
            <rFont val="Tahoma"/>
            <family val="2"/>
          </rPr>
          <t xml:space="preserve">
Also note the correct value in the table is for "light mass" or "heavy mass" or "Wood framed &amp; Other", this is determined by "HC" which is a value from the JA4 tables.  So, when you program the requirement, you'll need to reference this from the JA4 table to select the correct value.  Let me know if we need to talk through it. 
</t>
        </r>
        <r>
          <rPr>
            <b/>
            <sz val="9"/>
            <color indexed="81"/>
            <rFont val="Tahoma"/>
            <family val="2"/>
          </rPr>
          <t xml:space="preserve">
These U-factors will be either:
Light = 7.0 &lt; heat capacity &lt; 15.0
Heavy = heat capacity &gt; 15.0
Use "Mass, Light" or "Mass,Heavy" from Table 140.3, depending on HC</t>
        </r>
        <r>
          <rPr>
            <sz val="9"/>
            <color indexed="81"/>
            <rFont val="Tahoma"/>
            <family val="2"/>
          </rPr>
          <t xml:space="preserve">
</t>
        </r>
      </text>
    </comment>
    <comment ref="J305" authorId="0" shapeId="0" xr:uid="{00000000-0006-0000-0A00-00006C000000}">
      <text>
        <r>
          <rPr>
            <b/>
            <sz val="9"/>
            <color indexed="81"/>
            <rFont val="Tahoma"/>
            <family val="2"/>
          </rPr>
          <t>Sally Blair:</t>
        </r>
        <r>
          <rPr>
            <sz val="9"/>
            <color indexed="81"/>
            <rFont val="Tahoma"/>
            <family val="2"/>
          </rPr>
          <t xml:space="preserve">
Ben, this is from Table 4.3.13 in JA4.
</t>
        </r>
      </text>
    </comment>
    <comment ref="K305" authorId="0" shapeId="0" xr:uid="{00000000-0006-0000-0A00-00006D000000}">
      <text>
        <r>
          <rPr>
            <b/>
            <sz val="9"/>
            <color indexed="81"/>
            <rFont val="Tahoma"/>
            <family val="2"/>
          </rPr>
          <t>Sally Blair:</t>
        </r>
        <r>
          <rPr>
            <sz val="9"/>
            <color indexed="81"/>
            <rFont val="Tahoma"/>
            <family val="2"/>
          </rPr>
          <t xml:space="preserve">
Ben, this is open for user entry if column 01 is checked.
Otherwise, grey out.</t>
        </r>
      </text>
    </comment>
    <comment ref="A309" authorId="0" shapeId="0" xr:uid="{00000000-0006-0000-0A00-00006E000000}">
      <text>
        <r>
          <rPr>
            <b/>
            <sz val="9"/>
            <color indexed="81"/>
            <rFont val="Tahoma"/>
            <family val="2"/>
          </rPr>
          <t>2019 Update:</t>
        </r>
        <r>
          <rPr>
            <sz val="9"/>
            <color indexed="81"/>
            <rFont val="Tahoma"/>
            <family val="2"/>
          </rPr>
          <t xml:space="preserve">
Added footnote 3</t>
        </r>
      </text>
    </comment>
    <comment ref="E311" authorId="0" shapeId="0" xr:uid="{00000000-0006-0000-0A00-00006F000000}">
      <text>
        <r>
          <rPr>
            <b/>
            <sz val="9"/>
            <color indexed="81"/>
            <rFont val="Tahoma"/>
            <family val="2"/>
          </rPr>
          <t>Sally Blair:</t>
        </r>
        <r>
          <rPr>
            <sz val="9"/>
            <color indexed="81"/>
            <rFont val="Tahoma"/>
            <family val="2"/>
          </rPr>
          <t xml:space="preserve">
Dropdown if "flat"
selected in 05.</t>
        </r>
      </text>
    </comment>
    <comment ref="G311" authorId="0" shapeId="0" xr:uid="{00000000-0006-0000-0A00-000070000000}">
      <text>
        <r>
          <rPr>
            <b/>
            <sz val="9"/>
            <color indexed="81"/>
            <rFont val="Tahoma"/>
            <family val="2"/>
          </rPr>
          <t>Sally Blair:</t>
        </r>
        <r>
          <rPr>
            <sz val="9"/>
            <color indexed="81"/>
            <rFont val="Tahoma"/>
            <family val="2"/>
          </rPr>
          <t xml:space="preserve">
Dropdown if "EPS"
selected in 07.</t>
        </r>
      </text>
    </comment>
    <comment ref="C312" authorId="0" shapeId="0" xr:uid="{00000000-0006-0000-0A00-000071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E317" authorId="0" shapeId="0" xr:uid="{00000000-0006-0000-0A00-000073000000}">
      <text>
        <r>
          <rPr>
            <b/>
            <sz val="9"/>
            <color indexed="81"/>
            <rFont val="Tahoma"/>
            <family val="2"/>
          </rPr>
          <t>Sally Blair:</t>
        </r>
        <r>
          <rPr>
            <sz val="9"/>
            <color indexed="81"/>
            <rFont val="Tahoma"/>
            <family val="2"/>
          </rPr>
          <t xml:space="preserve">
Dropdown if "waffle"
selected in 05.</t>
        </r>
      </text>
    </comment>
    <comment ref="E320" authorId="0" shapeId="0" xr:uid="{00000000-0006-0000-0A00-000074000000}">
      <text>
        <r>
          <rPr>
            <b/>
            <sz val="9"/>
            <color indexed="81"/>
            <rFont val="Tahoma"/>
            <family val="2"/>
          </rPr>
          <t>Sally Blair:</t>
        </r>
        <r>
          <rPr>
            <sz val="9"/>
            <color indexed="81"/>
            <rFont val="Tahoma"/>
            <family val="2"/>
          </rPr>
          <t xml:space="preserve">
Dropdown if "screen"
selected in 05.</t>
        </r>
      </text>
    </comment>
    <comment ref="G320" authorId="0" shapeId="0" xr:uid="{00000000-0006-0000-0A00-000075000000}">
      <text>
        <r>
          <rPr>
            <b/>
            <sz val="9"/>
            <color indexed="81"/>
            <rFont val="Tahoma"/>
            <family val="2"/>
          </rPr>
          <t>Sally Blair:</t>
        </r>
        <r>
          <rPr>
            <sz val="9"/>
            <color indexed="81"/>
            <rFont val="Tahoma"/>
            <family val="2"/>
          </rPr>
          <t xml:space="preserve">
Dropdown if "XPS"
selected in 07.</t>
        </r>
      </text>
    </comment>
    <comment ref="G328" authorId="0" shapeId="0" xr:uid="{00000000-0006-0000-0A00-000076000000}">
      <text>
        <r>
          <rPr>
            <b/>
            <sz val="9"/>
            <color indexed="81"/>
            <rFont val="Tahoma"/>
            <family val="2"/>
          </rPr>
          <t>Sally Blair:</t>
        </r>
        <r>
          <rPr>
            <sz val="9"/>
            <color indexed="81"/>
            <rFont val="Tahoma"/>
            <family val="2"/>
          </rPr>
          <t xml:space="preserve">
Dropdown if "Polyurethane"
selected in 07.</t>
        </r>
      </text>
    </comment>
    <comment ref="G332" authorId="0" shapeId="0" xr:uid="{00000000-0006-0000-0A00-000077000000}">
      <text>
        <r>
          <rPr>
            <b/>
            <sz val="9"/>
            <color indexed="81"/>
            <rFont val="Tahoma"/>
            <family val="2"/>
          </rPr>
          <t>Sally Blair:</t>
        </r>
        <r>
          <rPr>
            <sz val="9"/>
            <color indexed="81"/>
            <rFont val="Tahoma"/>
            <family val="2"/>
          </rPr>
          <t xml:space="preserve">
Dropdown if "Cement/ EPS Compound"
selected in 07.</t>
        </r>
      </text>
    </comment>
    <comment ref="A342" authorId="0" shapeId="0" xr:uid="{00000000-0006-0000-0A00-000078000000}">
      <text>
        <r>
          <rPr>
            <b/>
            <sz val="9"/>
            <color indexed="81"/>
            <rFont val="Tahoma"/>
            <family val="2"/>
          </rPr>
          <t>Sally Blair:</t>
        </r>
        <r>
          <rPr>
            <sz val="9"/>
            <color indexed="81"/>
            <rFont val="Tahoma"/>
            <family val="2"/>
          </rPr>
          <t xml:space="preserve">
Ben, this section is triggered if column 01 "Calculate Area Weighted Average for Framed Walls…." is selected above in the Framed Walls Subtable</t>
        </r>
      </text>
    </comment>
    <comment ref="E346" authorId="0" shapeId="0" xr:uid="{00000000-0006-0000-0A00-000079000000}">
      <text>
        <r>
          <rPr>
            <b/>
            <sz val="9"/>
            <color indexed="81"/>
            <rFont val="Tahoma"/>
            <family val="2"/>
          </rPr>
          <t>Sally Blair:</t>
        </r>
        <r>
          <rPr>
            <sz val="9"/>
            <color indexed="81"/>
            <rFont val="Tahoma"/>
            <family val="2"/>
          </rPr>
          <t xml:space="preserve">
Says "COMPLIES" if column 03 </t>
        </r>
        <r>
          <rPr>
            <u/>
            <sz val="9"/>
            <color indexed="81"/>
            <rFont val="Tahoma"/>
            <family val="2"/>
          </rPr>
          <t>&gt;</t>
        </r>
        <r>
          <rPr>
            <sz val="9"/>
            <color indexed="81"/>
            <rFont val="Tahoma"/>
            <family val="2"/>
          </rPr>
          <t xml:space="preserve"> column 04.
Otherwise, says "DOES NOT COMPLY"</t>
        </r>
      </text>
    </comment>
    <comment ref="A348" authorId="0" shapeId="0" xr:uid="{00000000-0006-0000-0A00-00007A000000}">
      <text>
        <r>
          <rPr>
            <b/>
            <sz val="9"/>
            <color indexed="81"/>
            <rFont val="Tahoma"/>
            <family val="2"/>
          </rPr>
          <t>Sally Blair:</t>
        </r>
        <r>
          <rPr>
            <sz val="9"/>
            <color indexed="81"/>
            <rFont val="Tahoma"/>
            <family val="2"/>
          </rPr>
          <t xml:space="preserve">
 this section is triggered if column 01 "Include X Wall in Area Weighted Calc…." are selected above in ANY of the following subtables:
- Mass Walls
- Concrete Sandwich Panel
- ICF
- Log
</t>
        </r>
        <r>
          <rPr>
            <b/>
            <sz val="9"/>
            <color indexed="81"/>
            <rFont val="Tahoma"/>
            <family val="2"/>
          </rPr>
          <t xml:space="preserve">
  </t>
        </r>
      </text>
    </comment>
    <comment ref="C352" authorId="0" shapeId="0" xr:uid="{00000000-0006-0000-0A00-00007B000000}">
      <text>
        <r>
          <rPr>
            <b/>
            <sz val="9"/>
            <color indexed="81"/>
            <rFont val="Tahoma"/>
            <family val="2"/>
          </rPr>
          <t>Sally Blair:</t>
        </r>
        <r>
          <rPr>
            <sz val="9"/>
            <color indexed="81"/>
            <rFont val="Tahoma"/>
            <family val="2"/>
          </rPr>
          <t xml:space="preserve">
Light Mass walls depend on Heat Capacity in Mass subtable</t>
        </r>
      </text>
    </comment>
    <comment ref="F352" authorId="0" shapeId="0" xr:uid="{00000000-0006-0000-0A00-00007C000000}">
      <text>
        <r>
          <rPr>
            <b/>
            <sz val="9"/>
            <color indexed="81"/>
            <rFont val="Tahoma"/>
            <family val="2"/>
          </rPr>
          <t>Sally Blair:</t>
        </r>
        <r>
          <rPr>
            <sz val="9"/>
            <color indexed="81"/>
            <rFont val="Tahoma"/>
            <family val="2"/>
          </rPr>
          <t xml:space="preserve">
Says "COMPLIES" if column 04 &gt; column 05 AND column 03 &gt; column 05
Otherwise, says "DOES NOT COMPLY"</t>
        </r>
      </text>
    </comment>
    <comment ref="C353" authorId="0" shapeId="0" xr:uid="{00000000-0006-0000-0A00-00007D000000}">
      <text>
        <r>
          <rPr>
            <b/>
            <sz val="9"/>
            <color indexed="81"/>
            <rFont val="Tahoma"/>
            <family val="2"/>
          </rPr>
          <t>Sally Blair:</t>
        </r>
        <r>
          <rPr>
            <sz val="9"/>
            <color indexed="81"/>
            <rFont val="Tahoma"/>
            <family val="2"/>
          </rPr>
          <t xml:space="preserve">
Heavy Mass walls depend on Heat Capacity in Mass subtable</t>
        </r>
      </text>
    </comment>
    <comment ref="F353" authorId="0" shapeId="0" xr:uid="{00000000-0006-0000-0A00-00007E000000}">
      <text>
        <r>
          <rPr>
            <b/>
            <sz val="9"/>
            <color indexed="81"/>
            <rFont val="Tahoma"/>
            <family val="2"/>
          </rPr>
          <t>Sally Blair:</t>
        </r>
        <r>
          <rPr>
            <sz val="9"/>
            <color indexed="81"/>
            <rFont val="Tahoma"/>
            <family val="2"/>
          </rPr>
          <t xml:space="preserve">
Says "COMPLIES" if column 04 &gt; column 05 AND column 03 &gt; column 05
Otherwise, says "DOES NOT COMPLY"</t>
        </r>
      </text>
    </comment>
    <comment ref="A363" authorId="0" shapeId="0" xr:uid="{00000000-0006-0000-0A00-00007F000000}">
      <text>
        <r>
          <rPr>
            <b/>
            <sz val="9"/>
            <color indexed="81"/>
            <rFont val="Tahoma"/>
            <family val="2"/>
          </rPr>
          <t>Sally Blair:</t>
        </r>
        <r>
          <rPr>
            <sz val="9"/>
            <color indexed="81"/>
            <rFont val="Tahoma"/>
            <family val="2"/>
          </rPr>
          <t xml:space="preserve">
Ben, this section is triggered if column 01 "Include X Wall in Area Weighted Calc…." are selected above in ANY of the following subtables:
- Framed (wood)
- SIPs
- Spandrel &amp; Curtain Wall
- Metal Panel
- Straw Bale</t>
        </r>
      </text>
    </comment>
    <comment ref="C368" authorId="0" shapeId="0" xr:uid="{00000000-0006-0000-0A00-000080000000}">
      <text>
        <r>
          <rPr>
            <b/>
            <sz val="9"/>
            <color indexed="81"/>
            <rFont val="Tahoma"/>
            <family val="2"/>
          </rPr>
          <t>2019 Update:</t>
        </r>
        <r>
          <rPr>
            <sz val="9"/>
            <color indexed="81"/>
            <rFont val="Tahoma"/>
            <family val="2"/>
          </rPr>
          <t xml:space="preserve">
Need to make sure this is correctly area weighting per comments/ example in AWA table for floor assemblies &amp; not just summing these columns.</t>
        </r>
      </text>
    </comment>
    <comment ref="E368" authorId="0" shapeId="0" xr:uid="{00000000-0006-0000-0A00-000081000000}">
      <text>
        <r>
          <rPr>
            <b/>
            <sz val="9"/>
            <color indexed="81"/>
            <rFont val="Tahoma"/>
            <family val="2"/>
          </rPr>
          <t>Sally Blair:</t>
        </r>
        <r>
          <rPr>
            <sz val="9"/>
            <color indexed="81"/>
            <rFont val="Tahoma"/>
            <family val="2"/>
          </rPr>
          <t xml:space="preserve">
Says "COMPLIES" if column 03 </t>
        </r>
        <r>
          <rPr>
            <u/>
            <sz val="9"/>
            <color indexed="81"/>
            <rFont val="Tahoma"/>
            <family val="2"/>
          </rPr>
          <t>&gt;</t>
        </r>
        <r>
          <rPr>
            <sz val="9"/>
            <color indexed="81"/>
            <rFont val="Tahoma"/>
            <family val="2"/>
          </rPr>
          <t xml:space="preserve"> column 04 for all wall types.
Otherwise, says "DOES NOT COMPLY"</t>
        </r>
      </text>
    </comment>
    <comment ref="A371" authorId="0" shapeId="0" xr:uid="{00000000-0006-0000-0A00-000082000000}">
      <text>
        <r>
          <rPr>
            <b/>
            <sz val="9"/>
            <color indexed="81"/>
            <rFont val="Tahoma"/>
            <family val="2"/>
          </rPr>
          <t>Sally Blair:</t>
        </r>
        <r>
          <rPr>
            <sz val="9"/>
            <color indexed="81"/>
            <rFont val="Tahoma"/>
            <family val="2"/>
          </rPr>
          <t xml:space="preserve">
Ben, this section is triggered if column 01 "Calculate Area Weighted Average for Metal Building Walls…." is selected above in the Metal Building Walls Subtable</t>
        </r>
      </text>
    </comment>
    <comment ref="E375" authorId="0" shapeId="0" xr:uid="{00000000-0006-0000-0A00-000083000000}">
      <text>
        <r>
          <rPr>
            <b/>
            <sz val="9"/>
            <color indexed="81"/>
            <rFont val="Tahoma"/>
            <family val="2"/>
          </rPr>
          <t>Sally Blair:</t>
        </r>
        <r>
          <rPr>
            <sz val="9"/>
            <color indexed="81"/>
            <rFont val="Tahoma"/>
            <family val="2"/>
          </rPr>
          <t xml:space="preserve">
Says "COMPLIES" if column 03 &gt; column 04.
Otherwise, says "DOES NOT COMPLY"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5" authorId="0" shapeId="0" xr:uid="{00000000-0006-0000-0B00-000001000000}">
      <text>
        <r>
          <rPr>
            <b/>
            <sz val="9"/>
            <color indexed="81"/>
            <rFont val="Tahoma"/>
            <family val="2"/>
          </rPr>
          <t>Sally Blair:</t>
        </r>
        <r>
          <rPr>
            <sz val="9"/>
            <color indexed="81"/>
            <rFont val="Tahoma"/>
            <family val="2"/>
          </rPr>
          <t xml:space="preserve">
These selections expand appropriate sub section of Table I.</t>
        </r>
      </text>
    </comment>
    <comment ref="K5" authorId="0" shapeId="0" xr:uid="{5C3CF814-9F3F-4FD0-B66D-DB6A28956A39}">
      <text>
        <r>
          <rPr>
            <b/>
            <sz val="9"/>
            <color indexed="10"/>
            <rFont val="Tahoma"/>
            <family val="2"/>
          </rPr>
          <t>8.26.21:
Greys if any CZ OTHER THAN 16 in A03.</t>
        </r>
      </text>
    </comment>
    <comment ref="C10" authorId="0" shapeId="0" xr:uid="{00000000-0006-0000-0B00-000003000000}">
      <text>
        <r>
          <rPr>
            <b/>
            <sz val="9"/>
            <color indexed="81"/>
            <rFont val="Tahoma"/>
            <family val="2"/>
          </rPr>
          <t>Sally Blair:</t>
        </r>
        <r>
          <rPr>
            <sz val="9"/>
            <color indexed="81"/>
            <rFont val="Tahoma"/>
            <family val="2"/>
          </rPr>
          <t xml:space="preserve">
Ben, columns 04-06, 08, 11 &amp; 12 grey out if "R-value" is selected in column 09.</t>
        </r>
      </text>
    </comment>
    <comment ref="C12" authorId="0" shapeId="0" xr:uid="{00000000-0006-0000-0B00-000004000000}">
      <text>
        <r>
          <rPr>
            <b/>
            <sz val="9"/>
            <color indexed="81"/>
            <rFont val="Tahoma"/>
            <family val="2"/>
          </rPr>
          <t>2019 Update:</t>
        </r>
        <r>
          <rPr>
            <sz val="9"/>
            <color indexed="81"/>
            <rFont val="Tahoma"/>
            <family val="2"/>
          </rPr>
          <t xml:space="preserve">
Column 04 determines if Columns 06 through 08 &amp; 11 use the pull downs (upper row) or the user input (lower row) for assembly information. "Approved software" OR "Other per.." = user inputs &amp; "JA4 tables" = pull downs. The other row will grey out when 04 is selected.</t>
        </r>
      </text>
    </comment>
    <comment ref="H12" authorId="0" shapeId="0" xr:uid="{00000000-0006-0000-0B00-000005000000}">
      <text>
        <r>
          <rPr>
            <b/>
            <sz val="9"/>
            <color indexed="81"/>
            <rFont val="Tahoma"/>
            <family val="2"/>
          </rPr>
          <t>8.21.21:</t>
        </r>
        <r>
          <rPr>
            <sz val="9"/>
            <color indexed="81"/>
            <rFont val="Tahoma"/>
            <family val="2"/>
          </rPr>
          <t xml:space="preserve">
Ben, this is only a dropdown </t>
        </r>
        <r>
          <rPr>
            <b/>
            <sz val="9"/>
            <color indexed="10"/>
            <rFont val="Tahoma"/>
            <family val="2"/>
          </rPr>
          <t>under the following two conditions:</t>
        </r>
        <r>
          <rPr>
            <sz val="9"/>
            <color indexed="81"/>
            <rFont val="Tahoma"/>
            <family val="2"/>
          </rPr>
          <t xml:space="preserve">
- if column 03 is "Any Occupancy: Altered" AND column 01 "Include Framed Floors in Area-weighted…" is NOT checked.  </t>
        </r>
        <r>
          <rPr>
            <b/>
            <sz val="9"/>
            <color indexed="10"/>
            <rFont val="Tahoma"/>
            <family val="2"/>
          </rPr>
          <t>OR
- If col 03 is "Multifamily: New" and col 06 is any of the wood options.</t>
        </r>
        <r>
          <rPr>
            <sz val="9"/>
            <color indexed="81"/>
            <rFont val="Tahoma"/>
            <family val="2"/>
          </rPr>
          <t xml:space="preserve">
Otherwise, it auto-selects U-factor and is not editable by the user.</t>
        </r>
      </text>
    </comment>
    <comment ref="I12" authorId="0" shapeId="0" xr:uid="{00000000-0006-0000-0B00-000006000000}">
      <text>
        <r>
          <rPr>
            <b/>
            <sz val="9"/>
            <color indexed="81"/>
            <rFont val="Tahoma"/>
            <family val="2"/>
          </rPr>
          <t>8.22.21:</t>
        </r>
        <r>
          <rPr>
            <sz val="9"/>
            <color indexed="81"/>
            <rFont val="Tahoma"/>
            <family val="2"/>
          </rPr>
          <t xml:space="preserve">
For "New" floors (column 03), this value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Table 170.2-A (Use "Other" for metal framed)</t>
        </r>
        <r>
          <rPr>
            <sz val="9"/>
            <color indexed="81"/>
            <rFont val="Tahoma"/>
            <family val="2"/>
          </rPr>
          <t xml:space="preserve">
Use "Other" category.
For "Any Occupancy: Altered" floors  (selected in Table B column 01), the requirement is:
R-11 (if "R-value" chosen in column 09) OR
U-factor 0.071 (if "U-factor" chosen in column 09) 
</t>
        </r>
        <r>
          <rPr>
            <b/>
            <sz val="9"/>
            <color indexed="10"/>
            <rFont val="Tahoma"/>
            <family val="2"/>
          </rPr>
          <t>Alt requirements the same for Multifamily.</t>
        </r>
      </text>
    </comment>
    <comment ref="K12" authorId="0" shapeId="0" xr:uid="{00000000-0006-0000-0B00-000007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Correct table in JA4 for look up value depends on the selection in 05/06:
Crawlspace/ Metal = Table 4.4.4
No Crawlspace/ Metal = Table 4.4.5
Crawlspace/ Wood  = Table 4.4.1
No Crawlspace/ Wood = Table 4.4.2
</t>
        </r>
      </text>
    </comment>
    <comment ref="L12" authorId="0" shapeId="0" xr:uid="{00000000-0006-0000-0B00-000008000000}">
      <text>
        <r>
          <rPr>
            <b/>
            <sz val="9"/>
            <color indexed="81"/>
            <rFont val="Tahoma"/>
            <family val="2"/>
          </rPr>
          <t>Sally Blair:</t>
        </r>
        <r>
          <rPr>
            <sz val="9"/>
            <color indexed="81"/>
            <rFont val="Tahoma"/>
            <family val="2"/>
          </rPr>
          <t xml:space="preserve">
cell opens for user input if column 01 "Include Framed Floor in Area Weighted Calculation" is checked, otherwise grey out.</t>
        </r>
      </text>
    </comment>
    <comment ref="K13" authorId="0" shapeId="0" xr:uid="{00000000-0006-0000-0B00-000009000000}">
      <text>
        <r>
          <rPr>
            <sz val="9"/>
            <color indexed="81"/>
            <rFont val="Tahoma"/>
            <family val="2"/>
          </rPr>
          <t>Sally Blair:
Cell will be open for user entry if Column 04 is "Approved Software" OR "Other per JA4...", but greyed out if it is " JA4 Tables".</t>
        </r>
      </text>
    </comment>
    <comment ref="F17" authorId="0" shapeId="0" xr:uid="{00000000-0006-0000-0B00-00000B000000}">
      <text>
        <r>
          <rPr>
            <b/>
            <sz val="9"/>
            <color indexed="81"/>
            <rFont val="Tahoma"/>
            <family val="2"/>
          </rPr>
          <t>Sally Blair:</t>
        </r>
        <r>
          <rPr>
            <sz val="9"/>
            <color indexed="81"/>
            <rFont val="Tahoma"/>
            <family val="2"/>
          </rPr>
          <t xml:space="preserve">
Dropdown based on 08 selection.  Custom for:
- Metal 16" OC
- Metal 24" OC
- Wood 16" OC
- Wood 24" OC</t>
        </r>
      </text>
    </comment>
    <comment ref="C18" authorId="0" shapeId="0" xr:uid="{00000000-0006-0000-0B00-00000C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F19" authorId="0" shapeId="0" xr:uid="{00000000-0006-0000-0B00-00000D000000}">
      <text>
        <r>
          <rPr>
            <b/>
            <sz val="9"/>
            <color indexed="81"/>
            <rFont val="Tahoma"/>
            <family val="2"/>
          </rPr>
          <t>Sally Blair:</t>
        </r>
        <r>
          <rPr>
            <sz val="9"/>
            <color indexed="81"/>
            <rFont val="Tahoma"/>
            <family val="2"/>
          </rPr>
          <t xml:space="preserve">
Dropdown based on 08 selection.  Custom for:
- Metal 16" OC &amp; 2x6
- Metal 24" OC &amp; 2x6
- Wood 16" OC &amp; 2x6
- Wood 24" OC &amp; 2x6</t>
        </r>
      </text>
    </comment>
    <comment ref="F23" authorId="0" shapeId="0" xr:uid="{00000000-0006-0000-0B00-00000E000000}">
      <text>
        <r>
          <rPr>
            <b/>
            <sz val="9"/>
            <color indexed="81"/>
            <rFont val="Tahoma"/>
            <family val="2"/>
          </rPr>
          <t>Sally Blair:</t>
        </r>
        <r>
          <rPr>
            <sz val="9"/>
            <color indexed="81"/>
            <rFont val="Tahoma"/>
            <family val="2"/>
          </rPr>
          <t xml:space="preserve">
Dropdown based on 08 selection.  Custom for:
- Metal 16" OC &amp; 2x8
- Metal 24" OC &amp; 2x8
- Wood 16" OC &amp; 2x8
- Wood 24" OC &amp; 2x8</t>
        </r>
      </text>
    </comment>
    <comment ref="F26" authorId="0" shapeId="0" xr:uid="{00000000-0006-0000-0B00-00000F000000}">
      <text>
        <r>
          <rPr>
            <b/>
            <sz val="9"/>
            <color indexed="81"/>
            <rFont val="Tahoma"/>
            <family val="2"/>
          </rPr>
          <t>Sally Blair:</t>
        </r>
        <r>
          <rPr>
            <sz val="9"/>
            <color indexed="81"/>
            <rFont val="Tahoma"/>
            <family val="2"/>
          </rPr>
          <t xml:space="preserve">
Dropdown based on 08 selection.  Custom for:
- Wood 16" OC &amp; 2x10
- Wood 24" OC &amp; 2x10</t>
        </r>
      </text>
    </comment>
    <comment ref="F29" authorId="0" shapeId="0" xr:uid="{00000000-0006-0000-0B00-000010000000}">
      <text>
        <r>
          <rPr>
            <b/>
            <sz val="9"/>
            <color indexed="81"/>
            <rFont val="Tahoma"/>
            <family val="2"/>
          </rPr>
          <t>Sally Blair:</t>
        </r>
        <r>
          <rPr>
            <sz val="9"/>
            <color indexed="81"/>
            <rFont val="Tahoma"/>
            <family val="2"/>
          </rPr>
          <t xml:space="preserve">
Dropdown based on 08 selection.  Custom for:
- Metal 16" OC &amp; 2x10
- Metal 24" OC &amp; 2x10</t>
        </r>
      </text>
    </comment>
    <comment ref="F31" authorId="0" shapeId="0" xr:uid="{00000000-0006-0000-0B00-000011000000}">
      <text>
        <r>
          <rPr>
            <b/>
            <sz val="9"/>
            <color indexed="81"/>
            <rFont val="Tahoma"/>
            <family val="2"/>
          </rPr>
          <t>Sally Blair:</t>
        </r>
        <r>
          <rPr>
            <sz val="9"/>
            <color indexed="81"/>
            <rFont val="Tahoma"/>
            <family val="2"/>
          </rPr>
          <t xml:space="preserve">
Dropdown based on 08 selection.  Custom for:
- Metal 16" OC &amp; 2x12
- Metal 24" OC &amp; 2x12
- Wood 16" OC &amp; 2x12
- Wood 24" OC &amp; 2x12</t>
        </r>
      </text>
    </comment>
    <comment ref="C47" authorId="0" shapeId="0" xr:uid="{00000000-0006-0000-0B00-000012000000}">
      <text>
        <r>
          <rPr>
            <sz val="9"/>
            <color indexed="81"/>
            <rFont val="Tahoma"/>
            <family val="2"/>
          </rPr>
          <t>2019 Update:
Column 04 determines if Columns 06 through 09 &amp; 11 use the pull downs (upper row) or the user input (lower row) for assembly information. "Approved software" OR "Other per.." = user inputs &amp; "JA4 tables" = pull downs. The other row will grey out when 04 is selected.</t>
        </r>
      </text>
    </comment>
    <comment ref="I47" authorId="0" shapeId="0" xr:uid="{00000000-0006-0000-0B00-000013000000}">
      <text>
        <r>
          <rPr>
            <b/>
            <sz val="9"/>
            <color indexed="81"/>
            <rFont val="Tahoma"/>
            <family val="2"/>
          </rPr>
          <t>8.22.21:</t>
        </r>
        <r>
          <rPr>
            <sz val="9"/>
            <color indexed="81"/>
            <rFont val="Tahoma"/>
            <family val="2"/>
          </rPr>
          <t xml:space="preserve">
Ben, this value comes from the Tables in Section 140.3.  Which table to use depends on the occupancy type from column 03: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Table 170.2-A</t>
        </r>
        <r>
          <rPr>
            <sz val="9"/>
            <color indexed="81"/>
            <rFont val="Tahoma"/>
            <family val="2"/>
          </rPr>
          <t xml:space="preserve">
</t>
        </r>
        <r>
          <rPr>
            <b/>
            <sz val="9"/>
            <color indexed="10"/>
            <rFont val="Tahoma"/>
            <family val="2"/>
          </rPr>
          <t>Use "Other" category.</t>
        </r>
      </text>
    </comment>
    <comment ref="K47" authorId="0" shapeId="0" xr:uid="{00000000-0006-0000-0B00-000014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Use Table 4.4.3 in JA4 for look up value.
</t>
        </r>
      </text>
    </comment>
    <comment ref="L47" authorId="0" shapeId="0" xr:uid="{00000000-0006-0000-0B00-000015000000}">
      <text>
        <r>
          <rPr>
            <b/>
            <sz val="9"/>
            <color indexed="81"/>
            <rFont val="Tahoma"/>
            <family val="2"/>
          </rPr>
          <t>Sally Blair:</t>
        </r>
        <r>
          <rPr>
            <sz val="9"/>
            <color indexed="81"/>
            <rFont val="Tahoma"/>
            <family val="2"/>
          </rPr>
          <t xml:space="preserve">
cell opens for user input if column 01 "Include SIPs Floor in Area Weighted Calculation" is checked, otherwise grey out.</t>
        </r>
      </text>
    </comment>
    <comment ref="K48" authorId="0" shapeId="0" xr:uid="{00000000-0006-0000-0B00-000016000000}">
      <text>
        <r>
          <rPr>
            <b/>
            <sz val="9"/>
            <color indexed="81"/>
            <rFont val="Tahoma"/>
            <family val="2"/>
          </rPr>
          <t>Sally Blair:</t>
        </r>
        <r>
          <rPr>
            <sz val="9"/>
            <color indexed="81"/>
            <rFont val="Tahoma"/>
            <family val="2"/>
          </rPr>
          <t xml:space="preserve">
Cell will be open for user entry if Column 04 is "Approved Software" OR "Other per JA4...", but greyed out if it is " JA4 Tables".</t>
        </r>
      </text>
    </comment>
    <comment ref="G52" authorId="0" shapeId="0" xr:uid="{00000000-0006-0000-0B00-000018000000}">
      <text>
        <r>
          <rPr>
            <sz val="9"/>
            <color indexed="81"/>
            <rFont val="Tahoma"/>
            <family val="2"/>
          </rPr>
          <t>Sally Blair:
Dropdown based on 07 selection.  Custom for: 6.5"</t>
        </r>
      </text>
    </comment>
    <comment ref="C53" authorId="0" shapeId="0" xr:uid="{00000000-0006-0000-0B00-000019000000}">
      <text>
        <r>
          <rPr>
            <sz val="9"/>
            <color indexed="81"/>
            <rFont val="Tahoma"/>
            <family val="2"/>
          </rPr>
          <t>2019 Update:
If "Approved Software" or "Other per JA4.1.2.1" are selected, Table D note in Row 20 triggers.  If they reselct JA4 Tables, note in D untriggers.</t>
        </r>
      </text>
    </comment>
    <comment ref="G55" authorId="0" shapeId="0" xr:uid="{00000000-0006-0000-0B00-00001A000000}">
      <text>
        <r>
          <rPr>
            <sz val="9"/>
            <color indexed="81"/>
            <rFont val="Tahoma"/>
            <family val="2"/>
          </rPr>
          <t>Sally Blair:
Dropdown based on 07 selection.  Custom for: 8.25"</t>
        </r>
      </text>
    </comment>
    <comment ref="G57" authorId="0" shapeId="0" xr:uid="{00000000-0006-0000-0B00-00001B000000}">
      <text>
        <r>
          <rPr>
            <sz val="9"/>
            <color indexed="81"/>
            <rFont val="Tahoma"/>
            <family val="2"/>
          </rPr>
          <t>Sally Blair:
Dropdown based on 07 selection.  Custom for: 10.25"</t>
        </r>
      </text>
    </comment>
    <comment ref="D68" authorId="0" shapeId="0" xr:uid="{00000000-0006-0000-0B00-00001C000000}">
      <text>
        <r>
          <rPr>
            <b/>
            <sz val="9"/>
            <color indexed="81"/>
            <rFont val="Tahoma"/>
            <family val="2"/>
          </rPr>
          <t>Sally Blair:</t>
        </r>
        <r>
          <rPr>
            <sz val="9"/>
            <color indexed="81"/>
            <rFont val="Tahoma"/>
            <family val="2"/>
          </rPr>
          <t xml:space="preserve">
Ben, columns 05-06 &amp; 10&amp;11 grey out if "R-value" is selected in column 08.
</t>
        </r>
      </text>
    </comment>
    <comment ref="D70" authorId="0" shapeId="0" xr:uid="{00000000-0006-0000-0B00-00001D000000}">
      <text>
        <r>
          <rPr>
            <sz val="9"/>
            <color indexed="81"/>
            <rFont val="Tahoma"/>
            <family val="2"/>
          </rPr>
          <t xml:space="preserve">2019 Update:
Column 05 determines if Columns 06 - 07 &amp; 10 use the pull downs (upper row) or the user input (lower row) for assembly information. "Approved software" OR "Other per.." = user inputs &amp; "JA4 tables" = pull downs. The other row will grey out when 05 is selected. </t>
        </r>
      </text>
    </comment>
    <comment ref="H70" authorId="0" shapeId="0" xr:uid="{00000000-0006-0000-0B00-00001E000000}">
      <text>
        <r>
          <rPr>
            <sz val="9"/>
            <color indexed="81"/>
            <rFont val="Tahoma"/>
            <family val="2"/>
          </rPr>
          <t>Sally Blair:
Ben, this is only a dropdown if column 04 occupancy is"High-rise Res/Hotel/ Motel: Altered" AND column 01 "Calcualte Area-weighted…" is NOT checked.  Otherwise, it auto-selects U-factor and is not editable by the user.</t>
        </r>
      </text>
    </comment>
    <comment ref="I70" authorId="0" shapeId="0" xr:uid="{00000000-0006-0000-0B00-00001F000000}">
      <text>
        <r>
          <rPr>
            <b/>
            <sz val="9"/>
            <color indexed="81"/>
            <rFont val="Tahoma"/>
            <family val="2"/>
          </rPr>
          <t>8.21.21:</t>
        </r>
        <r>
          <rPr>
            <sz val="9"/>
            <color indexed="81"/>
            <rFont val="Tahoma"/>
            <family val="2"/>
          </rPr>
          <t xml:space="preserve">
For "New" floors (column 04), this value comes from the Tables in Section 140.3.  Which table to use depends on the occupancy type from column 04:
Nonresidential &amp; Relocatables = Table 140.3-B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Multifamily = Table 170.2-A
Use "Raised Mass" category.</t>
        </r>
        <r>
          <rPr>
            <sz val="9"/>
            <color indexed="81"/>
            <rFont val="Tahoma"/>
            <family val="2"/>
          </rPr>
          <t xml:space="preserve">
For "</t>
        </r>
        <r>
          <rPr>
            <b/>
            <strike/>
            <sz val="9"/>
            <color indexed="10"/>
            <rFont val="Tahoma"/>
            <family val="2"/>
          </rPr>
          <t>High-rise Res/</t>
        </r>
        <r>
          <rPr>
            <b/>
            <sz val="9"/>
            <color indexed="10"/>
            <rFont val="Tahoma"/>
            <family val="2"/>
          </rPr>
          <t>Multifamily/</t>
        </r>
        <r>
          <rPr>
            <sz val="9"/>
            <color indexed="81"/>
            <rFont val="Tahoma"/>
            <family val="2"/>
          </rPr>
          <t xml:space="preserve">Hotel/ Motel: Altered" (column 04) the requirement is:
R-6 (if "R-value" chosen in column 08) OR
U-factor 0.111 (if "U-factor" chosen in column 08) </t>
        </r>
      </text>
    </comment>
    <comment ref="K70" authorId="0" shapeId="0" xr:uid="{00000000-0006-0000-0B00-000020000000}">
      <text>
        <r>
          <rPr>
            <sz val="9"/>
            <color indexed="81"/>
            <rFont val="Tahoma"/>
            <family val="2"/>
          </rPr>
          <t xml:space="preserve">Sally Blair:
Cell will be open for user input if Column 05 is"JA4 Tables", but greyed out if it is "Approved Software" OR "Other per JA4...".
Correct table in JA4 for look up value is Table 4.4.6
Ben, the JA4 tables can be found here:
https://energycodeace.com/site/custom/public/reference-ace-2016/Documents/ja44floorsandslabs.htm
</t>
        </r>
      </text>
    </comment>
    <comment ref="L70" authorId="0" shapeId="0" xr:uid="{00000000-0006-0000-0B00-000021000000}">
      <text>
        <r>
          <rPr>
            <sz val="9"/>
            <color indexed="81"/>
            <rFont val="Tahoma"/>
            <family val="2"/>
          </rPr>
          <t>Sally Blair:
cell opens for user input if column 01 "Calculate Area Weighted Calculation" is checked, otherwise grey out.</t>
        </r>
      </text>
    </comment>
    <comment ref="K71" authorId="0" shapeId="0" xr:uid="{00000000-0006-0000-0B00-000022000000}">
      <text>
        <r>
          <rPr>
            <sz val="9"/>
            <color indexed="81"/>
            <rFont val="Tahoma"/>
            <family val="2"/>
          </rPr>
          <t>Sally Blair:
Cell will be open for user entry if Column 05 is "Approved Software" OR "Other per JA4...", but greyed out if it is " JA4 Tables".</t>
        </r>
      </text>
    </comment>
    <comment ref="D76" authorId="0" shapeId="0" xr:uid="{00000000-0006-0000-0B00-000023000000}">
      <text>
        <r>
          <rPr>
            <sz val="9"/>
            <color indexed="81"/>
            <rFont val="Tahoma"/>
            <family val="2"/>
          </rPr>
          <t>2019 Update:
If "Approved Software" or "Other per JA4.1.2.1" are selected, Table D note in Row 20 triggers.  If they reselct JA4 Tables, note in D untriggers.</t>
        </r>
      </text>
    </comment>
    <comment ref="F93" authorId="0" shapeId="0" xr:uid="{00000000-0006-0000-0B00-000025000000}">
      <text>
        <r>
          <rPr>
            <sz val="9"/>
            <color indexed="81"/>
            <rFont val="Tahoma"/>
            <family val="2"/>
          </rPr>
          <t xml:space="preserve">Sally Blair:
From Table 110.8-A
If "Outside Edge" in 03, &amp; CZ - 1-15 in A05, this = 5;
If "Outside Edge" in 03, &amp; CZ - 16 in A05, this = 10;
If "Between Slab" in 03, &amp; CZ - 1-15 in A05, this = 5;
If "Between Slab" in 03, &amp; CZ - 16 in A05, this = 10
</t>
        </r>
      </text>
    </comment>
    <comment ref="F94" authorId="0" shapeId="0" xr:uid="{00000000-0006-0000-0B00-000026000000}">
      <text>
        <r>
          <rPr>
            <sz val="9"/>
            <color indexed="81"/>
            <rFont val="Tahoma"/>
            <family val="2"/>
          </rPr>
          <t xml:space="preserve">Sally Blair:
From Table 110.8-A
If "Outside Edge" in 03, &amp; CZ - 1-15 in A05, this = grey &amp; blank &amp; so is 06 for horizontal
If "Outside Edge" in 03, &amp; CZ - 16 in A05, this = grey &amp; blank &amp; so is 06 for horizontal
If "Between Slab" in 03, &amp; CZ - 1-15 in A05, this = grey &amp; blank &amp; so is 06 for horizontal
If "Between Slab" in 03, &amp; CZ - 16 in A05, this = 7
</t>
        </r>
      </text>
    </comment>
    <comment ref="F105" authorId="0" shapeId="0" xr:uid="{9158EDAC-51B2-4471-AC68-9DE57674F0B7}">
      <text>
        <r>
          <rPr>
            <b/>
            <sz val="9"/>
            <color indexed="81"/>
            <rFont val="Tahoma"/>
            <family val="2"/>
          </rPr>
          <t>8.26.21:</t>
        </r>
        <r>
          <rPr>
            <sz val="9"/>
            <color indexed="81"/>
            <rFont val="Tahoma"/>
            <family val="2"/>
          </rPr>
          <t xml:space="preserve">
= 0.58 if "Ufactor" selected in col 04 OR
= 7 if "R-value" selected in col 04</t>
        </r>
      </text>
    </comment>
    <comment ref="A114" authorId="0" shapeId="0" xr:uid="{00000000-0006-0000-0B00-000027000000}">
      <text>
        <r>
          <rPr>
            <sz val="9"/>
            <color indexed="81"/>
            <rFont val="Tahoma"/>
            <family val="2"/>
          </rPr>
          <t>Sally Blair:
Ben, this section is triggered if column 01 "Calculate Area Weighted Average for Raised Mass…." is selected above in the Raised Mass Floors Subtable</t>
        </r>
      </text>
    </comment>
    <comment ref="E118" authorId="0" shapeId="0" xr:uid="{00000000-0006-0000-0B00-000028000000}">
      <text>
        <r>
          <rPr>
            <sz val="9"/>
            <color indexed="81"/>
            <rFont val="Tahoma"/>
            <family val="2"/>
          </rPr>
          <t>Sally Blair:
Says "COMPLIES" if column 03 &gt;= column 04.
Otherwise, says "DOES NOT COMPLY"</t>
        </r>
      </text>
    </comment>
    <comment ref="A121" authorId="0" shapeId="0" xr:uid="{00000000-0006-0000-0B00-000029000000}">
      <text>
        <r>
          <rPr>
            <sz val="9"/>
            <color indexed="81"/>
            <rFont val="Tahoma"/>
            <family val="2"/>
          </rPr>
          <t xml:space="preserve">Sally Blair:
Ben, this section is triggered if column 01 "Include X Floors in Area Weighted Calc…." are selected above in ANY of the following subtables:
- Framed 
- SIPs
</t>
        </r>
      </text>
    </comment>
    <comment ref="C126" authorId="0" shapeId="0" xr:uid="{00000000-0006-0000-0B00-00002A000000}">
      <text>
        <r>
          <rPr>
            <sz val="9"/>
            <color indexed="81"/>
            <rFont val="Tahoma"/>
            <family val="2"/>
          </rPr>
          <t>2019 Update:
Need to make sure this is correctly area weighting per comments/ example in AWA table for floor assemblies &amp; not just summing these columns.</t>
        </r>
      </text>
    </comment>
    <comment ref="E126" authorId="0" shapeId="0" xr:uid="{00000000-0006-0000-0B00-00002B000000}">
      <text>
        <r>
          <rPr>
            <sz val="9"/>
            <color indexed="81"/>
            <rFont val="Tahoma"/>
            <family val="2"/>
          </rPr>
          <t>Sally Blair:
Says "COMPLIES" if column 03 &gt;= column 04 for all floor types.
Otherwise, says "DOES NOT COMPLY"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G7" authorId="0" shapeId="0" xr:uid="{00000000-0006-0000-0C00-000001000000}">
      <text>
        <r>
          <rPr>
            <b/>
            <sz val="9"/>
            <color indexed="10"/>
            <rFont val="Tahoma"/>
            <family val="2"/>
          </rPr>
          <t>8.6.21:</t>
        </r>
        <r>
          <rPr>
            <sz val="9"/>
            <color indexed="81"/>
            <rFont val="Tahoma"/>
            <family val="2"/>
          </rPr>
          <t xml:space="preserve">
This value comes from the Tables in Section 140.3.  Which table to use depends on the occupancy type from column 03:
Nonresidential &amp; Relocatables = Table 140.3-B
High-rise Res &amp; Hotel/Motel =Table 140.3-C
Relocatables All CZ =Table 140.3-D
Use "swinging" or "non-swinging" based on column 04.
</t>
        </r>
        <r>
          <rPr>
            <b/>
            <sz val="9"/>
            <color indexed="10"/>
            <rFont val="Tahoma"/>
            <family val="2"/>
          </rPr>
          <t>Multifamily Dwelling Unit Entry = 0.20
Multifamily Common area Non-swinging &amp; A03 CZ 1, 16 = 0.50
Multifamily Common area Non-swinging &amp; A03 CZ 2-15 = 0.50
Multifamily Common area Swinging = 0.70</t>
        </r>
      </text>
    </comment>
    <comment ref="I7" authorId="0" shapeId="0" xr:uid="{00000000-0006-0000-0C00-000002000000}">
      <text>
        <r>
          <rPr>
            <b/>
            <sz val="9"/>
            <color indexed="10"/>
            <rFont val="Tahoma"/>
            <family val="2"/>
          </rPr>
          <t xml:space="preserve">8.26.21:
</t>
        </r>
        <r>
          <rPr>
            <sz val="9"/>
            <color indexed="81"/>
            <rFont val="Tahoma"/>
            <family val="2"/>
          </rPr>
          <t>Correct table in JA4 is Table 4.5.1</t>
        </r>
        <r>
          <rPr>
            <b/>
            <sz val="9"/>
            <color indexed="10"/>
            <rFont val="Tahoma"/>
            <family val="2"/>
          </rPr>
          <t xml:space="preserve">
If "NFRC Rated Insulated Door.." selected in col 05 = 0.20
</t>
        </r>
      </text>
    </comment>
    <comment ref="D12" authorId="0" shapeId="0" xr:uid="{2749D62D-8A1D-47AB-A062-896F834C19B6}">
      <text>
        <r>
          <rPr>
            <b/>
            <sz val="9"/>
            <color indexed="10"/>
            <rFont val="Tahoma"/>
            <family val="2"/>
          </rPr>
          <t>8.6.21:
Greys out columns 05-07</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Alexis Markstrum</author>
    <author>tc={066E9EB0-715D-4C05-B70D-2B4E7C4A36EA}</author>
    <author>tc={C83F7F79-9313-442F-8CB1-B80F7F14756E}</author>
  </authors>
  <commentList>
    <comment ref="E5" authorId="0" shapeId="0" xr:uid="{00000000-0006-0000-0D00-000001000000}">
      <text>
        <r>
          <rPr>
            <b/>
            <sz val="9"/>
            <color indexed="81"/>
            <rFont val="Tahoma"/>
            <family val="2"/>
          </rPr>
          <t>Sally Blair:</t>
        </r>
        <r>
          <rPr>
            <sz val="9"/>
            <color indexed="81"/>
            <rFont val="Tahoma"/>
            <family val="2"/>
          </rPr>
          <t xml:space="preserve">
Triggers Vertical Fenestration- U-factor, SHGC, VT subtable, but does NOT trigger Vertical Fenestration and Glazed Doors- Total Building &amp; West Facing Area subtable.</t>
        </r>
      </text>
    </comment>
    <comment ref="F5" authorId="0" shapeId="0" xr:uid="{00000000-0006-0000-0D00-000002000000}">
      <text>
        <r>
          <rPr>
            <b/>
            <sz val="9"/>
            <color indexed="81"/>
            <rFont val="Tahoma"/>
            <family val="2"/>
          </rPr>
          <t>Sally Blair:</t>
        </r>
        <r>
          <rPr>
            <sz val="9"/>
            <color indexed="81"/>
            <rFont val="Tahoma"/>
            <family val="2"/>
          </rPr>
          <t xml:space="preserve">
These selections expand appropriate sub section of Table K.
Vertical (New) triggers "Vertical Fenestration and Glazed Doors- Total Building &amp; West Facing Area" subtable.
</t>
        </r>
        <r>
          <rPr>
            <sz val="9"/>
            <color indexed="81"/>
            <rFont val="Tahoma"/>
            <family val="2"/>
          </rPr>
          <t xml:space="preserve">
Glazed doors (new) checkbox should also trigger  "Vertical Fenestration and Glazed Doors- Total Building &amp; West Facing Area" subtable.</t>
        </r>
      </text>
    </comment>
    <comment ref="G5" authorId="0" shapeId="0" xr:uid="{D21C9057-5331-4FB8-ABEB-18FD9B3A8030}">
      <text>
        <r>
          <rPr>
            <b/>
            <sz val="9"/>
            <color indexed="10"/>
            <rFont val="Tahoma"/>
            <family val="2"/>
          </rPr>
          <t>8.6.21:
Triggers new MF Vertical/GD Total Buildng Area subtable AND
Vertical Fenestration- U-factor, SHGC, VT subtable</t>
        </r>
      </text>
    </comment>
    <comment ref="J5" authorId="0" shapeId="0" xr:uid="{00000000-0006-0000-0D00-000003000000}">
      <text>
        <r>
          <rPr>
            <b/>
            <sz val="9"/>
            <color indexed="81"/>
            <rFont val="Tahoma"/>
            <family val="2"/>
          </rPr>
          <t>7.30.20</t>
        </r>
        <r>
          <rPr>
            <sz val="9"/>
            <color indexed="81"/>
            <rFont val="Tahoma"/>
            <family val="2"/>
          </rPr>
          <t xml:space="preserve">
Needs to trigger both Vertical Fenestration and Glazed Doors- Total Building &amp; West Facing Area (New Construction &amp; Additions Only) subtable
</t>
        </r>
        <r>
          <rPr>
            <b/>
            <sz val="9"/>
            <color indexed="81"/>
            <rFont val="Tahoma"/>
            <family val="2"/>
          </rPr>
          <t xml:space="preserve">
</t>
        </r>
        <r>
          <rPr>
            <sz val="9"/>
            <color indexed="81"/>
            <rFont val="Tahoma"/>
            <family val="2"/>
          </rPr>
          <t>AND
Vertical Fenestration and Glazed Doors- U-factor, Solar Heat Gain Coefficient (RSHGC/SHGC), Visible Transmittance (VT) Subtable</t>
        </r>
      </text>
    </comment>
    <comment ref="D13" authorId="0" shapeId="0" xr:uid="{00000000-0006-0000-0D00-000006000000}">
      <text>
        <r>
          <rPr>
            <b/>
            <sz val="9"/>
            <color indexed="81"/>
            <rFont val="Tahoma"/>
            <family val="2"/>
          </rPr>
          <t>Sally Blair:</t>
        </r>
        <r>
          <rPr>
            <sz val="9"/>
            <color indexed="81"/>
            <rFont val="Tahoma"/>
            <family val="2"/>
          </rPr>
          <t xml:space="preserve">
Equals the greater of (0.40x column 03) or (6x column 04) summed for all areas </t>
        </r>
      </text>
    </comment>
    <comment ref="H13" authorId="0" shapeId="0" xr:uid="{00000000-0006-0000-0D00-000007000000}">
      <text>
        <r>
          <rPr>
            <b/>
            <sz val="9"/>
            <color indexed="81"/>
            <rFont val="Tahoma"/>
            <family val="2"/>
          </rPr>
          <t>Sally Blair:</t>
        </r>
        <r>
          <rPr>
            <sz val="9"/>
            <color indexed="81"/>
            <rFont val="Tahoma"/>
            <family val="2"/>
          </rPr>
          <t xml:space="preserve">
Equals sum of column 05 for all areas</t>
        </r>
      </text>
    </comment>
    <comment ref="D14" authorId="0" shapeId="0" xr:uid="{00000000-0006-0000-0D00-000008000000}">
      <text>
        <r>
          <rPr>
            <b/>
            <sz val="9"/>
            <color indexed="81"/>
            <rFont val="Tahoma"/>
            <family val="2"/>
          </rPr>
          <t>Sally Blair:</t>
        </r>
        <r>
          <rPr>
            <sz val="9"/>
            <color indexed="81"/>
            <rFont val="Tahoma"/>
            <family val="2"/>
          </rPr>
          <t xml:space="preserve">
Equals the greater of (0.40x column 03) or (6x column 04) summed for all areas where column 02 = "West"
</t>
        </r>
      </text>
    </comment>
    <comment ref="H14" authorId="0" shapeId="0" xr:uid="{00000000-0006-0000-0D00-000009000000}">
      <text>
        <r>
          <rPr>
            <b/>
            <sz val="9"/>
            <color indexed="81"/>
            <rFont val="Tahoma"/>
            <family val="2"/>
          </rPr>
          <t>Sally Blair:</t>
        </r>
        <r>
          <rPr>
            <sz val="9"/>
            <color indexed="81"/>
            <rFont val="Tahoma"/>
            <family val="2"/>
          </rPr>
          <t xml:space="preserve">
Equals sum of column 05 for all areas where column 02 = "West"</t>
        </r>
      </text>
    </comment>
    <comment ref="A20" authorId="0" shapeId="0" xr:uid="{DA19E038-C30D-41AE-98B7-53C86F900A79}">
      <text>
        <r>
          <rPr>
            <b/>
            <sz val="9"/>
            <color indexed="10"/>
            <rFont val="Tahoma"/>
            <family val="2"/>
          </rPr>
          <t>8.6.21:
This table is new for 2022 &amp; is exactly like the Vertical Fenestration Area table above except for changes notated in red.</t>
        </r>
      </text>
    </comment>
    <comment ref="D26" authorId="0" shapeId="0" xr:uid="{F429BC65-456A-4371-BC1F-CEF95C036C66}">
      <text>
        <r>
          <rPr>
            <b/>
            <sz val="9"/>
            <color indexed="81"/>
            <rFont val="Tahoma"/>
            <family val="2"/>
          </rPr>
          <t>8.6.21:</t>
        </r>
        <r>
          <rPr>
            <sz val="9"/>
            <color indexed="81"/>
            <rFont val="Tahoma"/>
            <family val="2"/>
          </rPr>
          <t xml:space="preserve">
Equals the</t>
        </r>
        <r>
          <rPr>
            <b/>
            <sz val="9"/>
            <color indexed="10"/>
            <rFont val="Tahoma"/>
            <family val="2"/>
          </rPr>
          <t xml:space="preserve"> lesser of</t>
        </r>
        <r>
          <rPr>
            <sz val="9"/>
            <color indexed="81"/>
            <rFont val="Tahoma"/>
            <family val="2"/>
          </rPr>
          <t xml:space="preserve"> (0.40x column 03) or (</t>
        </r>
        <r>
          <rPr>
            <b/>
            <sz val="9"/>
            <color indexed="10"/>
            <rFont val="Tahoma"/>
            <family val="2"/>
          </rPr>
          <t xml:space="preserve">0.20 </t>
        </r>
        <r>
          <rPr>
            <sz val="9"/>
            <color indexed="81"/>
            <rFont val="Tahoma"/>
            <family val="2"/>
          </rPr>
          <t xml:space="preserve">x column 04) summed for all areas </t>
        </r>
      </text>
    </comment>
    <comment ref="H26" authorId="0" shapeId="0" xr:uid="{A8594030-DB85-4F12-8DAE-9CAF052D3F7C}">
      <text>
        <r>
          <rPr>
            <b/>
            <sz val="9"/>
            <color indexed="81"/>
            <rFont val="Tahoma"/>
            <family val="2"/>
          </rPr>
          <t>Sally Blair:</t>
        </r>
        <r>
          <rPr>
            <sz val="9"/>
            <color indexed="81"/>
            <rFont val="Tahoma"/>
            <family val="2"/>
          </rPr>
          <t xml:space="preserve">
Equals sum of column 05 for all areas</t>
        </r>
      </text>
    </comment>
    <comment ref="J41" authorId="0" shapeId="0" xr:uid="{00000000-0006-0000-0D00-00000C000000}">
      <text>
        <r>
          <rPr>
            <b/>
            <sz val="9"/>
            <color indexed="81"/>
            <rFont val="Tahoma"/>
            <family val="2"/>
          </rPr>
          <t>Sally Blair:</t>
        </r>
        <r>
          <rPr>
            <sz val="9"/>
            <color indexed="81"/>
            <rFont val="Tahoma"/>
            <family val="2"/>
          </rPr>
          <t xml:space="preserve">
This column opens for user input if "NFRC Certified" is selected in column 09.  Otherwise, the # comes from  column 19 if "NA6 default" chosen, or column 25 if "S110.6 Default" chosen. 
If column 09 "Overhang used..." is checked, RSHGC from column 32 overrides the SHGC in columns 19 or 25.
ACK! </t>
        </r>
      </text>
    </comment>
    <comment ref="I43" authorId="0" shapeId="0" xr:uid="{00000000-0006-0000-0D00-00000E000000}">
      <text>
        <r>
          <rPr>
            <b/>
            <sz val="9"/>
            <color indexed="10"/>
            <rFont val="Tahoma"/>
            <family val="2"/>
          </rPr>
          <t>7.30.21:</t>
        </r>
        <r>
          <rPr>
            <sz val="9"/>
            <color indexed="81"/>
            <rFont val="Tahoma"/>
            <family val="2"/>
          </rPr>
          <t xml:space="preserve">
For "New" assemblies (column 06), this value comes from the Tables in Section 140.3.  Which table to use depends on the occupancy type from column 06:
</t>
        </r>
        <r>
          <rPr>
            <b/>
            <sz val="9"/>
            <color indexed="10"/>
            <rFont val="Tahoma"/>
            <family val="2"/>
          </rPr>
          <t>Nonresidential &amp; Relocatables = Table 140.3-B
*Please review, Ufactor &amp; SHGC values for Fixed, Curtainwall &amp; Storefront changed and are now dependent on CZ from A05.</t>
        </r>
        <r>
          <rPr>
            <sz val="9"/>
            <color indexed="81"/>
            <rFont val="Tahoma"/>
            <family val="2"/>
          </rPr>
          <t xml:space="preserve">
</t>
        </r>
        <r>
          <rPr>
            <b/>
            <strike/>
            <sz val="9"/>
            <color indexed="10"/>
            <rFont val="Tahoma"/>
            <family val="2"/>
          </rPr>
          <t xml:space="preserve">High-rise Res &amp; </t>
        </r>
        <r>
          <rPr>
            <sz val="9"/>
            <color indexed="81"/>
            <rFont val="Tahoma"/>
            <family val="2"/>
          </rPr>
          <t xml:space="preserve">Hotel/Motel =Table 140.3-C
Relocatables All CZ =Table 140.3-D
</t>
        </r>
        <r>
          <rPr>
            <b/>
            <sz val="9"/>
            <color indexed="10"/>
            <rFont val="Tahoma"/>
            <family val="2"/>
          </rPr>
          <t>Dwelling Units requirements come from Table 170.2-A or Table 180.2-B depending on selection in 07.</t>
        </r>
        <r>
          <rPr>
            <sz val="9"/>
            <color indexed="81"/>
            <rFont val="Tahoma"/>
            <family val="2"/>
          </rPr>
          <t xml:space="preserve">
Required value depends on selection from column 05.
For fen in demising walls selection in 05, use requirement for storefront.
For "Alt" assemblies  (column 06), the requirement is based on the selection in column 06:
- "Replacement &gt; 150ft2" and "Replacement &lt; 150ft2" = values from Table 141.0-A based on CZ from Table A column 03.  I've copied Table 141.0-A to the right for your reference.
- "Adding New &gt; 50ft2" and "Adding New &lt; 50ft2" = Table 140.3-B/C/D, depending on occupancy in column 06.</t>
        </r>
      </text>
    </comment>
    <comment ref="I44" authorId="0" shapeId="0" xr:uid="{00000000-0006-0000-0D00-00000F000000}">
      <text>
        <r>
          <rPr>
            <b/>
            <sz val="9"/>
            <color indexed="10"/>
            <rFont val="Tahoma"/>
            <family val="2"/>
          </rPr>
          <t>7.30.21:</t>
        </r>
        <r>
          <rPr>
            <sz val="9"/>
            <color indexed="81"/>
            <rFont val="Tahoma"/>
            <family val="2"/>
          </rPr>
          <t xml:space="preserve">
If "Table 140.3-B/C/D" is selected in column 07, this value comes from the Tables in Section 140.3.  Which table to use depends on the occupancy type from column 06:
</t>
        </r>
        <r>
          <rPr>
            <b/>
            <sz val="9"/>
            <color indexed="10"/>
            <rFont val="Tahoma"/>
            <family val="2"/>
          </rPr>
          <t>Nonresidential &amp; Relocatables = Table 140.3-B
*Please review, Ufactor &amp; SHGC values for Fixed, Curtainwall &amp; Storefront changed and are now dependent on CZ from A05</t>
        </r>
        <r>
          <rPr>
            <sz val="9"/>
            <color indexed="81"/>
            <rFont val="Tahoma"/>
            <family val="2"/>
          </rPr>
          <t xml:space="preserve">.
</t>
        </r>
        <r>
          <rPr>
            <b/>
            <strike/>
            <sz val="9"/>
            <color indexed="10"/>
            <rFont val="Tahoma"/>
            <family val="2"/>
          </rPr>
          <t>High-rise Res &amp;</t>
        </r>
        <r>
          <rPr>
            <sz val="9"/>
            <color indexed="81"/>
            <rFont val="Tahoma"/>
            <family val="2"/>
          </rPr>
          <t xml:space="preserve"> Hotel/Motel =Table 140.3-C
Relocatables All CZ =Table 140.3-D
</t>
        </r>
        <r>
          <rPr>
            <b/>
            <sz val="9"/>
            <color indexed="10"/>
            <rFont val="Tahoma"/>
            <family val="2"/>
          </rPr>
          <t>Dwelling Units requirements come from Table 170.2-A or Table 180.2-B depending on selection in 07.</t>
        </r>
        <r>
          <rPr>
            <sz val="9"/>
            <color indexed="81"/>
            <rFont val="Tahoma"/>
            <family val="2"/>
          </rPr>
          <t xml:space="preserve">
Required value depends on selection from column 05.
If "1st flr display perimeter-no overhang" is selected in column 07, this value is 0.56 </t>
        </r>
        <r>
          <rPr>
            <b/>
            <sz val="9"/>
            <color indexed="10"/>
            <rFont val="Tahoma"/>
            <family val="2"/>
          </rPr>
          <t>[applies to dwelling units too]</t>
        </r>
        <r>
          <rPr>
            <sz val="9"/>
            <color indexed="81"/>
            <rFont val="Tahoma"/>
            <family val="2"/>
          </rPr>
          <t xml:space="preserve">
If "Table 141.0-A" is selected in column 07, this value = values from Table 141.0-A based on CZ from Table A column 03.  I've copied Table 141.0-A to the right for your reference.</t>
        </r>
      </text>
    </comment>
    <comment ref="F45" authorId="0" shapeId="0" xr:uid="{00000000-0006-0000-0D00-000010000000}">
      <text>
        <r>
          <rPr>
            <b/>
            <sz val="9"/>
            <color indexed="81"/>
            <rFont val="Tahoma"/>
            <family val="2"/>
          </rPr>
          <t>Clarification Update 7.22.20:</t>
        </r>
        <r>
          <rPr>
            <sz val="9"/>
            <color indexed="81"/>
            <rFont val="Tahoma"/>
            <family val="2"/>
          </rPr>
          <t xml:space="preserve">
This selection triggers the Overhang section to expand for user input. Otherwise, minimize it.
When selected, the RSHGC per design in 12 should not be user input. It should mirror the RSHGC value from K32 in this sub-table.
</t>
        </r>
        <r>
          <rPr>
            <b/>
            <sz val="9"/>
            <color indexed="81"/>
            <rFont val="Tahoma"/>
            <family val="2"/>
          </rPr>
          <t>This is grayed out if RSHGC column 11 and 12 are grayed out.</t>
        </r>
      </text>
    </comment>
    <comment ref="I45" authorId="0" shapeId="0" xr:uid="{00000000-0006-0000-0D00-000011000000}">
      <text>
        <r>
          <rPr>
            <b/>
            <sz val="9"/>
            <color indexed="10"/>
            <rFont val="Tahoma"/>
            <family val="2"/>
          </rPr>
          <t>7.30.21:</t>
        </r>
        <r>
          <rPr>
            <sz val="9"/>
            <color indexed="81"/>
            <rFont val="Tahoma"/>
            <family val="2"/>
          </rPr>
          <t xml:space="preserve">
If "Table 140.3-B/C/D" is selected in column 08, this value comes from the Tables in Section 140.3.  Which table to use depends on the occupancy type from column 06:
Nonresidential &amp; Relocatables = Table 140.3-B
</t>
        </r>
        <r>
          <rPr>
            <b/>
            <strike/>
            <sz val="9"/>
            <color indexed="10"/>
            <rFont val="Tahoma"/>
            <family val="2"/>
          </rPr>
          <t>High-rise Res &amp;</t>
        </r>
        <r>
          <rPr>
            <sz val="9"/>
            <color indexed="81"/>
            <rFont val="Tahoma"/>
            <family val="2"/>
          </rPr>
          <t xml:space="preserve"> Hotel/Motel =Table 140.3-C
Relocatables All CZ =Table 140.3-D
</t>
        </r>
        <r>
          <rPr>
            <b/>
            <sz val="9"/>
            <color indexed="10"/>
            <rFont val="Tahoma"/>
            <family val="2"/>
          </rPr>
          <t>Dwelling Units requirements come from Table 170.2-A or Table 180.2-B depending on selection in 08.</t>
        </r>
        <r>
          <rPr>
            <sz val="9"/>
            <color indexed="81"/>
            <rFont val="Tahoma"/>
            <family val="2"/>
          </rPr>
          <t xml:space="preserve">
Required value depends on selection from column 05.
If "Equation 140.3-B (new only)" is selected in column 08, this value is calculated by: =0.11/WWR 
where WWR = column 07/ sum of column 03 for all areas (both from Total Building &amp; West Facing Area subtable) OR 0.40, whichever is less.
</t>
        </r>
        <r>
          <rPr>
            <b/>
            <sz val="9"/>
            <color indexed="10"/>
            <rFont val="Tahoma"/>
            <family val="2"/>
          </rPr>
          <t>If "Equation 170.2-B (new only)" is selected in column 08, this value is calculated by: =0.11/WWR 
where WWR = column 07/ sum of column 03 for all areas (both from Multifamily Vertical Fenestration and Glazed Doors- Total Building Area subtable) OR 0.40, whichever is less. Same calc as existing for NR, but use MF subtable instead.</t>
        </r>
      </text>
    </comment>
    <comment ref="B54" authorId="1" shapeId="0" xr:uid="{00000000-0006-0000-0D00-000014000000}">
      <text>
        <r>
          <rPr>
            <b/>
            <sz val="9"/>
            <color indexed="81"/>
            <rFont val="Tahoma"/>
            <family val="2"/>
          </rPr>
          <t>7/30/20:</t>
        </r>
        <r>
          <rPr>
            <sz val="9"/>
            <color indexed="81"/>
            <rFont val="Tahoma"/>
            <family val="2"/>
          </rPr>
          <t xml:space="preserve">
If triggered, K20 greys out when "Glazed Door" is selected in K.05</t>
        </r>
      </text>
    </comment>
    <comment ref="H57" authorId="0" shapeId="0" xr:uid="{00000000-0006-0000-0D00-000016000000}">
      <text>
        <r>
          <rPr>
            <b/>
            <sz val="9"/>
            <color indexed="81"/>
            <rFont val="Tahoma"/>
            <family val="2"/>
          </rPr>
          <t>Sally Blair:</t>
        </r>
        <r>
          <rPr>
            <sz val="9"/>
            <color indexed="81"/>
            <rFont val="Tahoma"/>
            <family val="2"/>
          </rPr>
          <t xml:space="preserve">
For the default here use the NA6 equation where VTc = 1.  That means we can just use the VTF values directly based on columns 05 &amp; 21. </t>
        </r>
      </text>
    </comment>
    <comment ref="H61" authorId="0" shapeId="0" xr:uid="{00000000-0006-0000-0D00-000017000000}">
      <text>
        <r>
          <rPr>
            <b/>
            <sz val="9"/>
            <color indexed="10"/>
            <rFont val="Tahoma"/>
            <family val="2"/>
          </rPr>
          <t>7.30.21
This equation has been updated- see screenshot to the right (&amp; down)
The equation is the same for S170.2 Multifamily</t>
        </r>
      </text>
    </comment>
    <comment ref="F62" authorId="0" shapeId="0" xr:uid="{00000000-0006-0000-0D00-000018000000}">
      <text>
        <r>
          <rPr>
            <b/>
            <sz val="9"/>
            <color indexed="10"/>
            <rFont val="Tahoma"/>
            <family val="2"/>
          </rPr>
          <t>7.30.21</t>
        </r>
        <r>
          <rPr>
            <b/>
            <strike/>
            <sz val="9"/>
            <color indexed="10"/>
            <rFont val="Tahoma"/>
            <family val="2"/>
          </rPr>
          <t xml:space="preserve">
If this says "DNC", Table C should say DNC for Table K. &amp; the note on Table D row 13 should be triggered.
2019 Update: Note in Table D is being triggered using NFRC in column 09, but the trigger for that note should be this.
</t>
        </r>
        <r>
          <rPr>
            <b/>
            <sz val="9"/>
            <color indexed="10"/>
            <rFont val="Tahoma"/>
            <family val="2"/>
          </rPr>
          <t>Removng this for 2022. Too complex.</t>
        </r>
      </text>
    </comment>
    <comment ref="J63" authorId="0" shapeId="0" xr:uid="{00000000-0006-0000-0D00-000019000000}">
      <text>
        <r>
          <rPr>
            <b/>
            <sz val="9"/>
            <color indexed="81"/>
            <rFont val="Tahoma"/>
            <family val="2"/>
          </rPr>
          <t>Sally Blair:</t>
        </r>
        <r>
          <rPr>
            <sz val="9"/>
            <color indexed="81"/>
            <rFont val="Tahoma"/>
            <family val="2"/>
          </rPr>
          <t xml:space="preserve">
This would add columns 04-13, but not column headings, just the user input row.</t>
        </r>
      </text>
    </comment>
    <comment ref="C67" authorId="1" shapeId="0" xr:uid="{00000000-0006-0000-0D00-00001B000000}">
      <text>
        <r>
          <rPr>
            <b/>
            <sz val="9"/>
            <color indexed="10"/>
            <rFont val="Tahoma"/>
            <family val="2"/>
          </rPr>
          <t xml:space="preserve">8.6.21
</t>
        </r>
        <r>
          <rPr>
            <b/>
            <strike/>
            <sz val="9"/>
            <color indexed="10"/>
            <rFont val="Tahoma"/>
            <family val="2"/>
          </rPr>
          <t>Custom dropdown when anything other than "Glazed Door" is selected in 05</t>
        </r>
        <r>
          <rPr>
            <b/>
            <sz val="9"/>
            <color indexed="10"/>
            <rFont val="Tahoma"/>
            <family val="2"/>
          </rPr>
          <t xml:space="preserve">
Removing custom dropdown for 2022 update</t>
        </r>
      </text>
    </comment>
    <comment ref="D67" authorId="0" shapeId="0" xr:uid="{00000000-0006-0000-0D00-00001C000000}">
      <text>
        <r>
          <rPr>
            <b/>
            <sz val="9"/>
            <color indexed="10"/>
            <rFont val="Tahoma"/>
            <family val="2"/>
          </rPr>
          <t>8.6.21:</t>
        </r>
        <r>
          <rPr>
            <sz val="9"/>
            <color indexed="81"/>
            <rFont val="Tahoma"/>
            <family val="2"/>
          </rPr>
          <t xml:space="preserve">
Dropdown if any of the following selected in column 06:
- Nonres/Relocatable 1 CZ: New
- </t>
        </r>
        <r>
          <rPr>
            <b/>
            <strike/>
            <sz val="9"/>
            <color indexed="10"/>
            <rFont val="Tahoma"/>
            <family val="2"/>
          </rPr>
          <t xml:space="preserve">High-rise Res/ </t>
        </r>
        <r>
          <rPr>
            <sz val="9"/>
            <color indexed="81"/>
            <rFont val="Tahoma"/>
            <family val="2"/>
          </rPr>
          <t xml:space="preserve">H/M: New
- Relocatable all CZ: New. 
</t>
        </r>
        <r>
          <rPr>
            <b/>
            <strike/>
            <sz val="9"/>
            <color indexed="10"/>
            <rFont val="Tahoma"/>
            <family val="2"/>
          </rPr>
          <t>OR if
"Glazed Door" selected in 05</t>
        </r>
      </text>
    </comment>
    <comment ref="E67" authorId="0" shapeId="0" xr:uid="{00000000-0006-0000-0D00-00001D000000}">
      <text>
        <r>
          <rPr>
            <b/>
            <sz val="9"/>
            <color indexed="10"/>
            <rFont val="Tahoma"/>
            <family val="2"/>
          </rPr>
          <t>8.6.21:</t>
        </r>
        <r>
          <rPr>
            <sz val="9"/>
            <color indexed="81"/>
            <rFont val="Tahoma"/>
            <family val="2"/>
          </rPr>
          <t xml:space="preserve">
Dropdown if any of the following selected in column 06:
- Nonres/Relocatable 1 CZ: New
- High-rise Res/ H/M: New
- Relocatable all CZ: New
</t>
        </r>
        <r>
          <rPr>
            <b/>
            <strike/>
            <sz val="9"/>
            <color indexed="10"/>
            <rFont val="Tahoma"/>
            <family val="2"/>
          </rPr>
          <t>OR if
- Glazed Door (05) Nonresidential/ Relocatable 1 CZ &amp; (06)
- Glazed Door (05) &amp; High-rise Res/ Hotel/ Motel (06)</t>
        </r>
      </text>
    </comment>
    <comment ref="F67" authorId="0" shapeId="0" xr:uid="{96AFEF12-CEF2-4B5A-B2D0-528F9AE1416B}">
      <text>
        <r>
          <rPr>
            <b/>
            <sz val="9"/>
            <color indexed="10"/>
            <rFont val="Tahoma"/>
            <family val="2"/>
          </rPr>
          <t>8.6.21:
Custom dropdown if col 06 is any of the following:
- Dwelling Units &lt;= 3 stories: Alt. (Replacement &gt; 150ft2)
- Dwelling Units &lt;= 3 stories: Alt. (Replacement &lt;= 150ft2)
- Dwelling Units &lt;= 3 stories: Alt. (Adding New &gt; 50ft2)
- Dwelling Units &gt; 3 stories: Alt. (Replacement &gt; 150ft2)
- Dwelling Units &gt; 3 stories: Alt. (Replacement &lt;= 150ft2)
- Dwelling Units &gt; 3 stories: Alt. (Adding New &gt; 50ft2)</t>
        </r>
      </text>
    </comment>
    <comment ref="D69" authorId="0" shapeId="0" xr:uid="{00000000-0006-0000-0D00-00001E000000}">
      <text>
        <r>
          <rPr>
            <b/>
            <sz val="9"/>
            <color indexed="81"/>
            <rFont val="Tahoma"/>
            <family val="2"/>
          </rPr>
          <t>Sally Blair:</t>
        </r>
        <r>
          <rPr>
            <sz val="9"/>
            <color indexed="81"/>
            <rFont val="Tahoma"/>
            <family val="2"/>
          </rPr>
          <t xml:space="preserve">
This selection populates (R)SHGC row in column 11 with "0.56"</t>
        </r>
      </text>
    </comment>
    <comment ref="C70" authorId="0" shapeId="0" xr:uid="{00000000-0006-0000-0D00-000020000000}">
      <text>
        <r>
          <rPr>
            <b/>
            <sz val="9"/>
            <color indexed="81"/>
            <rFont val="Tahoma"/>
            <family val="2"/>
          </rPr>
          <t>2019 Update:</t>
        </r>
        <r>
          <rPr>
            <sz val="9"/>
            <color indexed="81"/>
            <rFont val="Tahoma"/>
            <family val="2"/>
          </rPr>
          <t xml:space="preserve">
"Relocatable all CZ: New" and "Relocatable all CZ: Alt. (Replacement &gt; 150ft2)" and "Relocatable all CZ: Alt.(Adding New &gt; 50ft2)" Should grey out column 08 &amp;  "VT" row in columns 11 &amp; 12 because there are no VT requirements.</t>
        </r>
      </text>
    </comment>
    <comment ref="D70" authorId="0" shapeId="0" xr:uid="{00000000-0006-0000-0D00-000021000000}">
      <text>
        <r>
          <rPr>
            <b/>
            <sz val="9"/>
            <color indexed="10"/>
            <rFont val="Tahoma"/>
            <family val="2"/>
          </rPr>
          <t>8.6.21:</t>
        </r>
        <r>
          <rPr>
            <sz val="9"/>
            <color indexed="81"/>
            <rFont val="Tahoma"/>
            <family val="2"/>
          </rPr>
          <t xml:space="preserve">
Dropdown if any of the following selected in column 06:
- Nonres/Relocatable 1 CZ: Alt.(Adding New &gt; 50ft2)
- </t>
        </r>
        <r>
          <rPr>
            <b/>
            <strike/>
            <sz val="9"/>
            <color indexed="10"/>
            <rFont val="Tahoma"/>
            <family val="2"/>
          </rPr>
          <t xml:space="preserve">High-rise Res/ </t>
        </r>
        <r>
          <rPr>
            <sz val="9"/>
            <color indexed="81"/>
            <rFont val="Tahoma"/>
            <family val="2"/>
          </rPr>
          <t xml:space="preserve">H/M: Alt.(Adding New &gt; 50ft2)
- Relocatable all CZ: Alt.(Adding New &gt; 50ft2)
- Nonres/Relocatable 1 CZ: Alt.(Adding New &lt;= 50ft2)
- </t>
        </r>
        <r>
          <rPr>
            <b/>
            <strike/>
            <sz val="9"/>
            <color indexed="10"/>
            <rFont val="Tahoma"/>
            <family val="2"/>
          </rPr>
          <t>High-rise Res/</t>
        </r>
        <r>
          <rPr>
            <sz val="9"/>
            <color indexed="81"/>
            <rFont val="Tahoma"/>
            <family val="2"/>
          </rPr>
          <t xml:space="preserve"> H/M: Alt.(Adding New &lt;= 50ft2)
- Relocatable all CZ: Alt.(Adding New &lt;= 50ft2)</t>
        </r>
      </text>
    </comment>
    <comment ref="E70" authorId="0" shapeId="0" xr:uid="{00000000-0006-0000-0D00-000022000000}">
      <text>
        <r>
          <rPr>
            <b/>
            <sz val="9"/>
            <color indexed="81"/>
            <rFont val="Tahoma"/>
            <family val="2"/>
          </rPr>
          <t>Sally Blair:</t>
        </r>
        <r>
          <rPr>
            <sz val="9"/>
            <color indexed="81"/>
            <rFont val="Tahoma"/>
            <family val="2"/>
          </rPr>
          <t xml:space="preserve">
This selection greys out VT row in column 11 &amp; 12.</t>
        </r>
      </text>
    </comment>
    <comment ref="F70" authorId="0" shapeId="0" xr:uid="{00000000-0006-0000-0D00-000023000000}">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E71" authorId="0" shapeId="0" xr:uid="{00000000-0006-0000-0D00-000024000000}">
      <text>
        <r>
          <rPr>
            <b/>
            <sz val="9"/>
            <color indexed="10"/>
            <rFont val="Tahoma"/>
            <family val="2"/>
          </rPr>
          <t>8.6.21:</t>
        </r>
        <r>
          <rPr>
            <sz val="9"/>
            <color indexed="81"/>
            <rFont val="Tahoma"/>
            <family val="2"/>
          </rPr>
          <t xml:space="preserve">
Dropdown if any of the following selected in column 06:
- Nonres/Relocatable 1 CZ: Alt.(Adding New &gt; 50ft2)
- </t>
        </r>
        <r>
          <rPr>
            <b/>
            <strike/>
            <sz val="9"/>
            <color indexed="10"/>
            <rFont val="Tahoma"/>
            <family val="2"/>
          </rPr>
          <t>High-rise Res/</t>
        </r>
        <r>
          <rPr>
            <sz val="9"/>
            <color indexed="81"/>
            <rFont val="Tahoma"/>
            <family val="2"/>
          </rPr>
          <t xml:space="preserve"> H/M: Alt.(Adding New &gt; 50ft2)
- Relocatable all CZ: Alt.(Adding New &gt; 50ft2)
- Nonres/Relocatable 1 CZ: Alt.(Replacement &gt; 150ft2)
- </t>
        </r>
        <r>
          <rPr>
            <b/>
            <strike/>
            <sz val="9"/>
            <color indexed="10"/>
            <rFont val="Tahoma"/>
            <family val="2"/>
          </rPr>
          <t xml:space="preserve">High-rise Res/ </t>
        </r>
        <r>
          <rPr>
            <sz val="9"/>
            <color indexed="81"/>
            <rFont val="Tahoma"/>
            <family val="2"/>
          </rPr>
          <t>H/M: Alt.(Replacement &gt; 150ft2)
- Relocatable all CZ: Alt.(Replacement &gt; 150ft2)</t>
        </r>
      </text>
    </comment>
    <comment ref="B72" authorId="0" shapeId="0" xr:uid="{00000000-0006-0000-0D00-000025000000}">
      <text>
        <r>
          <rPr>
            <b/>
            <sz val="9"/>
            <color indexed="81"/>
            <rFont val="Tahoma"/>
            <family val="2"/>
          </rPr>
          <t>Sally Blair:</t>
        </r>
        <r>
          <rPr>
            <sz val="9"/>
            <color indexed="81"/>
            <rFont val="Tahoma"/>
            <family val="2"/>
          </rPr>
          <t xml:space="preserve">
This selection greys out columns 06 through 13 for this row.</t>
        </r>
      </text>
    </comment>
    <comment ref="D72" authorId="0" shapeId="0" xr:uid="{00000000-0006-0000-0D00-000026000000}">
      <text>
        <r>
          <rPr>
            <b/>
            <sz val="9"/>
            <color indexed="10"/>
            <rFont val="Tahoma"/>
            <family val="2"/>
          </rPr>
          <t>8.6.21:</t>
        </r>
        <r>
          <rPr>
            <sz val="9"/>
            <color indexed="81"/>
            <rFont val="Tahoma"/>
            <family val="2"/>
          </rPr>
          <t xml:space="preserve">
Dropdown if any of the following selected in column 06:
- Nonres/Relocatable 1 CZ: Alt.(Replacement &gt; 150ft2)
- </t>
        </r>
        <r>
          <rPr>
            <b/>
            <strike/>
            <sz val="9"/>
            <color indexed="10"/>
            <rFont val="Tahoma"/>
            <family val="2"/>
          </rPr>
          <t xml:space="preserve">High-rise Res/ </t>
        </r>
        <r>
          <rPr>
            <sz val="9"/>
            <color indexed="81"/>
            <rFont val="Tahoma"/>
            <family val="2"/>
          </rPr>
          <t xml:space="preserve">H/M: Alt.(Replacement &gt; 150ft2)
- Relocatable all CZ: Alt.(Replacement &gt; 150ft2)
- </t>
        </r>
        <r>
          <rPr>
            <b/>
            <strike/>
            <sz val="9"/>
            <color indexed="10"/>
            <rFont val="Tahoma"/>
            <family val="2"/>
          </rPr>
          <t xml:space="preserve">Any </t>
        </r>
        <r>
          <rPr>
            <sz val="9"/>
            <color indexed="81"/>
            <rFont val="Tahoma"/>
            <family val="2"/>
          </rPr>
          <t xml:space="preserve">Occupancy </t>
        </r>
        <r>
          <rPr>
            <b/>
            <sz val="9"/>
            <color indexed="10"/>
            <rFont val="Tahoma"/>
            <family val="2"/>
          </rPr>
          <t>other than dwelling unit</t>
        </r>
        <r>
          <rPr>
            <sz val="9"/>
            <color indexed="81"/>
            <rFont val="Tahoma"/>
            <family val="2"/>
          </rPr>
          <t xml:space="preserve">: Alt.(Replacement &lt;= 150ft2)
</t>
        </r>
      </text>
    </comment>
    <comment ref="F72" authorId="0" shapeId="0" xr:uid="{934FEA34-6C2A-4382-926B-F68D29678255}">
      <text>
        <r>
          <rPr>
            <b/>
            <sz val="9"/>
            <color indexed="10"/>
            <rFont val="Tahoma"/>
            <family val="2"/>
          </rPr>
          <t>8.6.21:
Custom dropdown if col 06 is any of the following:
- Nonres/Relocatable 1 CZ: New
- Hotel/Motel: New
- Relocatable all CZ: New
- Nonres/Relocatable 1 CZ: Alt. (Replacement..)
- Hotel/Motel: Alt. (Replacement..)
- Relocatable all CZ: Alt. (Replacement..)
- Occupancy other than dwelling unit: Alt. (Replacement..)
- Nonres/Relocatable 1 CZ: Alt. (Adding New &gt; 50..)
- Hotel/Motel: Alt. (Adding New &gt; 50..)
- Relocatable all CZ: Alt. (Adding New &gt; 50..)
- Nonres/Relocatable 1 CZ: Alt. (Adding New &lt;= 50..)
- Hotel/Motel: Alt. (Adding New &lt;= 50..)
- Relocatable all CZ: Alt. (Adding New &lt;= 50..)
- Dwelling units &lt;= 3 stories: New
- Dwelling Units &gt; 3 stories: New</t>
        </r>
      </text>
    </comment>
    <comment ref="B73" authorId="0" shapeId="0" xr:uid="{00000000-0006-0000-0D00-000027000000}">
      <text>
        <r>
          <rPr>
            <b/>
            <sz val="9"/>
            <color indexed="81"/>
            <rFont val="Tahoma"/>
            <family val="2"/>
          </rPr>
          <t>2019 Update:</t>
        </r>
        <r>
          <rPr>
            <sz val="9"/>
            <color indexed="81"/>
            <rFont val="Tahoma"/>
            <family val="2"/>
          </rPr>
          <t xml:space="preserve">
If chosen by user, grey out columns 07, 08, overhang button in column 09,  &amp; RSHGC/VT rows in columns 11&amp;12.</t>
        </r>
      </text>
    </comment>
    <comment ref="C74" authorId="0" shapeId="0" xr:uid="{00000000-0006-0000-0D00-000029000000}">
      <text>
        <r>
          <rPr>
            <b/>
            <sz val="9"/>
            <color indexed="81"/>
            <rFont val="Tahoma"/>
            <family val="2"/>
          </rPr>
          <t>Sally Blair:</t>
        </r>
        <r>
          <rPr>
            <sz val="9"/>
            <color indexed="81"/>
            <rFont val="Tahoma"/>
            <family val="2"/>
          </rPr>
          <t xml:space="preserve">
greys out columns 07 &amp; 08 &amp; RSHGC &amp; VT rows in columns 11 &amp; 12.</t>
        </r>
      </text>
    </comment>
    <comment ref="E74" authorId="0" shapeId="0" xr:uid="{F86B1415-1705-43DB-921B-FCE94BF06E53}">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Dwellng Units &gt; 3 stories: New</t>
        </r>
      </text>
    </comment>
    <comment ref="F74" authorId="0" shapeId="0" xr:uid="{9176145A-D8FD-4688-9012-9A60F6B18497}">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D75" authorId="0" shapeId="0" xr:uid="{CF1B84E6-0DC9-4A0A-966A-D65F97330FA6}">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Dwelling Units &lt;= 3 stories: New
- Dwellng Units &gt; 3 stories: New</t>
        </r>
      </text>
    </comment>
    <comment ref="B77" authorId="0" shapeId="0" xr:uid="{211355EE-AA04-42F6-8DF6-5D4E9EF6CFB7}">
      <text>
        <r>
          <rPr>
            <b/>
            <sz val="9"/>
            <color indexed="10"/>
            <rFont val="Tahoma"/>
            <family val="2"/>
          </rPr>
          <t>8.6.21:
Greys out col 06-13</t>
        </r>
      </text>
    </comment>
    <comment ref="D77" authorId="0" shapeId="0" xr:uid="{4DB8EAEB-214A-4036-A183-099CEF1DB3A5}">
      <text>
        <r>
          <rPr>
            <b/>
            <sz val="9"/>
            <color indexed="81"/>
            <rFont val="Tahoma"/>
            <family val="2"/>
          </rPr>
          <t>Sally Blair:</t>
        </r>
        <r>
          <rPr>
            <sz val="9"/>
            <color indexed="81"/>
            <rFont val="Tahoma"/>
            <family val="2"/>
          </rPr>
          <t xml:space="preserve">
This selection populates (R)SHGC row in column 11 with "0.56"</t>
        </r>
      </text>
    </comment>
    <comment ref="E77" authorId="0" shapeId="0" xr:uid="{1A02EECE-3058-47B0-A945-D6D3614600E6}">
      <text>
        <r>
          <rPr>
            <b/>
            <sz val="9"/>
            <color indexed="81"/>
            <rFont val="Tahoma"/>
            <family val="2"/>
          </rPr>
          <t>Sally Blair:</t>
        </r>
        <r>
          <rPr>
            <sz val="9"/>
            <color indexed="81"/>
            <rFont val="Tahoma"/>
            <family val="2"/>
          </rPr>
          <t xml:space="preserve">
This selection greys out VT row in column 11 &amp; 12.</t>
        </r>
      </text>
    </comment>
    <comment ref="C78" authorId="0" shapeId="0" xr:uid="{00000000-0006-0000-0D00-00002A000000}">
      <text>
        <r>
          <rPr>
            <b/>
            <sz val="9"/>
            <color indexed="81"/>
            <rFont val="Tahoma"/>
            <family val="2"/>
          </rPr>
          <t>Sally Blair:</t>
        </r>
        <r>
          <rPr>
            <sz val="9"/>
            <color indexed="81"/>
            <rFont val="Tahoma"/>
            <family val="2"/>
          </rPr>
          <t xml:space="preserve">
All 3 of these last choices with (Adding New &lt; 50ft2) need to grey out columns 07 &amp; 08 &amp; RSHGC &amp; VT rows in columns 11 &amp; 12.</t>
        </r>
      </text>
    </comment>
    <comment ref="D78" authorId="0" shapeId="0" xr:uid="{9E4D863A-D140-4768-8715-6B6D1A6725C8}">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Dwelling Units &lt;= 3 stories: Alt.(Replacement &gt; 150ft2)
- Dwellng Units &gt; 3 stories: Alt.(Replacement &gt; 150ft2)
- Dwelling Units &lt;= 3 stories: Alt.(Replacement &lt;= 150ft2)
- Dwellng Units &gt; 3 stories: Alt.(Replacement &lt;= 150ft2)</t>
        </r>
      </text>
    </comment>
    <comment ref="E78" authorId="0" shapeId="0" xr:uid="{C4E21941-F4A0-434E-8DD7-080DB47D9657}">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Dwellng Units &gt; 3 stories: Alt.(Replacement &gt; 150ft2)
- Dwellng Units &gt; 3 stories:Alt.(Adding New &gt; 50ft2)</t>
        </r>
      </text>
    </comment>
    <comment ref="D79" authorId="0" shapeId="0" xr:uid="{40C7A8E7-589A-4B44-A2A8-7E8F208415B3}">
      <text>
        <r>
          <rPr>
            <b/>
            <sz val="9"/>
            <color indexed="10"/>
            <rFont val="Tahoma"/>
            <family val="2"/>
          </rPr>
          <t>8.6.21:
Greys out col 08 &amp; VT rows in 11&amp;12 
Note: this does not apply to selection when 06 is "New", it only applies for this custom dropdown when 06 is "Replacement &gt; 150ft2"</t>
        </r>
      </text>
    </comment>
    <comment ref="C81" authorId="0" shapeId="0" xr:uid="{925E00B8-05DD-474B-B725-F10DD2AD2391}">
      <text>
        <r>
          <rPr>
            <b/>
            <sz val="9"/>
            <color indexed="10"/>
            <rFont val="Tahoma"/>
            <family val="2"/>
          </rPr>
          <t>8.6.21:
Greys out RSHGC rows in 11&amp;12 if A03 CZ 1, 3, 5, 16
Greys out 08 &amp; VT  rows in 11&amp;12</t>
        </r>
      </text>
    </comment>
    <comment ref="D81" authorId="0" shapeId="0" xr:uid="{79169B5A-9758-4CC6-A449-DF01628F1717}">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Dwelling Units &lt;= 3 stories:Alt.(Adding New &gt; 50ft2)
- Dwellng Units &gt; 3 stories:Alt.(Adding New &gt; 50ft2)</t>
        </r>
        <r>
          <rPr>
            <sz val="9"/>
            <color indexed="81"/>
            <rFont val="Tahoma"/>
            <family val="2"/>
          </rPr>
          <t xml:space="preserve">
</t>
        </r>
      </text>
    </comment>
    <comment ref="C83" authorId="0" shapeId="0" xr:uid="{BC68F56D-A025-4C73-A557-B5D1A3DA1DE0}">
      <text>
        <r>
          <rPr>
            <b/>
            <sz val="9"/>
            <color indexed="10"/>
            <rFont val="Tahoma"/>
            <family val="2"/>
          </rPr>
          <t xml:space="preserve">8.6.21:
Greys out col 08 &amp; RSHGC + VT rows in 11&amp;12 </t>
        </r>
      </text>
    </comment>
    <comment ref="C87" authorId="0" shapeId="0" xr:uid="{68D882E7-2BA7-4E21-9F27-B9376055BD98}">
      <text>
        <r>
          <rPr>
            <b/>
            <sz val="9"/>
            <color indexed="10"/>
            <rFont val="Tahoma"/>
            <family val="2"/>
          </rPr>
          <t xml:space="preserve">8.6.21:
Greys out col 08 &amp; RSHGC + VT rows in 11&amp;12 </t>
        </r>
      </text>
    </comment>
    <comment ref="C90" authorId="1" shapeId="0" xr:uid="{00000000-0006-0000-0D00-00002B000000}">
      <text>
        <r>
          <rPr>
            <b/>
            <sz val="9"/>
            <color indexed="10"/>
            <rFont val="Tahoma"/>
            <family val="2"/>
          </rPr>
          <t xml:space="preserve">8.6.21:
</t>
        </r>
        <r>
          <rPr>
            <b/>
            <strike/>
            <sz val="9"/>
            <color indexed="10"/>
            <rFont val="Tahoma"/>
            <family val="2"/>
          </rPr>
          <t>Custom Dropdown when "Glazed Door" is selected in 05</t>
        </r>
        <r>
          <rPr>
            <b/>
            <sz val="9"/>
            <color indexed="10"/>
            <rFont val="Tahoma"/>
            <family val="2"/>
          </rPr>
          <t xml:space="preserve">
Removing the custom dropdown for 2022 update. </t>
        </r>
      </text>
    </comment>
    <comment ref="E99" authorId="0" shapeId="0" xr:uid="{00000000-0006-0000-0D00-00002D000000}">
      <text>
        <r>
          <rPr>
            <b/>
            <sz val="9"/>
            <color indexed="81"/>
            <rFont val="Tahoma"/>
            <family val="2"/>
          </rPr>
          <t>Sally Blair:</t>
        </r>
        <r>
          <rPr>
            <sz val="9"/>
            <color indexed="81"/>
            <rFont val="Tahoma"/>
            <family val="2"/>
          </rPr>
          <t xml:space="preserve">
custom dropdown when column 22 is either "Non-metal" or "Metal" &amp; column 20 is "No"</t>
        </r>
      </text>
    </comment>
    <comment ref="F104" authorId="0" shapeId="0" xr:uid="{00000000-0006-0000-0D00-00002E000000}">
      <text>
        <r>
          <rPr>
            <b/>
            <sz val="9"/>
            <color indexed="81"/>
            <rFont val="Tahoma"/>
            <family val="2"/>
          </rPr>
          <t>Sally Blair:</t>
        </r>
        <r>
          <rPr>
            <sz val="9"/>
            <color indexed="81"/>
            <rFont val="Tahoma"/>
            <family val="2"/>
          </rPr>
          <t xml:space="preserve">
Custom when 23 is "glass block"</t>
        </r>
      </text>
    </comment>
    <comment ref="E105" authorId="0" shapeId="0" xr:uid="{00000000-0006-0000-0D00-00002F000000}">
      <text>
        <r>
          <rPr>
            <b/>
            <sz val="9"/>
            <color indexed="81"/>
            <rFont val="Tahoma"/>
            <family val="2"/>
          </rPr>
          <t>Sally Blair:</t>
        </r>
        <r>
          <rPr>
            <sz val="9"/>
            <color indexed="81"/>
            <rFont val="Tahoma"/>
            <family val="2"/>
          </rPr>
          <t xml:space="preserve">
custom dropdown when column 22 is "Metal with Thermal Break"</t>
        </r>
      </text>
    </comment>
    <comment ref="E109" authorId="0" shapeId="0" xr:uid="{00000000-0006-0000-0D00-000030000000}">
      <text>
        <r>
          <rPr>
            <b/>
            <sz val="9"/>
            <color indexed="81"/>
            <rFont val="Tahoma"/>
            <family val="2"/>
          </rPr>
          <t>Sally Blair:</t>
        </r>
        <r>
          <rPr>
            <sz val="9"/>
            <color indexed="81"/>
            <rFont val="Tahoma"/>
            <family val="2"/>
          </rPr>
          <t xml:space="preserve">
custom dropdown when column 22 is either "Non-metal" or "Metal" &amp; column 20 is "Yes"</t>
        </r>
      </text>
    </comment>
    <comment ref="A115" authorId="2" shapeId="0" xr:uid="{6B074E53-5E18-47F7-8FBB-BFBF850C5AA2}">
      <text>
        <r>
          <rPr>
            <b/>
            <sz val="9"/>
            <color indexed="10"/>
            <rFont val="Tahoma"/>
            <family val="2"/>
          </rPr>
          <t>Alexis Markstrum:</t>
        </r>
        <r>
          <rPr>
            <sz val="9"/>
            <color indexed="10"/>
            <rFont val="Tahoma"/>
            <family val="2"/>
          </rPr>
          <t xml:space="preserve">
If selected grey out col 01-04</t>
        </r>
      </text>
    </comment>
    <comment ref="C118" authorId="0" shapeId="0" xr:uid="{00000000-0006-0000-0D00-000031000000}">
      <text>
        <r>
          <rPr>
            <b/>
            <sz val="9"/>
            <color indexed="81"/>
            <rFont val="Tahoma"/>
            <family val="2"/>
          </rPr>
          <t>Sally Blair:</t>
        </r>
        <r>
          <rPr>
            <sz val="9"/>
            <color indexed="81"/>
            <rFont val="Tahoma"/>
            <family val="2"/>
          </rPr>
          <t xml:space="preserve">
If 01 is "Yes", this equals 0.10x column 02
If 01 is "No", this equals 0.05x column 02.</t>
        </r>
      </text>
    </comment>
    <comment ref="F129" authorId="2" shapeId="0" xr:uid="{8C7F2ABD-3E1F-430D-A38B-091D31B1F629}">
      <text>
        <r>
          <rPr>
            <b/>
            <sz val="9"/>
            <color indexed="10"/>
            <rFont val="Tahoma"/>
            <family val="2"/>
          </rPr>
          <t>Alexis Markstrum:
Gray out if 06 ≠ Dwelling Units &gt; 3 stories: Alt. (Replacement) OR Dwelling Units &gt; 3 stories: Alt. (Adding &gt; 16ft2)</t>
        </r>
      </text>
    </comment>
    <comment ref="H130" authorId="0" shapeId="0" xr:uid="{00000000-0006-0000-0D00-000032000000}">
      <text>
        <r>
          <rPr>
            <b/>
            <sz val="9"/>
            <color indexed="10"/>
            <rFont val="Tahoma"/>
            <family val="2"/>
          </rPr>
          <t>8.6.21:</t>
        </r>
        <r>
          <rPr>
            <sz val="9"/>
            <color indexed="81"/>
            <rFont val="Tahoma"/>
            <family val="2"/>
          </rPr>
          <t xml:space="preserve">
All three of these values come from the Tables in Section 140.3.  Which table to use depends on the occupancy type from column 06:
Nonresidential &amp; Relocatables = Table 140.3-B
High-rise Res &amp; Hotel/Motel =Table 140.3-C
Relocatables All CZ =Table 140.3-D
</t>
        </r>
        <r>
          <rPr>
            <b/>
            <sz val="9"/>
            <color indexed="10"/>
            <rFont val="Tahoma"/>
            <family val="2"/>
          </rPr>
          <t>- Dwelling Units &lt;= 3 stories: New= Table 170.2-A
- Dwelling Units &gt; 3 stories: New = Table 170.2-A
- All other Dwelling Units depends on selection in 07</t>
        </r>
        <r>
          <rPr>
            <sz val="9"/>
            <color indexed="81"/>
            <rFont val="Tahoma"/>
            <family val="2"/>
          </rPr>
          <t xml:space="preserve">
Required value depends on selection from column 05.
</t>
        </r>
      </text>
    </comment>
    <comment ref="I130" authorId="0" shapeId="0" xr:uid="{00000000-0006-0000-0D00-000033000000}">
      <text>
        <r>
          <rPr>
            <b/>
            <sz val="9"/>
            <color indexed="81"/>
            <rFont val="Tahoma"/>
            <family val="2"/>
          </rPr>
          <t>8.6.21:</t>
        </r>
        <r>
          <rPr>
            <sz val="9"/>
            <color indexed="81"/>
            <rFont val="Tahoma"/>
            <family val="2"/>
          </rPr>
          <t xml:space="preserve">
This column opens for user input if "NFRC Certified" is selected in column </t>
        </r>
        <r>
          <rPr>
            <b/>
            <strike/>
            <sz val="9"/>
            <color indexed="10"/>
            <rFont val="Tahoma"/>
            <family val="2"/>
          </rPr>
          <t>07</t>
        </r>
        <r>
          <rPr>
            <b/>
            <sz val="9"/>
            <color indexed="10"/>
            <rFont val="Tahoma"/>
            <family val="2"/>
          </rPr>
          <t xml:space="preserve"> 08</t>
        </r>
        <r>
          <rPr>
            <sz val="9"/>
            <color indexed="81"/>
            <rFont val="Tahoma"/>
            <family val="2"/>
          </rPr>
          <t xml:space="preserve">.  Otherwise, the # comes column 16 if "NA6 default" chosen, or column 21 if "S110.6 Default" chosen. 
</t>
        </r>
      </text>
    </comment>
    <comment ref="J130" authorId="0" shapeId="0" xr:uid="{00000000-0006-0000-0D00-000034000000}">
      <text>
        <r>
          <rPr>
            <b/>
            <sz val="9"/>
            <color indexed="81"/>
            <rFont val="Tahoma"/>
            <family val="2"/>
          </rPr>
          <t>Sally Blair:</t>
        </r>
        <r>
          <rPr>
            <sz val="9"/>
            <color indexed="81"/>
            <rFont val="Tahoma"/>
            <family val="2"/>
          </rPr>
          <t xml:space="preserve">
Ben, this is open for user entry if columns 01, 02 or 03 are checked.
Otherwise, grey out.</t>
        </r>
      </text>
    </comment>
    <comment ref="H132" authorId="2" shapeId="0" xr:uid="{22B0BF4C-2F05-4B08-9AF7-71D817CAD3B7}">
      <text>
        <r>
          <rPr>
            <b/>
            <sz val="9"/>
            <color indexed="10"/>
            <rFont val="Tahoma"/>
            <family val="2"/>
          </rPr>
          <t>Alexis Markstrum:
If 05 = Tubular Daylighting Devices and 06 = Hotel/Motel OR Relocatable all CZ, then gray out</t>
        </r>
      </text>
    </comment>
    <comment ref="H134" authorId="2" shapeId="0" xr:uid="{ABF629AF-7646-4E4C-B5AA-0B0821DF81EA}">
      <text>
        <r>
          <rPr>
            <b/>
            <sz val="9"/>
            <color indexed="10"/>
            <rFont val="Tahoma"/>
            <family val="2"/>
          </rPr>
          <t>Alexis Markstrum:
If 05 = Tubular Daylighting Devices and 06 = Hotel/Motel OR Relocatable all CZ, then gray out</t>
        </r>
      </text>
    </comment>
    <comment ref="G144" authorId="0" shapeId="0" xr:uid="{00000000-0006-0000-0D00-000035000000}">
      <text>
        <r>
          <rPr>
            <b/>
            <sz val="9"/>
            <color indexed="81"/>
            <rFont val="Tahoma"/>
            <family val="2"/>
          </rPr>
          <t>8.6.21:</t>
        </r>
        <r>
          <rPr>
            <sz val="9"/>
            <color indexed="81"/>
            <rFont val="Tahoma"/>
            <family val="2"/>
          </rPr>
          <t xml:space="preserve">
If N.A. in default table, can we leave column </t>
        </r>
        <r>
          <rPr>
            <b/>
            <strike/>
            <sz val="9"/>
            <color indexed="10"/>
            <rFont val="Tahoma"/>
            <family val="2"/>
          </rPr>
          <t>11</t>
        </r>
        <r>
          <rPr>
            <b/>
            <sz val="9"/>
            <color indexed="10"/>
            <rFont val="Tahoma"/>
            <family val="2"/>
          </rPr>
          <t xml:space="preserve"> 12</t>
        </r>
        <r>
          <rPr>
            <sz val="9"/>
            <color indexed="81"/>
            <rFont val="Tahoma"/>
            <family val="2"/>
          </rPr>
          <t xml:space="preserve"> open for user input? AHHH?!
Same for SHGC
Let's talk about what to do here.  Custom dropdowns won't work because the categories don't jive.</t>
        </r>
      </text>
    </comment>
    <comment ref="G146" authorId="0" shapeId="0" xr:uid="{00000000-0006-0000-0D00-000036000000}">
      <text>
        <r>
          <rPr>
            <b/>
            <sz val="9"/>
            <color indexed="81"/>
            <rFont val="Tahoma"/>
            <family val="2"/>
          </rPr>
          <t>Sally Blair:</t>
        </r>
        <r>
          <rPr>
            <sz val="9"/>
            <color indexed="81"/>
            <rFont val="Tahoma"/>
            <family val="2"/>
          </rPr>
          <t xml:space="preserve">
Ben, for the default here, we can use the NA6 equation where VTc = 1.  That means we can just use the VTF values directly based on column 05</t>
        </r>
      </text>
    </comment>
    <comment ref="F147" authorId="0" shapeId="0" xr:uid="{00000000-0006-0000-0D00-000037000000}">
      <text>
        <r>
          <rPr>
            <b/>
            <sz val="9"/>
            <color indexed="10"/>
            <rFont val="Tahoma"/>
            <family val="2"/>
          </rPr>
          <t xml:space="preserve">8.6.21:
</t>
        </r>
        <r>
          <rPr>
            <b/>
            <strike/>
            <sz val="9"/>
            <color indexed="10"/>
            <rFont val="Tahoma"/>
            <family val="2"/>
          </rPr>
          <t>If this says "DNC", Table C should say DNC for Table K. &amp; the note on Table D row 14 should be triggered.</t>
        </r>
        <r>
          <rPr>
            <b/>
            <sz val="9"/>
            <color indexed="10"/>
            <rFont val="Tahoma"/>
            <family val="2"/>
          </rPr>
          <t xml:space="preserve">
Removing this for 2022. Too complex.</t>
        </r>
      </text>
    </comment>
    <comment ref="C150" authorId="3" shapeId="0" xr:uid="{066E9EB0-715D-4C05-B70D-2B4E7C4A36EA}">
      <text>
        <t>[Threaded comment]
Your version of Excel allows you to read this threaded comment; however, any edits to it will get removed if the file is opened in a newer version of Excel. Learn more: https://go.microsoft.com/fwlink/?linkid=870924
Comment:
    Updated 10.28.20
Custom dropdown when 05 is "Tubular Daylight Devices"</t>
      </text>
    </comment>
    <comment ref="C153" authorId="0" shapeId="0" xr:uid="{3B9D0748-3285-48C9-BFF0-1EE5FC61B67B}">
      <text>
        <r>
          <rPr>
            <b/>
            <sz val="9"/>
            <color indexed="81"/>
            <rFont val="Tahoma"/>
            <family val="2"/>
          </rPr>
          <t>8.6.21:</t>
        </r>
        <r>
          <rPr>
            <sz val="9"/>
            <color indexed="81"/>
            <rFont val="Tahoma"/>
            <family val="2"/>
          </rPr>
          <t xml:space="preserve">
"Add/Repl. &lt; 50ft2)" greys out SHGC &amp; VT rows in columns</t>
        </r>
        <r>
          <rPr>
            <b/>
            <sz val="9"/>
            <color indexed="10"/>
            <rFont val="Tahoma"/>
            <family val="2"/>
          </rPr>
          <t xml:space="preserve"> </t>
        </r>
        <r>
          <rPr>
            <b/>
            <strike/>
            <sz val="9"/>
            <color indexed="10"/>
            <rFont val="Tahoma"/>
            <family val="2"/>
          </rPr>
          <t>10</t>
        </r>
        <r>
          <rPr>
            <b/>
            <sz val="9"/>
            <color indexed="10"/>
            <rFont val="Tahoma"/>
            <family val="2"/>
          </rPr>
          <t xml:space="preserve"> 11 &amp;</t>
        </r>
        <r>
          <rPr>
            <b/>
            <strike/>
            <sz val="9"/>
            <color indexed="10"/>
            <rFont val="Tahoma"/>
            <family val="2"/>
          </rPr>
          <t xml:space="preserve"> 11</t>
        </r>
        <r>
          <rPr>
            <b/>
            <sz val="9"/>
            <color indexed="10"/>
            <rFont val="Tahoma"/>
            <family val="2"/>
          </rPr>
          <t xml:space="preserve"> 12.</t>
        </r>
      </text>
    </comment>
    <comment ref="C154" authorId="4" shapeId="0" xr:uid="{C83F7F79-9313-442F-8CB1-B80F7F14756E}">
      <text>
        <t>[Threaded comment]
Your version of Excel allows you to read this threaded comment; however, any edits to it will get removed if the file is opened in a newer version of Excel. Learn more: https://go.microsoft.com/fwlink/?linkid=870924
Comment:
    Updated 10.28.20
Custom dropdown when 05 is anything OTHER THAN "Tubular Daulight Devices"</t>
      </text>
    </comment>
    <comment ref="F154" authorId="0" shapeId="0" xr:uid="{56565F53-A324-4ECA-8A47-AF098AEA4BA2}">
      <text>
        <r>
          <rPr>
            <b/>
            <sz val="9"/>
            <color indexed="10"/>
            <rFont val="Tahoma"/>
            <family val="2"/>
          </rPr>
          <t>8.6.21:</t>
        </r>
        <r>
          <rPr>
            <sz val="9"/>
            <color indexed="10"/>
            <rFont val="Tahoma"/>
            <family val="2"/>
          </rPr>
          <t xml:space="preserve">
Custom dropdown for the following selections in 06:
- Dwelling Units &gt; 3 stories: Alt. (Replacement)</t>
        </r>
      </text>
    </comment>
    <comment ref="D156" authorId="0" shapeId="0" xr:uid="{00000000-0006-0000-0D00-000039000000}">
      <text>
        <r>
          <rPr>
            <b/>
            <sz val="9"/>
            <color indexed="81"/>
            <rFont val="Tahoma"/>
            <family val="2"/>
          </rPr>
          <t>Sally Blair:</t>
        </r>
        <r>
          <rPr>
            <sz val="9"/>
            <color indexed="81"/>
            <rFont val="Tahoma"/>
            <family val="2"/>
          </rPr>
          <t xml:space="preserve">
This selection triggers the NA6 Default section to expand for user input. Otherwise, minimize it.</t>
        </r>
      </text>
    </comment>
    <comment ref="B157" authorId="0" shapeId="0" xr:uid="{00000000-0006-0000-0D00-00003A000000}">
      <text>
        <r>
          <rPr>
            <b/>
            <sz val="9"/>
            <color indexed="81"/>
            <rFont val="Tahoma"/>
            <family val="2"/>
          </rPr>
          <t>Sally Blair:</t>
        </r>
        <r>
          <rPr>
            <sz val="9"/>
            <color indexed="81"/>
            <rFont val="Tahoma"/>
            <family val="2"/>
          </rPr>
          <t xml:space="preserve">
selection greys out SHGC rows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text>
    </comment>
    <comment ref="C157" authorId="0" shapeId="0" xr:uid="{00000000-0006-0000-0D00-00003B000000}">
      <text>
        <r>
          <rPr>
            <b/>
            <sz val="9"/>
            <color indexed="81"/>
            <rFont val="Tahoma"/>
            <family val="2"/>
          </rPr>
          <t>8.6.21:</t>
        </r>
        <r>
          <rPr>
            <sz val="9"/>
            <color indexed="81"/>
            <rFont val="Tahoma"/>
            <family val="2"/>
          </rPr>
          <t xml:space="preserve">
Both "Relocatable all CZ: New" and "Relocatable all CZ: Alt. (Add/Replacement &gt; 50ft2)"  Should grey out "VT" row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r>
          <rPr>
            <sz val="9"/>
            <color indexed="81"/>
            <rFont val="Tahoma"/>
            <family val="2"/>
          </rPr>
          <t xml:space="preserve"> because there are no VT requirements.</t>
        </r>
      </text>
    </comment>
    <comment ref="D157" authorId="0" shapeId="0" xr:uid="{00000000-0006-0000-0D00-00003C000000}">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F157" authorId="0" shapeId="0" xr:uid="{6FE2AB26-4E7D-4D1D-BCE8-10F949475C09}">
      <text>
        <r>
          <rPr>
            <b/>
            <sz val="9"/>
            <color indexed="10"/>
            <rFont val="Tahoma"/>
            <family val="2"/>
          </rPr>
          <t>8.6.21:</t>
        </r>
        <r>
          <rPr>
            <sz val="9"/>
            <color indexed="10"/>
            <rFont val="Tahoma"/>
            <family val="2"/>
          </rPr>
          <t xml:space="preserve">
Custom dropdown for the following selections in 06:
- Dwelling Units &gt; 3 stories: Alt. (Adding &gt; 16ft2)</t>
        </r>
      </text>
    </comment>
    <comment ref="B158" authorId="0" shapeId="0" xr:uid="{00000000-0006-0000-0D00-00003D000000}">
      <text>
        <r>
          <rPr>
            <b/>
            <sz val="9"/>
            <color indexed="81"/>
            <rFont val="Tahoma"/>
            <family val="2"/>
          </rPr>
          <t>Sally Blair:</t>
        </r>
        <r>
          <rPr>
            <sz val="9"/>
            <color indexed="81"/>
            <rFont val="Tahoma"/>
            <family val="2"/>
          </rPr>
          <t xml:space="preserve">
This selection greys out columns 06 through </t>
        </r>
        <r>
          <rPr>
            <b/>
            <strike/>
            <sz val="9"/>
            <color indexed="10"/>
            <rFont val="Tahoma"/>
            <family val="2"/>
          </rPr>
          <t>12</t>
        </r>
        <r>
          <rPr>
            <b/>
            <sz val="9"/>
            <color indexed="10"/>
            <rFont val="Tahoma"/>
            <family val="2"/>
          </rPr>
          <t xml:space="preserve"> 13</t>
        </r>
        <r>
          <rPr>
            <sz val="9"/>
            <color indexed="81"/>
            <rFont val="Tahoma"/>
            <family val="2"/>
          </rPr>
          <t xml:space="preserve"> for this row.</t>
        </r>
      </text>
    </comment>
    <comment ref="B159" authorId="0" shapeId="0" xr:uid="{00000000-0006-0000-0D00-00003E000000}">
      <text>
        <r>
          <rPr>
            <b/>
            <sz val="9"/>
            <color indexed="81"/>
            <rFont val="Tahoma"/>
            <family val="2"/>
          </rPr>
          <t>8.6.21:</t>
        </r>
        <r>
          <rPr>
            <sz val="9"/>
            <color indexed="81"/>
            <rFont val="Tahoma"/>
            <family val="2"/>
          </rPr>
          <t xml:space="preserve">
This selection needs to grey out SHGC rows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text>
    </comment>
    <comment ref="C161" authorId="0" shapeId="0" xr:uid="{00000000-0006-0000-0D00-00003F000000}">
      <text>
        <r>
          <rPr>
            <b/>
            <sz val="9"/>
            <color indexed="81"/>
            <rFont val="Tahoma"/>
            <family val="2"/>
          </rPr>
          <t>Sally Blair:</t>
        </r>
        <r>
          <rPr>
            <sz val="9"/>
            <color indexed="81"/>
            <rFont val="Tahoma"/>
            <family val="2"/>
          </rPr>
          <t xml:space="preserve">
All 3 "Add/Repl. &lt; 50ft2)" greys out SHGC &amp; VT rows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r>
          <rPr>
            <sz val="9"/>
            <color indexed="81"/>
            <rFont val="Tahoma"/>
            <family val="2"/>
          </rPr>
          <t>.</t>
        </r>
      </text>
    </comment>
    <comment ref="C164" authorId="0" shapeId="0" xr:uid="{3C7E700F-2660-4607-ADD2-D0DAE1FB5769}">
      <text>
        <r>
          <rPr>
            <b/>
            <sz val="9"/>
            <color indexed="10"/>
            <rFont val="Tahoma"/>
            <family val="2"/>
          </rPr>
          <t>8.6.21:
Populates column 10 with:
Ufactor = 0.55
SHGC = 0.30
Greys out 07, 09 &amp; VT in col 11&amp;12</t>
        </r>
      </text>
    </comment>
    <comment ref="C165" authorId="0" shapeId="0" xr:uid="{0E6771F6-DA8A-43E7-97D7-997EDAE7EDD4}">
      <text>
        <r>
          <rPr>
            <b/>
            <sz val="9"/>
            <color indexed="10"/>
            <rFont val="Tahoma"/>
            <family val="2"/>
          </rPr>
          <t xml:space="preserve">8.6.21:
</t>
        </r>
        <r>
          <rPr>
            <b/>
            <sz val="9"/>
            <color indexed="10"/>
            <rFont val="Tahoma"/>
            <family val="2"/>
          </rPr>
          <t>grey out 07, 09 &amp; VT in column 11&amp;12</t>
        </r>
      </text>
    </comment>
    <comment ref="C166" authorId="0" shapeId="0" xr:uid="{B9070CAF-A8D4-4064-9193-123628862901}">
      <text>
        <r>
          <rPr>
            <b/>
            <sz val="9"/>
            <color indexed="10"/>
            <rFont val="Tahoma"/>
            <family val="2"/>
          </rPr>
          <t>8.6.21:
Both dwelling &lt;=3 stories replacement &amp; Adding &gt; 16
Greys out 09 &amp; VT in col 11&amp;12</t>
        </r>
      </text>
    </comment>
    <comment ref="C168" authorId="0" shapeId="0" xr:uid="{18AF3D51-F721-4BC1-8431-D17DE7A50E76}">
      <text>
        <r>
          <rPr>
            <b/>
            <sz val="9"/>
            <color indexed="10"/>
            <rFont val="Tahoma"/>
            <family val="2"/>
          </rPr>
          <t>8.6.21:
Greys out 07</t>
        </r>
      </text>
    </comment>
    <comment ref="D176" authorId="0" shapeId="0" xr:uid="{00000000-0006-0000-0D00-000040000000}">
      <text>
        <r>
          <rPr>
            <b/>
            <sz val="9"/>
            <color indexed="81"/>
            <rFont val="Tahoma"/>
            <family val="2"/>
          </rPr>
          <t>Sally Blair:</t>
        </r>
        <r>
          <rPr>
            <sz val="9"/>
            <color indexed="81"/>
            <rFont val="Tahoma"/>
            <family val="2"/>
          </rPr>
          <t xml:space="preserve">
Custom if 18 is "Metal w Thermal Break"</t>
        </r>
      </text>
    </comment>
    <comment ref="A179" authorId="0" shapeId="0" xr:uid="{00000000-0006-0000-0D00-000042000000}">
      <text>
        <r>
          <rPr>
            <b/>
            <sz val="9"/>
            <color indexed="81"/>
            <rFont val="Tahoma"/>
            <family val="2"/>
          </rPr>
          <t>Sally Blair:</t>
        </r>
        <r>
          <rPr>
            <sz val="9"/>
            <color indexed="81"/>
            <rFont val="Tahoma"/>
            <family val="2"/>
          </rPr>
          <t xml:space="preserve">
Ben, this section is triggered if columns 01, 02 or 03 "Calculate Area Weighted Average…." is selected above in the Vertical Fenestration Subtable, or in the Glazed Doors subtable
</t>
        </r>
        <r>
          <rPr>
            <b/>
            <sz val="9"/>
            <color indexed="81"/>
            <rFont val="Tahoma"/>
            <family val="2"/>
          </rPr>
          <t>2019 Update:</t>
        </r>
        <r>
          <rPr>
            <sz val="9"/>
            <color indexed="81"/>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 </t>
        </r>
      </text>
    </comment>
    <comment ref="E183" authorId="0" shapeId="0" xr:uid="{00000000-0006-0000-0D00-000044000000}">
      <text>
        <r>
          <rPr>
            <b/>
            <sz val="9"/>
            <color indexed="81"/>
            <rFont val="Tahoma"/>
            <family val="2"/>
          </rPr>
          <t>Sally Blair:</t>
        </r>
        <r>
          <rPr>
            <sz val="9"/>
            <color indexed="81"/>
            <rFont val="Tahoma"/>
            <family val="2"/>
          </rPr>
          <t xml:space="preserve">
Says "COMPLIES" if column 03 &gt;= column 04.
Otherwise, says "DOES NOT COMPLY"</t>
        </r>
      </text>
    </comment>
    <comment ref="E184" authorId="0" shapeId="0" xr:uid="{00000000-0006-0000-0D00-000045000000}">
      <text>
        <r>
          <rPr>
            <b/>
            <sz val="9"/>
            <color indexed="81"/>
            <rFont val="Tahoma"/>
            <family val="2"/>
          </rPr>
          <t>Sally Blair:</t>
        </r>
        <r>
          <rPr>
            <sz val="9"/>
            <color indexed="81"/>
            <rFont val="Tahoma"/>
            <family val="2"/>
          </rPr>
          <t xml:space="preserve">
Says "COMPLIES" if column 03 &gt;= column 04.
Otherwise, says "DOES NOT COMPLY"</t>
        </r>
      </text>
    </comment>
    <comment ref="E185" authorId="0" shapeId="0" xr:uid="{00000000-0006-0000-0D00-000046000000}">
      <text>
        <r>
          <rPr>
            <b/>
            <sz val="9"/>
            <color indexed="81"/>
            <rFont val="Tahoma"/>
            <family val="2"/>
          </rPr>
          <t>Sally Blair:</t>
        </r>
        <r>
          <rPr>
            <sz val="9"/>
            <color indexed="81"/>
            <rFont val="Tahoma"/>
            <family val="2"/>
          </rPr>
          <t xml:space="preserve">
Says "COMPLIES" if column 03 &lt;= column 04.
Otherwise, says "DOES NOT COMPLY"</t>
        </r>
      </text>
    </comment>
    <comment ref="A190" authorId="0" shapeId="0" xr:uid="{00000000-0006-0000-0D00-000047000000}">
      <text>
        <r>
          <rPr>
            <b/>
            <sz val="9"/>
            <color indexed="81"/>
            <rFont val="Tahoma"/>
            <family val="2"/>
          </rPr>
          <t>Sally Blair:</t>
        </r>
        <r>
          <rPr>
            <sz val="9"/>
            <color indexed="81"/>
            <rFont val="Tahoma"/>
            <family val="2"/>
          </rPr>
          <t xml:space="preserve">
Ben, this section is triggered if columns 01, 02 or 03 "Calculate Area Weighted Average…." is selected above in the Skylights Subtable.
</t>
        </r>
        <r>
          <rPr>
            <b/>
            <sz val="9"/>
            <color indexed="81"/>
            <rFont val="Tahoma"/>
            <family val="2"/>
          </rPr>
          <t xml:space="preserve">
2019 Update:</t>
        </r>
        <r>
          <rPr>
            <sz val="9"/>
            <color indexed="81"/>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t>
        </r>
      </text>
    </comment>
    <comment ref="E194" authorId="0" shapeId="0" xr:uid="{00000000-0006-0000-0D00-000048000000}">
      <text>
        <r>
          <rPr>
            <b/>
            <sz val="9"/>
            <color indexed="81"/>
            <rFont val="Tahoma"/>
            <family val="2"/>
          </rPr>
          <t>Sally Blair:</t>
        </r>
        <r>
          <rPr>
            <sz val="9"/>
            <color indexed="81"/>
            <rFont val="Tahoma"/>
            <family val="2"/>
          </rPr>
          <t xml:space="preserve">
Says "COMPLIES" if column 03 &gt; = column 04.
Otherwise, says "DOES NOT COMPLY"</t>
        </r>
      </text>
    </comment>
    <comment ref="E195" authorId="0" shapeId="0" xr:uid="{00000000-0006-0000-0D00-000049000000}">
      <text>
        <r>
          <rPr>
            <b/>
            <sz val="9"/>
            <color indexed="81"/>
            <rFont val="Tahoma"/>
            <family val="2"/>
          </rPr>
          <t>Sally Blair:</t>
        </r>
        <r>
          <rPr>
            <sz val="9"/>
            <color indexed="81"/>
            <rFont val="Tahoma"/>
            <family val="2"/>
          </rPr>
          <t xml:space="preserve">
Says "COMPLIES" if column 03 &gt; =column 04.
Otherwise, says "DOES NOT COMPLY"</t>
        </r>
      </text>
    </comment>
    <comment ref="E196" authorId="0" shapeId="0" xr:uid="{00000000-0006-0000-0D00-00004A000000}">
      <text>
        <r>
          <rPr>
            <b/>
            <sz val="9"/>
            <color indexed="81"/>
            <rFont val="Tahoma"/>
            <family val="2"/>
          </rPr>
          <t>Sally Blair:</t>
        </r>
        <r>
          <rPr>
            <sz val="9"/>
            <color indexed="81"/>
            <rFont val="Tahoma"/>
            <family val="2"/>
          </rPr>
          <t xml:space="preserve">
Says "COMPLIES" if column 03 &lt;= column 04.
Otherwise, says "DOES NOT COMPLY"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Alexis Markstrum</author>
    <author>tc={64992F09-5BDD-4529-B94A-20FF3017DBD4}</author>
    <author>tc={5471E3E2-4B7E-410C-B2EF-203F89AC1A6A}</author>
  </authors>
  <commentList>
    <comment ref="E5" authorId="0" shapeId="0" xr:uid="{85A4FA76-B982-4E4A-9577-FA295F1D201C}">
      <text>
        <r>
          <rPr>
            <b/>
            <sz val="9"/>
            <color indexed="81"/>
            <rFont val="Tahoma"/>
            <family val="2"/>
          </rPr>
          <t>Sally Blair:</t>
        </r>
        <r>
          <rPr>
            <sz val="9"/>
            <color indexed="81"/>
            <rFont val="Tahoma"/>
            <family val="2"/>
          </rPr>
          <t xml:space="preserve">
Triggers Vertical Fenestration- U-factor, SHGC, VT subtable, but does NOT trigger Vertical Fenestration and Glazed Doors- Total Building &amp; West Facing Area subtable.</t>
        </r>
      </text>
    </comment>
    <comment ref="F5" authorId="0" shapeId="0" xr:uid="{68F0CEEE-8495-4651-8B42-DF60392DD45B}">
      <text>
        <r>
          <rPr>
            <b/>
            <sz val="9"/>
            <color indexed="81"/>
            <rFont val="Tahoma"/>
            <family val="2"/>
          </rPr>
          <t>Sally Blair:</t>
        </r>
        <r>
          <rPr>
            <sz val="9"/>
            <color indexed="81"/>
            <rFont val="Tahoma"/>
            <family val="2"/>
          </rPr>
          <t xml:space="preserve">
These selections expand appropriate sub section of Table K.
Vertical (New) triggers "Vertical Fenestration and Glazed Doors- Total Building &amp; West Facing Area" subtable.
</t>
        </r>
        <r>
          <rPr>
            <sz val="9"/>
            <color indexed="81"/>
            <rFont val="Tahoma"/>
            <family val="2"/>
          </rPr>
          <t xml:space="preserve">
Glazed doors (new) checkbox should also trigger  "Vertical Fenestration and Glazed Doors- Total Building &amp; West Facing Area" subtable.</t>
        </r>
      </text>
    </comment>
    <comment ref="G5" authorId="0" shapeId="0" xr:uid="{EB1CF0DF-8F05-4A76-9F0B-D394D37B6F53}">
      <text>
        <r>
          <rPr>
            <b/>
            <sz val="9"/>
            <color indexed="10"/>
            <rFont val="Tahoma"/>
            <family val="2"/>
          </rPr>
          <t>8.6.21:
Triggers new MF Vertical/GD Total Buildng Area subtable AND
Vertical Fenestration- U-factor, SHGC, VT subtable</t>
        </r>
      </text>
    </comment>
    <comment ref="J5" authorId="0" shapeId="0" xr:uid="{F0678701-B8E5-4E42-807A-5405303694AD}">
      <text>
        <r>
          <rPr>
            <b/>
            <sz val="9"/>
            <color indexed="81"/>
            <rFont val="Tahoma"/>
            <family val="2"/>
          </rPr>
          <t>7.30.20</t>
        </r>
        <r>
          <rPr>
            <sz val="9"/>
            <color indexed="81"/>
            <rFont val="Tahoma"/>
            <family val="2"/>
          </rPr>
          <t xml:space="preserve">
Needs to trigger both Vertical Fenestration and Glazed Doors- Total Building &amp; West Facing Area (New Construction &amp; Additions Only) subtable
</t>
        </r>
        <r>
          <rPr>
            <b/>
            <sz val="9"/>
            <color indexed="81"/>
            <rFont val="Tahoma"/>
            <family val="2"/>
          </rPr>
          <t xml:space="preserve">
</t>
        </r>
        <r>
          <rPr>
            <sz val="9"/>
            <color indexed="81"/>
            <rFont val="Tahoma"/>
            <family val="2"/>
          </rPr>
          <t>AND
Vertical Fenestration and Glazed Doors- U-factor, Solar Heat Gain Coefficient (RSHGC/SHGC), Visible Transmittance (VT) Subtable</t>
        </r>
      </text>
    </comment>
    <comment ref="D13" authorId="0" shapeId="0" xr:uid="{FE3976A8-0EC3-4AD7-B508-3DAA8CDC7C00}">
      <text>
        <r>
          <rPr>
            <b/>
            <sz val="9"/>
            <color indexed="81"/>
            <rFont val="Tahoma"/>
            <family val="2"/>
          </rPr>
          <t>Sally Blair:</t>
        </r>
        <r>
          <rPr>
            <sz val="9"/>
            <color indexed="81"/>
            <rFont val="Tahoma"/>
            <family val="2"/>
          </rPr>
          <t xml:space="preserve">
Equals the greater of (0.40x column 03) or (6x column 04) summed for all areas </t>
        </r>
      </text>
    </comment>
    <comment ref="H13" authorId="0" shapeId="0" xr:uid="{DE0E9E8E-ACA8-4DE2-94E2-06E110DB16A0}">
      <text>
        <r>
          <rPr>
            <b/>
            <sz val="9"/>
            <color indexed="81"/>
            <rFont val="Tahoma"/>
            <family val="2"/>
          </rPr>
          <t>Sally Blair:</t>
        </r>
        <r>
          <rPr>
            <sz val="9"/>
            <color indexed="81"/>
            <rFont val="Tahoma"/>
            <family val="2"/>
          </rPr>
          <t xml:space="preserve">
Equals sum of column 05 for all areas</t>
        </r>
      </text>
    </comment>
    <comment ref="D14" authorId="0" shapeId="0" xr:uid="{EA56A235-1D0F-42C1-A51A-07FCA69172FD}">
      <text>
        <r>
          <rPr>
            <b/>
            <sz val="9"/>
            <color indexed="81"/>
            <rFont val="Tahoma"/>
            <family val="2"/>
          </rPr>
          <t>Sally Blair:</t>
        </r>
        <r>
          <rPr>
            <sz val="9"/>
            <color indexed="81"/>
            <rFont val="Tahoma"/>
            <family val="2"/>
          </rPr>
          <t xml:space="preserve">
Equals the greater of (0.40x column 03) or (6x column 04) summed for all areas where column 02 = "West"
</t>
        </r>
      </text>
    </comment>
    <comment ref="H14" authorId="0" shapeId="0" xr:uid="{6F7FF3A2-E6B0-4389-87D6-968F98803A98}">
      <text>
        <r>
          <rPr>
            <b/>
            <sz val="9"/>
            <color indexed="81"/>
            <rFont val="Tahoma"/>
            <family val="2"/>
          </rPr>
          <t>Sally Blair:</t>
        </r>
        <r>
          <rPr>
            <sz val="9"/>
            <color indexed="81"/>
            <rFont val="Tahoma"/>
            <family val="2"/>
          </rPr>
          <t xml:space="preserve">
Equals sum of column 05 for all areas where column 02 = "West"</t>
        </r>
      </text>
    </comment>
    <comment ref="A20" authorId="0" shapeId="0" xr:uid="{C713FA2C-898C-4378-9FB7-7ACB4BA0C837}">
      <text>
        <r>
          <rPr>
            <b/>
            <sz val="9"/>
            <color indexed="10"/>
            <rFont val="Tahoma"/>
            <family val="2"/>
          </rPr>
          <t>8.6.21:
This table is new for 2022 &amp; is exactly like the Vertical Fenestration Area table above except for changes notated in red.</t>
        </r>
      </text>
    </comment>
    <comment ref="D26" authorId="0" shapeId="0" xr:uid="{D232BD78-1EF6-48B0-88BF-3663E7CF0BDE}">
      <text>
        <r>
          <rPr>
            <b/>
            <sz val="9"/>
            <color indexed="81"/>
            <rFont val="Tahoma"/>
            <family val="2"/>
          </rPr>
          <t>8.6.21:</t>
        </r>
        <r>
          <rPr>
            <sz val="9"/>
            <color indexed="81"/>
            <rFont val="Tahoma"/>
            <family val="2"/>
          </rPr>
          <t xml:space="preserve">
Equals the</t>
        </r>
        <r>
          <rPr>
            <b/>
            <sz val="9"/>
            <color indexed="10"/>
            <rFont val="Tahoma"/>
            <family val="2"/>
          </rPr>
          <t xml:space="preserve"> lesser of</t>
        </r>
        <r>
          <rPr>
            <sz val="9"/>
            <color indexed="81"/>
            <rFont val="Tahoma"/>
            <family val="2"/>
          </rPr>
          <t xml:space="preserve"> (0.40x column 03) or (</t>
        </r>
        <r>
          <rPr>
            <b/>
            <sz val="9"/>
            <color indexed="10"/>
            <rFont val="Tahoma"/>
            <family val="2"/>
          </rPr>
          <t xml:space="preserve">0.20 </t>
        </r>
        <r>
          <rPr>
            <sz val="9"/>
            <color indexed="81"/>
            <rFont val="Tahoma"/>
            <family val="2"/>
          </rPr>
          <t xml:space="preserve">x column 04) summed for all areas </t>
        </r>
      </text>
    </comment>
    <comment ref="H26" authorId="0" shapeId="0" xr:uid="{AE97BBE1-D0A6-4FAD-B7E9-8BC55DC32D8D}">
      <text>
        <r>
          <rPr>
            <b/>
            <sz val="9"/>
            <color indexed="81"/>
            <rFont val="Tahoma"/>
            <family val="2"/>
          </rPr>
          <t>Sally Blair:</t>
        </r>
        <r>
          <rPr>
            <sz val="9"/>
            <color indexed="81"/>
            <rFont val="Tahoma"/>
            <family val="2"/>
          </rPr>
          <t xml:space="preserve">
Equals sum of column 05 for all areas</t>
        </r>
      </text>
    </comment>
    <comment ref="J41" authorId="0" shapeId="0" xr:uid="{FB0C4F67-A9C6-410C-BAC6-02BEF763C82D}">
      <text>
        <r>
          <rPr>
            <b/>
            <sz val="9"/>
            <color indexed="81"/>
            <rFont val="Tahoma"/>
            <family val="2"/>
          </rPr>
          <t>Sally Blair:</t>
        </r>
        <r>
          <rPr>
            <sz val="9"/>
            <color indexed="81"/>
            <rFont val="Tahoma"/>
            <family val="2"/>
          </rPr>
          <t xml:space="preserve">
This column opens for user input if "NFRC Certified" is selected in column 09.  Otherwise, the # comes from  column 19 if "NA6 default" chosen, or column 25 if "S110.6 Default" chosen. 
If column 09 "Overhang used..." is checked, RSHGC from column 32 overrides the SHGC in columns 19 or 25.
ACK! </t>
        </r>
      </text>
    </comment>
    <comment ref="I43" authorId="0" shapeId="0" xr:uid="{9030BAEB-6B2F-4E99-AB23-BC301C9BEC22}">
      <text>
        <r>
          <rPr>
            <b/>
            <sz val="9"/>
            <color indexed="10"/>
            <rFont val="Tahoma"/>
            <family val="2"/>
          </rPr>
          <t>7.30.21:</t>
        </r>
        <r>
          <rPr>
            <sz val="9"/>
            <color indexed="81"/>
            <rFont val="Tahoma"/>
            <family val="2"/>
          </rPr>
          <t xml:space="preserve">
For "New" assemblies (column 06), this value comes from the Tables in Section 140.3.  Which table to use depends on the occupancy type from column 06:
</t>
        </r>
        <r>
          <rPr>
            <b/>
            <sz val="9"/>
            <color indexed="10"/>
            <rFont val="Tahoma"/>
            <family val="2"/>
          </rPr>
          <t xml:space="preserve">Nonresidential </t>
        </r>
        <r>
          <rPr>
            <b/>
            <strike/>
            <sz val="9"/>
            <color indexed="10"/>
            <rFont val="Tahoma"/>
            <family val="2"/>
          </rPr>
          <t>&amp; Relocatables</t>
        </r>
        <r>
          <rPr>
            <b/>
            <sz val="9"/>
            <color indexed="10"/>
            <rFont val="Tahoma"/>
            <family val="2"/>
          </rPr>
          <t xml:space="preserve"> = Table 140.3-B
*Please review, Ufactor &amp; SHGC values for Fixed, Curtainwall &amp; Storefront changed and are now dependent on CZ from A05.</t>
        </r>
        <r>
          <rPr>
            <sz val="9"/>
            <color indexed="81"/>
            <rFont val="Tahoma"/>
            <family val="2"/>
          </rPr>
          <t xml:space="preserve">
</t>
        </r>
        <r>
          <rPr>
            <b/>
            <strike/>
            <sz val="9"/>
            <color indexed="10"/>
            <rFont val="Tahoma"/>
            <family val="2"/>
          </rPr>
          <t xml:space="preserve">High-rise Res &amp; </t>
        </r>
        <r>
          <rPr>
            <sz val="9"/>
            <color indexed="81"/>
            <rFont val="Tahoma"/>
            <family val="2"/>
          </rPr>
          <t xml:space="preserve">Hotel/Motel =Table 140.3-C
</t>
        </r>
        <r>
          <rPr>
            <b/>
            <strike/>
            <sz val="9"/>
            <color indexed="39"/>
            <rFont val="Tahoma"/>
            <family val="2"/>
          </rPr>
          <t>Relocatables All CZ =Table 140.3-D</t>
        </r>
        <r>
          <rPr>
            <sz val="9"/>
            <color indexed="81"/>
            <rFont val="Tahoma"/>
            <family val="2"/>
          </rPr>
          <t xml:space="preserve">
</t>
        </r>
        <r>
          <rPr>
            <b/>
            <sz val="9"/>
            <color indexed="10"/>
            <rFont val="Tahoma"/>
            <family val="2"/>
          </rPr>
          <t>Dwelling Units requirements come from Table 170.2-A or Table 180.2-B depending on selection in 07.</t>
        </r>
        <r>
          <rPr>
            <sz val="9"/>
            <color indexed="81"/>
            <rFont val="Tahoma"/>
            <family val="2"/>
          </rPr>
          <t xml:space="preserve">
Required value depends on selection from column 05.
For fen in demising walls selection in 05, use requirement for storefront.
For "Alt" assemblies  (column 06), the requirement is based on the selection in column 06:
- "Replacement &gt; 150ft2" and "Replacement &lt; 150ft2" = values from Table 141.0-A based on CZ from Table A column 03.  I've copied Table 141.0-A to the right for your reference.
- "Adding New &gt; 50ft2" and "Adding New &lt; 50ft2" = Table 140.3-B/C/D, depending on occupancy in column 06.</t>
        </r>
      </text>
    </comment>
    <comment ref="I44" authorId="0" shapeId="0" xr:uid="{EC786016-EDB1-42F5-9F1D-7AAB9E370527}">
      <text>
        <r>
          <rPr>
            <b/>
            <sz val="9"/>
            <color indexed="10"/>
            <rFont val="Tahoma"/>
            <family val="2"/>
          </rPr>
          <t>7.30.21:</t>
        </r>
        <r>
          <rPr>
            <sz val="9"/>
            <color indexed="81"/>
            <rFont val="Tahoma"/>
            <family val="2"/>
          </rPr>
          <t xml:space="preserve">
If "Table 140.3-B/C/D" is selected in column 07, this value comes from the Tables in Section 140.3.  Which table to use depends on the occupancy type from column 06:
</t>
        </r>
        <r>
          <rPr>
            <b/>
            <sz val="9"/>
            <color indexed="10"/>
            <rFont val="Tahoma"/>
            <family val="2"/>
          </rPr>
          <t xml:space="preserve">Nonresidential </t>
        </r>
        <r>
          <rPr>
            <b/>
            <strike/>
            <sz val="9"/>
            <color indexed="10"/>
            <rFont val="Tahoma"/>
            <family val="2"/>
          </rPr>
          <t>&amp; Relocatables</t>
        </r>
        <r>
          <rPr>
            <b/>
            <sz val="9"/>
            <color indexed="10"/>
            <rFont val="Tahoma"/>
            <family val="2"/>
          </rPr>
          <t xml:space="preserve"> = Table 140.3-B
*Please review, Ufactor &amp; SHGC values for Fixed, Curtainwall &amp; Storefront changed and are now dependent on CZ from A05</t>
        </r>
        <r>
          <rPr>
            <sz val="9"/>
            <color indexed="81"/>
            <rFont val="Tahoma"/>
            <family val="2"/>
          </rPr>
          <t xml:space="preserve">.
</t>
        </r>
        <r>
          <rPr>
            <b/>
            <strike/>
            <sz val="9"/>
            <color indexed="10"/>
            <rFont val="Tahoma"/>
            <family val="2"/>
          </rPr>
          <t>High-rise Res &amp;</t>
        </r>
        <r>
          <rPr>
            <sz val="9"/>
            <color indexed="10"/>
            <rFont val="Tahoma"/>
            <family val="2"/>
          </rPr>
          <t xml:space="preserve"> </t>
        </r>
        <r>
          <rPr>
            <sz val="9"/>
            <color indexed="81"/>
            <rFont val="Tahoma"/>
            <family val="2"/>
          </rPr>
          <t xml:space="preserve">Hotel/Motel =Table 140.3-C
</t>
        </r>
        <r>
          <rPr>
            <b/>
            <strike/>
            <sz val="9"/>
            <color indexed="39"/>
            <rFont val="Tahoma"/>
            <family val="2"/>
          </rPr>
          <t>Relocatables All CZ =Table 140.3-D</t>
        </r>
        <r>
          <rPr>
            <sz val="9"/>
            <color indexed="81"/>
            <rFont val="Tahoma"/>
            <family val="2"/>
          </rPr>
          <t xml:space="preserve">
</t>
        </r>
        <r>
          <rPr>
            <b/>
            <sz val="9"/>
            <color indexed="10"/>
            <rFont val="Tahoma"/>
            <family val="2"/>
          </rPr>
          <t>Dwelling Units requirements come from Table 170.2-A or Table 180.2-B depending on selection in 07.</t>
        </r>
        <r>
          <rPr>
            <sz val="9"/>
            <color indexed="81"/>
            <rFont val="Tahoma"/>
            <family val="2"/>
          </rPr>
          <t xml:space="preserve">
Required value depends on selection from column 05.
If "1st flr display perimeter-no overhang" is selected in column 07, this value is 0.56 </t>
        </r>
        <r>
          <rPr>
            <b/>
            <sz val="9"/>
            <color indexed="10"/>
            <rFont val="Tahoma"/>
            <family val="2"/>
          </rPr>
          <t>[applies to dwelling units too]</t>
        </r>
        <r>
          <rPr>
            <sz val="9"/>
            <color indexed="81"/>
            <rFont val="Tahoma"/>
            <family val="2"/>
          </rPr>
          <t xml:space="preserve">
If "Table 141.0-A" is selected in column 07, this value = values from Table 141.0-A based on CZ from Table A column 03.  I've copied Table 141.0-A to the right for your reference.</t>
        </r>
      </text>
    </comment>
    <comment ref="F45" authorId="0" shapeId="0" xr:uid="{01E6D2F9-EF18-477B-A93E-2CE3B2CB0FBD}">
      <text>
        <r>
          <rPr>
            <b/>
            <sz val="9"/>
            <color indexed="81"/>
            <rFont val="Tahoma"/>
            <family val="2"/>
          </rPr>
          <t>Clarification Update 7.22.20:</t>
        </r>
        <r>
          <rPr>
            <sz val="9"/>
            <color indexed="81"/>
            <rFont val="Tahoma"/>
            <family val="2"/>
          </rPr>
          <t xml:space="preserve">
This selection triggers the Overhang section to expand for user input. Otherwise, minimize it.
When selected, the RSHGC per design in 12 should not be user input. It should mirror the RSHGC value from K32 in this sub-table.
</t>
        </r>
        <r>
          <rPr>
            <b/>
            <sz val="9"/>
            <color indexed="81"/>
            <rFont val="Tahoma"/>
            <family val="2"/>
          </rPr>
          <t xml:space="preserve">
This is grayed out if RSHGC column 11 and 12 are grayed out.</t>
        </r>
      </text>
    </comment>
    <comment ref="I45" authorId="0" shapeId="0" xr:uid="{C7666210-2FC4-4403-AC97-EB952ED27507}">
      <text>
        <r>
          <rPr>
            <b/>
            <sz val="9"/>
            <color indexed="10"/>
            <rFont val="Tahoma"/>
            <family val="2"/>
          </rPr>
          <t>7.30.21:</t>
        </r>
        <r>
          <rPr>
            <sz val="9"/>
            <color indexed="81"/>
            <rFont val="Tahoma"/>
            <family val="2"/>
          </rPr>
          <t xml:space="preserve">
If "Table 140.3-B/C/D" is selected in column 08, this value comes from the Tables in Section 140.3.  Which table to use depends on the occupancy type from column 06:
Nonresidential </t>
        </r>
        <r>
          <rPr>
            <strike/>
            <sz val="9"/>
            <color indexed="81"/>
            <rFont val="Tahoma"/>
            <family val="2"/>
          </rPr>
          <t>&amp; Relocatables</t>
        </r>
        <r>
          <rPr>
            <sz val="9"/>
            <color indexed="81"/>
            <rFont val="Tahoma"/>
            <family val="2"/>
          </rPr>
          <t xml:space="preserve"> = Table 140.3-B
</t>
        </r>
        <r>
          <rPr>
            <b/>
            <strike/>
            <sz val="9"/>
            <color indexed="10"/>
            <rFont val="Tahoma"/>
            <family val="2"/>
          </rPr>
          <t>High-rise Res &amp;</t>
        </r>
        <r>
          <rPr>
            <sz val="9"/>
            <color indexed="81"/>
            <rFont val="Tahoma"/>
            <family val="2"/>
          </rPr>
          <t xml:space="preserve"> Hotel/Motel =Table 140.3-C
</t>
        </r>
        <r>
          <rPr>
            <b/>
            <strike/>
            <sz val="9"/>
            <color indexed="39"/>
            <rFont val="Tahoma"/>
            <family val="2"/>
          </rPr>
          <t>Relocatables All CZ =Table 140.3-D</t>
        </r>
        <r>
          <rPr>
            <sz val="9"/>
            <color indexed="81"/>
            <rFont val="Tahoma"/>
            <family val="2"/>
          </rPr>
          <t xml:space="preserve">
</t>
        </r>
        <r>
          <rPr>
            <b/>
            <sz val="9"/>
            <color indexed="10"/>
            <rFont val="Tahoma"/>
            <family val="2"/>
          </rPr>
          <t>Dwelling Units requirements come from Table 170.2-A or Table 180.2-B depending on selection in 08.</t>
        </r>
        <r>
          <rPr>
            <sz val="9"/>
            <color indexed="81"/>
            <rFont val="Tahoma"/>
            <family val="2"/>
          </rPr>
          <t xml:space="preserve">
Required value depends on selection from column 05.
If "Equation 140.3-B (new only)" is selected in column 08, this value is calculated by: =0.11/WWR 
where WWR = column 07/ sum of column 03 for all areas (both from Total Building &amp; West Facing Area subtable) OR 0.40, whichever is less.
</t>
        </r>
        <r>
          <rPr>
            <b/>
            <sz val="9"/>
            <color indexed="10"/>
            <rFont val="Tahoma"/>
            <family val="2"/>
          </rPr>
          <t>If "Equation 170.2-B (new only)" is selected in column 08, this value is calculated by: =0.11/WWR 
where WWR = column 07/ sum of column 03 for all areas (both from Multifamily Vertical Fenestration and Glazed Doors- Total Building Area subtable) OR 0.40, whichever is less. Same calc as existing for NR, but use MF subtable instead.</t>
        </r>
      </text>
    </comment>
    <comment ref="B54" authorId="1" shapeId="0" xr:uid="{B5097C05-185A-49F3-ADB5-02BB715AD4EC}">
      <text>
        <r>
          <rPr>
            <b/>
            <sz val="9"/>
            <color indexed="81"/>
            <rFont val="Tahoma"/>
            <family val="2"/>
          </rPr>
          <t>7/30/20:</t>
        </r>
        <r>
          <rPr>
            <sz val="9"/>
            <color indexed="81"/>
            <rFont val="Tahoma"/>
            <family val="2"/>
          </rPr>
          <t xml:space="preserve">
If triggered, K20 greys out when "Glazed Door" is selected in K.05</t>
        </r>
      </text>
    </comment>
    <comment ref="H57" authorId="0" shapeId="0" xr:uid="{0673BFD6-61A1-437F-B1AD-DD3DE88847EA}">
      <text>
        <r>
          <rPr>
            <b/>
            <sz val="9"/>
            <color indexed="81"/>
            <rFont val="Tahoma"/>
            <family val="2"/>
          </rPr>
          <t>Sally Blair:</t>
        </r>
        <r>
          <rPr>
            <sz val="9"/>
            <color indexed="81"/>
            <rFont val="Tahoma"/>
            <family val="2"/>
          </rPr>
          <t xml:space="preserve">
For the default here use the NA6 equation where VTc = 1.  That means we can just use the VTF values directly based on columns 05 &amp; 21. </t>
        </r>
      </text>
    </comment>
    <comment ref="H61" authorId="0" shapeId="0" xr:uid="{3929B9CD-6ACE-4D5A-B766-DC879D4B23E0}">
      <text>
        <r>
          <rPr>
            <b/>
            <sz val="9"/>
            <color indexed="10"/>
            <rFont val="Tahoma"/>
            <family val="2"/>
          </rPr>
          <t>7.30.21
This equation has been updated- see screenshot to the right (&amp; down)
The equation is the same for S170.2 Multifamily</t>
        </r>
      </text>
    </comment>
    <comment ref="F62" authorId="0" shapeId="0" xr:uid="{F08723FC-429A-49CE-A292-CEC60955FCCE}">
      <text>
        <r>
          <rPr>
            <b/>
            <sz val="9"/>
            <color indexed="10"/>
            <rFont val="Tahoma"/>
            <family val="2"/>
          </rPr>
          <t>7.30.21</t>
        </r>
        <r>
          <rPr>
            <b/>
            <strike/>
            <sz val="9"/>
            <color indexed="10"/>
            <rFont val="Tahoma"/>
            <family val="2"/>
          </rPr>
          <t xml:space="preserve">
If this says "DNC", Table C should say DNC for Table K. &amp; the note on Table D row 13 should be triggered.
2019 Update: Note in Table D is being triggered using NFRC in column 09, but the trigger for that note should be this.
</t>
        </r>
        <r>
          <rPr>
            <b/>
            <sz val="9"/>
            <color indexed="10"/>
            <rFont val="Tahoma"/>
            <family val="2"/>
          </rPr>
          <t>Removng this for 2022. Too complex.</t>
        </r>
      </text>
    </comment>
    <comment ref="J63" authorId="0" shapeId="0" xr:uid="{7E82D156-55CA-4402-A5EB-2EA31EFD7557}">
      <text>
        <r>
          <rPr>
            <b/>
            <sz val="9"/>
            <color indexed="81"/>
            <rFont val="Tahoma"/>
            <family val="2"/>
          </rPr>
          <t>Sally Blair:</t>
        </r>
        <r>
          <rPr>
            <sz val="9"/>
            <color indexed="81"/>
            <rFont val="Tahoma"/>
            <family val="2"/>
          </rPr>
          <t xml:space="preserve">
This would add columns 04-13, but not column headings, just the user input row.</t>
        </r>
      </text>
    </comment>
    <comment ref="C67" authorId="1" shapeId="0" xr:uid="{F64830EC-6BFE-48B4-AC97-6908F32E12E8}">
      <text>
        <r>
          <rPr>
            <b/>
            <sz val="9"/>
            <color indexed="10"/>
            <rFont val="Tahoma"/>
            <family val="2"/>
          </rPr>
          <t xml:space="preserve">8.6.21
</t>
        </r>
        <r>
          <rPr>
            <b/>
            <strike/>
            <sz val="9"/>
            <color indexed="10"/>
            <rFont val="Tahoma"/>
            <family val="2"/>
          </rPr>
          <t>Custom dropdown when anything other than "Glazed Door" is selected in 05</t>
        </r>
        <r>
          <rPr>
            <b/>
            <sz val="9"/>
            <color indexed="10"/>
            <rFont val="Tahoma"/>
            <family val="2"/>
          </rPr>
          <t xml:space="preserve">
Removing custom dropdown for 2022 update</t>
        </r>
      </text>
    </comment>
    <comment ref="D67" authorId="0" shapeId="0" xr:uid="{684D0563-96AC-468A-9A15-F5CA4EE982F7}">
      <text>
        <r>
          <rPr>
            <b/>
            <sz val="9"/>
            <color indexed="10"/>
            <rFont val="Tahoma"/>
            <family val="2"/>
          </rPr>
          <t>8.6.21:</t>
        </r>
        <r>
          <rPr>
            <sz val="9"/>
            <color indexed="81"/>
            <rFont val="Tahoma"/>
            <family val="2"/>
          </rPr>
          <t xml:space="preserve">
Dropdown if any of the following selected in column 06:
- Nonres</t>
        </r>
        <r>
          <rPr>
            <strike/>
            <sz val="9"/>
            <color indexed="81"/>
            <rFont val="Tahoma"/>
            <family val="2"/>
          </rPr>
          <t>/Relocatable 1 CZ</t>
        </r>
        <r>
          <rPr>
            <sz val="9"/>
            <color indexed="81"/>
            <rFont val="Tahoma"/>
            <family val="2"/>
          </rPr>
          <t xml:space="preserve">: New
- </t>
        </r>
        <r>
          <rPr>
            <b/>
            <strike/>
            <sz val="9"/>
            <color indexed="10"/>
            <rFont val="Tahoma"/>
            <family val="2"/>
          </rPr>
          <t xml:space="preserve">High-rise Res/ </t>
        </r>
        <r>
          <rPr>
            <sz val="9"/>
            <color indexed="81"/>
            <rFont val="Tahoma"/>
            <family val="2"/>
          </rPr>
          <t xml:space="preserve">H/M: New
</t>
        </r>
        <r>
          <rPr>
            <strike/>
            <sz val="9"/>
            <color indexed="81"/>
            <rFont val="Tahoma"/>
            <family val="2"/>
          </rPr>
          <t>- Relocatable all CZ: New.</t>
        </r>
        <r>
          <rPr>
            <sz val="9"/>
            <color indexed="81"/>
            <rFont val="Tahoma"/>
            <family val="2"/>
          </rPr>
          <t xml:space="preserve"> 
</t>
        </r>
        <r>
          <rPr>
            <b/>
            <strike/>
            <sz val="9"/>
            <color indexed="10"/>
            <rFont val="Tahoma"/>
            <family val="2"/>
          </rPr>
          <t>OR if
"Glazed Door" selected in 05</t>
        </r>
      </text>
    </comment>
    <comment ref="E67" authorId="0" shapeId="0" xr:uid="{A1404B54-D78C-4C77-9FA4-F68A44841471}">
      <text>
        <r>
          <rPr>
            <b/>
            <sz val="9"/>
            <color indexed="10"/>
            <rFont val="Tahoma"/>
            <family val="2"/>
          </rPr>
          <t>8.6.21:</t>
        </r>
        <r>
          <rPr>
            <sz val="9"/>
            <color indexed="81"/>
            <rFont val="Tahoma"/>
            <family val="2"/>
          </rPr>
          <t xml:space="preserve">
Dropdown if any of the following selected in column 06:
- Nonres</t>
        </r>
        <r>
          <rPr>
            <strike/>
            <sz val="9"/>
            <color indexed="81"/>
            <rFont val="Tahoma"/>
            <family val="2"/>
          </rPr>
          <t>/Relocatable 1 CZ</t>
        </r>
        <r>
          <rPr>
            <sz val="9"/>
            <color indexed="81"/>
            <rFont val="Tahoma"/>
            <family val="2"/>
          </rPr>
          <t xml:space="preserve">: New
- </t>
        </r>
        <r>
          <rPr>
            <strike/>
            <sz val="9"/>
            <color indexed="81"/>
            <rFont val="Tahoma"/>
            <family val="2"/>
          </rPr>
          <t>High-rise Res/</t>
        </r>
        <r>
          <rPr>
            <sz val="9"/>
            <color indexed="81"/>
            <rFont val="Tahoma"/>
            <family val="2"/>
          </rPr>
          <t xml:space="preserve"> H/M: New
-</t>
        </r>
        <r>
          <rPr>
            <strike/>
            <sz val="9"/>
            <color indexed="81"/>
            <rFont val="Tahoma"/>
            <family val="2"/>
          </rPr>
          <t xml:space="preserve"> Relocatable all CZ: New</t>
        </r>
        <r>
          <rPr>
            <sz val="9"/>
            <color indexed="81"/>
            <rFont val="Tahoma"/>
            <family val="2"/>
          </rPr>
          <t xml:space="preserve">
</t>
        </r>
        <r>
          <rPr>
            <b/>
            <strike/>
            <sz val="9"/>
            <color indexed="10"/>
            <rFont val="Tahoma"/>
            <family val="2"/>
          </rPr>
          <t>OR if
- Glazed Door (05) Nonresidential/ Relocatable 1 CZ &amp; (06)
- Glazed Door (05) &amp; High-rise Res/ Hotel/ Motel (06)</t>
        </r>
      </text>
    </comment>
    <comment ref="F67" authorId="0" shapeId="0" xr:uid="{6A46737B-591F-449A-9C64-B65D88B80192}">
      <text>
        <r>
          <rPr>
            <b/>
            <sz val="9"/>
            <color indexed="10"/>
            <rFont val="Tahoma"/>
            <family val="2"/>
          </rPr>
          <t>8.6.21:
Custom dropdown if col 06 is any of the following:
- Nonres</t>
        </r>
        <r>
          <rPr>
            <b/>
            <strike/>
            <sz val="9"/>
            <color indexed="10"/>
            <rFont val="Tahoma"/>
            <family val="2"/>
          </rPr>
          <t>/Relocatable 1 CZ</t>
        </r>
        <r>
          <rPr>
            <b/>
            <sz val="9"/>
            <color indexed="10"/>
            <rFont val="Tahoma"/>
            <family val="2"/>
          </rPr>
          <t xml:space="preserve">: Alt. (Replacement..)
- Hotel/Motel: Alt. (Replacement..)
</t>
        </r>
        <r>
          <rPr>
            <b/>
            <strike/>
            <sz val="9"/>
            <color indexed="10"/>
            <rFont val="Tahoma"/>
            <family val="2"/>
          </rPr>
          <t>- Relocatable all CZ: Alt. (Replacement..)</t>
        </r>
        <r>
          <rPr>
            <b/>
            <sz val="9"/>
            <color indexed="10"/>
            <rFont val="Tahoma"/>
            <family val="2"/>
          </rPr>
          <t xml:space="preserve">
- Occupancy other than dwelling unit: Alt. (Replacement..)
- Nonres</t>
        </r>
        <r>
          <rPr>
            <b/>
            <strike/>
            <sz val="9"/>
            <color indexed="10"/>
            <rFont val="Tahoma"/>
            <family val="2"/>
          </rPr>
          <t>/Relocatable 1 CZ</t>
        </r>
        <r>
          <rPr>
            <b/>
            <sz val="9"/>
            <color indexed="10"/>
            <rFont val="Tahoma"/>
            <family val="2"/>
          </rPr>
          <t xml:space="preserve">: Alt. (Adding New &gt; 50..)
- Hotel/Motel: Alt. (Adding New &gt; 50..)
</t>
        </r>
        <r>
          <rPr>
            <b/>
            <strike/>
            <sz val="9"/>
            <color indexed="10"/>
            <rFont val="Tahoma"/>
            <family val="2"/>
          </rPr>
          <t>- Relocatable all CZ: Alt. (Adding New &gt; 50..)</t>
        </r>
        <r>
          <rPr>
            <b/>
            <sz val="9"/>
            <color indexed="10"/>
            <rFont val="Tahoma"/>
            <family val="2"/>
          </rPr>
          <t xml:space="preserve">
- Nonres</t>
        </r>
        <r>
          <rPr>
            <b/>
            <strike/>
            <sz val="9"/>
            <color indexed="10"/>
            <rFont val="Tahoma"/>
            <family val="2"/>
          </rPr>
          <t>/Relocatable 1 CZ</t>
        </r>
        <r>
          <rPr>
            <b/>
            <sz val="9"/>
            <color indexed="10"/>
            <rFont val="Tahoma"/>
            <family val="2"/>
          </rPr>
          <t xml:space="preserve">: Alt. (Adding New &lt;= 50..)
- Hotel/Motel: Alt. (Adding New &lt;= 50..)
</t>
        </r>
        <r>
          <rPr>
            <b/>
            <strike/>
            <sz val="9"/>
            <color indexed="10"/>
            <rFont val="Tahoma"/>
            <family val="2"/>
          </rPr>
          <t>- Relocatable all CZ: Alt. (Adding New &lt;= 50..)</t>
        </r>
        <r>
          <rPr>
            <b/>
            <sz val="9"/>
            <color indexed="10"/>
            <rFont val="Tahoma"/>
            <family val="2"/>
          </rPr>
          <t xml:space="preserve">
- Dwelling units &lt;= 3 stories: New
- Dwelling Units &lt;= 3 stories: Alt. (Replacement &gt; 150ft2)
- Dwelling Units &lt;= 3 stories: Alt. (Replacement &lt;= 150ft2)
- Dwelling Units &lt;= 3 stories: Alt. (Adding New &gt; 50ft2)
</t>
        </r>
      </text>
    </comment>
    <comment ref="D69" authorId="0" shapeId="0" xr:uid="{24CF69AB-7EBC-4AC1-B855-800C95C0A7E8}">
      <text>
        <r>
          <rPr>
            <b/>
            <sz val="9"/>
            <color indexed="81"/>
            <rFont val="Tahoma"/>
            <family val="2"/>
          </rPr>
          <t>Sally Blair:</t>
        </r>
        <r>
          <rPr>
            <sz val="9"/>
            <color indexed="81"/>
            <rFont val="Tahoma"/>
            <family val="2"/>
          </rPr>
          <t xml:space="preserve">
This selection populates (R)SHGC row in column 11 with "0.56"</t>
        </r>
      </text>
    </comment>
    <comment ref="D70" authorId="0" shapeId="0" xr:uid="{0C6D54AE-1939-4A6F-B03F-2538FB6886F6}">
      <text>
        <r>
          <rPr>
            <b/>
            <sz val="9"/>
            <color indexed="10"/>
            <rFont val="Tahoma"/>
            <family val="2"/>
          </rPr>
          <t>8.6.21:</t>
        </r>
        <r>
          <rPr>
            <sz val="9"/>
            <color indexed="81"/>
            <rFont val="Tahoma"/>
            <family val="2"/>
          </rPr>
          <t xml:space="preserve">
Dropdown if any of the following selected in column 06:
- Nonres</t>
        </r>
        <r>
          <rPr>
            <strike/>
            <sz val="9"/>
            <color indexed="81"/>
            <rFont val="Tahoma"/>
            <family val="2"/>
          </rPr>
          <t>/Relocatable 1 CZ</t>
        </r>
        <r>
          <rPr>
            <sz val="9"/>
            <color indexed="81"/>
            <rFont val="Tahoma"/>
            <family val="2"/>
          </rPr>
          <t xml:space="preserve">: Alt.(Adding New &gt; 50ft2)
- </t>
        </r>
        <r>
          <rPr>
            <b/>
            <strike/>
            <sz val="9"/>
            <color indexed="10"/>
            <rFont val="Tahoma"/>
            <family val="2"/>
          </rPr>
          <t xml:space="preserve">High-rise Res/ </t>
        </r>
        <r>
          <rPr>
            <sz val="9"/>
            <color indexed="81"/>
            <rFont val="Tahoma"/>
            <family val="2"/>
          </rPr>
          <t xml:space="preserve">H/M: Alt.(Adding New &gt; 50ft2)
</t>
        </r>
        <r>
          <rPr>
            <strike/>
            <sz val="9"/>
            <color indexed="81"/>
            <rFont val="Tahoma"/>
            <family val="2"/>
          </rPr>
          <t>- Relocatable all CZ: Alt.(Adding New &gt; 50ft2)</t>
        </r>
        <r>
          <rPr>
            <sz val="9"/>
            <color indexed="81"/>
            <rFont val="Tahoma"/>
            <family val="2"/>
          </rPr>
          <t xml:space="preserve">
- Nonres</t>
        </r>
        <r>
          <rPr>
            <strike/>
            <sz val="9"/>
            <color indexed="81"/>
            <rFont val="Tahoma"/>
            <family val="2"/>
          </rPr>
          <t>/Relocatable 1 CZ</t>
        </r>
        <r>
          <rPr>
            <sz val="9"/>
            <color indexed="81"/>
            <rFont val="Tahoma"/>
            <family val="2"/>
          </rPr>
          <t xml:space="preserve">: Alt.(Adding New &lt;= 50ft2)
- </t>
        </r>
        <r>
          <rPr>
            <b/>
            <strike/>
            <sz val="9"/>
            <color indexed="10"/>
            <rFont val="Tahoma"/>
            <family val="2"/>
          </rPr>
          <t>High-rise Res/</t>
        </r>
        <r>
          <rPr>
            <sz val="9"/>
            <color indexed="81"/>
            <rFont val="Tahoma"/>
            <family val="2"/>
          </rPr>
          <t xml:space="preserve"> H/M: Alt.(Adding New &lt;= 50ft2)
</t>
        </r>
        <r>
          <rPr>
            <strike/>
            <sz val="9"/>
            <color indexed="81"/>
            <rFont val="Tahoma"/>
            <family val="2"/>
          </rPr>
          <t>- Relocatable all CZ: Alt.(Adding New &lt;= 50ft2)</t>
        </r>
      </text>
    </comment>
    <comment ref="E70" authorId="0" shapeId="0" xr:uid="{F646D037-0610-4E53-80B8-D2236C15F973}">
      <text>
        <r>
          <rPr>
            <b/>
            <sz val="9"/>
            <color indexed="81"/>
            <rFont val="Tahoma"/>
            <family val="2"/>
          </rPr>
          <t>Sally Blair:</t>
        </r>
        <r>
          <rPr>
            <sz val="9"/>
            <color indexed="81"/>
            <rFont val="Tahoma"/>
            <family val="2"/>
          </rPr>
          <t xml:space="preserve">
This selection greys out VT row in column 11 &amp; 12.</t>
        </r>
      </text>
    </comment>
    <comment ref="F70" authorId="0" shapeId="0" xr:uid="{4A7E906A-25F7-4730-BF1D-4EF709A9461A}">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E71" authorId="0" shapeId="0" xr:uid="{07D3CC87-C7E9-46CA-86EE-12A26E245568}">
      <text>
        <r>
          <rPr>
            <b/>
            <sz val="9"/>
            <color indexed="10"/>
            <rFont val="Tahoma"/>
            <family val="2"/>
          </rPr>
          <t>8.6.21:</t>
        </r>
        <r>
          <rPr>
            <sz val="9"/>
            <color indexed="81"/>
            <rFont val="Tahoma"/>
            <family val="2"/>
          </rPr>
          <t xml:space="preserve">
Dropdown if any of the following selected in column 06:
- Nonres</t>
        </r>
        <r>
          <rPr>
            <strike/>
            <sz val="9"/>
            <color indexed="81"/>
            <rFont val="Tahoma"/>
            <family val="2"/>
          </rPr>
          <t>/Relocatable 1 CZ</t>
        </r>
        <r>
          <rPr>
            <sz val="9"/>
            <color indexed="81"/>
            <rFont val="Tahoma"/>
            <family val="2"/>
          </rPr>
          <t xml:space="preserve">: Alt.(Adding New &gt; 50ft2)
- </t>
        </r>
        <r>
          <rPr>
            <b/>
            <strike/>
            <sz val="9"/>
            <color indexed="10"/>
            <rFont val="Tahoma"/>
            <family val="2"/>
          </rPr>
          <t>High-rise Res/</t>
        </r>
        <r>
          <rPr>
            <sz val="9"/>
            <color indexed="81"/>
            <rFont val="Tahoma"/>
            <family val="2"/>
          </rPr>
          <t xml:space="preserve"> H/M: Alt.(Adding New &gt; 50ft2)
</t>
        </r>
        <r>
          <rPr>
            <strike/>
            <sz val="9"/>
            <color indexed="81"/>
            <rFont val="Tahoma"/>
            <family val="2"/>
          </rPr>
          <t>- Relocatable all CZ: Alt.(Adding New &gt; 50ft2)</t>
        </r>
        <r>
          <rPr>
            <sz val="9"/>
            <color indexed="81"/>
            <rFont val="Tahoma"/>
            <family val="2"/>
          </rPr>
          <t xml:space="preserve">
- Nonres</t>
        </r>
        <r>
          <rPr>
            <strike/>
            <sz val="9"/>
            <color indexed="81"/>
            <rFont val="Tahoma"/>
            <family val="2"/>
          </rPr>
          <t>/Relocatable 1 CZ</t>
        </r>
        <r>
          <rPr>
            <sz val="9"/>
            <color indexed="81"/>
            <rFont val="Tahoma"/>
            <family val="2"/>
          </rPr>
          <t xml:space="preserve">: Alt.(Replacement &gt; 150ft2)
- </t>
        </r>
        <r>
          <rPr>
            <b/>
            <strike/>
            <sz val="9"/>
            <color indexed="10"/>
            <rFont val="Tahoma"/>
            <family val="2"/>
          </rPr>
          <t xml:space="preserve">High-rise Res/ </t>
        </r>
        <r>
          <rPr>
            <sz val="9"/>
            <color indexed="81"/>
            <rFont val="Tahoma"/>
            <family val="2"/>
          </rPr>
          <t>H/M: Alt.(Replacement &gt; 150ft2)
-</t>
        </r>
        <r>
          <rPr>
            <strike/>
            <sz val="9"/>
            <color indexed="81"/>
            <rFont val="Tahoma"/>
            <family val="2"/>
          </rPr>
          <t xml:space="preserve"> Relocatable all CZ: Alt.(Replacement &gt; 150ft2)</t>
        </r>
      </text>
    </comment>
    <comment ref="B72" authorId="0" shapeId="0" xr:uid="{5744D365-1748-4A6B-95A8-6246DF3182EF}">
      <text>
        <r>
          <rPr>
            <b/>
            <sz val="9"/>
            <color indexed="81"/>
            <rFont val="Tahoma"/>
            <family val="2"/>
          </rPr>
          <t>Sally Blair:</t>
        </r>
        <r>
          <rPr>
            <sz val="9"/>
            <color indexed="81"/>
            <rFont val="Tahoma"/>
            <family val="2"/>
          </rPr>
          <t xml:space="preserve">
This selection greys out columns 06 through 13 for this row.</t>
        </r>
      </text>
    </comment>
    <comment ref="D72" authorId="0" shapeId="0" xr:uid="{3982823B-FA51-43B3-A0B9-98595ECA89ED}">
      <text>
        <r>
          <rPr>
            <b/>
            <sz val="9"/>
            <color indexed="10"/>
            <rFont val="Tahoma"/>
            <family val="2"/>
          </rPr>
          <t>8.6.21:</t>
        </r>
        <r>
          <rPr>
            <sz val="9"/>
            <color indexed="81"/>
            <rFont val="Tahoma"/>
            <family val="2"/>
          </rPr>
          <t xml:space="preserve">
Dropdown if any of the following selected in column 06:
- Nonres</t>
        </r>
        <r>
          <rPr>
            <strike/>
            <sz val="9"/>
            <color indexed="81"/>
            <rFont val="Tahoma"/>
            <family val="2"/>
          </rPr>
          <t>/Relocatable 1 CZ</t>
        </r>
        <r>
          <rPr>
            <sz val="9"/>
            <color indexed="81"/>
            <rFont val="Tahoma"/>
            <family val="2"/>
          </rPr>
          <t xml:space="preserve">: Alt.(Replacement &gt; 150ft2)
- </t>
        </r>
        <r>
          <rPr>
            <b/>
            <strike/>
            <sz val="9"/>
            <color indexed="10"/>
            <rFont val="Tahoma"/>
            <family val="2"/>
          </rPr>
          <t xml:space="preserve">High-rise Res/ </t>
        </r>
        <r>
          <rPr>
            <sz val="9"/>
            <color indexed="81"/>
            <rFont val="Tahoma"/>
            <family val="2"/>
          </rPr>
          <t xml:space="preserve">H/M: Alt.(Replacement &gt; 150ft2)
</t>
        </r>
        <r>
          <rPr>
            <strike/>
            <sz val="9"/>
            <color indexed="81"/>
            <rFont val="Tahoma"/>
            <family val="2"/>
          </rPr>
          <t>- Relocatable all CZ: Alt.(Replacement &gt; 150ft2)</t>
        </r>
        <r>
          <rPr>
            <sz val="9"/>
            <color indexed="81"/>
            <rFont val="Tahoma"/>
            <family val="2"/>
          </rPr>
          <t xml:space="preserve">
- </t>
        </r>
        <r>
          <rPr>
            <b/>
            <strike/>
            <sz val="9"/>
            <color indexed="10"/>
            <rFont val="Tahoma"/>
            <family val="2"/>
          </rPr>
          <t xml:space="preserve">Any </t>
        </r>
        <r>
          <rPr>
            <sz val="9"/>
            <color indexed="81"/>
            <rFont val="Tahoma"/>
            <family val="2"/>
          </rPr>
          <t xml:space="preserve">Occupancy </t>
        </r>
        <r>
          <rPr>
            <b/>
            <sz val="9"/>
            <color indexed="10"/>
            <rFont val="Tahoma"/>
            <family val="2"/>
          </rPr>
          <t>other than dwelling unit</t>
        </r>
        <r>
          <rPr>
            <sz val="9"/>
            <color indexed="81"/>
            <rFont val="Tahoma"/>
            <family val="2"/>
          </rPr>
          <t xml:space="preserve">: Alt.(Replacement &lt;= 150ft2)
</t>
        </r>
      </text>
    </comment>
    <comment ref="F72" authorId="0" shapeId="0" xr:uid="{9F03DE0F-7D48-4D37-BB2E-C76B5E47365E}">
      <text>
        <r>
          <rPr>
            <b/>
            <sz val="9"/>
            <color indexed="10"/>
            <rFont val="Tahoma"/>
            <family val="2"/>
          </rPr>
          <t>8.6.21:
Custom dropdown if col 06 is any of the following:
- Nonres</t>
        </r>
        <r>
          <rPr>
            <b/>
            <strike/>
            <sz val="9"/>
            <color indexed="10"/>
            <rFont val="Tahoma"/>
            <family val="2"/>
          </rPr>
          <t>/Relocatable 1 CZ</t>
        </r>
        <r>
          <rPr>
            <b/>
            <sz val="9"/>
            <color indexed="10"/>
            <rFont val="Tahoma"/>
            <family val="2"/>
          </rPr>
          <t xml:space="preserve">: New
- Hotel/Motel: New
</t>
        </r>
        <r>
          <rPr>
            <b/>
            <strike/>
            <sz val="9"/>
            <color indexed="10"/>
            <rFont val="Tahoma"/>
            <family val="2"/>
          </rPr>
          <t>- Relocatable all CZ: New</t>
        </r>
        <r>
          <rPr>
            <b/>
            <sz val="9"/>
            <color indexed="10"/>
            <rFont val="Tahoma"/>
            <family val="2"/>
          </rPr>
          <t xml:space="preserve">
- Nonresidential</t>
        </r>
        <r>
          <rPr>
            <b/>
            <strike/>
            <sz val="9"/>
            <color indexed="10"/>
            <rFont val="Tahoma"/>
            <family val="2"/>
          </rPr>
          <t>/ Relocatable 1 CZ</t>
        </r>
        <r>
          <rPr>
            <b/>
            <sz val="9"/>
            <color indexed="10"/>
            <rFont val="Tahoma"/>
            <family val="2"/>
          </rPr>
          <t xml:space="preserve">
- Hotel/Motel
</t>
        </r>
        <r>
          <rPr>
            <b/>
            <strike/>
            <sz val="9"/>
            <color indexed="10"/>
            <rFont val="Tahoma"/>
            <family val="2"/>
          </rPr>
          <t>- Relocatable all CZ</t>
        </r>
        <r>
          <rPr>
            <b/>
            <sz val="9"/>
            <color indexed="10"/>
            <rFont val="Tahoma"/>
            <family val="2"/>
          </rPr>
          <t xml:space="preserve">
</t>
        </r>
      </text>
    </comment>
    <comment ref="B73" authorId="0" shapeId="0" xr:uid="{0B77027A-C15C-4BBC-A099-761C071CBB34}">
      <text>
        <r>
          <rPr>
            <b/>
            <sz val="9"/>
            <color indexed="81"/>
            <rFont val="Tahoma"/>
            <family val="2"/>
          </rPr>
          <t>2019 Update:</t>
        </r>
        <r>
          <rPr>
            <sz val="9"/>
            <color indexed="81"/>
            <rFont val="Tahoma"/>
            <family val="2"/>
          </rPr>
          <t xml:space="preserve">
If chosen by user, grey out columns 07, 08, overhang button in column 09,  &amp; RSHGC/VT rows in columns 11&amp;12.</t>
        </r>
      </text>
    </comment>
    <comment ref="C74" authorId="0" shapeId="0" xr:uid="{78619F88-65EB-4991-8353-6EC67BE705EB}">
      <text>
        <r>
          <rPr>
            <b/>
            <sz val="9"/>
            <color indexed="81"/>
            <rFont val="Tahoma"/>
            <family val="2"/>
          </rPr>
          <t>Sally Blair:</t>
        </r>
        <r>
          <rPr>
            <sz val="9"/>
            <color indexed="81"/>
            <rFont val="Tahoma"/>
            <family val="2"/>
          </rPr>
          <t xml:space="preserve">
greys out columns 07 &amp; 08 &amp; RSHGC &amp; VT rows in columns 11 &amp; 12.</t>
        </r>
      </text>
    </comment>
    <comment ref="E74" authorId="0" shapeId="0" xr:uid="{0B1E0326-EA69-4D26-8F9A-24175E33C2CC}">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Dwellng Units &gt; 3 stories: New</t>
        </r>
      </text>
    </comment>
    <comment ref="F74" authorId="0" shapeId="0" xr:uid="{89B70677-48F7-462F-A367-55CE452C83EE}">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D75" authorId="0" shapeId="0" xr:uid="{D8FF62BE-33D8-4757-9046-6A7F99059965}">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Dwelling Units &lt;= 3 stories: New</t>
        </r>
      </text>
    </comment>
    <comment ref="B77" authorId="0" shapeId="0" xr:uid="{4E4D6F9B-137C-4799-ADED-E18ED346A735}">
      <text>
        <r>
          <rPr>
            <b/>
            <sz val="9"/>
            <color indexed="10"/>
            <rFont val="Tahoma"/>
            <family val="2"/>
          </rPr>
          <t>8.6.21:
Greys out col 06-13</t>
        </r>
      </text>
    </comment>
    <comment ref="D77" authorId="0" shapeId="0" xr:uid="{0DDE8453-5568-46EE-9A4E-B14F8281924A}">
      <text>
        <r>
          <rPr>
            <b/>
            <sz val="9"/>
            <color indexed="81"/>
            <rFont val="Tahoma"/>
            <family val="2"/>
          </rPr>
          <t>Sally Blair:</t>
        </r>
        <r>
          <rPr>
            <sz val="9"/>
            <color indexed="81"/>
            <rFont val="Tahoma"/>
            <family val="2"/>
          </rPr>
          <t xml:space="preserve">
This selection populates (R)SHGC row in column 11 with "0.56"</t>
        </r>
      </text>
    </comment>
    <comment ref="E77" authorId="0" shapeId="0" xr:uid="{FE59565D-FFFF-4D06-A5CB-B4AD2173638A}">
      <text>
        <r>
          <rPr>
            <b/>
            <sz val="9"/>
            <color indexed="81"/>
            <rFont val="Tahoma"/>
            <family val="2"/>
          </rPr>
          <t>Sally Blair:</t>
        </r>
        <r>
          <rPr>
            <sz val="9"/>
            <color indexed="81"/>
            <rFont val="Tahoma"/>
            <family val="2"/>
          </rPr>
          <t xml:space="preserve">
This selection greys out VT row in column 11 &amp; 12.</t>
        </r>
      </text>
    </comment>
    <comment ref="C78" authorId="0" shapeId="0" xr:uid="{EC573FB9-129A-4ABA-88F2-97D5CF0DCA43}">
      <text>
        <r>
          <rPr>
            <b/>
            <sz val="9"/>
            <color indexed="81"/>
            <rFont val="Tahoma"/>
            <family val="2"/>
          </rPr>
          <t>Sally Blair:</t>
        </r>
        <r>
          <rPr>
            <sz val="9"/>
            <color indexed="81"/>
            <rFont val="Tahoma"/>
            <family val="2"/>
          </rPr>
          <t xml:space="preserve">
All 3 of these last choices with (Adding New &lt; 50ft2) need to grey out columns 07 &amp; 08 &amp; RSHGC &amp; VT rows in columns 11 &amp; 12.</t>
        </r>
      </text>
    </comment>
    <comment ref="D78" authorId="0" shapeId="0" xr:uid="{8D3D4D69-D685-4638-9044-04CA18CAC6AC}">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Dwelling Units &lt;= 3 stories: Alt.(Replacement &gt; 150ft2)
- Dwellng Units &gt; 3 stories: Alt.(Replacement &gt; 150ft2)
- Dwelling Units &lt;= 3 stories: Alt.(Replacement &lt;= 150ft2)</t>
        </r>
      </text>
    </comment>
    <comment ref="E78" authorId="0" shapeId="0" xr:uid="{7DBC0AD5-443F-4EE3-BDE1-D22796E5D1AA}">
      <text>
        <r>
          <rPr>
            <b/>
            <sz val="9"/>
            <color indexed="10"/>
            <rFont val="Tahoma"/>
            <family val="2"/>
          </rPr>
          <t>8.6.21:</t>
        </r>
        <r>
          <rPr>
            <sz val="9"/>
            <color indexed="81"/>
            <rFont val="Tahoma"/>
            <family val="2"/>
          </rPr>
          <t xml:space="preserve">
</t>
        </r>
        <r>
          <rPr>
            <b/>
            <sz val="9"/>
            <color indexed="10"/>
            <rFont val="Tahoma"/>
            <family val="2"/>
          </rPr>
          <t>Dropdown if any of the following selected in column 06:
- Dwellng Units &gt; 3 stories: Alt.(Replacement &gt; 150ft2)
- Dwellng Units &gt; 3 stories:Alt.(Adding New &gt; 50ft2)</t>
        </r>
      </text>
    </comment>
    <comment ref="D79" authorId="0" shapeId="0" xr:uid="{FCBF0A91-F8D3-4EC4-81F8-D1F5F0915B0F}">
      <text>
        <r>
          <rPr>
            <b/>
            <sz val="9"/>
            <color indexed="10"/>
            <rFont val="Tahoma"/>
            <family val="2"/>
          </rPr>
          <t>8.6.21:
Greys out col 08 &amp; VT rows in 11&amp;12 
Note: this does not apply to selection when 06 is "New", it only applies for this custom dropdown when 06 is "Replacement &gt; 150ft2"</t>
        </r>
      </text>
    </comment>
    <comment ref="C81" authorId="0" shapeId="0" xr:uid="{30C7BA87-E454-4B9A-87E6-E75960C6B7CF}">
      <text>
        <r>
          <rPr>
            <b/>
            <sz val="9"/>
            <color indexed="10"/>
            <rFont val="Tahoma"/>
            <family val="2"/>
          </rPr>
          <t>8.6.21:
Greys out RSHGC rows in 11&amp;12 if A03 CZ 1, 3, 5, 16
Greys out 08 &amp; VT  rows in 11&amp;12</t>
        </r>
      </text>
    </comment>
    <comment ref="D81" authorId="0" shapeId="0" xr:uid="{59A5A430-2D04-46E2-8782-DEDB42D07771}">
      <text>
        <r>
          <rPr>
            <b/>
            <sz val="9"/>
            <color indexed="10"/>
            <rFont val="Tahoma"/>
            <family val="2"/>
          </rPr>
          <t>8.6.21:</t>
        </r>
        <r>
          <rPr>
            <sz val="9"/>
            <color indexed="81"/>
            <rFont val="Tahoma"/>
            <family val="2"/>
          </rPr>
          <t xml:space="preserve">
</t>
        </r>
        <r>
          <rPr>
            <b/>
            <sz val="9"/>
            <color indexed="10"/>
            <rFont val="Tahoma"/>
            <family val="2"/>
          </rPr>
          <t xml:space="preserve">Dropdown if any of the following selected in column 06:
- Dwelling Units &lt;= 3 stories:Alt.(Adding New &gt; 50ft2)
</t>
        </r>
        <r>
          <rPr>
            <sz val="9"/>
            <color indexed="81"/>
            <rFont val="Tahoma"/>
            <family val="2"/>
          </rPr>
          <t xml:space="preserve">
</t>
        </r>
      </text>
    </comment>
    <comment ref="C83" authorId="0" shapeId="0" xr:uid="{C93C9F89-C5DD-49C7-97F1-BCE4ED68A5F8}">
      <text>
        <r>
          <rPr>
            <b/>
            <sz val="9"/>
            <color indexed="10"/>
            <rFont val="Tahoma"/>
            <family val="2"/>
          </rPr>
          <t xml:space="preserve">8.6.21:
Greys out col 08 &amp; RSHGC + VT rows in 11&amp;12 </t>
        </r>
      </text>
    </comment>
    <comment ref="C87" authorId="0" shapeId="0" xr:uid="{B014AFBC-CBD1-4745-86F4-F39E94E28C55}">
      <text>
        <r>
          <rPr>
            <b/>
            <sz val="9"/>
            <color indexed="10"/>
            <rFont val="Tahoma"/>
            <family val="2"/>
          </rPr>
          <t xml:space="preserve">8.6.21:
Greys out col 08 &amp; RSHGC + VT rows in 11&amp;12 </t>
        </r>
      </text>
    </comment>
    <comment ref="C90" authorId="1" shapeId="0" xr:uid="{DA40C2F8-F315-4BEE-B0D9-7F31450D8663}">
      <text>
        <r>
          <rPr>
            <b/>
            <sz val="9"/>
            <color indexed="10"/>
            <rFont val="Tahoma"/>
            <family val="2"/>
          </rPr>
          <t xml:space="preserve">8.6.21:
</t>
        </r>
        <r>
          <rPr>
            <b/>
            <strike/>
            <sz val="9"/>
            <color indexed="10"/>
            <rFont val="Tahoma"/>
            <family val="2"/>
          </rPr>
          <t>Custom Dropdown when "Glazed Door" is selected in 05</t>
        </r>
        <r>
          <rPr>
            <b/>
            <sz val="9"/>
            <color indexed="10"/>
            <rFont val="Tahoma"/>
            <family val="2"/>
          </rPr>
          <t xml:space="preserve">
Removing the custom dropdown for 2022 update. </t>
        </r>
      </text>
    </comment>
    <comment ref="E99" authorId="0" shapeId="0" xr:uid="{1E37709F-C883-4470-A1E3-54E3A8BB182A}">
      <text>
        <r>
          <rPr>
            <b/>
            <sz val="9"/>
            <color indexed="81"/>
            <rFont val="Tahoma"/>
            <family val="2"/>
          </rPr>
          <t>Sally Blair:</t>
        </r>
        <r>
          <rPr>
            <sz val="9"/>
            <color indexed="81"/>
            <rFont val="Tahoma"/>
            <family val="2"/>
          </rPr>
          <t xml:space="preserve">
custom dropdown when column 22 is either "Non-metal" or "Metal" &amp; column 20 is "No"</t>
        </r>
      </text>
    </comment>
    <comment ref="F104" authorId="0" shapeId="0" xr:uid="{0C3A0981-34E2-49F7-98BB-DFCE0C4857B9}">
      <text>
        <r>
          <rPr>
            <b/>
            <sz val="9"/>
            <color indexed="81"/>
            <rFont val="Tahoma"/>
            <family val="2"/>
          </rPr>
          <t>Sally Blair:</t>
        </r>
        <r>
          <rPr>
            <sz val="9"/>
            <color indexed="81"/>
            <rFont val="Tahoma"/>
            <family val="2"/>
          </rPr>
          <t xml:space="preserve">
Custom when 23 is "glass block"</t>
        </r>
      </text>
    </comment>
    <comment ref="E105" authorId="0" shapeId="0" xr:uid="{B954011E-25FE-4B45-BD70-FA04D348D7DF}">
      <text>
        <r>
          <rPr>
            <b/>
            <sz val="9"/>
            <color indexed="81"/>
            <rFont val="Tahoma"/>
            <family val="2"/>
          </rPr>
          <t>Sally Blair:</t>
        </r>
        <r>
          <rPr>
            <sz val="9"/>
            <color indexed="81"/>
            <rFont val="Tahoma"/>
            <family val="2"/>
          </rPr>
          <t xml:space="preserve">
custom dropdown when column 22 is "Metal with Thermal Break"</t>
        </r>
      </text>
    </comment>
    <comment ref="E109" authorId="0" shapeId="0" xr:uid="{3C2A53C1-6ABB-4C08-91AF-065A232C9DC5}">
      <text>
        <r>
          <rPr>
            <b/>
            <sz val="9"/>
            <color indexed="81"/>
            <rFont val="Tahoma"/>
            <family val="2"/>
          </rPr>
          <t>Sally Blair:</t>
        </r>
        <r>
          <rPr>
            <sz val="9"/>
            <color indexed="81"/>
            <rFont val="Tahoma"/>
            <family val="2"/>
          </rPr>
          <t xml:space="preserve">
custom dropdown when column 22 is either "Non-metal" or "Metal" &amp; column 20 is "Yes"</t>
        </r>
      </text>
    </comment>
    <comment ref="D117" authorId="0" shapeId="0" xr:uid="{83CD8F71-0EBA-480D-AF0A-405BB1015650}">
      <text>
        <r>
          <rPr>
            <b/>
            <sz val="9"/>
            <color indexed="81"/>
            <rFont val="Tahoma"/>
            <family val="2"/>
          </rPr>
          <t>Sally Blair:</t>
        </r>
        <r>
          <rPr>
            <sz val="9"/>
            <color indexed="81"/>
            <rFont val="Tahoma"/>
            <family val="2"/>
          </rPr>
          <t xml:space="preserve">
If 01 is "Yes", this equals 0.10x column 02
If 01 is "No", this equals 0.05x column 02.</t>
        </r>
      </text>
    </comment>
    <comment ref="A121" authorId="0" shapeId="0" xr:uid="{419FEB4B-B71D-455B-9CD8-79F26BA3841F}">
      <text>
        <r>
          <rPr>
            <b/>
            <sz val="9"/>
            <color indexed="10"/>
            <rFont val="Tahoma"/>
            <family val="2"/>
          </rPr>
          <t>8.6.21:
If selected grey out col 01-04</t>
        </r>
      </text>
    </comment>
    <comment ref="F128" authorId="2" shapeId="0" xr:uid="{7FB87186-1974-457A-83F5-BE7827960B9A}">
      <text>
        <r>
          <rPr>
            <b/>
            <sz val="9"/>
            <color indexed="10"/>
            <rFont val="Tahoma"/>
            <family val="2"/>
          </rPr>
          <t>Alexis Markstrum:
Gray out if 06 ≠ Dwelling Units &lt;= 3 stories: Alt. (Replacement) OR Dwelling Units &lt;= 3 stories: Alt. (Adding &gt; 16ft2)</t>
        </r>
      </text>
    </comment>
    <comment ref="H129" authorId="0" shapeId="0" xr:uid="{B5E84A73-C5DA-42E3-8E2B-3C4F4311443C}">
      <text>
        <r>
          <rPr>
            <b/>
            <sz val="9"/>
            <color indexed="10"/>
            <rFont val="Tahoma"/>
            <family val="2"/>
          </rPr>
          <t>8.6.21:</t>
        </r>
        <r>
          <rPr>
            <sz val="9"/>
            <color indexed="81"/>
            <rFont val="Tahoma"/>
            <family val="2"/>
          </rPr>
          <t xml:space="preserve">
All three of these values come from the Tables in Section 140.3.  Which table to use depends on the occupancy type from column 06:
Nonresidential </t>
        </r>
        <r>
          <rPr>
            <strike/>
            <sz val="9"/>
            <color indexed="81"/>
            <rFont val="Tahoma"/>
            <family val="2"/>
          </rPr>
          <t xml:space="preserve">&amp; Relocatables </t>
        </r>
        <r>
          <rPr>
            <sz val="9"/>
            <color indexed="81"/>
            <rFont val="Tahoma"/>
            <family val="2"/>
          </rPr>
          <t xml:space="preserve">= Table 140.3-B
</t>
        </r>
        <r>
          <rPr>
            <strike/>
            <sz val="9"/>
            <color indexed="10"/>
            <rFont val="Tahoma"/>
            <family val="2"/>
          </rPr>
          <t xml:space="preserve">High-rise Res &amp; </t>
        </r>
        <r>
          <rPr>
            <sz val="9"/>
            <color indexed="81"/>
            <rFont val="Tahoma"/>
            <family val="2"/>
          </rPr>
          <t xml:space="preserve">Hotel/Motel =Table 140.3-C
</t>
        </r>
        <r>
          <rPr>
            <b/>
            <strike/>
            <sz val="9"/>
            <color indexed="39"/>
            <rFont val="Tahoma"/>
            <family val="2"/>
          </rPr>
          <t>Relocatables All CZ =Table 140.3-D</t>
        </r>
        <r>
          <rPr>
            <sz val="9"/>
            <color indexed="81"/>
            <rFont val="Tahoma"/>
            <family val="2"/>
          </rPr>
          <t xml:space="preserve">
</t>
        </r>
        <r>
          <rPr>
            <b/>
            <sz val="9"/>
            <color indexed="10"/>
            <rFont val="Tahoma"/>
            <family val="2"/>
          </rPr>
          <t xml:space="preserve">- Dwelling Units &lt;= 3 stories: New= Table 170.2-A
</t>
        </r>
        <r>
          <rPr>
            <b/>
            <strike/>
            <sz val="9"/>
            <color indexed="39"/>
            <rFont val="Tahoma"/>
            <family val="2"/>
          </rPr>
          <t>- Dwelling Units &gt; 3 stories: New = Table 170.2-A</t>
        </r>
        <r>
          <rPr>
            <b/>
            <sz val="9"/>
            <color indexed="10"/>
            <rFont val="Tahoma"/>
            <family val="2"/>
          </rPr>
          <t xml:space="preserve">
- All other Dwelling Units depends on selection in 07</t>
        </r>
        <r>
          <rPr>
            <sz val="9"/>
            <color indexed="81"/>
            <rFont val="Tahoma"/>
            <family val="2"/>
          </rPr>
          <t xml:space="preserve">
Required value depends on selection from column 05.
</t>
        </r>
      </text>
    </comment>
    <comment ref="I129" authorId="0" shapeId="0" xr:uid="{072DD0C5-E808-4DB5-BF89-3015882DFCD4}">
      <text>
        <r>
          <rPr>
            <b/>
            <sz val="9"/>
            <color indexed="81"/>
            <rFont val="Tahoma"/>
            <family val="2"/>
          </rPr>
          <t>8.6.21:</t>
        </r>
        <r>
          <rPr>
            <sz val="9"/>
            <color indexed="81"/>
            <rFont val="Tahoma"/>
            <family val="2"/>
          </rPr>
          <t xml:space="preserve">
This column opens for user input if "NFRC Certified" is selected in column </t>
        </r>
        <r>
          <rPr>
            <b/>
            <strike/>
            <sz val="9"/>
            <color indexed="10"/>
            <rFont val="Tahoma"/>
            <family val="2"/>
          </rPr>
          <t>07</t>
        </r>
        <r>
          <rPr>
            <b/>
            <sz val="9"/>
            <color indexed="10"/>
            <rFont val="Tahoma"/>
            <family val="2"/>
          </rPr>
          <t xml:space="preserve"> 08</t>
        </r>
        <r>
          <rPr>
            <sz val="9"/>
            <color indexed="81"/>
            <rFont val="Tahoma"/>
            <family val="2"/>
          </rPr>
          <t xml:space="preserve">.  Otherwise, the # comes column 16 if "NA6 default" chosen, or column 21 if "S110.6 Default" chosen. 
</t>
        </r>
      </text>
    </comment>
    <comment ref="J129" authorId="0" shapeId="0" xr:uid="{4F873819-3A2A-4616-B8C6-23AD9E365862}">
      <text>
        <r>
          <rPr>
            <b/>
            <sz val="9"/>
            <color indexed="81"/>
            <rFont val="Tahoma"/>
            <family val="2"/>
          </rPr>
          <t>Sally Blair:</t>
        </r>
        <r>
          <rPr>
            <sz val="9"/>
            <color indexed="81"/>
            <rFont val="Tahoma"/>
            <family val="2"/>
          </rPr>
          <t xml:space="preserve">
Ben, this is open for user entry if columns 01, 02 or 03 are checked.
Otherwise, grey out.</t>
        </r>
      </text>
    </comment>
    <comment ref="H131" authorId="2" shapeId="0" xr:uid="{8473C79D-0384-458A-888D-7E6BB722C81C}">
      <text>
        <r>
          <rPr>
            <b/>
            <sz val="9"/>
            <color indexed="10"/>
            <rFont val="Tahoma"/>
            <family val="2"/>
          </rPr>
          <t>Alexis Markstrum:
If 05 = Tubular Daylighting Devices and 06 = Hotel/Motel, then gray out</t>
        </r>
      </text>
    </comment>
    <comment ref="H133" authorId="2" shapeId="0" xr:uid="{F4AE06D5-3457-4EDE-8E05-3A5AE795831A}">
      <text>
        <r>
          <rPr>
            <b/>
            <sz val="9"/>
            <color indexed="10"/>
            <rFont val="Tahoma"/>
            <family val="2"/>
          </rPr>
          <t>Alexis Markstrum:
If 05 = Tubular Daylighting Devices and 06 = Hotel/Motel, then gray out</t>
        </r>
      </text>
    </comment>
    <comment ref="G143" authorId="0" shapeId="0" xr:uid="{CC5DCA4C-607B-43A2-837F-5B132730474E}">
      <text>
        <r>
          <rPr>
            <b/>
            <sz val="9"/>
            <color indexed="81"/>
            <rFont val="Tahoma"/>
            <family val="2"/>
          </rPr>
          <t>8.6.21:</t>
        </r>
        <r>
          <rPr>
            <sz val="9"/>
            <color indexed="81"/>
            <rFont val="Tahoma"/>
            <family val="2"/>
          </rPr>
          <t xml:space="preserve">
If N.A. in default table, can we leave column </t>
        </r>
        <r>
          <rPr>
            <b/>
            <strike/>
            <sz val="9"/>
            <color indexed="10"/>
            <rFont val="Tahoma"/>
            <family val="2"/>
          </rPr>
          <t>11</t>
        </r>
        <r>
          <rPr>
            <b/>
            <sz val="9"/>
            <color indexed="10"/>
            <rFont val="Tahoma"/>
            <family val="2"/>
          </rPr>
          <t xml:space="preserve"> 12</t>
        </r>
        <r>
          <rPr>
            <sz val="9"/>
            <color indexed="81"/>
            <rFont val="Tahoma"/>
            <family val="2"/>
          </rPr>
          <t xml:space="preserve"> open for user input? AHHH?!
Same for SHGC
Let's talk about what to do here.  Custom dropdowns won't work because the categories don't jive.</t>
        </r>
      </text>
    </comment>
    <comment ref="G145" authorId="0" shapeId="0" xr:uid="{A9E5E5CE-A6A1-4118-BAE5-4991B1CEEE04}">
      <text>
        <r>
          <rPr>
            <b/>
            <sz val="9"/>
            <color indexed="81"/>
            <rFont val="Tahoma"/>
            <family val="2"/>
          </rPr>
          <t>Sally Blair:</t>
        </r>
        <r>
          <rPr>
            <sz val="9"/>
            <color indexed="81"/>
            <rFont val="Tahoma"/>
            <family val="2"/>
          </rPr>
          <t xml:space="preserve">
Ben, for the default here, we can use the NA6 equation where VTc = 1.  That means we can just use the VTF values directly based on column 05</t>
        </r>
      </text>
    </comment>
    <comment ref="F146" authorId="0" shapeId="0" xr:uid="{22A45EB0-F47E-4AE0-9BC6-9210C79BE6D2}">
      <text>
        <r>
          <rPr>
            <b/>
            <sz val="9"/>
            <color indexed="10"/>
            <rFont val="Tahoma"/>
            <family val="2"/>
          </rPr>
          <t xml:space="preserve">8.6.21:
</t>
        </r>
        <r>
          <rPr>
            <b/>
            <strike/>
            <sz val="9"/>
            <color indexed="10"/>
            <rFont val="Tahoma"/>
            <family val="2"/>
          </rPr>
          <t>If this says "DNC", Table C should say DNC for Table K. &amp; the note on Table D row 14 should be triggered.</t>
        </r>
        <r>
          <rPr>
            <b/>
            <sz val="9"/>
            <color indexed="10"/>
            <rFont val="Tahoma"/>
            <family val="2"/>
          </rPr>
          <t xml:space="preserve">
Removing this for 2022. Too complex.</t>
        </r>
      </text>
    </comment>
    <comment ref="C149" authorId="3" shapeId="0" xr:uid="{64992F09-5BDD-4529-B94A-20FF3017DBD4}">
      <text>
        <t>[Threaded comment]
Your version of Excel allows you to read this threaded comment; however, any edits to it will get removed if the file is opened in a newer version of Excel. Learn more: https://go.microsoft.com/fwlink/?linkid=870924
Comment:
    Updated 10.28.20
Custom dropdown when 05 is "Tubular Daylight Devices"</t>
      </text>
    </comment>
    <comment ref="C152" authorId="0" shapeId="0" xr:uid="{63FFBD88-9E6A-4ACB-B05D-4D3C468BC127}">
      <text>
        <r>
          <rPr>
            <b/>
            <sz val="9"/>
            <color indexed="81"/>
            <rFont val="Tahoma"/>
            <family val="2"/>
          </rPr>
          <t>8.6.21:</t>
        </r>
        <r>
          <rPr>
            <sz val="9"/>
            <color indexed="81"/>
            <rFont val="Tahoma"/>
            <family val="2"/>
          </rPr>
          <t xml:space="preserve">
"Add/Repl. &lt; 50ft2)" greys out SHGC &amp; VT rows in columns</t>
        </r>
        <r>
          <rPr>
            <b/>
            <sz val="9"/>
            <color indexed="10"/>
            <rFont val="Tahoma"/>
            <family val="2"/>
          </rPr>
          <t xml:space="preserve"> </t>
        </r>
        <r>
          <rPr>
            <b/>
            <strike/>
            <sz val="9"/>
            <color indexed="10"/>
            <rFont val="Tahoma"/>
            <family val="2"/>
          </rPr>
          <t>10</t>
        </r>
        <r>
          <rPr>
            <b/>
            <sz val="9"/>
            <color indexed="10"/>
            <rFont val="Tahoma"/>
            <family val="2"/>
          </rPr>
          <t xml:space="preserve"> 11 &amp;</t>
        </r>
        <r>
          <rPr>
            <b/>
            <strike/>
            <sz val="9"/>
            <color indexed="10"/>
            <rFont val="Tahoma"/>
            <family val="2"/>
          </rPr>
          <t xml:space="preserve"> 11</t>
        </r>
        <r>
          <rPr>
            <b/>
            <sz val="9"/>
            <color indexed="10"/>
            <rFont val="Tahoma"/>
            <family val="2"/>
          </rPr>
          <t xml:space="preserve"> 12.</t>
        </r>
      </text>
    </comment>
    <comment ref="C153" authorId="4" shapeId="0" xr:uid="{5471E3E2-4B7E-410C-B2EF-203F89AC1A6A}">
      <text>
        <t>[Threaded comment]
Your version of Excel allows you to read this threaded comment; however, any edits to it will get removed if the file is opened in a newer version of Excel. Learn more: https://go.microsoft.com/fwlink/?linkid=870924
Comment:
    Updated 10.28.20
Custom dropdown when 05 is anything OTHER THAN "Tubular Daulight Devices"</t>
      </text>
    </comment>
    <comment ref="F153" authorId="0" shapeId="0" xr:uid="{7D18B809-8DCC-426E-9CD4-DDF851D552C6}">
      <text>
        <r>
          <rPr>
            <b/>
            <sz val="9"/>
            <color indexed="10"/>
            <rFont val="Tahoma"/>
            <family val="2"/>
          </rPr>
          <t>8.6.21:</t>
        </r>
        <r>
          <rPr>
            <sz val="9"/>
            <color indexed="10"/>
            <rFont val="Tahoma"/>
            <family val="2"/>
          </rPr>
          <t xml:space="preserve">
Custom dropdown for the following selections in 06:
- Dwelling Units &lt;= 3 stories: Alt. (Replacement)
</t>
        </r>
      </text>
    </comment>
    <comment ref="D155" authorId="0" shapeId="0" xr:uid="{B154B885-89D2-41E6-A7C1-66D97C353345}">
      <text>
        <r>
          <rPr>
            <b/>
            <sz val="9"/>
            <color indexed="81"/>
            <rFont val="Tahoma"/>
            <family val="2"/>
          </rPr>
          <t>Sally Blair:</t>
        </r>
        <r>
          <rPr>
            <sz val="9"/>
            <color indexed="81"/>
            <rFont val="Tahoma"/>
            <family val="2"/>
          </rPr>
          <t xml:space="preserve">
This selection triggers the NA6 Default section to expand for user input. Otherwise, minimize it.</t>
        </r>
      </text>
    </comment>
    <comment ref="B156" authorId="0" shapeId="0" xr:uid="{F23AB31A-B3DD-43ED-A447-3C3B8EE616D8}">
      <text>
        <r>
          <rPr>
            <b/>
            <sz val="9"/>
            <color indexed="81"/>
            <rFont val="Tahoma"/>
            <family val="2"/>
          </rPr>
          <t>Sally Blair:</t>
        </r>
        <r>
          <rPr>
            <sz val="9"/>
            <color indexed="81"/>
            <rFont val="Tahoma"/>
            <family val="2"/>
          </rPr>
          <t xml:space="preserve">
selection greys out SHGC rows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text>
    </comment>
    <comment ref="D156" authorId="0" shapeId="0" xr:uid="{9C542D63-F38C-4C87-B6CD-FEC4C4511E45}">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F156" authorId="0" shapeId="0" xr:uid="{1C48A572-06D2-42B0-B5AE-5171C805A8FA}">
      <text>
        <r>
          <rPr>
            <b/>
            <sz val="9"/>
            <color indexed="10"/>
            <rFont val="Tahoma"/>
            <family val="2"/>
          </rPr>
          <t>8.6.21:</t>
        </r>
        <r>
          <rPr>
            <sz val="9"/>
            <color indexed="10"/>
            <rFont val="Tahoma"/>
            <family val="2"/>
          </rPr>
          <t xml:space="preserve">
Custom dropdown for the following selections in 06:
- Dwelling Units &lt;= 3 stories: Alt. (Adding &gt; 16ft2)
</t>
        </r>
      </text>
    </comment>
    <comment ref="B157" authorId="0" shapeId="0" xr:uid="{4B293379-BDC9-447A-A87B-17571DF0122B}">
      <text>
        <r>
          <rPr>
            <b/>
            <sz val="9"/>
            <color indexed="81"/>
            <rFont val="Tahoma"/>
            <family val="2"/>
          </rPr>
          <t>Sally Blair:</t>
        </r>
        <r>
          <rPr>
            <sz val="9"/>
            <color indexed="81"/>
            <rFont val="Tahoma"/>
            <family val="2"/>
          </rPr>
          <t xml:space="preserve">
This selection greys out columns 06 through </t>
        </r>
        <r>
          <rPr>
            <b/>
            <strike/>
            <sz val="9"/>
            <color indexed="10"/>
            <rFont val="Tahoma"/>
            <family val="2"/>
          </rPr>
          <t>12</t>
        </r>
        <r>
          <rPr>
            <b/>
            <sz val="9"/>
            <color indexed="10"/>
            <rFont val="Tahoma"/>
            <family val="2"/>
          </rPr>
          <t xml:space="preserve"> 13</t>
        </r>
        <r>
          <rPr>
            <sz val="9"/>
            <color indexed="81"/>
            <rFont val="Tahoma"/>
            <family val="2"/>
          </rPr>
          <t xml:space="preserve"> for this row.</t>
        </r>
      </text>
    </comment>
    <comment ref="B158" authorId="0" shapeId="0" xr:uid="{A867B1D9-EE71-418A-BF88-1B95F20F2019}">
      <text>
        <r>
          <rPr>
            <b/>
            <sz val="9"/>
            <color indexed="81"/>
            <rFont val="Tahoma"/>
            <family val="2"/>
          </rPr>
          <t>8.6.21:</t>
        </r>
        <r>
          <rPr>
            <sz val="9"/>
            <color indexed="81"/>
            <rFont val="Tahoma"/>
            <family val="2"/>
          </rPr>
          <t xml:space="preserve">
This selection needs to grey out SHGC rows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text>
    </comment>
    <comment ref="C160" authorId="0" shapeId="0" xr:uid="{D317706C-D83D-49DF-A438-893C512C7A2F}">
      <text>
        <r>
          <rPr>
            <b/>
            <sz val="9"/>
            <color indexed="81"/>
            <rFont val="Tahoma"/>
            <family val="2"/>
          </rPr>
          <t>Sally Blair:</t>
        </r>
        <r>
          <rPr>
            <sz val="9"/>
            <color indexed="81"/>
            <rFont val="Tahoma"/>
            <family val="2"/>
          </rPr>
          <t xml:space="preserve">
All 3 "Add/Repl. &lt; 50ft2)" greys out SHGC &amp; VT rows in columns </t>
        </r>
        <r>
          <rPr>
            <b/>
            <strike/>
            <sz val="9"/>
            <color indexed="10"/>
            <rFont val="Tahoma"/>
            <family val="2"/>
          </rPr>
          <t>10</t>
        </r>
        <r>
          <rPr>
            <b/>
            <sz val="9"/>
            <color indexed="10"/>
            <rFont val="Tahoma"/>
            <family val="2"/>
          </rPr>
          <t xml:space="preserve"> 11 &amp; </t>
        </r>
        <r>
          <rPr>
            <b/>
            <strike/>
            <sz val="9"/>
            <color indexed="10"/>
            <rFont val="Tahoma"/>
            <family val="2"/>
          </rPr>
          <t>11</t>
        </r>
        <r>
          <rPr>
            <b/>
            <sz val="9"/>
            <color indexed="10"/>
            <rFont val="Tahoma"/>
            <family val="2"/>
          </rPr>
          <t xml:space="preserve"> 12</t>
        </r>
        <r>
          <rPr>
            <sz val="9"/>
            <color indexed="81"/>
            <rFont val="Tahoma"/>
            <family val="2"/>
          </rPr>
          <t>.</t>
        </r>
      </text>
    </comment>
    <comment ref="C163" authorId="0" shapeId="0" xr:uid="{54A0B8F9-B512-4C88-83DA-AA36F7E9F3A5}">
      <text>
        <r>
          <rPr>
            <b/>
            <sz val="9"/>
            <color indexed="10"/>
            <rFont val="Tahoma"/>
            <family val="2"/>
          </rPr>
          <t>8.6.21:
Populates column 10 with:
Ufactor = 0.55
SHGC = 0.30
Greys out 07, 09 &amp; VT in col 11&amp;12</t>
        </r>
      </text>
    </comment>
    <comment ref="C164" authorId="0" shapeId="0" xr:uid="{707A0D74-065D-46C0-B777-B3CD5F692E47}">
      <text>
        <r>
          <rPr>
            <b/>
            <sz val="9"/>
            <color indexed="10"/>
            <rFont val="Tahoma"/>
            <family val="2"/>
          </rPr>
          <t xml:space="preserve">8.6.21:
</t>
        </r>
        <r>
          <rPr>
            <b/>
            <sz val="9"/>
            <color indexed="10"/>
            <rFont val="Tahoma"/>
            <family val="2"/>
          </rPr>
          <t>grey out 07, 09 &amp; VT in column 11&amp;12</t>
        </r>
      </text>
    </comment>
    <comment ref="C165" authorId="0" shapeId="0" xr:uid="{A67481CE-1735-494F-B67F-1B5FC5E012A3}">
      <text>
        <r>
          <rPr>
            <b/>
            <sz val="9"/>
            <color indexed="10"/>
            <rFont val="Tahoma"/>
            <family val="2"/>
          </rPr>
          <t>8.6.21:
Both dwelling &lt;=3 stories replacement &amp; Adding &gt; 16
Greys out 09 &amp; VT in col 11&amp;12</t>
        </r>
      </text>
    </comment>
    <comment ref="C167" authorId="0" shapeId="0" xr:uid="{62F72ACF-F796-4B52-880F-7A7960C9FB50}">
      <text>
        <r>
          <rPr>
            <b/>
            <sz val="9"/>
            <color indexed="10"/>
            <rFont val="Tahoma"/>
            <family val="2"/>
          </rPr>
          <t>8.6.21:
Greys out 07</t>
        </r>
      </text>
    </comment>
    <comment ref="D175" authorId="0" shapeId="0" xr:uid="{099B03BB-7AF7-4A6D-B586-C93C35833845}">
      <text>
        <r>
          <rPr>
            <b/>
            <sz val="9"/>
            <color indexed="81"/>
            <rFont val="Tahoma"/>
            <family val="2"/>
          </rPr>
          <t>Sally Blair:</t>
        </r>
        <r>
          <rPr>
            <sz val="9"/>
            <color indexed="81"/>
            <rFont val="Tahoma"/>
            <family val="2"/>
          </rPr>
          <t xml:space="preserve">
Custom if 18 is "Metal w Thermal Break"</t>
        </r>
      </text>
    </comment>
    <comment ref="A178" authorId="0" shapeId="0" xr:uid="{2ED1D99C-1B21-4918-96A4-C9C3C73B9795}">
      <text>
        <r>
          <rPr>
            <b/>
            <sz val="9"/>
            <color indexed="81"/>
            <rFont val="Tahoma"/>
            <family val="2"/>
          </rPr>
          <t>Sally Blair:</t>
        </r>
        <r>
          <rPr>
            <sz val="9"/>
            <color indexed="81"/>
            <rFont val="Tahoma"/>
            <family val="2"/>
          </rPr>
          <t xml:space="preserve">
Ben, this section is triggered if columns 01, 02 or 03 "Calculate Area Weighted Average…." is selected above in the Vertical Fenestration Subtable, or in the Glazed Doors subtable
</t>
        </r>
        <r>
          <rPr>
            <b/>
            <sz val="9"/>
            <color indexed="81"/>
            <rFont val="Tahoma"/>
            <family val="2"/>
          </rPr>
          <t>2019 Update:</t>
        </r>
        <r>
          <rPr>
            <sz val="9"/>
            <color indexed="81"/>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 </t>
        </r>
      </text>
    </comment>
    <comment ref="E182" authorId="0" shapeId="0" xr:uid="{A9F561F7-2F03-474A-AD93-CCA051221A8B}">
      <text>
        <r>
          <rPr>
            <b/>
            <sz val="9"/>
            <color indexed="81"/>
            <rFont val="Tahoma"/>
            <family val="2"/>
          </rPr>
          <t>Sally Blair:</t>
        </r>
        <r>
          <rPr>
            <sz val="9"/>
            <color indexed="81"/>
            <rFont val="Tahoma"/>
            <family val="2"/>
          </rPr>
          <t xml:space="preserve">
Says "COMPLIES" if column 03 &gt;= column 04.
Otherwise, says "DOES NOT COMPLY"</t>
        </r>
      </text>
    </comment>
    <comment ref="E183" authorId="0" shapeId="0" xr:uid="{38110EB5-C5D4-492C-B893-FDD09CA5F40E}">
      <text>
        <r>
          <rPr>
            <b/>
            <sz val="9"/>
            <color indexed="81"/>
            <rFont val="Tahoma"/>
            <family val="2"/>
          </rPr>
          <t>Sally Blair:</t>
        </r>
        <r>
          <rPr>
            <sz val="9"/>
            <color indexed="81"/>
            <rFont val="Tahoma"/>
            <family val="2"/>
          </rPr>
          <t xml:space="preserve">
Says "COMPLIES" if column 03 &gt;= column 04.
Otherwise, says "DOES NOT COMPLY"</t>
        </r>
      </text>
    </comment>
    <comment ref="E184" authorId="0" shapeId="0" xr:uid="{AB83F2EE-8F0E-444C-9ADC-AABA35007BF1}">
      <text>
        <r>
          <rPr>
            <b/>
            <sz val="9"/>
            <color indexed="81"/>
            <rFont val="Tahoma"/>
            <family val="2"/>
          </rPr>
          <t>Sally Blair:</t>
        </r>
        <r>
          <rPr>
            <sz val="9"/>
            <color indexed="81"/>
            <rFont val="Tahoma"/>
            <family val="2"/>
          </rPr>
          <t xml:space="preserve">
Says "COMPLIES" if column 03 &lt;= column 04.
Otherwise, says "DOES NOT COMPLY"</t>
        </r>
      </text>
    </comment>
    <comment ref="A189" authorId="0" shapeId="0" xr:uid="{27520720-FF84-4131-A003-2F07C3C9FE63}">
      <text>
        <r>
          <rPr>
            <b/>
            <sz val="9"/>
            <color indexed="81"/>
            <rFont val="Tahoma"/>
            <family val="2"/>
          </rPr>
          <t>Sally Blair:</t>
        </r>
        <r>
          <rPr>
            <sz val="9"/>
            <color indexed="81"/>
            <rFont val="Tahoma"/>
            <family val="2"/>
          </rPr>
          <t xml:space="preserve">
Ben, this section is triggered if columns 01, 02 or 03 "Calculate Area Weighted Average…." is selected above in the Skylights Subtable.
</t>
        </r>
        <r>
          <rPr>
            <b/>
            <sz val="9"/>
            <color indexed="81"/>
            <rFont val="Tahoma"/>
            <family val="2"/>
          </rPr>
          <t xml:space="preserve">
2019 Update:</t>
        </r>
        <r>
          <rPr>
            <sz val="9"/>
            <color indexed="81"/>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t>
        </r>
      </text>
    </comment>
    <comment ref="E193" authorId="0" shapeId="0" xr:uid="{DB6410CD-1CD9-4621-9D35-1A02FB2A98FB}">
      <text>
        <r>
          <rPr>
            <b/>
            <sz val="9"/>
            <color indexed="81"/>
            <rFont val="Tahoma"/>
            <family val="2"/>
          </rPr>
          <t>Sally Blair:</t>
        </r>
        <r>
          <rPr>
            <sz val="9"/>
            <color indexed="81"/>
            <rFont val="Tahoma"/>
            <family val="2"/>
          </rPr>
          <t xml:space="preserve">
Says "COMPLIES" if column 03 &gt; = column 04.
Otherwise, says "DOES NOT COMPLY"</t>
        </r>
      </text>
    </comment>
    <comment ref="E194" authorId="0" shapeId="0" xr:uid="{AB8ACF53-2691-4BBA-9669-4DA2AFC58EC6}">
      <text>
        <r>
          <rPr>
            <b/>
            <sz val="9"/>
            <color indexed="81"/>
            <rFont val="Tahoma"/>
            <family val="2"/>
          </rPr>
          <t>Sally Blair:</t>
        </r>
        <r>
          <rPr>
            <sz val="9"/>
            <color indexed="81"/>
            <rFont val="Tahoma"/>
            <family val="2"/>
          </rPr>
          <t xml:space="preserve">
Says "COMPLIES" if column 03 &gt; =column 04.
Otherwise, says "DOES NOT COMPLY"</t>
        </r>
      </text>
    </comment>
    <comment ref="E195" authorId="0" shapeId="0" xr:uid="{DBA9B301-4EB9-4ECB-8877-6E966CBCFD76}">
      <text>
        <r>
          <rPr>
            <b/>
            <sz val="9"/>
            <color indexed="81"/>
            <rFont val="Tahoma"/>
            <family val="2"/>
          </rPr>
          <t>Sally Blair:</t>
        </r>
        <r>
          <rPr>
            <sz val="9"/>
            <color indexed="81"/>
            <rFont val="Tahoma"/>
            <family val="2"/>
          </rPr>
          <t xml:space="preserve">
Says "COMPLIES" if column 03 &lt;= column 04.
Otherwise, says "DOES NOT COMPLY"</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E00-000001000000}">
      <text>
        <r>
          <rPr>
            <b/>
            <sz val="9"/>
            <color indexed="81"/>
            <rFont val="Tahoma"/>
            <family val="2"/>
          </rPr>
          <t>Update 1/12/21</t>
        </r>
        <r>
          <rPr>
            <sz val="9"/>
            <color indexed="81"/>
            <rFont val="Tahoma"/>
            <family val="2"/>
          </rPr>
          <t xml:space="preserve">
L.09/L.05</t>
        </r>
      </text>
    </comment>
    <comment ref="L9" authorId="0" shapeId="0" xr:uid="{00000000-0006-0000-0E00-000002000000}">
      <text>
        <r>
          <rPr>
            <b/>
            <sz val="9"/>
            <color indexed="81"/>
            <rFont val="Tahoma"/>
            <family val="2"/>
          </rPr>
          <t xml:space="preserve">Update 1/12/21
</t>
        </r>
        <r>
          <rPr>
            <sz val="9"/>
            <color indexed="81"/>
            <rFont val="Tahoma"/>
            <family val="2"/>
          </rPr>
          <t>((L.09*L.11Weighted Average)/L.05)</t>
        </r>
      </text>
    </comment>
    <comment ref="B14" authorId="0" shapeId="0" xr:uid="{00000000-0006-0000-0E00-000003000000}">
      <text>
        <r>
          <rPr>
            <b/>
            <sz val="9"/>
            <color indexed="81"/>
            <rFont val="Tahoma"/>
            <family val="2"/>
          </rPr>
          <t>Sally Blair:</t>
        </r>
        <r>
          <rPr>
            <sz val="9"/>
            <color indexed="81"/>
            <rFont val="Tahoma"/>
            <family val="2"/>
          </rPr>
          <t xml:space="preserve">
All of the "NA" choices will grey out column 04-11 for this row.</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Rosemary Howley</author>
  </authors>
  <commentList>
    <comment ref="A5" authorId="0" shapeId="0" xr:uid="{25C39493-76ED-45DD-BDA9-32B9A3A11060}">
      <text>
        <r>
          <rPr>
            <b/>
            <sz val="9"/>
            <color indexed="10"/>
            <rFont val="Tahoma"/>
            <family val="2"/>
          </rPr>
          <t>Sally Blair:</t>
        </r>
        <r>
          <rPr>
            <sz val="9"/>
            <color indexed="10"/>
            <rFont val="Tahoma"/>
            <family val="2"/>
          </rPr>
          <t xml:space="preserve">
Need to update w new URL when available</t>
        </r>
      </text>
    </comment>
    <comment ref="A8" authorId="1" shapeId="0" xr:uid="{00000000-0006-0000-0F00-000001000000}">
      <text>
        <r>
          <rPr>
            <b/>
            <sz val="9"/>
            <color indexed="81"/>
            <rFont val="Tahoma"/>
            <family val="2"/>
          </rPr>
          <t>Rosemary Howley:</t>
        </r>
        <r>
          <rPr>
            <sz val="9"/>
            <color indexed="81"/>
            <rFont val="Tahoma"/>
            <family val="2"/>
          </rPr>
          <t xml:space="preserve">
This should be automatically set to yes, because it will apply to any building envelope construction.  I can't think of a case where someone should change it to no, but if they do, they need to explain why, and have it be an exceptional condition note in Table 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2" authorId="0" shapeId="0" xr:uid="{E34358C4-9B1D-4274-97BA-2E466755267C}">
      <text>
        <r>
          <rPr>
            <b/>
            <sz val="9"/>
            <color indexed="10"/>
            <rFont val="Tahoma"/>
            <family val="2"/>
          </rPr>
          <t>8.21.21:</t>
        </r>
        <r>
          <rPr>
            <sz val="9"/>
            <color indexed="10"/>
            <rFont val="Tahoma"/>
            <family val="2"/>
          </rPr>
          <t xml:space="preserve">
If either "New Construction" or "Addition &gt; 700ft2" selected in B01 both ENV-21 and ENV-22 are automatically Yes &amp; cannot be moved to No.</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4" authorId="0" shapeId="0" xr:uid="{39971893-C6EB-4E98-91A3-D21DAF0A1E0E}">
      <text>
        <r>
          <rPr>
            <b/>
            <sz val="9"/>
            <color indexed="10"/>
            <rFont val="Tahoma"/>
            <family val="2"/>
          </rPr>
          <t>Sally Blair:</t>
        </r>
        <r>
          <rPr>
            <sz val="9"/>
            <color indexed="10"/>
            <rFont val="Tahoma"/>
            <family val="2"/>
          </rPr>
          <t xml:space="preserve">
Need to update URL when available</t>
        </r>
      </text>
    </comment>
    <comment ref="B7" authorId="0" shapeId="0" xr:uid="{00000000-0006-0000-1000-000002000000}">
      <text>
        <r>
          <rPr>
            <b/>
            <sz val="9"/>
            <color indexed="81"/>
            <rFont val="Tahoma"/>
            <family val="2"/>
          </rPr>
          <t>Rosemary Howley:</t>
        </r>
        <r>
          <rPr>
            <sz val="9"/>
            <color indexed="81"/>
            <rFont val="Tahoma"/>
            <family val="2"/>
          </rPr>
          <t xml:space="preserve">
This should move to "Yes" if Table K "Fenestration Schedule" is triggered. 
If user has fenestration but moves to "No" need to include note in Table D. </t>
        </r>
      </text>
    </comment>
    <comment ref="D7" authorId="1" shapeId="0" xr:uid="{00000000-0006-0000-1000-000003000000}">
      <text>
        <r>
          <rPr>
            <b/>
            <sz val="9"/>
            <color indexed="81"/>
            <rFont val="Tahoma"/>
            <family val="2"/>
          </rPr>
          <t xml:space="preserve">7.21.20:
</t>
        </r>
        <r>
          <rPr>
            <sz val="9"/>
            <color indexed="81"/>
            <rFont val="Tahoma"/>
            <family val="2"/>
          </rPr>
          <t xml:space="preserve">This column is blank and user input. The cells should wrap text and get larger if the user runs out of room just like the Table E- Additional Remarks 
</t>
        </r>
      </text>
    </comment>
    <comment ref="B8" authorId="0" shapeId="0" xr:uid="{00000000-0006-0000-1000-000004000000}">
      <text>
        <r>
          <rPr>
            <b/>
            <sz val="9"/>
            <color indexed="81"/>
            <rFont val="Tahoma"/>
            <family val="2"/>
          </rPr>
          <t>2019 Update:</t>
        </r>
        <r>
          <rPr>
            <sz val="9"/>
            <color indexed="81"/>
            <rFont val="Tahoma"/>
            <family val="2"/>
          </rPr>
          <t xml:space="preserve">
Added NRCA-ENV-03.  These are always greyed out. This is just a note to user that ENV-03 is addressed on LTI form.</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4" authorId="0" shapeId="0" xr:uid="{7425F1F0-3974-4C98-A6FD-B5C14677C3C1}">
      <text>
        <r>
          <rPr>
            <b/>
            <sz val="9"/>
            <color indexed="10"/>
            <rFont val="Tahoma"/>
            <family val="2"/>
          </rPr>
          <t>Sally Blair:</t>
        </r>
        <r>
          <rPr>
            <sz val="9"/>
            <color indexed="10"/>
            <rFont val="Tahoma"/>
            <family val="2"/>
          </rPr>
          <t xml:space="preserve">
Need to update URL when available</t>
        </r>
      </text>
    </comment>
    <comment ref="B7" authorId="0" shapeId="0" xr:uid="{05BBFD27-250F-4703-8B85-F380C681115F}">
      <text>
        <r>
          <rPr>
            <b/>
            <sz val="9"/>
            <color indexed="81"/>
            <rFont val="Tahoma"/>
            <family val="2"/>
          </rPr>
          <t>Rosemary Howley:</t>
        </r>
        <r>
          <rPr>
            <sz val="9"/>
            <color indexed="81"/>
            <rFont val="Tahoma"/>
            <family val="2"/>
          </rPr>
          <t xml:space="preserve">
This should move to "Yes" if Table K "Fenestration Schedule" is triggered. 
If user has fenestration but moves to "No" need to include note in Table D. </t>
        </r>
      </text>
    </comment>
    <comment ref="D7" authorId="1" shapeId="0" xr:uid="{463C1DB7-AB4C-4321-B5EE-11A977046CB3}">
      <text>
        <r>
          <rPr>
            <b/>
            <sz val="9"/>
            <color indexed="81"/>
            <rFont val="Tahoma"/>
            <family val="2"/>
          </rPr>
          <t xml:space="preserve">7.21.20:
</t>
        </r>
        <r>
          <rPr>
            <sz val="9"/>
            <color indexed="81"/>
            <rFont val="Tahoma"/>
            <family val="2"/>
          </rPr>
          <t xml:space="preserve">This column is blank and user input. The cells should wrap text and get larger if the user runs out of room just like the Table E- Additional Remarks 
</t>
        </r>
      </text>
    </comment>
    <comment ref="B8" authorId="0" shapeId="0" xr:uid="{31374756-4B25-4F6B-9D27-219BFAC59909}">
      <text>
        <r>
          <rPr>
            <b/>
            <sz val="9"/>
            <color indexed="81"/>
            <rFont val="Tahoma"/>
            <family val="2"/>
          </rPr>
          <t>2019 Update:</t>
        </r>
        <r>
          <rPr>
            <sz val="9"/>
            <color indexed="81"/>
            <rFont val="Tahoma"/>
            <family val="2"/>
          </rPr>
          <t xml:space="preserve">
Added NRCA-ENV-03.  These are always greyed out. This is just a note to user that ENV-03 is addressed on LTI form.</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10" authorId="0" shapeId="0" xr:uid="{77E34B99-C98B-4596-871A-74705B7B4CC8}">
      <text>
        <r>
          <rPr>
            <b/>
            <sz val="9"/>
            <color indexed="10"/>
            <rFont val="Tahoma"/>
            <family val="2"/>
          </rPr>
          <t>8.21.21:</t>
        </r>
        <r>
          <rPr>
            <sz val="9"/>
            <color indexed="10"/>
            <rFont val="Tahoma"/>
            <family val="2"/>
          </rPr>
          <t xml:space="preserve">
Move any of these forms from "No" to "Yes" if the corresponding form in Table M LMCI moves to Yes.</t>
        </r>
      </text>
    </comment>
  </commentList>
</comments>
</file>

<file path=xl/sharedStrings.xml><?xml version="1.0" encoding="utf-8"?>
<sst xmlns="http://schemas.openxmlformats.org/spreadsheetml/2006/main" count="4245" uniqueCount="1350">
  <si>
    <r>
      <rPr>
        <sz val="7"/>
        <color rgb="FF231F20"/>
        <rFont val="Arial"/>
        <family val="2"/>
      </rPr>
      <t>STATE OF CALIFORNIA</t>
    </r>
  </si>
  <si>
    <t>Project Name:</t>
  </si>
  <si>
    <t>Page 1 of ??</t>
  </si>
  <si>
    <t>Project Address:</t>
  </si>
  <si>
    <t>Date Prepared:</t>
  </si>
  <si>
    <t>Report Page:</t>
  </si>
  <si>
    <t xml:space="preserve">CALIFORNIA ENERGY COMMISSION                       </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</si>
  <si>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</si>
  <si>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</si>
  <si>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</si>
  <si>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</si>
  <si>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</si>
  <si>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</si>
  <si>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</si>
  <si>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</si>
  <si>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</si>
  <si>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</si>
  <si>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</si>
  <si>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</si>
  <si>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</si>
  <si>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</si>
  <si>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</si>
  <si>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</si>
  <si>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</si>
  <si>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</si>
  <si>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</si>
  <si>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</si>
  <si>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</si>
  <si>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</si>
  <si>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</si>
  <si>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</si>
  <si>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Table J</t>
  </si>
  <si>
    <t>Table K</t>
  </si>
  <si>
    <t>Declaration of Required Certificates of Installation</t>
  </si>
  <si>
    <t>Declaration of Required Certificates of Acceptance</t>
  </si>
  <si>
    <t>-</t>
  </si>
  <si>
    <t>Signature Page</t>
  </si>
  <si>
    <t>01</t>
  </si>
  <si>
    <t>02</t>
  </si>
  <si>
    <t>03</t>
  </si>
  <si>
    <t>04</t>
  </si>
  <si>
    <t>05</t>
  </si>
  <si>
    <t>This table includes remarks made by the permit applicant to the Authority Having Jurisdiction.</t>
  </si>
  <si>
    <t>Comment</t>
  </si>
  <si>
    <t>This table is auto-filled with uneditable comments because of selections made or data entered in tables throughout the form.</t>
  </si>
  <si>
    <t>(See Table I)</t>
  </si>
  <si>
    <t>06</t>
  </si>
  <si>
    <t>07</t>
  </si>
  <si>
    <t>08</t>
  </si>
  <si>
    <t>09</t>
  </si>
  <si>
    <t>User input</t>
  </si>
  <si>
    <t>auto calculated</t>
  </si>
  <si>
    <t>From another Table</t>
  </si>
  <si>
    <t>From look up table</t>
  </si>
  <si>
    <t>CERTIFICATE OF COMPLIANCE</t>
  </si>
  <si>
    <t>Ben, this is a heading.  The project name, address and date prepared should be a user input on the first page, but that should populate the heading on all other pages.</t>
  </si>
  <si>
    <t>o</t>
  </si>
  <si>
    <t>Field Inspector</t>
  </si>
  <si>
    <t>Pass</t>
  </si>
  <si>
    <t>Fail</t>
  </si>
  <si>
    <t>YES</t>
  </si>
  <si>
    <t>NO</t>
  </si>
  <si>
    <t>Form/Title</t>
  </si>
  <si>
    <t>m</t>
  </si>
  <si>
    <t>●</t>
  </si>
  <si>
    <t>Tool Tip:</t>
  </si>
  <si>
    <t>Tables</t>
  </si>
  <si>
    <t>Climate Zone</t>
  </si>
  <si>
    <t># of Stories (Habitable Above Grade)</t>
  </si>
  <si>
    <t>Envelope Component Approach</t>
  </si>
  <si>
    <t>NRCC-ENV-E</t>
  </si>
  <si>
    <t>NRCA-ENV-02-F - Must be submitted for all new, added or altered fenestration.</t>
  </si>
  <si>
    <t>§110.6</t>
  </si>
  <si>
    <t>§141.0(a)1</t>
  </si>
  <si>
    <t>Component Types</t>
  </si>
  <si>
    <t>Fenestration</t>
  </si>
  <si>
    <t>Reference Appendix JA4</t>
  </si>
  <si>
    <t>Reference Appendix NA6</t>
  </si>
  <si>
    <t>Tag/Plan Detail ID</t>
  </si>
  <si>
    <t>Add Row</t>
  </si>
  <si>
    <t>Remove Last</t>
  </si>
  <si>
    <t>Reset</t>
  </si>
  <si>
    <t>CZ dropdown (select CZ 1 to 16)</t>
  </si>
  <si>
    <t>Table L</t>
  </si>
  <si>
    <t>Table M</t>
  </si>
  <si>
    <t>Table N</t>
  </si>
  <si>
    <t>My project consists of (check all that apply):</t>
  </si>
  <si>
    <t>Walls</t>
  </si>
  <si>
    <t>Exterior</t>
  </si>
  <si>
    <t>Demising</t>
  </si>
  <si>
    <t>From look-up table</t>
  </si>
  <si>
    <t>Insulated single layer metal sectional doors with EPS</t>
  </si>
  <si>
    <t>Uninsulated single-layer metal roll up door</t>
  </si>
  <si>
    <t>Any other wood door</t>
  </si>
  <si>
    <t>Insulated metal swing doors</t>
  </si>
  <si>
    <t>(pull down)</t>
  </si>
  <si>
    <t>Door Type</t>
  </si>
  <si>
    <t>Name/Description</t>
  </si>
  <si>
    <t>R-30</t>
  </si>
  <si>
    <t>R-25</t>
  </si>
  <si>
    <t>R-20</t>
  </si>
  <si>
    <t>R-15</t>
  </si>
  <si>
    <t>R-10</t>
  </si>
  <si>
    <t>48 in</t>
  </si>
  <si>
    <t>Vertical</t>
  </si>
  <si>
    <t>R-5</t>
  </si>
  <si>
    <t>Horizontal</t>
  </si>
  <si>
    <t>No</t>
  </si>
  <si>
    <t>Approved Software</t>
  </si>
  <si>
    <t>None</t>
  </si>
  <si>
    <t>12 in</t>
  </si>
  <si>
    <t>Yes</t>
  </si>
  <si>
    <t>JA4 Tables</t>
  </si>
  <si>
    <t>(look up)</t>
  </si>
  <si>
    <t>Insulation 
R-value</t>
  </si>
  <si>
    <t>Insulation Location</t>
  </si>
  <si>
    <t>R-12</t>
  </si>
  <si>
    <t>R-8</t>
  </si>
  <si>
    <t>R-6</t>
  </si>
  <si>
    <t>R-4</t>
  </si>
  <si>
    <t>Continuous above deck with sleepers</t>
  </si>
  <si>
    <t>R-2</t>
  </si>
  <si>
    <t>Continuous above deck, no sleepers</t>
  </si>
  <si>
    <t>Continuous Underneath</t>
  </si>
  <si>
    <t>Raised Mass Floors</t>
  </si>
  <si>
    <t>R-7</t>
  </si>
  <si>
    <t>R-36</t>
  </si>
  <si>
    <t>R-33</t>
  </si>
  <si>
    <t>10.25 in</t>
  </si>
  <si>
    <t>I-joist</t>
  </si>
  <si>
    <t>R-28</t>
  </si>
  <si>
    <t>8.25 in</t>
  </si>
  <si>
    <t>Double 2x</t>
  </si>
  <si>
    <t>R-22</t>
  </si>
  <si>
    <t>6.5 in</t>
  </si>
  <si>
    <t>Single 2x</t>
  </si>
  <si>
    <t>Wood Framing Connection Type (Spline)</t>
  </si>
  <si>
    <t>10</t>
  </si>
  <si>
    <t>R-14</t>
  </si>
  <si>
    <t>R-38</t>
  </si>
  <si>
    <t>24" OC &amp; 2x12 framing</t>
  </si>
  <si>
    <t>24" OC &amp; 2x10 framing</t>
  </si>
  <si>
    <t>24" OC &amp; 2x8 framing</t>
  </si>
  <si>
    <t>24" OC &amp; 2x6 framing</t>
  </si>
  <si>
    <t>R-19</t>
  </si>
  <si>
    <t>16" OC &amp; 2x12 framing</t>
  </si>
  <si>
    <t>R-13</t>
  </si>
  <si>
    <t>16" OC &amp; 2x10 framing</t>
  </si>
  <si>
    <t>R-11</t>
  </si>
  <si>
    <t>16" OC &amp; 2x8 framing</t>
  </si>
  <si>
    <t>Metal</t>
  </si>
  <si>
    <t>16" OC &amp; 2x6 framing</t>
  </si>
  <si>
    <t>Wood</t>
  </si>
  <si>
    <t>Framed Floors</t>
  </si>
  <si>
    <t>4.5 in</t>
  </si>
  <si>
    <t>4.0 in</t>
  </si>
  <si>
    <t>3.5 in</t>
  </si>
  <si>
    <t>3.0 in</t>
  </si>
  <si>
    <t>2.75 in</t>
  </si>
  <si>
    <t>2.625 in</t>
  </si>
  <si>
    <t>Cement/EPS Compound</t>
  </si>
  <si>
    <t>10 in</t>
  </si>
  <si>
    <t>2.25 in</t>
  </si>
  <si>
    <t>Polyurethane</t>
  </si>
  <si>
    <t>8 in</t>
  </si>
  <si>
    <t>Screen Grid</t>
  </si>
  <si>
    <t>2.0 in</t>
  </si>
  <si>
    <t>XPS</t>
  </si>
  <si>
    <t>6 in</t>
  </si>
  <si>
    <t>Waffle Grid</t>
  </si>
  <si>
    <t>1.5 in</t>
  </si>
  <si>
    <t>EPS</t>
  </si>
  <si>
    <t>4 in</t>
  </si>
  <si>
    <t>Flat</t>
  </si>
  <si>
    <t>Insulation Type</t>
  </si>
  <si>
    <t>ICF Type</t>
  </si>
  <si>
    <t>11</t>
  </si>
  <si>
    <t>16 in</t>
  </si>
  <si>
    <t>14 in</t>
  </si>
  <si>
    <t>5 in</t>
  </si>
  <si>
    <t>3 in</t>
  </si>
  <si>
    <t>2.5 in</t>
  </si>
  <si>
    <t>2 in</t>
  </si>
  <si>
    <t>R-19 + R-13</t>
  </si>
  <si>
    <t>R-13 + R-13</t>
  </si>
  <si>
    <t>R-10 + R-13</t>
  </si>
  <si>
    <t>R-6 + R-13</t>
  </si>
  <si>
    <t>Double Layer Batt Insulation</t>
  </si>
  <si>
    <t>Single Layer Batt Insulation</t>
  </si>
  <si>
    <t>Insulation System</t>
  </si>
  <si>
    <t>Triple Pane Glass</t>
  </si>
  <si>
    <t>Dual Pane Glass with Low-E</t>
  </si>
  <si>
    <t>Dual Pane Glass, no Low-E</t>
  </si>
  <si>
    <t>Single Pane Glass</t>
  </si>
  <si>
    <t>Frame Type</t>
  </si>
  <si>
    <t>R-44</t>
  </si>
  <si>
    <t>Steel Framing</t>
  </si>
  <si>
    <t>12.25 in</t>
  </si>
  <si>
    <t>OSB</t>
  </si>
  <si>
    <t>Clay Brick</t>
  </si>
  <si>
    <t>R-3</t>
  </si>
  <si>
    <t>EIFS</t>
  </si>
  <si>
    <t>CMU-NW</t>
  </si>
  <si>
    <t xml:space="preserve">Metal </t>
  </si>
  <si>
    <t>CMU- MW</t>
  </si>
  <si>
    <t>R-1</t>
  </si>
  <si>
    <t>CMU- LW</t>
  </si>
  <si>
    <t>Additional Insulation Information</t>
  </si>
  <si>
    <t>Mass Information</t>
  </si>
  <si>
    <t>12</t>
  </si>
  <si>
    <t>R-21</t>
  </si>
  <si>
    <t>R-18</t>
  </si>
  <si>
    <t>R-17</t>
  </si>
  <si>
    <t>R-16</t>
  </si>
  <si>
    <t>R-9</t>
  </si>
  <si>
    <t>11 in</t>
  </si>
  <si>
    <t>9 in</t>
  </si>
  <si>
    <t>7 in</t>
  </si>
  <si>
    <t>Solid Unit</t>
  </si>
  <si>
    <t>Fill Options</t>
  </si>
  <si>
    <t>R-23</t>
  </si>
  <si>
    <t>24" OC &amp; 2x4 framing</t>
  </si>
  <si>
    <t>16" OC &amp; 2x4 framing</t>
  </si>
  <si>
    <t>Framed Walls</t>
  </si>
  <si>
    <t>Tile or Slate</t>
  </si>
  <si>
    <t>Spray Polyurethane Foam</t>
  </si>
  <si>
    <t>Single-Ply</t>
  </si>
  <si>
    <t>Polymer or Composite</t>
  </si>
  <si>
    <t>Paver</t>
  </si>
  <si>
    <t>Metal Shake or Shingle</t>
  </si>
  <si>
    <t>Fluid-Applied Membrane</t>
  </si>
  <si>
    <t>Field-Applied Coating</t>
  </si>
  <si>
    <t>Bitumen</t>
  </si>
  <si>
    <t>Aggregate or Ballast</t>
  </si>
  <si>
    <t>Asphalt Shingle</t>
  </si>
  <si>
    <t>R-19+R-19</t>
  </si>
  <si>
    <t>R-16+R-19</t>
  </si>
  <si>
    <t>R-13+R-19</t>
  </si>
  <si>
    <t>R-13+R-13</t>
  </si>
  <si>
    <t>R-11+R-19</t>
  </si>
  <si>
    <t>R-11+R-13</t>
  </si>
  <si>
    <t>R-11+R-11</t>
  </si>
  <si>
    <t>R-10+R-19</t>
  </si>
  <si>
    <t>R-32</t>
  </si>
  <si>
    <t>R-10+R-13</t>
  </si>
  <si>
    <t>R-10+R-11</t>
  </si>
  <si>
    <t>R-10+R-10</t>
  </si>
  <si>
    <t>Filled Cavity with thermal blocks</t>
  </si>
  <si>
    <t>Screw Down Roofs</t>
  </si>
  <si>
    <t>24" OC &amp; 2x14 framing</t>
  </si>
  <si>
    <t>Rafter dropdown</t>
  </si>
  <si>
    <t>R-60</t>
  </si>
  <si>
    <t>R-49</t>
  </si>
  <si>
    <t>16" OC &amp; 2x14 framing</t>
  </si>
  <si>
    <t>Attic dropdown</t>
  </si>
  <si>
    <t>Indicate roof types included in the project:</t>
  </si>
  <si>
    <t>Doors</t>
  </si>
  <si>
    <t>Floors</t>
  </si>
  <si>
    <t>Roof Slope</t>
  </si>
  <si>
    <t>Opaque Envelope Components</t>
  </si>
  <si>
    <t>Roofing Materials</t>
  </si>
  <si>
    <t>(See Table J)</t>
  </si>
  <si>
    <t>13</t>
  </si>
  <si>
    <t>14</t>
  </si>
  <si>
    <t>15</t>
  </si>
  <si>
    <t xml:space="preserve">Roof Slope Dropdown              </t>
  </si>
  <si>
    <t xml:space="preserve">Plan Sheet Showing Daylit Zones: </t>
  </si>
  <si>
    <t>Space Name</t>
  </si>
  <si>
    <t>U-factor</t>
  </si>
  <si>
    <t>16</t>
  </si>
  <si>
    <t>18</t>
  </si>
  <si>
    <t>19</t>
  </si>
  <si>
    <t>Material Dropdown</t>
  </si>
  <si>
    <t>Attic opts</t>
  </si>
  <si>
    <t>Panel Thickness
(in.)</t>
  </si>
  <si>
    <t>Fireproofing</t>
  </si>
  <si>
    <t>Panel Thickness 
(in)</t>
  </si>
  <si>
    <t>Mass Material</t>
  </si>
  <si>
    <t>Thickness
(in)</t>
  </si>
  <si>
    <t>Concrete Core Thickness
(in)</t>
  </si>
  <si>
    <t>Crawlspace</t>
  </si>
  <si>
    <t>Tag/Plan ID</t>
  </si>
  <si>
    <t>Fenestration Type</t>
  </si>
  <si>
    <t>Chromogenic Glazing</t>
  </si>
  <si>
    <t>SHGC</t>
  </si>
  <si>
    <t>VT</t>
  </si>
  <si>
    <t>NFRC Certified</t>
  </si>
  <si>
    <t>Fixed Window</t>
  </si>
  <si>
    <t>Operable Window</t>
  </si>
  <si>
    <t>Storefront</t>
  </si>
  <si>
    <t>Curtain Wall</t>
  </si>
  <si>
    <t>Glass Block</t>
  </si>
  <si>
    <t>Glazing Type</t>
  </si>
  <si>
    <t>Glazing Tint</t>
  </si>
  <si>
    <t>(See Table K)</t>
  </si>
  <si>
    <t>Required</t>
  </si>
  <si>
    <t>RSHGC</t>
  </si>
  <si>
    <r>
      <t>Total Conditioned Floor Area (ft</t>
    </r>
    <r>
      <rPr>
        <vertAlign val="superscript"/>
        <sz val="10"/>
        <color theme="1"/>
        <rFont val="Calibri"/>
        <family val="2"/>
        <scheme val="minor"/>
      </rPr>
      <t>2</t>
    </r>
    <r>
      <rPr>
        <sz val="10"/>
        <color theme="1"/>
        <rFont val="Calibri"/>
        <family val="2"/>
        <scheme val="minor"/>
      </rPr>
      <t>)</t>
    </r>
  </si>
  <si>
    <t>Project Location (city)</t>
  </si>
  <si>
    <t>Zipcode</t>
  </si>
  <si>
    <t>New Construction or Newly Conditioned Space</t>
  </si>
  <si>
    <r>
      <t xml:space="preserve">   </t>
    </r>
    <r>
      <rPr>
        <sz val="10"/>
        <rFont val="Wingdings"/>
        <charset val="2"/>
      </rPr>
      <t>¨</t>
    </r>
    <r>
      <rPr>
        <sz val="10"/>
        <rFont val="Calibri"/>
        <family val="2"/>
      </rPr>
      <t xml:space="preserve">  Walls</t>
    </r>
  </si>
  <si>
    <r>
      <t xml:space="preserve">   </t>
    </r>
    <r>
      <rPr>
        <sz val="10"/>
        <rFont val="Wingdings"/>
        <charset val="2"/>
      </rPr>
      <t>¨</t>
    </r>
    <r>
      <rPr>
        <sz val="10"/>
        <rFont val="Calibri"/>
        <family val="2"/>
      </rPr>
      <t xml:space="preserve">  Floors</t>
    </r>
  </si>
  <si>
    <t>One or more enclosed spaces &gt; 5,000 ft² directly under roof with ceiling height &gt; 15ft</t>
  </si>
  <si>
    <t>Frame Spacing &amp; Depth</t>
  </si>
  <si>
    <t>Thermal Performance Unit</t>
  </si>
  <si>
    <t>R-value</t>
  </si>
  <si>
    <t>Continuous Insulation per Design</t>
  </si>
  <si>
    <t>Cavity Insulation per Design</t>
  </si>
  <si>
    <t>R-2 c.i.</t>
  </si>
  <si>
    <t>R-4 c.i.</t>
  </si>
  <si>
    <t>R-6 c.i.</t>
  </si>
  <si>
    <t>R-7 c.i.</t>
  </si>
  <si>
    <t>R-8 c.i.</t>
  </si>
  <si>
    <t>R-10 c.i.</t>
  </si>
  <si>
    <t>R-14 c.i.</t>
  </si>
  <si>
    <t>Roof Type &amp; Frame Material</t>
  </si>
  <si>
    <t>Attic- Wood</t>
  </si>
  <si>
    <t>Attic- Metal</t>
  </si>
  <si>
    <t>Rafter- Wood</t>
  </si>
  <si>
    <t>Rafter- Metal</t>
  </si>
  <si>
    <t>per JA4</t>
  </si>
  <si>
    <t>per Software</t>
  </si>
  <si>
    <t>U-factor per Design</t>
  </si>
  <si>
    <r>
      <t xml:space="preserve"> </t>
    </r>
    <r>
      <rPr>
        <sz val="11"/>
        <color theme="1"/>
        <rFont val="Wingdings"/>
        <charset val="2"/>
      </rPr>
      <t>¨</t>
    </r>
    <r>
      <rPr>
        <sz val="11"/>
        <color theme="1"/>
        <rFont val="Calibri"/>
        <family val="2"/>
      </rPr>
      <t xml:space="preserve"> Span Deck &amp; Concrete</t>
    </r>
  </si>
  <si>
    <r>
      <t xml:space="preserve"> </t>
    </r>
    <r>
      <rPr>
        <sz val="11"/>
        <color theme="1"/>
        <rFont val="Wingdings"/>
        <charset val="2"/>
      </rPr>
      <t>¨</t>
    </r>
    <r>
      <rPr>
        <sz val="11"/>
        <color theme="1"/>
        <rFont val="Calibri"/>
        <family val="2"/>
      </rPr>
      <t xml:space="preserve"> Metal Panels </t>
    </r>
  </si>
  <si>
    <r>
      <t xml:space="preserve"> </t>
    </r>
    <r>
      <rPr>
        <sz val="11"/>
        <color theme="1"/>
        <rFont val="Wingdings"/>
        <charset val="2"/>
      </rPr>
      <t>¨</t>
    </r>
    <r>
      <rPr>
        <sz val="11"/>
        <color theme="1"/>
        <rFont val="Calibri"/>
        <family val="2"/>
      </rPr>
      <t xml:space="preserve"> Metal Building</t>
    </r>
  </si>
  <si>
    <r>
      <rPr>
        <sz val="11"/>
        <color theme="1"/>
        <rFont val="Wingdings"/>
        <charset val="2"/>
      </rPr>
      <t>¨</t>
    </r>
    <r>
      <rPr>
        <sz val="11"/>
        <color theme="1"/>
        <rFont val="Calibri"/>
        <family val="2"/>
      </rPr>
      <t xml:space="preserve"> SIPs</t>
    </r>
  </si>
  <si>
    <r>
      <rPr>
        <sz val="11"/>
        <color theme="1"/>
        <rFont val="Wingdings"/>
        <charset val="2"/>
      </rPr>
      <t>¨</t>
    </r>
    <r>
      <rPr>
        <sz val="11"/>
        <color theme="1"/>
        <rFont val="Calibri"/>
        <family val="2"/>
      </rPr>
      <t xml:space="preserve"> Framed</t>
    </r>
  </si>
  <si>
    <r>
      <t>Area
(ft</t>
    </r>
    <r>
      <rPr>
        <b/>
        <vertAlign val="superscript"/>
        <sz val="9"/>
        <color theme="1"/>
        <rFont val="Calibri"/>
        <family val="2"/>
        <scheme val="minor"/>
      </rPr>
      <t>2</t>
    </r>
    <r>
      <rPr>
        <b/>
        <sz val="9"/>
        <color theme="1"/>
        <rFont val="Calibri"/>
        <family val="2"/>
        <scheme val="minor"/>
      </rPr>
      <t>)</t>
    </r>
  </si>
  <si>
    <t>F. ROOF ASSEMBLY SCHEDULE</t>
  </si>
  <si>
    <r>
      <t>Required Thermal Performance</t>
    </r>
    <r>
      <rPr>
        <b/>
        <vertAlign val="superscript"/>
        <sz val="9"/>
        <color theme="1"/>
        <rFont val="Calibri"/>
        <family val="2"/>
        <scheme val="minor"/>
      </rPr>
      <t>2</t>
    </r>
  </si>
  <si>
    <t>Exception to S141.0(b)2Biii dropdown</t>
  </si>
  <si>
    <t>No exception applies</t>
  </si>
  <si>
    <t>Core Insulation per Design</t>
  </si>
  <si>
    <t>R-X</t>
  </si>
  <si>
    <t>Concrete Topping Thickness
(in)</t>
  </si>
  <si>
    <t>R-12 c.i.</t>
  </si>
  <si>
    <t>R-15 c.i.</t>
  </si>
  <si>
    <t>R-20 c.i.</t>
  </si>
  <si>
    <t>R-25 c.i.</t>
  </si>
  <si>
    <t>R-30 c.i.</t>
  </si>
  <si>
    <t>Roof Type</t>
  </si>
  <si>
    <r>
      <t>Ben, sum of "Area (ft</t>
    </r>
    <r>
      <rPr>
        <i/>
        <vertAlign val="superscript"/>
        <sz val="9"/>
        <color rgb="FFFF0000"/>
        <rFont val="Calibri"/>
        <family val="2"/>
        <scheme val="minor"/>
      </rPr>
      <t>2</t>
    </r>
    <r>
      <rPr>
        <i/>
        <sz val="9"/>
        <color rgb="FFFF0000"/>
        <rFont val="Calibri"/>
        <family val="2"/>
        <scheme val="minor"/>
      </rPr>
      <t>)" column for the subtable</t>
    </r>
  </si>
  <si>
    <r>
      <t>Total Area of Roof Type
(ft</t>
    </r>
    <r>
      <rPr>
        <b/>
        <vertAlign val="superscript"/>
        <sz val="9"/>
        <color theme="1"/>
        <rFont val="Calibri"/>
        <family val="2"/>
        <scheme val="minor"/>
      </rPr>
      <t>2</t>
    </r>
    <r>
      <rPr>
        <b/>
        <sz val="9"/>
        <color theme="1"/>
        <rFont val="Calibri"/>
        <family val="2"/>
        <scheme val="minor"/>
      </rPr>
      <t>)</t>
    </r>
  </si>
  <si>
    <t>Area-weighted U-factor for Roof Type</t>
  </si>
  <si>
    <t>Designed</t>
  </si>
  <si>
    <t>= (sum (required thermal performance x area))/ total area of roof type</t>
  </si>
  <si>
    <t>= (sum (designed thermal performance x area))/ total area of roof type</t>
  </si>
  <si>
    <t>Total For All Roof Types:</t>
  </si>
  <si>
    <t>= (sum (required thermal performance x area))/ total area of all roof types</t>
  </si>
  <si>
    <t>= (sum (designed thermal performance x area))/ total area of all roof types</t>
  </si>
  <si>
    <t>COMPLIES or DOES NOT COMPLY</t>
  </si>
  <si>
    <t>Compliance Results Using Area-Weighted Calculation Option</t>
  </si>
  <si>
    <t>Metal Building Roof</t>
  </si>
  <si>
    <r>
      <rPr>
        <sz val="11"/>
        <color theme="1"/>
        <rFont val="Wingdings"/>
        <charset val="2"/>
      </rPr>
      <t>¨</t>
    </r>
    <r>
      <rPr>
        <sz val="11"/>
        <color theme="1"/>
        <rFont val="Calibri"/>
        <family val="2"/>
      </rPr>
      <t xml:space="preserve"> Spandrel/ Curtain Wall</t>
    </r>
  </si>
  <si>
    <r>
      <rPr>
        <sz val="11"/>
        <color theme="1"/>
        <rFont val="Wingdings"/>
        <charset val="2"/>
      </rPr>
      <t>¨</t>
    </r>
    <r>
      <rPr>
        <sz val="11"/>
        <color theme="1"/>
        <rFont val="Calibri"/>
        <family val="2"/>
      </rPr>
      <t xml:space="preserve"> Metal Panel</t>
    </r>
  </si>
  <si>
    <r>
      <rPr>
        <sz val="11"/>
        <color theme="1"/>
        <rFont val="Wingdings"/>
        <charset val="2"/>
      </rPr>
      <t>¨</t>
    </r>
    <r>
      <rPr>
        <sz val="11"/>
        <color theme="1"/>
        <rFont val="Calibri"/>
        <family val="2"/>
      </rPr>
      <t xml:space="preserve"> Metal Building</t>
    </r>
  </si>
  <si>
    <t>Area-Weighted Average U-factor Compliance Calculation for Framed/SIPs/Span Deck &amp; Concrete/ Metal Panel Roofs</t>
  </si>
  <si>
    <t>Area-Weighted Average U-factor Compliance Calculation for Metal Building Roof</t>
  </si>
  <si>
    <t>Frame Material, Spacing &amp; Depth</t>
  </si>
  <si>
    <t xml:space="preserve">Metal 16" OC &amp; 2x4 </t>
  </si>
  <si>
    <t xml:space="preserve">Metal 16" OC &amp; 2x6 </t>
  </si>
  <si>
    <t xml:space="preserve">Metal 16" OC &amp; 2x8 </t>
  </si>
  <si>
    <t>Metal 24" OC &amp; 2x4</t>
  </si>
  <si>
    <t xml:space="preserve">Metal 24" OC &amp; 2x6 </t>
  </si>
  <si>
    <t xml:space="preserve">Metal 24" OC &amp; 2x8 </t>
  </si>
  <si>
    <t>New</t>
  </si>
  <si>
    <t>Altered</t>
  </si>
  <si>
    <t>Wall Type</t>
  </si>
  <si>
    <t>Area-weighted U-factor for Wall Type</t>
  </si>
  <si>
    <t>= (sum (required thermal performance x area))/ total area of wall type</t>
  </si>
  <si>
    <t>= (sum (U-factor per Design x area))/ total area of wall type</t>
  </si>
  <si>
    <t>= (sum (U-factor per Design x area))/ total area of roof type</t>
  </si>
  <si>
    <r>
      <rPr>
        <sz val="11"/>
        <color theme="1"/>
        <rFont val="Wingdings"/>
        <charset val="2"/>
      </rPr>
      <t>¨</t>
    </r>
    <r>
      <rPr>
        <sz val="11"/>
        <color theme="1"/>
        <rFont val="Calibri"/>
        <family val="2"/>
      </rPr>
      <t xml:space="preserve"> Mass (new only)</t>
    </r>
  </si>
  <si>
    <t>Solid Concrete</t>
  </si>
  <si>
    <t>Frame Material &amp; Thickness 
(in)</t>
  </si>
  <si>
    <t>Wood-0.5 in</t>
  </si>
  <si>
    <t>Wood-0.75 in</t>
  </si>
  <si>
    <t>Wood-1 in</t>
  </si>
  <si>
    <t>Wood-1.5 in</t>
  </si>
  <si>
    <t>Wood-2 in</t>
  </si>
  <si>
    <t>Wood-2.5 in</t>
  </si>
  <si>
    <t>Wood-3 in</t>
  </si>
  <si>
    <t>Wood-3.5 in</t>
  </si>
  <si>
    <t>Wood-4 in</t>
  </si>
  <si>
    <t>Wood-4.5 in</t>
  </si>
  <si>
    <t>Wood-5 in</t>
  </si>
  <si>
    <t>Wood-5.5 in</t>
  </si>
  <si>
    <t>Metal-0.5 in</t>
  </si>
  <si>
    <t>Metal-0.75 in</t>
  </si>
  <si>
    <t>Metal-1 in</t>
  </si>
  <si>
    <t>Metal-1.5 in</t>
  </si>
  <si>
    <t>Metal-2 in</t>
  </si>
  <si>
    <t>Metal-2.5 in</t>
  </si>
  <si>
    <t>Metal-3 in</t>
  </si>
  <si>
    <t>Metal-3.5 in</t>
  </si>
  <si>
    <t>Metal-4 in</t>
  </si>
  <si>
    <t>Metal-4.5 in</t>
  </si>
  <si>
    <t>Metal-5 in</t>
  </si>
  <si>
    <t>Metal-5.5 in</t>
  </si>
  <si>
    <t>No frame type-Any Thick</t>
  </si>
  <si>
    <t>Area-Weighted Average U-factor Compliance Calculation for Mass Walls</t>
  </si>
  <si>
    <t>Light Mass</t>
  </si>
  <si>
    <t>Heavy Mass</t>
  </si>
  <si>
    <t>Mandatory U-factor</t>
  </si>
  <si>
    <t>Area-Weighted Average U-factor Compliance Calculation for Metal Framed Walls</t>
  </si>
  <si>
    <t>Metal Framed</t>
  </si>
  <si>
    <t>Wood 16" OC &amp; 2x4- 5/8"gyp</t>
  </si>
  <si>
    <t>Wood 16" OC &amp; 2x4- 1/2"gyp</t>
  </si>
  <si>
    <t>Wood 16" OC &amp; 2x6- 1/2"gyp</t>
  </si>
  <si>
    <t>Wood 16" OC &amp; 2x8- 1/2"gyp</t>
  </si>
  <si>
    <t>Wood 24" OC &amp; 2x4- 1/2"gyp</t>
  </si>
  <si>
    <t xml:space="preserve">Wood 24" OC &amp; 2x6- 1/2"gyp </t>
  </si>
  <si>
    <t xml:space="preserve">Wood 24" OC &amp; 2x8- 1/2"gyp </t>
  </si>
  <si>
    <t xml:space="preserve">Wood 16" OC &amp; 2x6- 5/8"gyp </t>
  </si>
  <si>
    <t xml:space="preserve">Wood 16" OC &amp; 2x8- 5/8"gyp </t>
  </si>
  <si>
    <t>Wood 24" OC &amp; 2x4- 5/8"gyp</t>
  </si>
  <si>
    <t xml:space="preserve">Wood 24" OC &amp; 2x6- 5/8"gyp </t>
  </si>
  <si>
    <t xml:space="preserve">Wood 24" OC &amp; 2x8- 5/8"gyp </t>
  </si>
  <si>
    <t>Hollow Clay Unit</t>
  </si>
  <si>
    <t>Solid Grout</t>
  </si>
  <si>
    <t>Partial Grout-uninsulated</t>
  </si>
  <si>
    <t>R-19 (batt)</t>
  </si>
  <si>
    <t>R-19 (spray/rigid)</t>
  </si>
  <si>
    <t>Rafter Opts when 2x4</t>
  </si>
  <si>
    <t>Rafter Opts when 2x6</t>
  </si>
  <si>
    <t>Rafter Opts when 2x8</t>
  </si>
  <si>
    <t>Rafter Opts when 2x10</t>
  </si>
  <si>
    <t>Rafter Opts when 2x12</t>
  </si>
  <si>
    <t>Rafter Opts when 2x14</t>
  </si>
  <si>
    <t>JA4 Options</t>
  </si>
  <si>
    <t>=sum (column 02)</t>
  </si>
  <si>
    <t>Ben, pulls in Subtable Name (ie "Framed Roof") for any subtable with column 02 checked</t>
  </si>
  <si>
    <t>How Design U-factor was determined</t>
  </si>
  <si>
    <t>Screw Down Options</t>
  </si>
  <si>
    <t>Standing Seam-1 Lay</t>
  </si>
  <si>
    <t>Standing Seam-2 Lay</t>
  </si>
  <si>
    <t>Filled Cavity</t>
  </si>
  <si>
    <t>Partial Grout-insulated</t>
  </si>
  <si>
    <r>
      <t xml:space="preserve">Calculate Area-Weighted Average U-factor for Metal Framed </t>
    </r>
    <r>
      <rPr>
        <sz val="11"/>
        <rFont val="Calibri"/>
        <family val="2"/>
        <scheme val="minor"/>
      </rPr>
      <t>Walls</t>
    </r>
    <r>
      <rPr>
        <b/>
        <vertAlign val="superscript"/>
        <sz val="11"/>
        <rFont val="Calibri"/>
        <family val="2"/>
        <scheme val="minor"/>
      </rPr>
      <t>1</t>
    </r>
  </si>
  <si>
    <r>
      <t>Include Wood Framed Walls in Area-Weighted Average U-factor Calculat</t>
    </r>
    <r>
      <rPr>
        <sz val="11"/>
        <rFont val="Calibri"/>
        <family val="2"/>
        <scheme val="minor"/>
      </rPr>
      <t>ion</t>
    </r>
    <r>
      <rPr>
        <b/>
        <vertAlign val="superscript"/>
        <sz val="11"/>
        <rFont val="Calibri"/>
        <family val="2"/>
        <scheme val="minor"/>
      </rPr>
      <t>1</t>
    </r>
  </si>
  <si>
    <r>
      <t>Calculate Area-Weighted Average U-factor for Mass Walls</t>
    </r>
    <r>
      <rPr>
        <b/>
        <vertAlign val="superscript"/>
        <sz val="11"/>
        <rFont val="Calibri"/>
        <family val="2"/>
        <scheme val="minor"/>
      </rPr>
      <t>1</t>
    </r>
  </si>
  <si>
    <t>G.RATED ROOFING MATERIAL (COOL ROOF)</t>
  </si>
  <si>
    <t>Occupancy Type</t>
  </si>
  <si>
    <t>Dropdown</t>
  </si>
  <si>
    <t>Occ Typ Dropdown</t>
  </si>
  <si>
    <t>Roof Material</t>
  </si>
  <si>
    <t>Compliance Method</t>
  </si>
  <si>
    <t xml:space="preserve">Dropdown </t>
  </si>
  <si>
    <t xml:space="preserve">Compliance Method 
Dropdown       </t>
  </si>
  <si>
    <t>Solar Reflectance (Initial)/ Emittance</t>
  </si>
  <si>
    <t>Solar Reflectance (Aged)/ Emittance</t>
  </si>
  <si>
    <t>Solar Reflectance Index (SRI)</t>
  </si>
  <si>
    <t>NA: Roof-integrated PV or Solar Thermal</t>
  </si>
  <si>
    <t xml:space="preserve"> U-factor Trade-off per Table 141.0-B</t>
  </si>
  <si>
    <t>U-factor Trade-off per Table 140.3</t>
  </si>
  <si>
    <t>NA: Demising Roof</t>
  </si>
  <si>
    <t>Reflectance</t>
  </si>
  <si>
    <t>Emittance</t>
  </si>
  <si>
    <t>SRI</t>
  </si>
  <si>
    <t>Required Minimum Material Performance</t>
  </si>
  <si>
    <t>Designed Material Performance</t>
  </si>
  <si>
    <t>Name/ Description/ Location</t>
  </si>
  <si>
    <t>H. WALL ASSEMBLY SCHEDULE</t>
  </si>
  <si>
    <t>Mass Walls (new walls only)</t>
  </si>
  <si>
    <t>Fill Options Dropdown</t>
  </si>
  <si>
    <t>Thickness Dropdown</t>
  </si>
  <si>
    <r>
      <t>Calculate Area-Weighted Average U-factor for Concrete Sandwich Panel Walls</t>
    </r>
    <r>
      <rPr>
        <b/>
        <vertAlign val="superscript"/>
        <sz val="11"/>
        <rFont val="Calibri"/>
        <family val="2"/>
        <scheme val="minor"/>
      </rPr>
      <t>1</t>
    </r>
  </si>
  <si>
    <t>Percent Concrete Web</t>
  </si>
  <si>
    <t>Steel Penetrates Insulation?</t>
  </si>
  <si>
    <t>Insulation Thickness/ R-value</t>
  </si>
  <si>
    <t>1.5 in/ R-7.0</t>
  </si>
  <si>
    <t>2.0 in/ R-9.3</t>
  </si>
  <si>
    <t>3.0 in/ R-14.0</t>
  </si>
  <si>
    <t>4.0 in/ R-18.6</t>
  </si>
  <si>
    <t>6.0 in/ R-27.9</t>
  </si>
  <si>
    <t>Structural Insulated Panels (SIPs) Walls</t>
  </si>
  <si>
    <r>
      <t>Include SIPs Walls in Area-Weighted Average U-factor Calculation</t>
    </r>
    <r>
      <rPr>
        <b/>
        <vertAlign val="superscript"/>
        <sz val="11"/>
        <rFont val="Calibri"/>
        <family val="2"/>
        <scheme val="minor"/>
      </rPr>
      <t>1</t>
    </r>
  </si>
  <si>
    <t>Spandrel &amp; Curtain Walls</t>
  </si>
  <si>
    <r>
      <t>Include Spandrel/ Curtain Walls in Area-Weighted Average U-factor Calculation</t>
    </r>
    <r>
      <rPr>
        <b/>
        <vertAlign val="superscript"/>
        <sz val="11"/>
        <rFont val="Calibri"/>
        <family val="2"/>
        <scheme val="minor"/>
      </rPr>
      <t>1</t>
    </r>
  </si>
  <si>
    <t>Required Thermal Performance</t>
  </si>
  <si>
    <t>Metal Building Walls</t>
  </si>
  <si>
    <r>
      <t>Calculate Area-Weighted Average U-factor for Metal Building Walls</t>
    </r>
    <r>
      <rPr>
        <vertAlign val="superscript"/>
        <sz val="1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</si>
  <si>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walls may not be combined with other wall types. The area-weighted compliance option is not available for alterations demonstrating compliance with R-value in §141.0(b)1B1.</t>
    </r>
  </si>
  <si>
    <r>
      <rPr>
        <i/>
        <vertAlign val="superscript"/>
        <sz val="10"/>
        <color theme="1"/>
        <rFont val="Calibri"/>
        <family val="2"/>
        <scheme val="minor"/>
      </rPr>
      <t>2</t>
    </r>
    <r>
      <rPr>
        <i/>
        <sz val="10"/>
        <color theme="1"/>
        <rFont val="Calibri"/>
        <family val="2"/>
        <scheme val="minor"/>
      </rPr>
      <t xml:space="preserve"> If "R-value" is shown in cell 10 as the Thermal Performance Unit, the R-value shown here is for  cavity insulation per §141.0(b)1B1.</t>
    </r>
  </si>
  <si>
    <t>Single Layer Opts</t>
  </si>
  <si>
    <t>Double Layer Opts</t>
  </si>
  <si>
    <r>
      <rPr>
        <i/>
        <vertAlign val="superscript"/>
        <sz val="10"/>
        <color theme="1"/>
        <rFont val="Calibri"/>
        <family val="2"/>
        <scheme val="minor"/>
      </rPr>
      <t>2</t>
    </r>
    <r>
      <rPr>
        <i/>
        <sz val="10"/>
        <color theme="1"/>
        <rFont val="Calibri"/>
        <family val="2"/>
        <scheme val="minor"/>
      </rPr>
      <t xml:space="preserve"> If "R-value" is shown in cell 09 as the Thermal Performance Unit, the R-value shown here is for core insulation per §141.0(b)1B3.</t>
    </r>
  </si>
  <si>
    <t>Metal Panel Walls</t>
  </si>
  <si>
    <r>
      <t>Include Metal Panel Walls in Area-Weighted Average U-factor Calculation</t>
    </r>
    <r>
      <rPr>
        <b/>
        <vertAlign val="superscript"/>
        <sz val="11"/>
        <rFont val="Calibri"/>
        <family val="2"/>
        <scheme val="minor"/>
      </rPr>
      <t>1</t>
    </r>
  </si>
  <si>
    <t>Concrete Sandwich Panel Walls (new walls only)</t>
  </si>
  <si>
    <r>
      <rPr>
        <sz val="11"/>
        <color theme="1"/>
        <rFont val="Wingdings"/>
        <charset val="2"/>
      </rPr>
      <t>¨</t>
    </r>
    <r>
      <rPr>
        <sz val="11"/>
        <color theme="1"/>
        <rFont val="Calibri"/>
        <family val="2"/>
      </rPr>
      <t xml:space="preserve"> Concrete Sandwich Panel (new only)</t>
    </r>
  </si>
  <si>
    <r>
      <rPr>
        <sz val="11"/>
        <color theme="1"/>
        <rFont val="Wingdings"/>
        <charset val="2"/>
      </rPr>
      <t>¨</t>
    </r>
    <r>
      <rPr>
        <sz val="11"/>
        <color theme="1"/>
        <rFont val="Calibri"/>
        <family val="2"/>
      </rPr>
      <t xml:space="preserve"> Log Home (new only)</t>
    </r>
  </si>
  <si>
    <t>Log Home Walls (new walls only)</t>
  </si>
  <si>
    <r>
      <t>Calculate Area-Weighted Average U-factor for Log Home Walls</t>
    </r>
    <r>
      <rPr>
        <b/>
        <vertAlign val="superscript"/>
        <sz val="11"/>
        <rFont val="Calibri"/>
        <family val="2"/>
        <scheme val="minor"/>
      </rPr>
      <t>1</t>
    </r>
  </si>
  <si>
    <t>Log Diameter 
(in)</t>
  </si>
  <si>
    <r>
      <rPr>
        <i/>
        <vertAlign val="superscript"/>
        <sz val="10"/>
        <color theme="1"/>
        <rFont val="Calibri"/>
        <family val="2"/>
        <scheme val="minor"/>
      </rPr>
      <t>2</t>
    </r>
    <r>
      <rPr>
        <i/>
        <sz val="10"/>
        <color theme="1"/>
        <rFont val="Calibri"/>
        <family val="2"/>
        <scheme val="minor"/>
      </rPr>
      <t xml:space="preserve"> Log Home walls are defined as "wood framed and other" or "light" depending on their Heat Capacity.  Heat Capacity is determined in Table 4.3.11 in Joint Appendix 4.  Walls with Heat Capacity from 7 to less than 15 are "light".  Walls with heat capacity less than 7 would be categorized as "Wood framed and Other" for compliance purposes.</t>
    </r>
  </si>
  <si>
    <t>Insulation per Design</t>
  </si>
  <si>
    <r>
      <t>Include Straw Bale Walls in Area-Weighted Average U-factor Calculation</t>
    </r>
    <r>
      <rPr>
        <b/>
        <vertAlign val="superscript"/>
        <sz val="11"/>
        <rFont val="Calibri"/>
        <family val="2"/>
        <scheme val="minor"/>
      </rPr>
      <t>1</t>
    </r>
  </si>
  <si>
    <t>Straw Bale Walls</t>
  </si>
  <si>
    <r>
      <rPr>
        <sz val="11"/>
        <color theme="1"/>
        <rFont val="Wingdings"/>
        <charset val="2"/>
      </rPr>
      <t>¨</t>
    </r>
    <r>
      <rPr>
        <sz val="11"/>
        <color theme="1"/>
        <rFont val="Calibri"/>
        <family val="2"/>
      </rPr>
      <t xml:space="preserve"> Straw Bale</t>
    </r>
  </si>
  <si>
    <r>
      <rPr>
        <sz val="11"/>
        <color theme="1"/>
        <rFont val="Wingdings"/>
        <charset val="2"/>
      </rPr>
      <t>¨</t>
    </r>
    <r>
      <rPr>
        <sz val="11"/>
        <color theme="1"/>
        <rFont val="Calibri"/>
        <family val="2"/>
      </rPr>
      <t xml:space="preserve"> ICF (new only)</t>
    </r>
  </si>
  <si>
    <t>Insulated Concrete Form Walls (new walls only)</t>
  </si>
  <si>
    <t>Insulation Thickness
(in)</t>
  </si>
  <si>
    <t>2.5 In</t>
  </si>
  <si>
    <t>2.625 In</t>
  </si>
  <si>
    <t>4.5 In</t>
  </si>
  <si>
    <r>
      <t>Calculate Area-Weighted Average U-factor for ICF Walls</t>
    </r>
    <r>
      <rPr>
        <vertAlign val="superscript"/>
        <sz val="1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</si>
  <si>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framed walls may not be combined with other wall types.  Wood framed walls are combined with SIPs, spandrel &amp; curtain, metal panel and straw bale wall types. The area-weighted compliance option is not available for alterations demonstrating compliance with R-values in Table 141.0-C.</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</si>
  <si>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SIP walls are combined with wood framed, spandrel &amp; curtain, metal panel and straw bale wall types. The area-weighted compliance option is not available for alterations demonstrating compliance with R-values in §141.0(b)1B3.</t>
    </r>
  </si>
  <si>
    <r>
      <rPr>
        <i/>
        <vertAlign val="superscript"/>
        <sz val="10"/>
        <color theme="1"/>
        <rFont val="Calibri"/>
        <family val="2"/>
        <scheme val="minor"/>
      </rPr>
      <t>2</t>
    </r>
    <r>
      <rPr>
        <i/>
        <sz val="10"/>
        <color theme="1"/>
        <rFont val="Calibri"/>
        <family val="2"/>
        <scheme val="minor"/>
      </rPr>
      <t xml:space="preserve"> ICF walls are defined as "light" or "heavy" depending on their Heat Capacity.  Heat Capacity is determined in Table 4.3.13 in Joint Appendix 4.  Walls with Heat Capacity of 15 or greater are "heavy" while walls with Heat Capacity from 7 to less than 15 are "light". </t>
    </r>
  </si>
  <si>
    <t>=0.440 if column 06 in subtable is &gt;=6in and column 04 is CMU, otherwise "NA"</t>
  </si>
  <si>
    <t>=0.440 if column 06 in subtable is &gt;=8in and column 04 is CMU, otherwise "NA"</t>
  </si>
  <si>
    <t>Total For All Wall Types:</t>
  </si>
  <si>
    <t>Area-Weighted Average U-factor Compliance Calculation for Wood Framed/ SIPs/ Spandrel/ Curtain/ Metal Panel/ Straw Bale Wall Types</t>
  </si>
  <si>
    <t>Ben, pulls in Subtable Name (ie "SIPs Wall") for any subtable with column 01 checked</t>
  </si>
  <si>
    <t>= (sum (required thermal performance x area))/ total area of all wall types</t>
  </si>
  <si>
    <t>= (sum (designed thermal performance x area))/ total area of  wall type</t>
  </si>
  <si>
    <t>= (sum (designed thermal performance x area))/ total area of all wall types</t>
  </si>
  <si>
    <t>Area-Weighted Average U-factor Compliance Calculation for Metal Building Walls</t>
  </si>
  <si>
    <t>Metal Building</t>
  </si>
  <si>
    <t>I. FLOOR ASSEMBLY SCHEDULE</t>
  </si>
  <si>
    <r>
      <t xml:space="preserve"> </t>
    </r>
    <r>
      <rPr>
        <sz val="11"/>
        <color theme="1"/>
        <rFont val="Wingdings"/>
        <charset val="2"/>
      </rPr>
      <t>¨</t>
    </r>
    <r>
      <rPr>
        <sz val="11"/>
        <color theme="1"/>
        <rFont val="Calibri"/>
        <family val="2"/>
      </rPr>
      <t xml:space="preserve"> Raised Mass</t>
    </r>
  </si>
  <si>
    <r>
      <rPr>
        <sz val="11"/>
        <color theme="1"/>
        <rFont val="Wingdings"/>
        <charset val="2"/>
      </rPr>
      <t>¨</t>
    </r>
    <r>
      <rPr>
        <sz val="11"/>
        <color theme="1"/>
        <rFont val="Calibri"/>
        <family val="2"/>
      </rPr>
      <t xml:space="preserve"> SIPs (new only)</t>
    </r>
  </si>
  <si>
    <t xml:space="preserve">Metal 16" OC </t>
  </si>
  <si>
    <t>Metal 16" OC &amp; 2x10</t>
  </si>
  <si>
    <t>Metal 16" OC &amp; 2x12</t>
  </si>
  <si>
    <t xml:space="preserve">Metal 24" OC </t>
  </si>
  <si>
    <t>Metal 24" OC &amp; 2x10</t>
  </si>
  <si>
    <t>Metal 24" OC &amp; 2x12</t>
  </si>
  <si>
    <t xml:space="preserve">Wood 16" OC </t>
  </si>
  <si>
    <t xml:space="preserve">Wood 16" OC &amp; 2x6 </t>
  </si>
  <si>
    <t xml:space="preserve">Wood 16" OC &amp; 2x8 </t>
  </si>
  <si>
    <t>Wood 16" OC &amp; 2x10</t>
  </si>
  <si>
    <t>Wood 16" OC &amp; 2x12</t>
  </si>
  <si>
    <t xml:space="preserve">Wood 24" OC </t>
  </si>
  <si>
    <t xml:space="preserve">Wood 24" OC &amp; 2x6 </t>
  </si>
  <si>
    <t xml:space="preserve">Wood 24" OC &amp; 2x8 </t>
  </si>
  <si>
    <t>Wood 24" OC &amp; 2x10</t>
  </si>
  <si>
    <t>Wood 24" OC &amp; 2x12</t>
  </si>
  <si>
    <t>Cavity Ins Dropdown</t>
  </si>
  <si>
    <r>
      <t>Include SIPs Floors in Area-Weighted Average U-factor Calculation</t>
    </r>
    <r>
      <rPr>
        <b/>
        <vertAlign val="superscript"/>
        <sz val="11"/>
        <rFont val="Calibri"/>
        <family val="2"/>
        <scheme val="minor"/>
      </rPr>
      <t>1</t>
    </r>
  </si>
  <si>
    <t>Structural Insulated Panels (SIPs) Floors (new floors only)</t>
  </si>
  <si>
    <r>
      <t>Calculate Area-Weighted Average U-factor for Raised Mass Floors</t>
    </r>
    <r>
      <rPr>
        <vertAlign val="superscript"/>
        <sz val="11"/>
        <color theme="1"/>
        <rFont val="Calibri"/>
        <family val="2"/>
        <scheme val="minor"/>
      </rPr>
      <t>1</t>
    </r>
  </si>
  <si>
    <t>Area-Weighted Average U-factor Compliance Calculation for Raised Mass Floors</t>
  </si>
  <si>
    <t>Floor Type</t>
  </si>
  <si>
    <t>Raised Mass</t>
  </si>
  <si>
    <r>
      <t>Total Area of Floor Type
(ft</t>
    </r>
    <r>
      <rPr>
        <b/>
        <vertAlign val="superscript"/>
        <sz val="9"/>
        <color theme="1"/>
        <rFont val="Calibri"/>
        <family val="2"/>
        <scheme val="minor"/>
      </rPr>
      <t>2</t>
    </r>
    <r>
      <rPr>
        <b/>
        <sz val="9"/>
        <color theme="1"/>
        <rFont val="Calibri"/>
        <family val="2"/>
        <scheme val="minor"/>
      </rPr>
      <t>)</t>
    </r>
  </si>
  <si>
    <t>Area-weighted U-factor for Floor Type</t>
  </si>
  <si>
    <t>= (sum (required thermal performance x area))/ total area of floor type</t>
  </si>
  <si>
    <t>= (sum (U-factor per Design x area))/ total area of floor type</t>
  </si>
  <si>
    <t>Total For All Floor Types:</t>
  </si>
  <si>
    <t>= (sum (designed thermal performance x area))/ total area of  floor type</t>
  </si>
  <si>
    <t>= (sum (required thermal performance x area))/ total area of all floor types</t>
  </si>
  <si>
    <t>= (sum (designed thermal performance x area))/ total area of all floor types</t>
  </si>
  <si>
    <t>J. EXTERIOR DOOR SCHEDULE</t>
  </si>
  <si>
    <t xml:space="preserve">Uninsulated single-layer metal </t>
  </si>
  <si>
    <t xml:space="preserve">Uninsulated double-layer metal </t>
  </si>
  <si>
    <t>Door Insulation</t>
  </si>
  <si>
    <t>Swinging</t>
  </si>
  <si>
    <t>Non-swinging</t>
  </si>
  <si>
    <r>
      <rPr>
        <sz val="10"/>
        <rFont val="Wingdings"/>
        <charset val="2"/>
      </rPr>
      <t xml:space="preserve"> ¨</t>
    </r>
    <r>
      <rPr>
        <sz val="10"/>
        <rFont val="Calibri"/>
        <family val="2"/>
      </rPr>
      <t xml:space="preserve">  Fenestration/ Glazed Doors</t>
    </r>
    <r>
      <rPr>
        <vertAlign val="superscript"/>
        <sz val="10"/>
        <rFont val="Calibri"/>
        <family val="2"/>
      </rPr>
      <t>1</t>
    </r>
  </si>
  <si>
    <r>
      <rPr>
        <sz val="11"/>
        <color theme="1"/>
        <rFont val="Wingdings"/>
        <charset val="2"/>
      </rPr>
      <t>¨</t>
    </r>
    <r>
      <rPr>
        <sz val="11"/>
        <color theme="1"/>
        <rFont val="Calibri"/>
        <family val="2"/>
      </rPr>
      <t xml:space="preserve"> Skylights</t>
    </r>
  </si>
  <si>
    <t>Roof Assembly Schedule</t>
  </si>
  <si>
    <t>Rated Roofing Material (Cool Roof)</t>
  </si>
  <si>
    <t>Wall Assembly Schedule</t>
  </si>
  <si>
    <t>Floor Assembly Schedule</t>
  </si>
  <si>
    <t>Exterior Door Schedule</t>
  </si>
  <si>
    <t>Fenestration &amp; Glazed Door Schedule</t>
  </si>
  <si>
    <t>Table 140.3-B/C/D</t>
  </si>
  <si>
    <t>1st flr display perimeter- no overhang</t>
  </si>
  <si>
    <t>VT Compliance Method</t>
  </si>
  <si>
    <t>U-factor (max)</t>
  </si>
  <si>
    <t>(R)SHGC (max)</t>
  </si>
  <si>
    <t>VT (min)</t>
  </si>
  <si>
    <t>look up</t>
  </si>
  <si>
    <t>§110.6 Defaults</t>
  </si>
  <si>
    <r>
      <t>Area
(ft</t>
    </r>
    <r>
      <rPr>
        <b/>
        <vertAlign val="superscript"/>
        <sz val="9"/>
        <color rgb="FF000000"/>
        <rFont val="Calibri"/>
        <family val="2"/>
      </rPr>
      <t>2</t>
    </r>
    <r>
      <rPr>
        <b/>
        <sz val="9"/>
        <color rgb="FF000000"/>
        <rFont val="Calibri"/>
        <family val="2"/>
      </rPr>
      <t>)</t>
    </r>
  </si>
  <si>
    <r>
      <t>NA6 Default (COG)</t>
    </r>
    <r>
      <rPr>
        <vertAlign val="superscript"/>
        <sz val="9"/>
        <rFont val="Calibri"/>
        <family val="2"/>
        <scheme val="minor"/>
      </rPr>
      <t>2</t>
    </r>
  </si>
  <si>
    <t>NA: Skylit &amp; Sidelit Daylit zones overlap</t>
  </si>
  <si>
    <t>Product Performance Unit</t>
  </si>
  <si>
    <t>Required Product Performance</t>
  </si>
  <si>
    <t>Product Performance per Design</t>
  </si>
  <si>
    <r>
      <t>Calculation Method for Performance Values per Design</t>
    </r>
    <r>
      <rPr>
        <b/>
        <vertAlign val="superscript"/>
        <sz val="9"/>
        <color rgb="FF000000"/>
        <rFont val="Calibri"/>
        <family val="2"/>
      </rPr>
      <t>2</t>
    </r>
  </si>
  <si>
    <t>05 dropdown</t>
  </si>
  <si>
    <t>06 dropdown</t>
  </si>
  <si>
    <t>07 dropdown</t>
  </si>
  <si>
    <t>08 dropdown</t>
  </si>
  <si>
    <t>09 dropdown</t>
  </si>
  <si>
    <t>14 dropdown</t>
  </si>
  <si>
    <t>Non-metal</t>
  </si>
  <si>
    <t>15 dropdown</t>
  </si>
  <si>
    <t>16 dropdown</t>
  </si>
  <si>
    <t>Center of Glass (COG) Product Performance</t>
  </si>
  <si>
    <t>Single Pane</t>
  </si>
  <si>
    <t>Double Pane</t>
  </si>
  <si>
    <t>NA 6 equations &amp; Tables:</t>
  </si>
  <si>
    <t>Default Tables from S110.6:</t>
  </si>
  <si>
    <t>21</t>
  </si>
  <si>
    <t>Greenhouse/ Garden Window?</t>
  </si>
  <si>
    <t>20 dropdown</t>
  </si>
  <si>
    <t>Double Pane- w/ spacers</t>
  </si>
  <si>
    <t>Double Pane- divided lite</t>
  </si>
  <si>
    <t>Metal w Thermal Break</t>
  </si>
  <si>
    <t>21 dropdown</t>
  </si>
  <si>
    <t>Product Performance per NA6</t>
  </si>
  <si>
    <t>See NA6.2 eq. to right</t>
  </si>
  <si>
    <t>See NA6.3 eq. to right</t>
  </si>
  <si>
    <t>See NA6.4 eq. to right</t>
  </si>
  <si>
    <t>22</t>
  </si>
  <si>
    <t>23</t>
  </si>
  <si>
    <t>22 dropdown</t>
  </si>
  <si>
    <t>23 dropdown</t>
  </si>
  <si>
    <t>Product Performance per Default 110.6 Tables</t>
  </si>
  <si>
    <t>See 110.6 Tables to the right</t>
  </si>
  <si>
    <t>24</t>
  </si>
  <si>
    <t>NA6 Default Calculation</t>
  </si>
  <si>
    <t>§110.6 Default Tables</t>
  </si>
  <si>
    <t>U-Factor</t>
  </si>
  <si>
    <r>
      <t>Total Area of Fenestration
(ft</t>
    </r>
    <r>
      <rPr>
        <b/>
        <vertAlign val="superscript"/>
        <sz val="9"/>
        <color theme="1"/>
        <rFont val="Calibri"/>
        <family val="2"/>
        <scheme val="minor"/>
      </rPr>
      <t>2</t>
    </r>
    <r>
      <rPr>
        <b/>
        <sz val="9"/>
        <color theme="1"/>
        <rFont val="Calibri"/>
        <family val="2"/>
        <scheme val="minor"/>
      </rPr>
      <t>)</t>
    </r>
  </si>
  <si>
    <t>(R)SHGC</t>
  </si>
  <si>
    <t>Area-weighted Calculation for Fenestration</t>
  </si>
  <si>
    <t>ALTERATIONS:</t>
  </si>
  <si>
    <t>Table 141.0-A</t>
  </si>
  <si>
    <t>See NA6.4 values to right</t>
  </si>
  <si>
    <t>24 dropdown</t>
  </si>
  <si>
    <t>25</t>
  </si>
  <si>
    <t>27</t>
  </si>
  <si>
    <t>28</t>
  </si>
  <si>
    <t>29</t>
  </si>
  <si>
    <t>30</t>
  </si>
  <si>
    <t>31</t>
  </si>
  <si>
    <t>SHGC of Window</t>
  </si>
  <si>
    <t>32</t>
  </si>
  <si>
    <t>See equation 140.3-A</t>
  </si>
  <si>
    <t>31 dropdown</t>
  </si>
  <si>
    <t>North-facing</t>
  </si>
  <si>
    <t>South-facing</t>
  </si>
  <si>
    <t>East/West-facing</t>
  </si>
  <si>
    <t>Skylights- Total Area</t>
  </si>
  <si>
    <t>Total Skylight Area per Design 
(ft²)</t>
  </si>
  <si>
    <t>Skylights- U-factor, Solar Heat Gain Coefficient (SHGC), Visible Transmittance (VT)</t>
  </si>
  <si>
    <r>
      <t>Calculate Area-Weighted Average U-factor for Skylights</t>
    </r>
    <r>
      <rPr>
        <b/>
        <vertAlign val="superscript"/>
        <sz val="11"/>
        <rFont val="Calibri"/>
        <family val="2"/>
        <scheme val="minor"/>
      </rPr>
      <t>1</t>
    </r>
  </si>
  <si>
    <r>
      <t>Calculate Area-Weighted Average VT for Skylights</t>
    </r>
    <r>
      <rPr>
        <b/>
        <vertAlign val="superscript"/>
        <sz val="11"/>
        <rFont val="Calibri"/>
        <family val="2"/>
        <scheme val="minor"/>
      </rPr>
      <t>1</t>
    </r>
  </si>
  <si>
    <r>
      <t>Calculate Area-Weighted Average SHGC for Skylights</t>
    </r>
    <r>
      <rPr>
        <b/>
        <vertAlign val="superscript"/>
        <sz val="11"/>
        <rFont val="Calibri"/>
        <family val="2"/>
        <scheme val="minor"/>
      </rPr>
      <t>1</t>
    </r>
  </si>
  <si>
    <t>Glass, deck mounted</t>
  </si>
  <si>
    <t>Plastic, curb mounted</t>
  </si>
  <si>
    <t>Glass, curb mounted</t>
  </si>
  <si>
    <t>SHGC (max)</t>
  </si>
  <si>
    <t>Glaze/ Diffuser with Haze Value &gt; 90%?</t>
  </si>
  <si>
    <t>NA: No direct sun on skylight</t>
  </si>
  <si>
    <t>Operable/Fixed</t>
  </si>
  <si>
    <t>17 dropdown</t>
  </si>
  <si>
    <t>Operable</t>
  </si>
  <si>
    <t>Fixed</t>
  </si>
  <si>
    <t>18 dropdown</t>
  </si>
  <si>
    <t>19 dropdown</t>
  </si>
  <si>
    <t>Area-Weighted Average U-factor, SHGC, VT Compliance Calculation for Skylights</t>
  </si>
  <si>
    <t>= (sum (required performance x area))/ total area of skylights</t>
  </si>
  <si>
    <t>Total Area of Skylights</t>
  </si>
  <si>
    <t>Area-weighted Calculation for Skylights</t>
  </si>
  <si>
    <t>= (sum (U-factor per Design x area))/ total area of skylights</t>
  </si>
  <si>
    <t>= (sum (RSHGC per Design x area))/ total area of skylights</t>
  </si>
  <si>
    <t>= (sum (VT per Design x area))/ total area of skylights</t>
  </si>
  <si>
    <t xml:space="preserve">Relocatable Public School Building for use in all climate zones
Occupancy: E </t>
  </si>
  <si>
    <t>Relocatable all CZ</t>
  </si>
  <si>
    <t>Nonresidential/ Relocatable 1 CZ</t>
  </si>
  <si>
    <t>Daylight in Large Enclosed Spaces</t>
  </si>
  <si>
    <t>K. FENESTRATION AND GLAZED DOOR SCHEDULE</t>
  </si>
  <si>
    <t>L. DAYLIGHT IN LARGE ENCLOSED SPACES</t>
  </si>
  <si>
    <r>
      <t>NA: All space types w/lighting &lt;0.5 w/ft</t>
    </r>
    <r>
      <rPr>
        <vertAlign val="superscript"/>
        <sz val="10"/>
        <color rgb="FF000000"/>
        <rFont val="Calibri"/>
        <family val="2"/>
        <scheme val="minor"/>
      </rPr>
      <t>2</t>
    </r>
  </si>
  <si>
    <t xml:space="preserve">NA: Church </t>
  </si>
  <si>
    <t>NA: Movie Theater</t>
  </si>
  <si>
    <t xml:space="preserve">NA: Museum </t>
  </si>
  <si>
    <t xml:space="preserve">NA: Refrigerated Warehouse </t>
  </si>
  <si>
    <t>(drop down)</t>
  </si>
  <si>
    <t>Compliance Method Dropdown</t>
  </si>
  <si>
    <t>OR</t>
  </si>
  <si>
    <t>NA: Auditorium</t>
  </si>
  <si>
    <t>NA: Documented no solar access</t>
  </si>
  <si>
    <r>
      <t>NA: Future space to be &lt;5,000 ft</t>
    </r>
    <r>
      <rPr>
        <vertAlign val="superscript"/>
        <sz val="10"/>
        <color rgb="FF000000"/>
        <rFont val="Calibri"/>
        <family val="2"/>
        <scheme val="minor"/>
      </rPr>
      <t>2</t>
    </r>
  </si>
  <si>
    <t>NA: Future space ceiling to be &lt;15ft</t>
  </si>
  <si>
    <r>
      <t>Total Unconditioned Floor Area (ft</t>
    </r>
    <r>
      <rPr>
        <vertAlign val="superscript"/>
        <sz val="10"/>
        <color theme="1"/>
        <rFont val="Calibri"/>
        <family val="2"/>
        <scheme val="minor"/>
      </rPr>
      <t>2</t>
    </r>
    <r>
      <rPr>
        <sz val="10"/>
        <color theme="1"/>
        <rFont val="Calibri"/>
        <family val="2"/>
        <scheme val="minor"/>
      </rPr>
      <t>)</t>
    </r>
  </si>
  <si>
    <t>Roof Assembly</t>
  </si>
  <si>
    <t>(See Table F)</t>
  </si>
  <si>
    <t>(See Table G)</t>
  </si>
  <si>
    <t>(See Table H)</t>
  </si>
  <si>
    <r>
      <t>Project includes unconditioned enclosed space(s) &gt; 5,000ft</t>
    </r>
    <r>
      <rPr>
        <vertAlign val="superscript"/>
        <sz val="10"/>
        <color theme="1"/>
        <rFont val="Calibri"/>
        <family val="2"/>
        <scheme val="minor"/>
      </rPr>
      <t>2</t>
    </r>
    <r>
      <rPr>
        <sz val="10"/>
        <color theme="1"/>
        <rFont val="Calibri"/>
        <family val="2"/>
        <scheme val="minor"/>
      </rPr>
      <t xml:space="preserve"> under a roof with a ceiling height of at least 15ft.</t>
    </r>
    <r>
      <rPr>
        <vertAlign val="superscript"/>
        <sz val="10"/>
        <color theme="1"/>
        <rFont val="Calibri"/>
        <family val="2"/>
        <scheme val="minor"/>
      </rPr>
      <t>1</t>
    </r>
  </si>
  <si>
    <t>Addition of conditioned space</t>
  </si>
  <si>
    <t>Alteration of conditioned space</t>
  </si>
  <si>
    <r>
      <t xml:space="preserve">   </t>
    </r>
    <r>
      <rPr>
        <sz val="10"/>
        <rFont val="Wingdings"/>
        <charset val="2"/>
      </rPr>
      <t>¨</t>
    </r>
    <r>
      <rPr>
        <sz val="10"/>
        <rFont val="Calibri"/>
        <family val="2"/>
      </rPr>
      <t xml:space="preserve">  Roof Assembly</t>
    </r>
  </si>
  <si>
    <r>
      <t xml:space="preserve">   </t>
    </r>
    <r>
      <rPr>
        <sz val="10"/>
        <rFont val="Wingdings"/>
        <charset val="2"/>
      </rPr>
      <t>¨</t>
    </r>
    <r>
      <rPr>
        <sz val="10"/>
        <rFont val="Calibri"/>
        <family val="2"/>
      </rPr>
      <t xml:space="preserve">  Roof </t>
    </r>
  </si>
  <si>
    <r>
      <t>Daylighting Spaces &gt; 5,000ft</t>
    </r>
    <r>
      <rPr>
        <b/>
        <vertAlign val="superscript"/>
        <sz val="11"/>
        <rFont val="Calibri"/>
        <family val="2"/>
      </rPr>
      <t>2</t>
    </r>
  </si>
  <si>
    <t>Other per JA4.1.2.1</t>
  </si>
  <si>
    <t>JA4 Tables (default)</t>
  </si>
  <si>
    <t>To Be Determined</t>
  </si>
  <si>
    <r>
      <t>Indicate wall types included in the project:</t>
    </r>
    <r>
      <rPr>
        <vertAlign val="superscript"/>
        <sz val="11"/>
        <color theme="1"/>
        <rFont val="Calibri"/>
        <family val="2"/>
        <scheme val="minor"/>
      </rPr>
      <t>1</t>
    </r>
  </si>
  <si>
    <t>Add Space</t>
  </si>
  <si>
    <t>One or more enclosed spaces &gt; 5,000 ft² directly under roof with ceiling height &gt; 15ft and lighting system installed for the first time</t>
  </si>
  <si>
    <t>(See Table L)</t>
  </si>
  <si>
    <t>Status</t>
  </si>
  <si>
    <t>Framed Roof Assemblies</t>
  </si>
  <si>
    <t>Structural Insulated Panels (SIPs) Roof/Ceiling Assemblies</t>
  </si>
  <si>
    <t>Span Deck &amp; Concrete Roof Assemblies</t>
  </si>
  <si>
    <t>Metal Panel Assemblies</t>
  </si>
  <si>
    <t>Metal Building Roof Assemblies</t>
  </si>
  <si>
    <t>Exception to Roof Insulation Requirements in §141.0(b)2Biii (Alts. Only)</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</si>
  <si>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</si>
  <si>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r>
      <t>Include Framed Roof Assemblies in Area-Weighted Average U-factor Calculation</t>
    </r>
    <r>
      <rPr>
        <b/>
        <vertAlign val="superscript"/>
        <sz val="11"/>
        <rFont val="Calibri"/>
        <family val="2"/>
        <scheme val="minor"/>
      </rPr>
      <t>1</t>
    </r>
  </si>
  <si>
    <t>From 02 above</t>
  </si>
  <si>
    <t>Status dropdown</t>
  </si>
  <si>
    <t>None of these exceptions apply</t>
  </si>
  <si>
    <t>Occupancy Type dropdown</t>
  </si>
  <si>
    <t>Frame Space &amp; Depth dropdown</t>
  </si>
  <si>
    <t>Roof Type &amp; Frame</t>
  </si>
  <si>
    <t>How Ufactor Determined</t>
  </si>
  <si>
    <t>Perf. Unit Dropdown</t>
  </si>
  <si>
    <r>
      <t>Include SIPs Roof assemblies in Area-Weighted Average U-factor Calculation</t>
    </r>
    <r>
      <rPr>
        <b/>
        <vertAlign val="superscript"/>
        <sz val="1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</si>
  <si>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</si>
  <si>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t>Thermal Perf Unit</t>
  </si>
  <si>
    <t>CI Per Design</t>
  </si>
  <si>
    <t>Panel Thickness</t>
  </si>
  <si>
    <t>Framing Connect. Type</t>
  </si>
  <si>
    <r>
      <t>Include Span Deck &amp; Concrete Roof assemblies in Area-Weighted Average U-factor Calculation</t>
    </r>
    <r>
      <rPr>
        <b/>
        <vertAlign val="superscript"/>
        <sz val="11"/>
        <rFont val="Calibri"/>
        <family val="2"/>
        <scheme val="minor"/>
      </rPr>
      <t>1</t>
    </r>
  </si>
  <si>
    <t>Conc. Topping Thickness</t>
  </si>
  <si>
    <t>CI per Design</t>
  </si>
  <si>
    <r>
      <t>Include Metal Panel Roof assemblies in Area-Weighted Average U-factor Calculation</t>
    </r>
    <r>
      <rPr>
        <b/>
        <vertAlign val="superscript"/>
        <sz val="11"/>
        <rFont val="Calibri"/>
        <family val="2"/>
        <scheme val="minor"/>
      </rPr>
      <t>1</t>
    </r>
  </si>
  <si>
    <r>
      <t>Calculate Area-Weighted Average U-factor for Metal Building Roof</t>
    </r>
    <r>
      <rPr>
        <b/>
        <vertAlign val="superscript"/>
        <sz val="11"/>
        <rFont val="Calibri"/>
        <family val="2"/>
        <scheme val="minor"/>
      </rPr>
      <t>1</t>
    </r>
  </si>
  <si>
    <t>Cont. Insulation per Design</t>
  </si>
  <si>
    <t>Status Dropdown</t>
  </si>
  <si>
    <r>
      <rPr>
        <i/>
        <vertAlign val="superscript"/>
        <sz val="10"/>
        <color theme="1"/>
        <rFont val="Calibri"/>
        <family val="2"/>
        <scheme val="minor"/>
      </rPr>
      <t xml:space="preserve">1 </t>
    </r>
    <r>
      <rPr>
        <i/>
        <sz val="10"/>
        <color theme="1"/>
        <rFont val="Calibri"/>
        <family val="2"/>
        <scheme val="minor"/>
      </rPr>
      <t>FOOTNOTE: Wall types indicated above as "(new only)" do not have Title 24, Part 6 requirements for alterations.  New construction and additions do have requirements and should be clicked above and compliance demonstrated within this table.</t>
    </r>
  </si>
  <si>
    <r>
      <t>Indicate floor types included in the project:</t>
    </r>
    <r>
      <rPr>
        <vertAlign val="superscript"/>
        <sz val="11"/>
        <color theme="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</si>
  <si>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Floor types indicated above as "(new only)" do not have Title 24, Part 6 requirements for alterations.  New construction and additions do have requirements and should be clicked above and compliance demonstrated within this table.</t>
    </r>
  </si>
  <si>
    <t>per Software/ Other</t>
  </si>
  <si>
    <t>U-factor Per Design</t>
  </si>
  <si>
    <t>per Software/Other</t>
  </si>
  <si>
    <t>Occupancy &amp; Status</t>
  </si>
  <si>
    <t>Nonresidential/ Relocatable 1 CZ: New</t>
  </si>
  <si>
    <t>Relocatable all CZ: New</t>
  </si>
  <si>
    <t>Any Occupancy: Altered</t>
  </si>
  <si>
    <t>Maximum U-factor Allowed</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</si>
  <si>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Straw bale walls are combined with wood framed, spandrel &amp; curtain, metal panel and SIPs wall types. The area-weighted compliance option is not available for alterations demonstrating compliance with R-values in </t>
    </r>
    <r>
      <rPr>
        <i/>
        <sz val="10"/>
        <color rgb="FF0070C0"/>
        <rFont val="Calibri"/>
        <family val="2"/>
        <scheme val="minor"/>
      </rPr>
      <t>§141.0(b)1B3</t>
    </r>
    <r>
      <rPr>
        <i/>
        <sz val="10"/>
        <color theme="1"/>
        <rFont val="Calibri"/>
        <family val="2"/>
        <scheme val="minor"/>
      </rPr>
      <t>.</t>
    </r>
  </si>
  <si>
    <r>
      <rPr>
        <i/>
        <vertAlign val="superscript"/>
        <sz val="10"/>
        <color theme="1"/>
        <rFont val="Calibri"/>
        <family val="2"/>
        <scheme val="minor"/>
      </rPr>
      <t>2</t>
    </r>
    <r>
      <rPr>
        <i/>
        <sz val="10"/>
        <color theme="1"/>
        <rFont val="Calibri"/>
        <family val="2"/>
        <scheme val="minor"/>
      </rPr>
      <t xml:space="preserve"> If "R-value" is shown in cell 07 as the Thermal Performance Unit, the R-value shown here is for  cavity insulation per §141.0(b)1B3.</t>
    </r>
  </si>
  <si>
    <t>Maximum Allowed U-factor</t>
  </si>
  <si>
    <t>Ben, pulls in Subtable Name (ie "SIPs Floor") for any subtable with column 01 checked</t>
  </si>
  <si>
    <r>
      <t xml:space="preserve"> </t>
    </r>
    <r>
      <rPr>
        <sz val="11"/>
        <color theme="1"/>
        <rFont val="Wingdings"/>
        <charset val="2"/>
      </rPr>
      <t>¨</t>
    </r>
    <r>
      <rPr>
        <sz val="11"/>
        <color theme="1"/>
        <rFont val="Calibri"/>
        <family val="2"/>
      </rPr>
      <t xml:space="preserve"> Glazed Doors (new only)</t>
    </r>
  </si>
  <si>
    <r>
      <rPr>
        <i/>
        <vertAlign val="superscript"/>
        <sz val="10"/>
        <color theme="1"/>
        <rFont val="Calibri"/>
        <family val="2"/>
        <scheme val="minor"/>
      </rPr>
      <t>1</t>
    </r>
    <r>
      <rPr>
        <i/>
        <sz val="10"/>
        <color theme="1"/>
        <rFont val="Calibri"/>
        <family val="2"/>
        <scheme val="minor"/>
      </rPr>
      <t xml:space="preserve"> FOOTNOTE: Fenestration types indicated above as "(new only)" do not have Title 24, Part 6 requirements for alterations.  New construction and additions do have requirements and should be clicked above and compliance demonstrated within this table.</t>
    </r>
  </si>
  <si>
    <r>
      <rPr>
        <sz val="11"/>
        <color theme="1"/>
        <rFont val="Wingdings"/>
        <charset val="2"/>
      </rPr>
      <t>¨</t>
    </r>
    <r>
      <rPr>
        <sz val="11"/>
        <color theme="1"/>
        <rFont val="Calibri"/>
        <family val="2"/>
      </rPr>
      <t xml:space="preserve"> Vertical (new)</t>
    </r>
  </si>
  <si>
    <r>
      <rPr>
        <sz val="11"/>
        <color theme="1"/>
        <rFont val="Wingdings"/>
        <charset val="2"/>
      </rPr>
      <t>¨</t>
    </r>
    <r>
      <rPr>
        <sz val="11"/>
        <color theme="1"/>
        <rFont val="Calibri"/>
        <family val="2"/>
      </rPr>
      <t xml:space="preserve"> Vertical (alteration)</t>
    </r>
  </si>
  <si>
    <t>33</t>
  </si>
  <si>
    <t>equals sum of column 13 for all areas which select "NA6" in column 09.</t>
  </si>
  <si>
    <r>
      <t>Nonresidential/ Relocatable 1 CZ: Alt. (Add/Replacement &gt; 50ft</t>
    </r>
    <r>
      <rPr>
        <vertAlign val="superscript"/>
        <sz val="9"/>
        <color theme="1"/>
        <rFont val="Calibri"/>
        <family val="2"/>
        <scheme val="minor"/>
      </rPr>
      <t>2)</t>
    </r>
  </si>
  <si>
    <r>
      <t>Relocatable all CZ: Alt. (Add/Replacement &gt; 50ft</t>
    </r>
    <r>
      <rPr>
        <vertAlign val="superscript"/>
        <sz val="9"/>
        <color theme="1"/>
        <rFont val="Calibri"/>
        <family val="2"/>
        <scheme val="minor"/>
      </rPr>
      <t>2)</t>
    </r>
  </si>
  <si>
    <t>equals sum of column 11 for all areas which select "NA6" in column 07.</t>
  </si>
  <si>
    <t>13 dropdown</t>
  </si>
  <si>
    <t>06 Dropdown</t>
  </si>
  <si>
    <t xml:space="preserve">Area-Weighted Average U-factor, SHGC, VT Compliance Calculation for Vertical Fenestration and Glazed Doors </t>
  </si>
  <si>
    <r>
      <t>Ben, sum of "Area (ft</t>
    </r>
    <r>
      <rPr>
        <i/>
        <vertAlign val="superscript"/>
        <sz val="9"/>
        <color rgb="FFFF0000"/>
        <rFont val="Calibri"/>
        <family val="2"/>
        <scheme val="minor"/>
      </rPr>
      <t>2</t>
    </r>
    <r>
      <rPr>
        <i/>
        <sz val="9"/>
        <color rgb="FFFF0000"/>
        <rFont val="Calibri"/>
        <family val="2"/>
        <scheme val="minor"/>
      </rPr>
      <t>)" column for the subtables</t>
    </r>
  </si>
  <si>
    <t>= (sum (required performance x area))/ total area of fenestration</t>
  </si>
  <si>
    <t>= (sum (U-factor per Design x area))/ total area of fenestration</t>
  </si>
  <si>
    <t>= (sum (RSHGC per Design x area))/ total area of fenestration</t>
  </si>
  <si>
    <t>= (sum (VT per Design x area))/ total area of fenestration</t>
  </si>
  <si>
    <r>
      <t>Orientation (Azimuth)</t>
    </r>
    <r>
      <rPr>
        <vertAlign val="superscript"/>
        <sz val="11"/>
        <color rgb="FF000000"/>
        <rFont val="Calibri"/>
        <family val="2"/>
      </rPr>
      <t>1</t>
    </r>
  </si>
  <si>
    <r>
      <t>Gross Exterior Wall Area</t>
    </r>
    <r>
      <rPr>
        <b/>
        <vertAlign val="superscript"/>
        <sz val="9"/>
        <rFont val="Calibri"/>
        <family val="2"/>
      </rPr>
      <t>2</t>
    </r>
    <r>
      <rPr>
        <b/>
        <sz val="9"/>
        <rFont val="Calibri"/>
        <family val="2"/>
      </rPr>
      <t xml:space="preserve">
(ft²)</t>
    </r>
  </si>
  <si>
    <r>
      <t>Display Perimeter Length</t>
    </r>
    <r>
      <rPr>
        <b/>
        <vertAlign val="superscript"/>
        <sz val="9"/>
        <rFont val="Calibri"/>
        <family val="2"/>
      </rPr>
      <t>2</t>
    </r>
    <r>
      <rPr>
        <b/>
        <sz val="9"/>
        <rFont val="Calibri"/>
        <family val="2"/>
      </rPr>
      <t xml:space="preserve">
(ft)</t>
    </r>
  </si>
  <si>
    <t>Add Elevation</t>
  </si>
  <si>
    <r>
      <t>Total Vertical Fenestration (ft</t>
    </r>
    <r>
      <rPr>
        <b/>
        <vertAlign val="superscript"/>
        <sz val="9"/>
        <color rgb="FF000000"/>
        <rFont val="Calibri"/>
        <family val="2"/>
      </rPr>
      <t>2</t>
    </r>
    <r>
      <rPr>
        <b/>
        <sz val="9"/>
        <color rgb="FF000000"/>
        <rFont val="Calibri"/>
        <family val="2"/>
      </rPr>
      <t>) per Design- All Orientations</t>
    </r>
  </si>
  <si>
    <r>
      <t>Maximum Allowed Vertical Fenestration (ft</t>
    </r>
    <r>
      <rPr>
        <b/>
        <vertAlign val="superscript"/>
        <sz val="9"/>
        <color rgb="FF000000"/>
        <rFont val="Calibri"/>
        <family val="2"/>
      </rPr>
      <t>2</t>
    </r>
    <r>
      <rPr>
        <b/>
        <sz val="9"/>
        <color rgb="FF000000"/>
        <rFont val="Calibri"/>
        <family val="2"/>
      </rPr>
      <t>)- 
All Orientations</t>
    </r>
  </si>
  <si>
    <r>
      <t>Maximum Allowed Vertical Fenestration (ft</t>
    </r>
    <r>
      <rPr>
        <b/>
        <vertAlign val="superscript"/>
        <sz val="9"/>
        <color rgb="FF000000"/>
        <rFont val="Calibri"/>
        <family val="2"/>
      </rPr>
      <t>2</t>
    </r>
    <r>
      <rPr>
        <b/>
        <sz val="9"/>
        <color rgb="FF000000"/>
        <rFont val="Calibri"/>
        <family val="2"/>
      </rPr>
      <t>)- 
West Facing</t>
    </r>
  </si>
  <si>
    <r>
      <t>Total Vertical Fenestration (ft</t>
    </r>
    <r>
      <rPr>
        <b/>
        <vertAlign val="superscript"/>
        <sz val="9"/>
        <color rgb="FF000000"/>
        <rFont val="Calibri"/>
        <family val="2"/>
      </rPr>
      <t>2</t>
    </r>
    <r>
      <rPr>
        <b/>
        <sz val="9"/>
        <color rgb="FF000000"/>
        <rFont val="Calibri"/>
        <family val="2"/>
      </rPr>
      <t>) per Design- West Facing</t>
    </r>
  </si>
  <si>
    <t>Elevation Item Tag/ Description</t>
  </si>
  <si>
    <t>Nonresidential Compliance Manual</t>
  </si>
  <si>
    <t>Fenestration in Demising Wall</t>
  </si>
  <si>
    <t>Tubular Daylight Devices</t>
  </si>
  <si>
    <r>
      <rPr>
        <i/>
        <vertAlign val="superscript"/>
        <sz val="10"/>
        <rFont val="Calibri"/>
        <family val="2"/>
        <scheme val="minor"/>
      </rPr>
      <t>1</t>
    </r>
    <r>
      <rPr>
        <i/>
        <sz val="10"/>
        <rFont val="Calibri"/>
        <family val="2"/>
        <scheme val="minor"/>
      </rPr>
      <t xml:space="preserve"> FOOTNOTE: If Solar Reflectance (Initial) is indicated in column 07, enter the Initial Reflectance here and the form will convert it to a "Calculated Aged Solar Reflectance" when determining compliance.</t>
    </r>
  </si>
  <si>
    <t>R-5 c.i.</t>
  </si>
  <si>
    <t>Table K indictes that overhangs are being used to adjust vertical fenestration SHGC to RSHGC.  Overhang details are included in Table K for the fenestration assembly being adjusted.</t>
  </si>
  <si>
    <t>Table H indicates an area-weighted average is being used for one or more wall assemblies to demonstrate compliance.  Area-weighted average tables are included at the bottom of Table H.</t>
  </si>
  <si>
    <t>Table F indicates an area-weighted average is being used for one or more roof assemblies to demonstrate compliance.  Area-weighted average tables are included at the bottom of Table F.</t>
  </si>
  <si>
    <t>Table I indicates an area-weighted average is being used for one or more floor assemblies to demonstrate compliance.  Area-weighted average tables are included at the bottom of Table I.</t>
  </si>
  <si>
    <t>Additional documentation for any assembly complying using "Approved Software" or "Other per JA4.1.2.1" to calculate design thermal performance may be requested by the plans examiner.</t>
  </si>
  <si>
    <t>If any of these area-weighted tables are triggered, the exceptional condition in Table D row 18 should be triggered.</t>
  </si>
  <si>
    <t>If any of these area-weighted tables are triggered, the exceptional condition in Table D row 17 should be triggered.</t>
  </si>
  <si>
    <t>If any of these area-weighted tables are triggered, the exceptional condition in Table D row 19 should be triggered.</t>
  </si>
  <si>
    <r>
      <t>Indicate fenestration types included in the project:</t>
    </r>
    <r>
      <rPr>
        <vertAlign val="superscript"/>
        <sz val="11"/>
        <color theme="1"/>
        <rFont val="Calibri"/>
        <family val="2"/>
        <scheme val="minor"/>
      </rPr>
      <t xml:space="preserve">1 </t>
    </r>
  </si>
  <si>
    <t>Table 110.6-A</t>
  </si>
  <si>
    <t>Table 110.6-B</t>
  </si>
  <si>
    <t>120.7(b)</t>
  </si>
  <si>
    <t xml:space="preserve">141.0(b)1 </t>
  </si>
  <si>
    <t>§140.3</t>
  </si>
  <si>
    <t>Header</t>
  </si>
  <si>
    <t>141.0</t>
  </si>
  <si>
    <t>100.0(f)</t>
  </si>
  <si>
    <t>A</t>
  </si>
  <si>
    <t>140.3(c)</t>
  </si>
  <si>
    <t>B</t>
  </si>
  <si>
    <t>§141.0(b)2</t>
  </si>
  <si>
    <t>F</t>
  </si>
  <si>
    <t>Table 141.0-C</t>
  </si>
  <si>
    <t>§140.3(a)1B &amp; Biii</t>
  </si>
  <si>
    <t>140.3(a)1A</t>
  </si>
  <si>
    <t>G</t>
  </si>
  <si>
    <t>140.3(a)2</t>
  </si>
  <si>
    <t>140.3(a)3</t>
  </si>
  <si>
    <t>Header ,B</t>
  </si>
  <si>
    <t>141.0(b)1B</t>
  </si>
  <si>
    <t>H</t>
  </si>
  <si>
    <t>Header, H</t>
  </si>
  <si>
    <t>F, H</t>
  </si>
  <si>
    <t>JA4 Table 4.3.5</t>
  </si>
  <si>
    <t>JA4 Table 4.3.6</t>
  </si>
  <si>
    <t>141.0(b)1B3</t>
  </si>
  <si>
    <t>141.0(b)1B4</t>
  </si>
  <si>
    <t>141.0(b)1B1</t>
  </si>
  <si>
    <t>JA4 Table 4.3.13</t>
  </si>
  <si>
    <t>F, H, I</t>
  </si>
  <si>
    <t>140.3(a)4</t>
  </si>
  <si>
    <t>141.0(b)1C</t>
  </si>
  <si>
    <t>141.0(b)1C1</t>
  </si>
  <si>
    <t>141.0(b)1C2</t>
  </si>
  <si>
    <t>I</t>
  </si>
  <si>
    <t>140.3(a)7</t>
  </si>
  <si>
    <t>J</t>
  </si>
  <si>
    <t>K</t>
  </si>
  <si>
    <t>140.3(a)5</t>
  </si>
  <si>
    <t>141.0(b)2A</t>
  </si>
  <si>
    <t>Header, B, H, K</t>
  </si>
  <si>
    <t>A, L</t>
  </si>
  <si>
    <t>L</t>
  </si>
  <si>
    <t>140.3(c)1 &amp; 4</t>
  </si>
  <si>
    <t xml:space="preserve">10-103(a)4 </t>
  </si>
  <si>
    <t>NA7.3.1</t>
  </si>
  <si>
    <t>N</t>
  </si>
  <si>
    <t>Gray out and NA any of these cells where table is not triggered. &gt;&gt;&gt;</t>
  </si>
  <si>
    <t>Yes or No</t>
  </si>
  <si>
    <r>
      <t>NA: &lt;= 50% roof area &amp; &lt; 2,000ft</t>
    </r>
    <r>
      <rPr>
        <vertAlign val="superscript"/>
        <sz val="10"/>
        <color rgb="FF000000"/>
        <rFont val="Calibri"/>
        <family val="2"/>
        <scheme val="minor"/>
      </rPr>
      <t>2</t>
    </r>
    <r>
      <rPr>
        <sz val="10"/>
        <color rgb="FF000000"/>
        <rFont val="Calibri"/>
        <family val="2"/>
        <scheme val="minor"/>
      </rPr>
      <t xml:space="preserve"> altered</t>
    </r>
  </si>
  <si>
    <t>NA: Weight &gt;= 25lb/ft²  over membrane</t>
  </si>
  <si>
    <t>NA: Wood Frame Roof U &lt;= 0.034</t>
  </si>
  <si>
    <t>Wood doors &gt;= 1 3/4"</t>
  </si>
  <si>
    <r>
      <t>Nonresidential/ Relocatable 1 CZ: Alt. (Add/Replacement &lt;= 50ft</t>
    </r>
    <r>
      <rPr>
        <vertAlign val="superscript"/>
        <sz val="9"/>
        <color theme="1"/>
        <rFont val="Calibri"/>
        <family val="2"/>
        <scheme val="minor"/>
      </rPr>
      <t>2)</t>
    </r>
  </si>
  <si>
    <r>
      <t xml:space="preserve">NRCA-ENV-03-F - Daylighting design indoor lighting power adjustment factors (PAF).
</t>
    </r>
    <r>
      <rPr>
        <i/>
        <sz val="10"/>
        <color theme="1"/>
        <rFont val="Calibri"/>
        <family val="2"/>
        <scheme val="minor"/>
      </rPr>
      <t>Note: The requirement for this NRCA is indicated on the NRCC-LTI (prescriptive) or NRCC-PRF (performance) because it is only relevant if a PAF is used for clerestories, daylight redirection devices or horizontal slats.</t>
    </r>
  </si>
  <si>
    <r>
      <t>Net Area</t>
    </r>
    <r>
      <rPr>
        <b/>
        <vertAlign val="superscript"/>
        <sz val="9"/>
        <color theme="1"/>
        <rFont val="Calibri"/>
        <family val="2"/>
        <scheme val="minor"/>
      </rPr>
      <t>3</t>
    </r>
    <r>
      <rPr>
        <b/>
        <sz val="9"/>
        <color theme="1"/>
        <rFont val="Calibri"/>
        <family val="2"/>
        <scheme val="minor"/>
      </rPr>
      <t xml:space="preserve">
(ft</t>
    </r>
    <r>
      <rPr>
        <b/>
        <vertAlign val="superscript"/>
        <sz val="9"/>
        <color theme="1"/>
        <rFont val="Calibri"/>
        <family val="2"/>
        <scheme val="minor"/>
      </rPr>
      <t>2</t>
    </r>
    <r>
      <rPr>
        <b/>
        <sz val="9"/>
        <color theme="1"/>
        <rFont val="Calibri"/>
        <family val="2"/>
        <scheme val="minor"/>
      </rPr>
      <t>)</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</si>
  <si>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
    </r>
    <r>
      <rPr>
        <i/>
        <sz val="10"/>
        <color rgb="FF0070C0"/>
        <rFont val="Calibri"/>
        <family val="2"/>
        <scheme val="minor"/>
      </rPr>
      <t>Table 141.0-C</t>
    </r>
    <r>
      <rPr>
        <i/>
        <sz val="10"/>
        <color theme="1"/>
        <rFont val="Calibri"/>
        <family val="2"/>
        <scheme val="minor"/>
      </rPr>
      <t>.</t>
    </r>
  </si>
  <si>
    <r>
      <t>Net Area</t>
    </r>
    <r>
      <rPr>
        <b/>
        <vertAlign val="superscript"/>
        <sz val="9"/>
        <color theme="1"/>
        <rFont val="Calibri"/>
        <family val="2"/>
        <scheme val="minor"/>
      </rPr>
      <t>2</t>
    </r>
    <r>
      <rPr>
        <b/>
        <sz val="9"/>
        <color theme="1"/>
        <rFont val="Calibri"/>
        <family val="2"/>
        <scheme val="minor"/>
      </rPr>
      <t xml:space="preserve">
(ft</t>
    </r>
    <r>
      <rPr>
        <b/>
        <vertAlign val="superscript"/>
        <sz val="9"/>
        <color theme="1"/>
        <rFont val="Calibri"/>
        <family val="2"/>
        <scheme val="minor"/>
      </rPr>
      <t>2</t>
    </r>
    <r>
      <rPr>
        <b/>
        <sz val="9"/>
        <color theme="1"/>
        <rFont val="Calibri"/>
        <family val="2"/>
        <scheme val="minor"/>
      </rPr>
      <t>)</t>
    </r>
  </si>
  <si>
    <r>
      <rPr>
        <i/>
        <vertAlign val="superscript"/>
        <sz val="10"/>
        <color theme="1"/>
        <rFont val="Calibri"/>
        <family val="2"/>
        <scheme val="minor"/>
      </rPr>
      <t>2</t>
    </r>
    <r>
      <rPr>
        <i/>
        <sz val="10"/>
        <color theme="1"/>
        <rFont val="Calibri"/>
        <family val="2"/>
        <scheme val="minor"/>
      </rPr>
      <t xml:space="preserve"> Roof area minus any fenestration/ skylight area</t>
    </r>
  </si>
  <si>
    <r>
      <rPr>
        <i/>
        <vertAlign val="superscript"/>
        <sz val="10"/>
        <color theme="1"/>
        <rFont val="Calibri"/>
        <family val="2"/>
        <scheme val="minor"/>
      </rPr>
      <t>3</t>
    </r>
    <r>
      <rPr>
        <i/>
        <sz val="10"/>
        <color theme="1"/>
        <rFont val="Calibri"/>
        <family val="2"/>
        <scheme val="minor"/>
      </rPr>
      <t xml:space="preserve"> Wall area minus any fenestration area</t>
    </r>
  </si>
  <si>
    <r>
      <rPr>
        <i/>
        <vertAlign val="superscript"/>
        <sz val="10"/>
        <color theme="1"/>
        <rFont val="Calibri"/>
        <family val="2"/>
        <scheme val="minor"/>
      </rPr>
      <t>2</t>
    </r>
    <r>
      <rPr>
        <i/>
        <sz val="10"/>
        <color theme="1"/>
        <rFont val="Calibri"/>
        <family val="2"/>
        <scheme val="minor"/>
      </rPr>
      <t xml:space="preserve"> Wall area minus any fenestration area</t>
    </r>
  </si>
  <si>
    <t xml:space="preserve">Log Diameter </t>
  </si>
  <si>
    <t>Concrete Core Thickness</t>
  </si>
  <si>
    <t>Insulation Thickness</t>
  </si>
  <si>
    <t>Roof A</t>
  </si>
  <si>
    <t>Roof B</t>
  </si>
  <si>
    <t>Roof C</t>
  </si>
  <si>
    <t>SIPS</t>
  </si>
  <si>
    <t>Concrete</t>
  </si>
  <si>
    <t>Area</t>
  </si>
  <si>
    <t>Required U-factor</t>
  </si>
  <si>
    <t>Designed U-factor</t>
  </si>
  <si>
    <t>Example Area Weighted Avg calc for totals</t>
  </si>
  <si>
    <t>Area (ft2)</t>
  </si>
  <si>
    <r>
      <t xml:space="preserve"> </t>
    </r>
    <r>
      <rPr>
        <sz val="11"/>
        <color theme="1"/>
        <rFont val="Wingdings"/>
        <charset val="2"/>
      </rPr>
      <t>¨</t>
    </r>
    <r>
      <rPr>
        <sz val="11"/>
        <color theme="1"/>
        <rFont val="Calibri"/>
        <family val="2"/>
      </rPr>
      <t xml:space="preserve"> Heated Slab-on-grade (new only)</t>
    </r>
  </si>
  <si>
    <t>Heated Slab-on-Grade Floors (new floors only)</t>
  </si>
  <si>
    <t>Outside edge</t>
  </si>
  <si>
    <t>Insulation Orientation</t>
  </si>
  <si>
    <t>Min. R-value required</t>
  </si>
  <si>
    <t>R-</t>
  </si>
  <si>
    <t>R-value per Design</t>
  </si>
  <si>
    <t>Between slab &amp; outside foundation wall</t>
  </si>
  <si>
    <t>Insulation Materials &amp; Install</t>
  </si>
  <si>
    <t>Materials &amp; install requirements meeting §110.8(g) have been included in the construction documents.</t>
  </si>
  <si>
    <t>Location in Construction Documents</t>
  </si>
  <si>
    <t>110.8(g)</t>
  </si>
  <si>
    <r>
      <t>Vertical Fenestration Area per Design</t>
    </r>
    <r>
      <rPr>
        <b/>
        <vertAlign val="superscript"/>
        <sz val="9"/>
        <color theme="1"/>
        <rFont val="Calibri"/>
        <family val="2"/>
        <scheme val="minor"/>
      </rPr>
      <t xml:space="preserve">3 </t>
    </r>
    <r>
      <rPr>
        <b/>
        <sz val="9"/>
        <color theme="1"/>
        <rFont val="Calibri"/>
        <family val="2"/>
        <scheme val="minor"/>
      </rPr>
      <t xml:space="preserve">
(ft²)</t>
    </r>
  </si>
  <si>
    <t>Vertical Fenestration and Glazed Doors- Total Building &amp; West Facing Area (New Construction &amp; Additions Only)</t>
  </si>
  <si>
    <r>
      <rPr>
        <i/>
        <vertAlign val="superscript"/>
        <sz val="9"/>
        <rFont val="Calibri"/>
        <family val="2"/>
        <scheme val="minor"/>
      </rPr>
      <t>3</t>
    </r>
    <r>
      <rPr>
        <i/>
        <sz val="9"/>
        <rFont val="Calibri"/>
        <family val="2"/>
        <scheme val="minor"/>
      </rPr>
      <t xml:space="preserve"> Includes glazed door fenestration area.</t>
    </r>
  </si>
  <si>
    <r>
      <t>Is the Window Projecting?</t>
    </r>
    <r>
      <rPr>
        <b/>
        <vertAlign val="superscript"/>
        <sz val="9"/>
        <rFont val="Calibri"/>
        <family val="2"/>
      </rPr>
      <t>4</t>
    </r>
  </si>
  <si>
    <t>141.0(b)2B</t>
  </si>
  <si>
    <t>Type</t>
  </si>
  <si>
    <t>Finish</t>
  </si>
  <si>
    <t>Spandrel: Aluminum, no thermal break</t>
  </si>
  <si>
    <t>Spandrel: Aluminum, with thermal break</t>
  </si>
  <si>
    <t>Spandrel: Structural Glazing</t>
  </si>
  <si>
    <t>Spandrel: No framing/Continuous insulation</t>
  </si>
  <si>
    <t>CW: Aluminum, no thermal break</t>
  </si>
  <si>
    <t>CW: Aluminum, with thermal break</t>
  </si>
  <si>
    <t>CW: Structural Glazing</t>
  </si>
  <si>
    <t>CW: No framing/Continuous insulation</t>
  </si>
  <si>
    <t>dropdown</t>
  </si>
  <si>
    <t>Ufactor Assembly Dropdown</t>
  </si>
  <si>
    <t>&lt;=0.031</t>
  </si>
  <si>
    <t>0.0311-0.033</t>
  </si>
  <si>
    <t>0.0331-0.035</t>
  </si>
  <si>
    <t>0.0351-0.038</t>
  </si>
  <si>
    <t>&lt;=0.037</t>
  </si>
  <si>
    <t>0.0371-0.039</t>
  </si>
  <si>
    <t>0.0391-0.042</t>
  </si>
  <si>
    <t>0.0421-0.045</t>
  </si>
  <si>
    <t>&lt;=0.028</t>
  </si>
  <si>
    <t>0.0281-0.029</t>
  </si>
  <si>
    <t>0.0291-0.030</t>
  </si>
  <si>
    <t>0.0301-0.032</t>
  </si>
  <si>
    <t>resulting SR for column 08</t>
  </si>
  <si>
    <t>Panel Thickness (Steel Framing)</t>
  </si>
  <si>
    <t>Standing Seam-1 Layer of insulation</t>
  </si>
  <si>
    <t>Standing Seam-2 Layers of insulation</t>
  </si>
  <si>
    <t>(Waffle col 05)</t>
  </si>
  <si>
    <t>(Screen col 05)</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</si>
  <si>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Concrete sandwich panels are combined with mass, log &amp; ICF wall types.  Concrete Sandwich Panel walls must meet mandatory insulation requirements in §120.7(b), but may area-weight to comply with prescriptive requirements in Table 140.3 for new construction.</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</si>
  <si>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Log walls are combined with concrete sandwich panel, mass &amp; ICF wall types.  Log Home walls must meet mandatory insulation requirements in </t>
    </r>
    <r>
      <rPr>
        <i/>
        <sz val="10"/>
        <color rgb="FF0070C0"/>
        <rFont val="Calibri"/>
        <family val="2"/>
        <scheme val="minor"/>
      </rPr>
      <t>§120.7(b)</t>
    </r>
    <r>
      <rPr>
        <i/>
        <sz val="10"/>
        <color theme="1"/>
        <rFont val="Calibri"/>
        <family val="2"/>
        <scheme val="minor"/>
      </rPr>
      <t xml:space="preserve">, but may area-weight to comply with prescriptive requirements in </t>
    </r>
    <r>
      <rPr>
        <i/>
        <sz val="10"/>
        <color rgb="FF0070C0"/>
        <rFont val="Calibri"/>
        <family val="2"/>
        <scheme val="minor"/>
      </rPr>
      <t>Table 140.3</t>
    </r>
    <r>
      <rPr>
        <i/>
        <sz val="10"/>
        <color theme="1"/>
        <rFont val="Calibri"/>
        <family val="2"/>
        <scheme val="minor"/>
      </rPr>
      <t xml:space="preserve"> for new construction.</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</si>
  <si>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ICF walls are combined with concrete sandwich panel, log &amp; mass wall types.  ICF walls must meet mandatory insulation requirements in §120.7(b), but may area-weight to comply with prescriptive requirements in Table 140.3 for new construction.</t>
    </r>
  </si>
  <si>
    <t>Umass</t>
  </si>
  <si>
    <t>Rinside</t>
  </si>
  <si>
    <t>Utotal</t>
  </si>
  <si>
    <t>Routside</t>
  </si>
  <si>
    <t>Veneer, Metal, Concrete Panel</t>
  </si>
  <si>
    <t>Equation 140.3-B (new only)</t>
  </si>
  <si>
    <t>Bulding has Atria &gt; 55ft?</t>
  </si>
  <si>
    <t>UT</t>
  </si>
  <si>
    <t>C1</t>
  </si>
  <si>
    <t>C2</t>
  </si>
  <si>
    <t>Uc</t>
  </si>
  <si>
    <t>SHGCt</t>
  </si>
  <si>
    <t>SHGCc</t>
  </si>
  <si>
    <t>VTF</t>
  </si>
  <si>
    <t>VTC</t>
  </si>
  <si>
    <t>JA4 Table 4.3.4</t>
  </si>
  <si>
    <r>
      <rPr>
        <i/>
        <vertAlign val="superscript"/>
        <sz val="10"/>
        <color theme="1"/>
        <rFont val="Calibri"/>
        <family val="2"/>
        <scheme val="minor"/>
      </rPr>
      <t>1</t>
    </r>
    <r>
      <rPr>
        <i/>
        <sz val="10"/>
        <color theme="1"/>
        <rFont val="Calibri"/>
        <family val="2"/>
        <scheme val="minor"/>
      </rPr>
      <t xml:space="preserve"> FOOTNOTE:  Doors that are more than 25% glass in area are considered Glazed Doors and should be documented on Table K with fenestration.</t>
    </r>
  </si>
  <si>
    <r>
      <rPr>
        <sz val="10"/>
        <rFont val="Wingdings"/>
        <charset val="2"/>
      </rPr>
      <t xml:space="preserve"> ¨</t>
    </r>
    <r>
      <rPr>
        <sz val="10"/>
        <rFont val="Calibri"/>
        <family val="2"/>
      </rPr>
      <t xml:space="preserve">  Fenestration</t>
    </r>
  </si>
  <si>
    <t>System to be Field Verified</t>
  </si>
  <si>
    <t>Vertical Fenestration and Glazed Doors- U-factor, Solar Heat Gain Coefficient (RSHGC/SHGC), Visible Transmittance (VT)</t>
  </si>
  <si>
    <r>
      <t>Calculate Area-Weighted Average U-factor for Vertical Fenestration and Glazed Doors</t>
    </r>
    <r>
      <rPr>
        <b/>
        <vertAlign val="superscript"/>
        <sz val="11"/>
        <rFont val="Calibri"/>
        <family val="2"/>
        <scheme val="minor"/>
      </rPr>
      <t>1</t>
    </r>
  </si>
  <si>
    <r>
      <t>Calculate Area-Weighted Average (R)SHGC for Vertical Fenestration and Glazed Doors</t>
    </r>
    <r>
      <rPr>
        <b/>
        <vertAlign val="superscript"/>
        <sz val="11"/>
        <rFont val="Calibri"/>
        <family val="2"/>
        <scheme val="minor"/>
      </rPr>
      <t>1</t>
    </r>
  </si>
  <si>
    <r>
      <t>Calculate Area-Weighted Average VT for Vertical Fenestration and Glazed Doors</t>
    </r>
    <r>
      <rPr>
        <b/>
        <vertAlign val="superscript"/>
        <sz val="11"/>
        <rFont val="Calibri"/>
        <family val="2"/>
        <scheme val="minor"/>
      </rPr>
      <t>1</t>
    </r>
  </si>
  <si>
    <t>Glazed Door</t>
  </si>
  <si>
    <r>
      <rPr>
        <i/>
        <vertAlign val="superscript"/>
        <sz val="9"/>
        <color theme="1"/>
        <rFont val="Calibri"/>
        <family val="2"/>
        <scheme val="minor"/>
      </rPr>
      <t>1</t>
    </r>
    <r>
      <rPr>
        <i/>
        <sz val="9"/>
        <color theme="1"/>
        <rFont val="Calibri"/>
        <family val="2"/>
        <scheme val="minor"/>
      </rPr>
      <t xml:space="preserve"> FOOTNOTE: If any individual skylight product is non-compliant, products may show compliance using an area-weighted calculation.  Chromogenic glazing is not included in area-weighted calculations. </t>
    </r>
    <r>
      <rPr>
        <i/>
        <sz val="9"/>
        <rFont val="Calibri"/>
        <family val="2"/>
        <scheme val="minor"/>
      </rPr>
      <t>Area-weighted calculations shown in separate area-weighted table below.</t>
    </r>
  </si>
  <si>
    <t>&lt; 2:12 (Low)</t>
  </si>
  <si>
    <t>&gt;= 2:12 (Steep)</t>
  </si>
  <si>
    <t>NA</t>
  </si>
  <si>
    <t>Insulation Type 
(Flat col 05)</t>
  </si>
  <si>
    <r>
      <rPr>
        <i/>
        <vertAlign val="superscript"/>
        <sz val="10"/>
        <color theme="1"/>
        <rFont val="Calibri"/>
        <family val="2"/>
        <scheme val="minor"/>
      </rPr>
      <t>2</t>
    </r>
    <r>
      <rPr>
        <i/>
        <sz val="10"/>
        <color theme="1"/>
        <rFont val="Calibri"/>
        <family val="2"/>
        <scheme val="minor"/>
      </rPr>
      <t xml:space="preserve"> Concrete Sandwich Panel walls are defined as "heavy" since their Heat Capacity is 15 or greater as determined in Table 4.3.7 in Joint Appendix 4.  </t>
    </r>
  </si>
  <si>
    <t>Ulog</t>
  </si>
  <si>
    <t>Ucsp</t>
  </si>
  <si>
    <t>North</t>
  </si>
  <si>
    <t>South</t>
  </si>
  <si>
    <t>V</t>
  </si>
  <si>
    <t>paged</t>
  </si>
  <si>
    <t>pinitial</t>
  </si>
  <si>
    <t>0.65</t>
  </si>
  <si>
    <t>anything else in 06</t>
  </si>
  <si>
    <t>.9</t>
  </si>
  <si>
    <t>field applied coating in 06</t>
  </si>
  <si>
    <t>.8</t>
  </si>
  <si>
    <t>=((H9*K9)/D9)</t>
  </si>
  <si>
    <r>
      <t>Total Area of Space 
(ft</t>
    </r>
    <r>
      <rPr>
        <b/>
        <vertAlign val="superscript"/>
        <sz val="11"/>
        <rFont val="Calibri"/>
        <family val="2"/>
      </rPr>
      <t>2</t>
    </r>
    <r>
      <rPr>
        <b/>
        <sz val="11"/>
        <rFont val="Calibri"/>
        <family val="2"/>
      </rPr>
      <t xml:space="preserve">)                    </t>
    </r>
  </si>
  <si>
    <r>
      <t>Skylit Daylit Zone Area per Design
(ft</t>
    </r>
    <r>
      <rPr>
        <b/>
        <vertAlign val="superscript"/>
        <sz val="11"/>
        <rFont val="Calibri"/>
        <family val="2"/>
      </rPr>
      <t>2</t>
    </r>
    <r>
      <rPr>
        <b/>
        <sz val="11"/>
        <rFont val="Calibri"/>
        <family val="2"/>
      </rPr>
      <t>)</t>
    </r>
  </si>
  <si>
    <r>
      <t>Primary Sidelit Daylit Zone Area per Design</t>
    </r>
    <r>
      <rPr>
        <b/>
        <vertAlign val="superscript"/>
        <sz val="11"/>
        <rFont val="Calibri"/>
        <family val="2"/>
      </rPr>
      <t>1</t>
    </r>
    <r>
      <rPr>
        <b/>
        <sz val="11"/>
        <rFont val="Calibri"/>
        <family val="2"/>
      </rPr>
      <t xml:space="preserve">
(ft</t>
    </r>
    <r>
      <rPr>
        <b/>
        <vertAlign val="superscript"/>
        <sz val="11"/>
        <rFont val="Calibri"/>
        <family val="2"/>
      </rPr>
      <t>2</t>
    </r>
    <r>
      <rPr>
        <b/>
        <sz val="11"/>
        <rFont val="Calibri"/>
        <family val="2"/>
      </rPr>
      <t>)</t>
    </r>
  </si>
  <si>
    <r>
      <t>Total Skylight Area per Design</t>
    </r>
    <r>
      <rPr>
        <b/>
        <vertAlign val="superscript"/>
        <sz val="11"/>
        <rFont val="Calibri"/>
        <family val="2"/>
      </rPr>
      <t>2</t>
    </r>
    <r>
      <rPr>
        <b/>
        <sz val="11"/>
        <rFont val="Calibri"/>
        <family val="2"/>
      </rPr>
      <t xml:space="preserve">
(ft</t>
    </r>
    <r>
      <rPr>
        <b/>
        <vertAlign val="superscript"/>
        <sz val="11"/>
        <rFont val="Calibri"/>
        <family val="2"/>
      </rPr>
      <t>2</t>
    </r>
    <r>
      <rPr>
        <b/>
        <sz val="11"/>
        <rFont val="Calibri"/>
        <family val="2"/>
      </rPr>
      <t>)</t>
    </r>
  </si>
  <si>
    <r>
      <t>Required Minimum Daylit Area
(ft</t>
    </r>
    <r>
      <rPr>
        <b/>
        <vertAlign val="superscript"/>
        <sz val="11"/>
        <rFont val="Calibri"/>
        <family val="2"/>
      </rPr>
      <t>2</t>
    </r>
    <r>
      <rPr>
        <b/>
        <sz val="11"/>
        <rFont val="Calibri"/>
        <family val="2"/>
      </rPr>
      <t>)</t>
    </r>
  </si>
  <si>
    <r>
      <t>Daylit Area per Design
(ft</t>
    </r>
    <r>
      <rPr>
        <b/>
        <vertAlign val="superscript"/>
        <sz val="11"/>
        <rFont val="Calibri"/>
        <family val="2"/>
      </rPr>
      <t>2</t>
    </r>
    <r>
      <rPr>
        <b/>
        <sz val="11"/>
        <rFont val="Calibri"/>
        <family val="2"/>
      </rPr>
      <t>)</t>
    </r>
  </si>
  <si>
    <r>
      <t>Skylight Area to Skylit Daylit Zone Area Ratio</t>
    </r>
    <r>
      <rPr>
        <b/>
        <vertAlign val="superscript"/>
        <sz val="11"/>
        <rFont val="Calibri"/>
        <family val="2"/>
      </rPr>
      <t>3</t>
    </r>
    <r>
      <rPr>
        <b/>
        <sz val="11"/>
        <rFont val="Calibri"/>
        <family val="2"/>
      </rPr>
      <t xml:space="preserve">
(%)</t>
    </r>
  </si>
  <si>
    <r>
      <t>Skylight Weighted Average VT</t>
    </r>
    <r>
      <rPr>
        <b/>
        <vertAlign val="superscript"/>
        <sz val="11"/>
        <rFont val="Calibri"/>
        <family val="2"/>
      </rPr>
      <t>2</t>
    </r>
  </si>
  <si>
    <r>
      <t>Skylight AreaxVT to Skylit Daylit Zone Area Ratio</t>
    </r>
    <r>
      <rPr>
        <b/>
        <vertAlign val="superscript"/>
        <sz val="11"/>
        <rFont val="Calibri"/>
        <family val="2"/>
      </rPr>
      <t>4</t>
    </r>
    <r>
      <rPr>
        <b/>
        <sz val="11"/>
        <rFont val="Calibri"/>
        <family val="2"/>
      </rPr>
      <t xml:space="preserve">
(%)</t>
    </r>
  </si>
  <si>
    <r>
      <rPr>
        <i/>
        <vertAlign val="superscript"/>
        <sz val="10"/>
        <rFont val="Calibri"/>
        <family val="2"/>
        <scheme val="minor"/>
      </rPr>
      <t>1</t>
    </r>
    <r>
      <rPr>
        <i/>
        <sz val="10"/>
        <rFont val="Calibri"/>
        <family val="2"/>
        <scheme val="minor"/>
      </rPr>
      <t xml:space="preserve"> FOOTNOTE: Any area which falls within the Skylit Daylit Zone may not be double counted for the Primary Sidelit Daylit Zone.</t>
    </r>
  </si>
  <si>
    <r>
      <rPr>
        <i/>
        <vertAlign val="superscript"/>
        <sz val="10"/>
        <rFont val="Calibri"/>
        <family val="2"/>
        <scheme val="minor"/>
      </rPr>
      <t>2</t>
    </r>
    <r>
      <rPr>
        <i/>
        <sz val="10"/>
        <rFont val="Calibri"/>
        <family val="2"/>
        <scheme val="minor"/>
      </rPr>
      <t xml:space="preserve">  May be calculated by Table K Fenestration Schedule.</t>
    </r>
  </si>
  <si>
    <r>
      <rPr>
        <i/>
        <vertAlign val="superscript"/>
        <sz val="9"/>
        <rFont val="Calibri"/>
        <family val="2"/>
        <scheme val="minor"/>
      </rPr>
      <t>1</t>
    </r>
    <r>
      <rPr>
        <i/>
        <sz val="9"/>
        <rFont val="Calibri"/>
        <family val="2"/>
        <scheme val="minor"/>
      </rPr>
      <t xml:space="preserve"> FOOTNOTE: If any individual fenestration product is non-compliant, products may show compliance using an area-weighted calculation.  Chromogenic glazing is not included in area-weighted calculations. Area-weighted calculations shown in separate area-weighted table below.</t>
    </r>
  </si>
  <si>
    <r>
      <t>Nonresidential/ Relocatable 1 CZ: Alt. (Replacement &gt; 150ft</t>
    </r>
    <r>
      <rPr>
        <vertAlign val="superscript"/>
        <sz val="9"/>
        <rFont val="Calibri"/>
        <family val="2"/>
        <scheme val="minor"/>
      </rPr>
      <t>2)</t>
    </r>
  </si>
  <si>
    <r>
      <t>Relocatable all CZ: Alt. (Replacement &gt; 150ft</t>
    </r>
    <r>
      <rPr>
        <vertAlign val="superscript"/>
        <sz val="9"/>
        <rFont val="Calibri"/>
        <family val="2"/>
        <scheme val="minor"/>
      </rPr>
      <t>2)</t>
    </r>
  </si>
  <si>
    <r>
      <t>Nonresidential/ Relocatable 1 CZ: Alt.(Adding New &gt; 50ft</t>
    </r>
    <r>
      <rPr>
        <vertAlign val="superscript"/>
        <sz val="9"/>
        <rFont val="Calibri"/>
        <family val="2"/>
        <scheme val="minor"/>
      </rPr>
      <t>2</t>
    </r>
    <r>
      <rPr>
        <sz val="9"/>
        <rFont val="Calibri"/>
        <family val="2"/>
        <scheme val="minor"/>
      </rPr>
      <t>)</t>
    </r>
  </si>
  <si>
    <r>
      <t>Relocatable all CZ: Alt.(Adding New &gt; 50ft</t>
    </r>
    <r>
      <rPr>
        <vertAlign val="superscript"/>
        <sz val="9"/>
        <rFont val="Calibri"/>
        <family val="2"/>
        <scheme val="minor"/>
      </rPr>
      <t>2</t>
    </r>
    <r>
      <rPr>
        <sz val="9"/>
        <rFont val="Calibri"/>
        <family val="2"/>
        <scheme val="minor"/>
      </rPr>
      <t>)</t>
    </r>
  </si>
  <si>
    <r>
      <t>Nonresidential/ Relocatable 1 CZ: Alt. (Adding New &lt;= 50ft</t>
    </r>
    <r>
      <rPr>
        <vertAlign val="superscript"/>
        <sz val="9"/>
        <rFont val="Calibri"/>
        <family val="2"/>
        <scheme val="minor"/>
      </rPr>
      <t>2</t>
    </r>
    <r>
      <rPr>
        <sz val="9"/>
        <rFont val="Calibri"/>
        <family val="2"/>
        <scheme val="minor"/>
      </rPr>
      <t>)</t>
    </r>
  </si>
  <si>
    <r>
      <t>Relocatable all CZ: Alt. (Adding New &lt;= 50ft</t>
    </r>
    <r>
      <rPr>
        <vertAlign val="superscript"/>
        <sz val="9"/>
        <rFont val="Calibri"/>
        <family val="2"/>
        <scheme val="minor"/>
      </rPr>
      <t>2</t>
    </r>
    <r>
      <rPr>
        <sz val="9"/>
        <rFont val="Calibri"/>
        <family val="2"/>
        <scheme val="minor"/>
      </rPr>
      <t>)</t>
    </r>
  </si>
  <si>
    <t>Gross Exterior Roof Area
(ft²)</t>
  </si>
  <si>
    <r>
      <t>Maximum Allowed Skylight Area</t>
    </r>
    <r>
      <rPr>
        <b/>
        <vertAlign val="superscript"/>
        <sz val="9"/>
        <rFont val="Calibri"/>
        <family val="2"/>
        <scheme val="minor"/>
      </rPr>
      <t xml:space="preserve">1
</t>
    </r>
    <r>
      <rPr>
        <b/>
        <sz val="9"/>
        <rFont val="Calibri"/>
        <family val="2"/>
        <scheme val="minor"/>
      </rPr>
      <t>(ft²)</t>
    </r>
  </si>
  <si>
    <r>
      <t>Required Thermal Performance</t>
    </r>
    <r>
      <rPr>
        <b/>
        <vertAlign val="superscript"/>
        <sz val="9"/>
        <rFont val="Calibri"/>
        <family val="2"/>
        <scheme val="minor"/>
      </rPr>
      <t>2</t>
    </r>
  </si>
  <si>
    <r>
      <t>Area
(ft</t>
    </r>
    <r>
      <rPr>
        <b/>
        <vertAlign val="superscript"/>
        <sz val="9"/>
        <rFont val="Calibri"/>
        <family val="2"/>
        <scheme val="minor"/>
      </rPr>
      <t>2</t>
    </r>
    <r>
      <rPr>
        <b/>
        <sz val="9"/>
        <rFont val="Calibri"/>
        <family val="2"/>
        <scheme val="minor"/>
      </rPr>
      <t>)</t>
    </r>
  </si>
  <si>
    <r>
      <t>Ben, sum of "Area (ft</t>
    </r>
    <r>
      <rPr>
        <i/>
        <vertAlign val="superscript"/>
        <sz val="9"/>
        <rFont val="Calibri"/>
        <family val="2"/>
        <scheme val="minor"/>
      </rPr>
      <t>2</t>
    </r>
    <r>
      <rPr>
        <i/>
        <sz val="9"/>
        <rFont val="Calibri"/>
        <family val="2"/>
        <scheme val="minor"/>
      </rPr>
      <t>)" column for the subtable</t>
    </r>
  </si>
  <si>
    <r>
      <t>Total Area of Floor Type
(ft</t>
    </r>
    <r>
      <rPr>
        <b/>
        <vertAlign val="superscript"/>
        <sz val="9"/>
        <rFont val="Calibri"/>
        <family val="2"/>
        <scheme val="minor"/>
      </rPr>
      <t>2</t>
    </r>
    <r>
      <rPr>
        <b/>
        <sz val="9"/>
        <rFont val="Calibri"/>
        <family val="2"/>
        <scheme val="minor"/>
      </rPr>
      <t>)</t>
    </r>
  </si>
  <si>
    <r>
      <t>Maximum U-factor Allowed</t>
    </r>
    <r>
      <rPr>
        <b/>
        <vertAlign val="superscript"/>
        <sz val="9"/>
        <rFont val="Calibri"/>
        <family val="2"/>
        <scheme val="minor"/>
      </rPr>
      <t>2</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</si>
  <si>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Spandrel/ Curtain walls are combined with wood framed, SIPs, metal panel and straw bale wall types. The area-weighted compliance option is not available for alterations demonstrating compliance with R-values in §141.0(b)1B4.</t>
    </r>
  </si>
  <si>
    <r>
      <t>Maximum Allowed U-factor</t>
    </r>
    <r>
      <rPr>
        <b/>
        <vertAlign val="superscript"/>
        <sz val="9"/>
        <rFont val="Calibri"/>
        <family val="2"/>
        <scheme val="minor"/>
      </rPr>
      <t>2</t>
    </r>
  </si>
  <si>
    <r>
      <t>Total Area of Wall Type
(ft</t>
    </r>
    <r>
      <rPr>
        <b/>
        <vertAlign val="superscript"/>
        <sz val="9"/>
        <rFont val="Calibri"/>
        <family val="2"/>
        <scheme val="minor"/>
      </rPr>
      <t>2</t>
    </r>
    <r>
      <rPr>
        <b/>
        <sz val="9"/>
        <rFont val="Calibri"/>
        <family val="2"/>
        <scheme val="minor"/>
      </rPr>
      <t>)</t>
    </r>
  </si>
  <si>
    <r>
      <t>Reflectance</t>
    </r>
    <r>
      <rPr>
        <vertAlign val="superscript"/>
        <sz val="10"/>
        <rFont val="Calibri"/>
        <family val="2"/>
        <scheme val="minor"/>
      </rPr>
      <t>1</t>
    </r>
  </si>
  <si>
    <r>
      <t>Net Area</t>
    </r>
    <r>
      <rPr>
        <b/>
        <vertAlign val="superscript"/>
        <sz val="9"/>
        <rFont val="Calibri"/>
        <family val="2"/>
        <scheme val="minor"/>
      </rPr>
      <t>2</t>
    </r>
    <r>
      <rPr>
        <b/>
        <sz val="9"/>
        <rFont val="Calibri"/>
        <family val="2"/>
        <scheme val="minor"/>
      </rPr>
      <t xml:space="preserve">
(ft</t>
    </r>
    <r>
      <rPr>
        <b/>
        <vertAlign val="superscript"/>
        <sz val="9"/>
        <rFont val="Calibri"/>
        <family val="2"/>
        <scheme val="minor"/>
      </rPr>
      <t>2</t>
    </r>
    <r>
      <rPr>
        <b/>
        <sz val="9"/>
        <rFont val="Calibri"/>
        <family val="2"/>
        <scheme val="minor"/>
      </rPr>
      <t>)</t>
    </r>
  </si>
  <si>
    <r>
      <t>Total Area of Roof Type
(ft</t>
    </r>
    <r>
      <rPr>
        <b/>
        <vertAlign val="superscript"/>
        <sz val="9"/>
        <rFont val="Calibri"/>
        <family val="2"/>
        <scheme val="minor"/>
      </rPr>
      <t>2</t>
    </r>
    <r>
      <rPr>
        <b/>
        <sz val="9"/>
        <rFont val="Calibri"/>
        <family val="2"/>
        <scheme val="minor"/>
      </rPr>
      <t>)</t>
    </r>
  </si>
  <si>
    <t>Remove these fields from all but first page</t>
  </si>
  <si>
    <r>
      <t>CA Building Energy Efficiency Standards - 20</t>
    </r>
    <r>
      <rPr>
        <b/>
        <strike/>
        <sz val="10"/>
        <color rgb="FFFF0000"/>
        <rFont val="Calibri"/>
        <family val="2"/>
        <scheme val="minor"/>
      </rPr>
      <t>19</t>
    </r>
    <r>
      <rPr>
        <b/>
        <sz val="10"/>
        <color rgb="FFFF0000"/>
        <rFont val="Calibri"/>
        <family val="2"/>
        <scheme val="minor"/>
      </rPr>
      <t>22</t>
    </r>
    <r>
      <rPr>
        <sz val="10"/>
        <rFont val="Calibri"/>
        <family val="2"/>
        <scheme val="minor"/>
      </rPr>
      <t xml:space="preserve"> Nonresidential Compliance: http://www.energy.ca.gov/title24/20</t>
    </r>
    <r>
      <rPr>
        <b/>
        <strike/>
        <sz val="10"/>
        <color rgb="FFFF0000"/>
        <rFont val="Calibri"/>
        <family val="2"/>
        <scheme val="minor"/>
      </rPr>
      <t>19</t>
    </r>
    <r>
      <rPr>
        <b/>
        <sz val="10"/>
        <color rgb="FFFF0000"/>
        <rFont val="Calibri"/>
        <family val="2"/>
        <scheme val="minor"/>
      </rPr>
      <t>22</t>
    </r>
    <r>
      <rPr>
        <sz val="10"/>
        <rFont val="Calibri"/>
        <family val="2"/>
        <scheme val="minor"/>
      </rPr>
      <t>standards</t>
    </r>
  </si>
  <si>
    <r>
      <t xml:space="preserve">Occupancy Types Within Project (select all that apply):                                                                                                                                                                                                                                                                                            </t>
    </r>
    <r>
      <rPr>
        <sz val="9"/>
        <rFont val="Calibri"/>
        <family val="2"/>
        <scheme val="minor"/>
      </rPr>
      <t>If one occupancy constitutes &gt;=</t>
    </r>
    <r>
      <rPr>
        <sz val="9"/>
        <rFont val="Calibri"/>
        <family val="2"/>
      </rPr>
      <t xml:space="preserve"> </t>
    </r>
    <r>
      <rPr>
        <sz val="9"/>
        <rFont val="Calibri"/>
        <family val="2"/>
        <scheme val="minor"/>
      </rPr>
      <t xml:space="preserve">80% of the conditioned floor area, the entire building envelope may be designed to comply with the provisions of that occupancy per </t>
    </r>
    <r>
      <rPr>
        <sz val="9"/>
        <rFont val="Calibri"/>
        <family val="2"/>
      </rPr>
      <t>§</t>
    </r>
    <r>
      <rPr>
        <sz val="9.1"/>
        <rFont val="Calibri"/>
        <family val="2"/>
      </rPr>
      <t>100.0(f).</t>
    </r>
  </si>
  <si>
    <r>
      <t>Results in this table are automatically calculated from data input and calculations in Tables F through L. Note: If any cell on this table says "COMPLIES with Exceptional Conditions" refer to Table D. Exceptional Conditions for guidance or see the applicable Table referenced below.</t>
    </r>
    <r>
      <rPr>
        <b/>
        <sz val="10"/>
        <color rgb="FF00B050"/>
        <rFont val="Calibri"/>
        <family val="2"/>
      </rPr>
      <t xml:space="preserve"> </t>
    </r>
  </si>
  <si>
    <r>
      <t>Table K indicates more than 200ft</t>
    </r>
    <r>
      <rPr>
        <b/>
        <strike/>
        <vertAlign val="superscript"/>
        <sz val="10"/>
        <color rgb="FFFF0000"/>
        <rFont val="Calibri"/>
        <family val="2"/>
        <scheme val="minor"/>
      </rPr>
      <t>2</t>
    </r>
    <r>
      <rPr>
        <b/>
        <strike/>
        <sz val="10"/>
        <color rgb="FFFF0000"/>
        <rFont val="Calibri"/>
        <family val="2"/>
        <scheme val="minor"/>
      </rPr>
      <t xml:space="preserve"> of site built vertical fenestration is using the NA6 default to demonstrate compliance.  Please review Table K to reduce the area of site built vertical fenestration using NA6 to 200ft</t>
    </r>
    <r>
      <rPr>
        <b/>
        <strike/>
        <vertAlign val="superscript"/>
        <sz val="10"/>
        <color rgb="FFFF0000"/>
        <rFont val="Calibri"/>
        <family val="2"/>
        <scheme val="minor"/>
      </rPr>
      <t>2</t>
    </r>
    <r>
      <rPr>
        <b/>
        <strike/>
        <sz val="10"/>
        <color rgb="FFFF0000"/>
        <rFont val="Calibri"/>
        <family val="2"/>
        <scheme val="minor"/>
      </rPr>
      <t xml:space="preserve"> or less.</t>
    </r>
  </si>
  <si>
    <r>
      <rPr>
        <i/>
        <vertAlign val="superscript"/>
        <sz val="9"/>
        <rFont val="Calibri"/>
        <family val="2"/>
        <scheme val="minor"/>
      </rPr>
      <t>1</t>
    </r>
    <r>
      <rPr>
        <i/>
        <sz val="9"/>
        <rFont val="Calibri"/>
        <family val="2"/>
        <scheme val="minor"/>
      </rPr>
      <t xml:space="preserve"> FOOTNOTE: Orientation between 226 deg and 315 deg are considered "West Facing".  A diagram has been provided in the Nonresidential Compliance Manual for visual reference.</t>
    </r>
  </si>
  <si>
    <r>
      <rPr>
        <i/>
        <vertAlign val="superscript"/>
        <sz val="9"/>
        <rFont val="Calibri"/>
        <family val="2"/>
        <scheme val="minor"/>
      </rPr>
      <t>2</t>
    </r>
    <r>
      <rPr>
        <i/>
        <sz val="9"/>
        <rFont val="Calibri"/>
        <family val="2"/>
        <scheme val="minor"/>
      </rPr>
      <t xml:space="preserve"> Do not include demising walls per §140.3(a)5.</t>
    </r>
  </si>
  <si>
    <r>
      <t>Total Vertical Fenestration Area using NA6 Default:</t>
    </r>
    <r>
      <rPr>
        <b/>
        <strike/>
        <vertAlign val="superscript"/>
        <sz val="9"/>
        <color rgb="FFFF0000"/>
        <rFont val="Calibri"/>
        <family val="2"/>
      </rPr>
      <t>2</t>
    </r>
  </si>
  <si>
    <r>
      <t xml:space="preserve">"COMPLIES" or "DOES NOT COMPLY".  Complies if column to the left is </t>
    </r>
    <r>
      <rPr>
        <b/>
        <i/>
        <strike/>
        <u/>
        <sz val="9"/>
        <color rgb="FFFF0000"/>
        <rFont val="Calibri"/>
        <family val="2"/>
      </rPr>
      <t>&lt;</t>
    </r>
    <r>
      <rPr>
        <b/>
        <i/>
        <strike/>
        <sz val="9"/>
        <color rgb="FFFF0000"/>
        <rFont val="Calibri"/>
        <family val="2"/>
      </rPr>
      <t xml:space="preserve"> 200ft2, otherwise, DNC.</t>
    </r>
  </si>
  <si>
    <r>
      <rPr>
        <b/>
        <strike/>
        <sz val="10"/>
        <color rgb="FFFF0000"/>
        <rFont val="Calibri"/>
        <family val="2"/>
        <scheme val="minor"/>
      </rPr>
      <t xml:space="preserve">High-rise Res/ </t>
    </r>
    <r>
      <rPr>
        <b/>
        <sz val="10"/>
        <color rgb="FFFF0000"/>
        <rFont val="Calibri"/>
        <family val="2"/>
        <scheme val="minor"/>
      </rPr>
      <t>Hotel/ Motel</t>
    </r>
  </si>
  <si>
    <t>Multifamily</t>
  </si>
  <si>
    <t>NEW for 2022: Equation 140.3-A  to calc RSHGC resulting from overhang</t>
  </si>
  <si>
    <r>
      <rPr>
        <b/>
        <strike/>
        <sz val="9"/>
        <color rgb="FFFF0000"/>
        <rFont val="Calibri"/>
        <family val="2"/>
      </rPr>
      <t>Depth (ft)</t>
    </r>
    <r>
      <rPr>
        <b/>
        <sz val="9"/>
        <color rgb="FFFF0000"/>
        <rFont val="Calibri"/>
        <family val="2"/>
      </rPr>
      <t xml:space="preserve">
Overhang or Horizontal Slats?</t>
    </r>
  </si>
  <si>
    <t>27 dropdown</t>
  </si>
  <si>
    <t>Overhang</t>
  </si>
  <si>
    <r>
      <rPr>
        <b/>
        <strike/>
        <sz val="9"/>
        <color rgb="FFFF0000"/>
        <rFont val="Calibri"/>
        <family val="2"/>
      </rPr>
      <t>Height from Bottom of Sill to Overhang (ft)</t>
    </r>
    <r>
      <rPr>
        <b/>
        <sz val="9"/>
        <color rgb="FFFF0000"/>
        <rFont val="Calibri"/>
        <family val="2"/>
      </rPr>
      <t xml:space="preserve">
Azimuth of Fenestration
(deg)</t>
    </r>
  </si>
  <si>
    <r>
      <rPr>
        <b/>
        <strike/>
        <sz val="9"/>
        <color rgb="FFFF0000"/>
        <rFont val="Calibri"/>
        <family val="2"/>
      </rPr>
      <t>Orientation</t>
    </r>
    <r>
      <rPr>
        <b/>
        <sz val="9"/>
        <color rgb="FFFF0000"/>
        <rFont val="Calibri"/>
        <family val="2"/>
      </rPr>
      <t xml:space="preserve">
Projection Factor</t>
    </r>
  </si>
  <si>
    <r>
      <rPr>
        <b/>
        <i/>
        <strike/>
        <sz val="9"/>
        <color rgb="FFFF0000"/>
        <rFont val="Calibri"/>
        <family val="2"/>
        <scheme val="minor"/>
      </rPr>
      <t>(pull down)</t>
    </r>
    <r>
      <rPr>
        <i/>
        <sz val="9"/>
        <color rgb="FFFF0000"/>
        <rFont val="Calibri"/>
        <family val="2"/>
        <scheme val="minor"/>
      </rPr>
      <t xml:space="preserve">
</t>
    </r>
    <r>
      <rPr>
        <b/>
        <sz val="9"/>
        <color rgb="FFFF0000"/>
        <rFont val="Calibri"/>
        <family val="2"/>
        <scheme val="minor"/>
      </rPr>
      <t>= col29 / col30</t>
    </r>
  </si>
  <si>
    <r>
      <t>Overhang</t>
    </r>
    <r>
      <rPr>
        <b/>
        <sz val="9"/>
        <color rgb="FFFF0000"/>
        <rFont val="Calibri"/>
        <family val="2"/>
        <scheme val="minor"/>
      </rPr>
      <t>/ Slats</t>
    </r>
    <r>
      <rPr>
        <sz val="9"/>
        <rFont val="Calibri"/>
        <family val="2"/>
        <scheme val="minor"/>
      </rPr>
      <t xml:space="preserve"> used for RSHGC</t>
    </r>
  </si>
  <si>
    <t>Exterior Horizontal Slats</t>
  </si>
  <si>
    <t>Metal Framed Wall Values updated for 2022.</t>
  </si>
  <si>
    <t>Updated values for 2022:</t>
  </si>
  <si>
    <r>
      <t>&lt;=</t>
    </r>
    <r>
      <rPr>
        <b/>
        <strike/>
        <sz val="9"/>
        <color rgb="FFFF0000"/>
        <rFont val="Calibri"/>
        <family val="2"/>
        <scheme val="minor"/>
      </rPr>
      <t>0.042</t>
    </r>
    <r>
      <rPr>
        <b/>
        <sz val="9"/>
        <color rgb="FFFF0000"/>
        <rFont val="Calibri"/>
        <family val="2"/>
        <scheme val="minor"/>
      </rPr>
      <t xml:space="preserve"> 0.026</t>
    </r>
  </si>
  <si>
    <r>
      <rPr>
        <b/>
        <strike/>
        <sz val="9"/>
        <color rgb="FFFF0000"/>
        <rFont val="Calibri"/>
        <family val="2"/>
        <scheme val="minor"/>
      </rPr>
      <t xml:space="preserve">0.0421 </t>
    </r>
    <r>
      <rPr>
        <b/>
        <sz val="9"/>
        <color rgb="FFFF0000"/>
        <rFont val="Calibri"/>
        <family val="2"/>
        <scheme val="minor"/>
      </rPr>
      <t>0.0261-</t>
    </r>
    <r>
      <rPr>
        <b/>
        <strike/>
        <sz val="9"/>
        <color rgb="FFFF0000"/>
        <rFont val="Calibri"/>
        <family val="2"/>
        <scheme val="minor"/>
      </rPr>
      <t>0.044</t>
    </r>
    <r>
      <rPr>
        <b/>
        <sz val="9"/>
        <color rgb="FFFF0000"/>
        <rFont val="Calibri"/>
        <family val="2"/>
        <scheme val="minor"/>
      </rPr>
      <t xml:space="preserve"> 0.028</t>
    </r>
  </si>
  <si>
    <r>
      <rPr>
        <b/>
        <strike/>
        <sz val="9"/>
        <color rgb="FFFF0000"/>
        <rFont val="Calibri"/>
        <family val="2"/>
        <scheme val="minor"/>
      </rPr>
      <t>0.0441</t>
    </r>
    <r>
      <rPr>
        <b/>
        <sz val="9"/>
        <color rgb="FFFF0000"/>
        <rFont val="Calibri"/>
        <family val="2"/>
        <scheme val="minor"/>
      </rPr>
      <t xml:space="preserve"> 0.0281-</t>
    </r>
    <r>
      <rPr>
        <b/>
        <strike/>
        <sz val="9"/>
        <color rgb="FFFF0000"/>
        <rFont val="Calibri"/>
        <family val="2"/>
        <scheme val="minor"/>
      </rPr>
      <t>0.047</t>
    </r>
    <r>
      <rPr>
        <b/>
        <sz val="9"/>
        <color rgb="FFFF0000"/>
        <rFont val="Calibri"/>
        <family val="2"/>
        <scheme val="minor"/>
      </rPr>
      <t xml:space="preserve"> 0.029</t>
    </r>
  </si>
  <si>
    <r>
      <rPr>
        <b/>
        <strike/>
        <sz val="9"/>
        <color rgb="FFFF0000"/>
        <rFont val="Calibri"/>
        <family val="2"/>
        <scheme val="minor"/>
      </rPr>
      <t>0.0471</t>
    </r>
    <r>
      <rPr>
        <b/>
        <sz val="9"/>
        <color rgb="FFFF0000"/>
        <rFont val="Calibri"/>
        <family val="2"/>
        <scheme val="minor"/>
      </rPr>
      <t xml:space="preserve"> 0.0291-</t>
    </r>
    <r>
      <rPr>
        <b/>
        <strike/>
        <sz val="9"/>
        <color rgb="FFFF0000"/>
        <rFont val="Calibri"/>
        <family val="2"/>
        <scheme val="minor"/>
      </rPr>
      <t>0.051</t>
    </r>
    <r>
      <rPr>
        <b/>
        <sz val="9"/>
        <color rgb="FFFF0000"/>
        <rFont val="Calibri"/>
        <family val="2"/>
        <scheme val="minor"/>
      </rPr>
      <t xml:space="preserve"> 0.032</t>
    </r>
  </si>
  <si>
    <r>
      <rPr>
        <b/>
        <strike/>
        <sz val="9"/>
        <color rgb="FFFF0000"/>
        <rFont val="Calibri"/>
        <family val="2"/>
        <scheme val="minor"/>
      </rPr>
      <t>0.0511</t>
    </r>
    <r>
      <rPr>
        <b/>
        <sz val="9"/>
        <color rgb="FFFF0000"/>
        <rFont val="Calibri"/>
        <family val="2"/>
        <scheme val="minor"/>
      </rPr>
      <t xml:space="preserve">  0.0321-</t>
    </r>
    <r>
      <rPr>
        <b/>
        <strike/>
        <sz val="9"/>
        <color rgb="FFFF0000"/>
        <rFont val="Calibri"/>
        <family val="2"/>
        <scheme val="minor"/>
      </rPr>
      <t>0.055</t>
    </r>
    <r>
      <rPr>
        <b/>
        <sz val="9"/>
        <color rgb="FFFF0000"/>
        <rFont val="Calibri"/>
        <family val="2"/>
        <scheme val="minor"/>
      </rPr>
      <t xml:space="preserve"> 0.034</t>
    </r>
  </si>
  <si>
    <r>
      <rPr>
        <b/>
        <strike/>
        <sz val="9"/>
        <color rgb="FFFF0000"/>
        <rFont val="Calibri"/>
        <family val="2"/>
        <scheme val="minor"/>
      </rPr>
      <t>0.0551</t>
    </r>
    <r>
      <rPr>
        <b/>
        <sz val="9"/>
        <color rgb="FFFF0000"/>
        <rFont val="Calibri"/>
        <family val="2"/>
        <scheme val="minor"/>
      </rPr>
      <t xml:space="preserve"> 0.0341-</t>
    </r>
    <r>
      <rPr>
        <b/>
        <strike/>
        <sz val="9"/>
        <color rgb="FFFF0000"/>
        <rFont val="Calibri"/>
        <family val="2"/>
        <scheme val="minor"/>
      </rPr>
      <t>0.060</t>
    </r>
    <r>
      <rPr>
        <b/>
        <sz val="9"/>
        <color rgb="FFFF0000"/>
        <rFont val="Calibri"/>
        <family val="2"/>
        <scheme val="minor"/>
      </rPr>
      <t xml:space="preserve"> 0.038</t>
    </r>
  </si>
  <si>
    <r>
      <rPr>
        <b/>
        <strike/>
        <sz val="9"/>
        <color rgb="FFFF0000"/>
        <rFont val="Calibri"/>
        <family val="2"/>
        <scheme val="minor"/>
      </rPr>
      <t>0.0601</t>
    </r>
    <r>
      <rPr>
        <b/>
        <sz val="9"/>
        <color rgb="FFFF0000"/>
        <rFont val="Calibri"/>
        <family val="2"/>
        <scheme val="minor"/>
      </rPr>
      <t xml:space="preserve"> 0.0381-</t>
    </r>
    <r>
      <rPr>
        <b/>
        <strike/>
        <sz val="9"/>
        <color rgb="FFFF0000"/>
        <rFont val="Calibri"/>
        <family val="2"/>
        <scheme val="minor"/>
      </rPr>
      <t>0.066</t>
    </r>
    <r>
      <rPr>
        <b/>
        <sz val="9"/>
        <color rgb="FFFF0000"/>
        <rFont val="Calibri"/>
        <family val="2"/>
        <scheme val="minor"/>
      </rPr>
      <t xml:space="preserve"> 0.041</t>
    </r>
  </si>
  <si>
    <r>
      <rPr>
        <b/>
        <strike/>
        <sz val="9"/>
        <color rgb="FFFF0000"/>
        <rFont val="Calibri"/>
        <family val="2"/>
        <scheme val="minor"/>
      </rPr>
      <t>0.0661</t>
    </r>
    <r>
      <rPr>
        <b/>
        <sz val="9"/>
        <color rgb="FFFF0000"/>
        <rFont val="Calibri"/>
        <family val="2"/>
        <scheme val="minor"/>
      </rPr>
      <t xml:space="preserve"> 0.0411-</t>
    </r>
    <r>
      <rPr>
        <b/>
        <strike/>
        <sz val="9"/>
        <color rgb="FFFF0000"/>
        <rFont val="Calibri"/>
        <family val="2"/>
        <scheme val="minor"/>
      </rPr>
      <t>0.075</t>
    </r>
    <r>
      <rPr>
        <b/>
        <sz val="9"/>
        <color rgb="FFFF0000"/>
        <rFont val="Calibri"/>
        <family val="2"/>
        <scheme val="minor"/>
      </rPr>
      <t xml:space="preserve"> 0.043</t>
    </r>
  </si>
  <si>
    <r>
      <t>&lt;=</t>
    </r>
    <r>
      <rPr>
        <b/>
        <strike/>
        <sz val="9"/>
        <color rgb="FFFF0000"/>
        <rFont val="Calibri"/>
        <family val="2"/>
        <scheme val="minor"/>
      </rPr>
      <t>0.034</t>
    </r>
    <r>
      <rPr>
        <b/>
        <sz val="9"/>
        <color rgb="FFFF0000"/>
        <rFont val="Calibri"/>
        <family val="2"/>
        <scheme val="minor"/>
      </rPr>
      <t xml:space="preserve"> 0.024</t>
    </r>
  </si>
  <si>
    <r>
      <rPr>
        <b/>
        <strike/>
        <sz val="9"/>
        <color rgb="FFFF0000"/>
        <rFont val="Calibri"/>
        <family val="2"/>
        <scheme val="minor"/>
      </rPr>
      <t>0.0341</t>
    </r>
    <r>
      <rPr>
        <b/>
        <sz val="9"/>
        <color rgb="FFFF0000"/>
        <rFont val="Calibri"/>
        <family val="2"/>
        <scheme val="minor"/>
      </rPr>
      <t xml:space="preserve"> 0.0241-</t>
    </r>
    <r>
      <rPr>
        <b/>
        <strike/>
        <sz val="9"/>
        <color rgb="FFFF0000"/>
        <rFont val="Calibri"/>
        <family val="2"/>
        <scheme val="minor"/>
      </rPr>
      <t>0.035</t>
    </r>
    <r>
      <rPr>
        <b/>
        <sz val="9"/>
        <color rgb="FFFF0000"/>
        <rFont val="Calibri"/>
        <family val="2"/>
        <scheme val="minor"/>
      </rPr>
      <t xml:space="preserve"> 0.025</t>
    </r>
  </si>
  <si>
    <r>
      <rPr>
        <b/>
        <strike/>
        <sz val="9"/>
        <color rgb="FFFF0000"/>
        <rFont val="Calibri"/>
        <family val="2"/>
        <scheme val="minor"/>
      </rPr>
      <t>0.0351</t>
    </r>
    <r>
      <rPr>
        <b/>
        <sz val="9"/>
        <color rgb="FFFF0000"/>
        <rFont val="Calibri"/>
        <family val="2"/>
        <scheme val="minor"/>
      </rPr>
      <t xml:space="preserve"> 0.0251-</t>
    </r>
    <r>
      <rPr>
        <b/>
        <strike/>
        <sz val="9"/>
        <color rgb="FFFF0000"/>
        <rFont val="Calibri"/>
        <family val="2"/>
        <scheme val="minor"/>
      </rPr>
      <t>0.037</t>
    </r>
    <r>
      <rPr>
        <b/>
        <sz val="9"/>
        <color rgb="FFFF0000"/>
        <rFont val="Calibri"/>
        <family val="2"/>
        <scheme val="minor"/>
      </rPr>
      <t xml:space="preserve"> 0.026</t>
    </r>
  </si>
  <si>
    <r>
      <rPr>
        <b/>
        <strike/>
        <sz val="9"/>
        <color rgb="FFFF0000"/>
        <rFont val="Calibri"/>
        <family val="2"/>
        <scheme val="minor"/>
      </rPr>
      <t>0.0371</t>
    </r>
    <r>
      <rPr>
        <b/>
        <sz val="9"/>
        <color rgb="FFFF0000"/>
        <rFont val="Calibri"/>
        <family val="2"/>
        <scheme val="minor"/>
      </rPr>
      <t xml:space="preserve"> 0.0261-</t>
    </r>
    <r>
      <rPr>
        <b/>
        <strike/>
        <sz val="9"/>
        <color rgb="FFFF0000"/>
        <rFont val="Calibri"/>
        <family val="2"/>
        <scheme val="minor"/>
      </rPr>
      <t>0.039</t>
    </r>
    <r>
      <rPr>
        <b/>
        <sz val="9"/>
        <color rgb="FFFF0000"/>
        <rFont val="Calibri"/>
        <family val="2"/>
        <scheme val="minor"/>
      </rPr>
      <t xml:space="preserve"> 0.028</t>
    </r>
  </si>
  <si>
    <r>
      <rPr>
        <b/>
        <strike/>
        <sz val="9"/>
        <color rgb="FFFF0000"/>
        <rFont val="Calibri"/>
        <family val="2"/>
        <scheme val="minor"/>
      </rPr>
      <t>0.0391</t>
    </r>
    <r>
      <rPr>
        <b/>
        <sz val="9"/>
        <color rgb="FFFF0000"/>
        <rFont val="Calibri"/>
        <family val="2"/>
        <scheme val="minor"/>
      </rPr>
      <t xml:space="preserve"> 0.0281-</t>
    </r>
    <r>
      <rPr>
        <b/>
        <strike/>
        <sz val="9"/>
        <color rgb="FFFF0000"/>
        <rFont val="Calibri"/>
        <family val="2"/>
        <scheme val="minor"/>
      </rPr>
      <t>0.041</t>
    </r>
    <r>
      <rPr>
        <b/>
        <sz val="9"/>
        <color rgb="FFFF0000"/>
        <rFont val="Calibri"/>
        <family val="2"/>
        <scheme val="minor"/>
      </rPr>
      <t xml:space="preserve"> 0.029</t>
    </r>
  </si>
  <si>
    <r>
      <rPr>
        <b/>
        <strike/>
        <sz val="9"/>
        <color rgb="FFFF0000"/>
        <rFont val="Calibri"/>
        <family val="2"/>
        <scheme val="minor"/>
      </rPr>
      <t>0.0411</t>
    </r>
    <r>
      <rPr>
        <b/>
        <sz val="9"/>
        <color rgb="FFFF0000"/>
        <rFont val="Calibri"/>
        <family val="2"/>
        <scheme val="minor"/>
      </rPr>
      <t xml:space="preserve"> 0.0291-</t>
    </r>
    <r>
      <rPr>
        <b/>
        <strike/>
        <sz val="9"/>
        <color rgb="FFFF0000"/>
        <rFont val="Calibri"/>
        <family val="2"/>
        <scheme val="minor"/>
      </rPr>
      <t>0.044</t>
    </r>
    <r>
      <rPr>
        <b/>
        <sz val="9"/>
        <color rgb="FFFF0000"/>
        <rFont val="Calibri"/>
        <family val="2"/>
        <scheme val="minor"/>
      </rPr>
      <t xml:space="preserve"> 0.031</t>
    </r>
  </si>
  <si>
    <r>
      <rPr>
        <b/>
        <strike/>
        <sz val="9"/>
        <color rgb="FFFF0000"/>
        <rFont val="Calibri"/>
        <family val="2"/>
        <scheme val="minor"/>
      </rPr>
      <t>0.0441</t>
    </r>
    <r>
      <rPr>
        <b/>
        <sz val="9"/>
        <color rgb="FFFF0000"/>
        <rFont val="Calibri"/>
        <family val="2"/>
        <scheme val="minor"/>
      </rPr>
      <t xml:space="preserve"> 0.0311-</t>
    </r>
    <r>
      <rPr>
        <b/>
        <strike/>
        <sz val="9"/>
        <color rgb="FFFF0000"/>
        <rFont val="Calibri"/>
        <family val="2"/>
        <scheme val="minor"/>
      </rPr>
      <t>0.048</t>
    </r>
    <r>
      <rPr>
        <b/>
        <sz val="9"/>
        <color rgb="FFFF0000"/>
        <rFont val="Calibri"/>
        <family val="2"/>
        <scheme val="minor"/>
      </rPr>
      <t xml:space="preserve"> 0.034</t>
    </r>
  </si>
  <si>
    <r>
      <rPr>
        <b/>
        <strike/>
        <sz val="9"/>
        <color rgb="FFFF0000"/>
        <rFont val="Calibri"/>
        <family val="2"/>
        <scheme val="minor"/>
      </rPr>
      <t>0.0481</t>
    </r>
    <r>
      <rPr>
        <b/>
        <sz val="9"/>
        <color rgb="FFFF0000"/>
        <rFont val="Calibri"/>
        <family val="2"/>
        <scheme val="minor"/>
      </rPr>
      <t xml:space="preserve"> 0.0341-</t>
    </r>
    <r>
      <rPr>
        <b/>
        <strike/>
        <sz val="9"/>
        <color rgb="FFFF0000"/>
        <rFont val="Calibri"/>
        <family val="2"/>
        <scheme val="minor"/>
      </rPr>
      <t>0.052</t>
    </r>
    <r>
      <rPr>
        <b/>
        <sz val="9"/>
        <color rgb="FFFF0000"/>
        <rFont val="Calibri"/>
        <family val="2"/>
        <scheme val="minor"/>
      </rPr>
      <t xml:space="preserve"> 0.035</t>
    </r>
  </si>
  <si>
    <r>
      <rPr>
        <b/>
        <strike/>
        <sz val="9"/>
        <color rgb="FFFF0000"/>
        <rFont val="Calibri"/>
        <family val="2"/>
        <scheme val="minor"/>
      </rPr>
      <t>Existing roof is insulated with at least R-7 or has a U-factor lower than 0.089</t>
    </r>
    <r>
      <rPr>
        <b/>
        <sz val="9"/>
        <color rgb="FFFF0000"/>
        <rFont val="Calibri"/>
        <family val="2"/>
        <scheme val="minor"/>
      </rPr>
      <t xml:space="preserve"> Roof recovers with new R-10 insulation added above deck</t>
    </r>
  </si>
  <si>
    <r>
      <rPr>
        <b/>
        <strike/>
        <sz val="9"/>
        <color rgb="FFFF0000"/>
        <rFont val="Calibri"/>
        <family val="2"/>
        <scheme val="minor"/>
      </rPr>
      <t>Mechanical equipment will not be lifted as part of the roof replacement, insulation added may be limited to the maximum insulation thickness that will allow a height of 8 inches from the roof membrane surface to the top of the base flashing</t>
    </r>
    <r>
      <rPr>
        <b/>
        <sz val="9"/>
        <color rgb="FFFF0000"/>
        <rFont val="Calibri"/>
        <family val="2"/>
        <scheme val="minor"/>
      </rPr>
      <t xml:space="preserve">  Existing mechanical equipment located on the roof will not be disconnected and lifted, insulation added is the greater of R-10 or the maximum installed thickness that will allow the distance between the height of the roof membrane surface to the top of the base flashing to remain in accordance with the manufacturer’s instructions.</t>
    </r>
  </si>
  <si>
    <r>
      <rPr>
        <b/>
        <strike/>
        <sz val="9"/>
        <color rgb="FFFF0000"/>
        <rFont val="Calibri"/>
        <family val="2"/>
        <scheme val="minor"/>
      </rPr>
      <t>Adding required insulation will reduce base flashing height to less than 8 inches at penthouse or parapet walls &amp; conditions i-v in Exception c. to §141.0(b)2Biii have been met.</t>
    </r>
    <r>
      <rPr>
        <b/>
        <sz val="9"/>
        <color rgb="FFFF0000"/>
        <rFont val="Calibri"/>
        <family val="2"/>
        <scheme val="minor"/>
      </rPr>
      <t xml:space="preserve"> The area of the roof recoat is not required to be insulated</t>
    </r>
  </si>
  <si>
    <r>
      <t>Cavity Insulation per Design</t>
    </r>
    <r>
      <rPr>
        <b/>
        <vertAlign val="superscript"/>
        <sz val="9"/>
        <color rgb="FFFF0000"/>
        <rFont val="Calibri"/>
        <family val="2"/>
        <scheme val="minor"/>
      </rPr>
      <t>2</t>
    </r>
  </si>
  <si>
    <r>
      <rPr>
        <b/>
        <i/>
        <strike/>
        <vertAlign val="superscript"/>
        <sz val="10"/>
        <color rgb="FFFF0000"/>
        <rFont val="Calibri"/>
        <family val="2"/>
        <scheme val="minor"/>
      </rPr>
      <t>2</t>
    </r>
    <r>
      <rPr>
        <b/>
        <i/>
        <vertAlign val="superscript"/>
        <sz val="10"/>
        <color rgb="FFFF0000"/>
        <rFont val="Calibri"/>
        <family val="2"/>
        <scheme val="minor"/>
      </rPr>
      <t xml:space="preserve"> 3</t>
    </r>
    <r>
      <rPr>
        <i/>
        <sz val="10"/>
        <color theme="1"/>
        <rFont val="Calibri"/>
        <family val="2"/>
        <scheme val="minor"/>
      </rPr>
      <t xml:space="preserve"> If "R-value" is shown in cell 13 as the Thermal Performance Unit, the R-value shown here is for continuous insulation per Table 141.0-C.</t>
    </r>
  </si>
  <si>
    <r>
      <rPr>
        <b/>
        <i/>
        <strike/>
        <vertAlign val="superscript"/>
        <sz val="10"/>
        <color rgb="FFFF0000"/>
        <rFont val="Calibri"/>
        <family val="2"/>
        <scheme val="minor"/>
      </rPr>
      <t>3</t>
    </r>
    <r>
      <rPr>
        <b/>
        <i/>
        <vertAlign val="superscript"/>
        <sz val="10"/>
        <color rgb="FFFF0000"/>
        <rFont val="Calibri"/>
        <family val="2"/>
        <scheme val="minor"/>
      </rPr>
      <t xml:space="preserve"> 4</t>
    </r>
    <r>
      <rPr>
        <i/>
        <sz val="10"/>
        <color theme="1"/>
        <rFont val="Calibri"/>
        <family val="2"/>
        <scheme val="minor"/>
      </rPr>
      <t xml:space="preserve"> Roof area minus any fenestration/ skylight area</t>
    </r>
  </si>
  <si>
    <r>
      <t>Required Thermal Performance</t>
    </r>
    <r>
      <rPr>
        <b/>
        <strike/>
        <vertAlign val="superscript"/>
        <sz val="9"/>
        <color rgb="FFFF0000"/>
        <rFont val="Calibri"/>
        <family val="2"/>
        <scheme val="minor"/>
      </rPr>
      <t>2</t>
    </r>
    <r>
      <rPr>
        <b/>
        <sz val="9"/>
        <color rgb="FFFF0000"/>
        <rFont val="Calibri"/>
        <family val="2"/>
        <scheme val="minor"/>
      </rPr>
      <t xml:space="preserve"> </t>
    </r>
    <r>
      <rPr>
        <b/>
        <vertAlign val="superscript"/>
        <sz val="9"/>
        <color rgb="FFFF0000"/>
        <rFont val="Calibri"/>
        <family val="2"/>
        <scheme val="minor"/>
      </rPr>
      <t>3</t>
    </r>
  </si>
  <si>
    <r>
      <t>Net Area</t>
    </r>
    <r>
      <rPr>
        <b/>
        <strike/>
        <vertAlign val="superscript"/>
        <sz val="9"/>
        <color rgb="FFFF0000"/>
        <rFont val="Calibri"/>
        <family val="2"/>
        <scheme val="minor"/>
      </rPr>
      <t>3</t>
    </r>
    <r>
      <rPr>
        <b/>
        <vertAlign val="superscript"/>
        <sz val="9"/>
        <color rgb="FFFF0000"/>
        <rFont val="Calibri"/>
        <family val="2"/>
        <scheme val="minor"/>
      </rPr>
      <t xml:space="preserve"> 4</t>
    </r>
    <r>
      <rPr>
        <b/>
        <sz val="9"/>
        <rFont val="Calibri"/>
        <family val="2"/>
        <scheme val="minor"/>
      </rPr>
      <t xml:space="preserve">
(ft</t>
    </r>
    <r>
      <rPr>
        <b/>
        <vertAlign val="superscript"/>
        <sz val="9"/>
        <rFont val="Calibri"/>
        <family val="2"/>
        <scheme val="minor"/>
      </rPr>
      <t>2</t>
    </r>
    <r>
      <rPr>
        <b/>
        <sz val="9"/>
        <rFont val="Calibri"/>
        <family val="2"/>
        <scheme val="minor"/>
      </rPr>
      <t>)</t>
    </r>
  </si>
  <si>
    <t>Table Updated for 2022:</t>
  </si>
  <si>
    <r>
      <t xml:space="preserve">Core Insulation per Design </t>
    </r>
    <r>
      <rPr>
        <b/>
        <vertAlign val="superscript"/>
        <sz val="9"/>
        <color rgb="FFFF0000"/>
        <rFont val="Calibri"/>
        <family val="2"/>
        <scheme val="minor"/>
      </rPr>
      <t>2</t>
    </r>
  </si>
  <si>
    <r>
      <t>Required Thermal Performance</t>
    </r>
    <r>
      <rPr>
        <b/>
        <strike/>
        <vertAlign val="superscript"/>
        <sz val="9"/>
        <color rgb="FFFF0000"/>
        <rFont val="Calibri"/>
        <family val="2"/>
        <scheme val="minor"/>
      </rPr>
      <t>2</t>
    </r>
    <r>
      <rPr>
        <b/>
        <vertAlign val="superscript"/>
        <sz val="9"/>
        <color rgb="FFFF0000"/>
        <rFont val="Calibri"/>
        <family val="2"/>
        <scheme val="minor"/>
      </rPr>
      <t xml:space="preserve"> 3</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</si>
  <si>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</si>
  <si>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r>
      <rPr>
        <b/>
        <strike/>
        <sz val="9"/>
        <color rgb="FFFF0000"/>
        <rFont val="Calibri"/>
        <family val="2"/>
        <scheme val="minor"/>
      </rPr>
      <t xml:space="preserve">Mechanical equipment will not be lifted as part of the roof replacement, insulation added may be limited to the maximum insulation thickness that will allow a height of 8 inches from the roof membrane surface to the top of the base flashing </t>
    </r>
    <r>
      <rPr>
        <b/>
        <sz val="9"/>
        <color rgb="FFFF0000"/>
        <rFont val="Calibri"/>
        <family val="2"/>
        <scheme val="minor"/>
      </rPr>
      <t xml:space="preserve"> Existing mechanical equipment located on the roof will not be disconnected and lifted, insulation added is the greater of R-10 or the maximum installed thickness that will allow the distance between the height of the roof membrane surface to the top of the base flashing to remain in accordance with the manufacturer’s instructions.</t>
    </r>
  </si>
  <si>
    <r>
      <t>Continuous Insulation per Design</t>
    </r>
    <r>
      <rPr>
        <b/>
        <vertAlign val="superscript"/>
        <sz val="9"/>
        <color rgb="FFFF0000"/>
        <rFont val="Calibri"/>
        <family val="2"/>
        <scheme val="minor"/>
      </rPr>
      <t>2</t>
    </r>
  </si>
  <si>
    <r>
      <rPr>
        <b/>
        <i/>
        <strike/>
        <vertAlign val="superscript"/>
        <sz val="10"/>
        <color rgb="FFFF0000"/>
        <rFont val="Calibri"/>
        <family val="2"/>
        <scheme val="minor"/>
      </rPr>
      <t>2</t>
    </r>
    <r>
      <rPr>
        <b/>
        <i/>
        <vertAlign val="superscript"/>
        <sz val="10"/>
        <color rgb="FFFF0000"/>
        <rFont val="Calibri"/>
        <family val="2"/>
        <scheme val="minor"/>
      </rPr>
      <t xml:space="preserve"> 3</t>
    </r>
    <r>
      <rPr>
        <i/>
        <sz val="10"/>
        <color theme="1"/>
        <rFont val="Calibri"/>
        <family val="2"/>
        <scheme val="minor"/>
      </rPr>
      <t xml:space="preserve"> If "R-value" is shown in cell 12 as the Thermal Performance Unit, the R-value shown here is for continuous insulation per </t>
    </r>
    <r>
      <rPr>
        <i/>
        <sz val="10"/>
        <color rgb="FF0070C0"/>
        <rFont val="Calibri"/>
        <family val="2"/>
        <scheme val="minor"/>
      </rPr>
      <t>Table 141.0-C</t>
    </r>
    <r>
      <rPr>
        <i/>
        <sz val="10"/>
        <color theme="1"/>
        <rFont val="Calibri"/>
        <family val="2"/>
        <scheme val="minor"/>
      </rPr>
      <t>.</t>
    </r>
  </si>
  <si>
    <r>
      <rPr>
        <b/>
        <strike/>
        <vertAlign val="superscript"/>
        <sz val="10"/>
        <color rgb="FFFF0000"/>
        <rFont val="Calibri"/>
        <family val="2"/>
        <scheme val="minor"/>
      </rPr>
      <t>3</t>
    </r>
    <r>
      <rPr>
        <b/>
        <vertAlign val="superscript"/>
        <sz val="10"/>
        <color rgb="FFFF0000"/>
        <rFont val="Calibri"/>
        <family val="2"/>
        <scheme val="minor"/>
      </rPr>
      <t xml:space="preserve"> 4</t>
    </r>
    <r>
      <rPr>
        <i/>
        <sz val="10"/>
        <color theme="1"/>
        <rFont val="Calibri"/>
        <family val="2"/>
        <scheme val="minor"/>
      </rPr>
      <t xml:space="preserve"> Roof area minus any fenestration/ skylight area</t>
    </r>
  </si>
  <si>
    <r>
      <t>Required Thermal Performance</t>
    </r>
    <r>
      <rPr>
        <b/>
        <strike/>
        <vertAlign val="superscript"/>
        <sz val="9"/>
        <color rgb="FFFF0000"/>
        <rFont val="Calibri"/>
        <family val="2"/>
        <scheme val="minor"/>
      </rPr>
      <t xml:space="preserve">2 </t>
    </r>
    <r>
      <rPr>
        <b/>
        <vertAlign val="superscript"/>
        <sz val="9"/>
        <color rgb="FFFF0000"/>
        <rFont val="Calibri"/>
        <family val="2"/>
        <scheme val="minor"/>
      </rPr>
      <t>3</t>
    </r>
  </si>
  <si>
    <r>
      <t>Net Area</t>
    </r>
    <r>
      <rPr>
        <b/>
        <strike/>
        <vertAlign val="superscript"/>
        <sz val="9"/>
        <color rgb="FFFF0000"/>
        <rFont val="Calibri"/>
        <family val="2"/>
        <scheme val="minor"/>
      </rPr>
      <t>3</t>
    </r>
    <r>
      <rPr>
        <b/>
        <vertAlign val="superscript"/>
        <sz val="9"/>
        <color rgb="FFFF0000"/>
        <rFont val="Calibri"/>
        <family val="2"/>
        <scheme val="minor"/>
      </rPr>
      <t xml:space="preserve"> 4</t>
    </r>
    <r>
      <rPr>
        <b/>
        <sz val="9"/>
        <color theme="1"/>
        <rFont val="Calibri"/>
        <family val="2"/>
        <scheme val="minor"/>
      </rPr>
      <t xml:space="preserve">
(ft</t>
    </r>
    <r>
      <rPr>
        <b/>
        <vertAlign val="superscript"/>
        <sz val="9"/>
        <color theme="1"/>
        <rFont val="Calibri"/>
        <family val="2"/>
        <scheme val="minor"/>
      </rPr>
      <t>2</t>
    </r>
    <r>
      <rPr>
        <b/>
        <sz val="9"/>
        <color theme="1"/>
        <rFont val="Calibri"/>
        <family val="2"/>
        <scheme val="minor"/>
      </rPr>
      <t>)</t>
    </r>
  </si>
  <si>
    <r>
      <rPr>
        <b/>
        <strike/>
        <sz val="9"/>
        <color rgb="FFFF0000"/>
        <rFont val="Calibri"/>
        <family val="2"/>
        <scheme val="minor"/>
      </rPr>
      <t xml:space="preserve">High-rise Res/ </t>
    </r>
    <r>
      <rPr>
        <sz val="9"/>
        <color theme="1"/>
        <rFont val="Calibri"/>
        <family val="2"/>
        <scheme val="minor"/>
      </rPr>
      <t>Hotel/ Motel: New</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</si>
  <si>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Mass walls are combined with concrete sandwich panel, log &amp; ICF wall types.  Mass walls must meet mandatory insulation requirements in §120.7(b), but may area-weight to comply with prescriptive requirements in Table 140.3 for new construction.</t>
    </r>
  </si>
  <si>
    <r>
      <rPr>
        <b/>
        <strike/>
        <sz val="10"/>
        <color rgb="FFFF0000"/>
        <rFont val="Calibri"/>
        <family val="2"/>
        <scheme val="minor"/>
      </rPr>
      <t xml:space="preserve">High-rise Res/ </t>
    </r>
    <r>
      <rPr>
        <sz val="10"/>
        <rFont val="Calibri"/>
        <family val="2"/>
        <scheme val="minor"/>
      </rPr>
      <t>Hotel/ Motel</t>
    </r>
  </si>
  <si>
    <t>Multifamily- Attic Roof</t>
  </si>
  <si>
    <t>Multifamily- Non-attic Roof</t>
  </si>
  <si>
    <r>
      <t>NA: &lt;= 50% roof area &amp; &lt; 2,000ft</t>
    </r>
    <r>
      <rPr>
        <b/>
        <vertAlign val="superscript"/>
        <sz val="10"/>
        <color rgb="FFFF0000"/>
        <rFont val="Calibri"/>
        <family val="2"/>
        <scheme val="minor"/>
      </rPr>
      <t>2</t>
    </r>
    <r>
      <rPr>
        <b/>
        <sz val="10"/>
        <color rgb="FFFF0000"/>
        <rFont val="Calibri"/>
        <family val="2"/>
        <scheme val="minor"/>
      </rPr>
      <t xml:space="preserve"> altered</t>
    </r>
  </si>
  <si>
    <t>NA: Ceiling U-factor &lt;= 0.25</t>
  </si>
  <si>
    <t>NA: Attic ceiling insulation &gt;= R-38</t>
  </si>
  <si>
    <t>NA: Attic radiant barrier per §170.2(a)1C</t>
  </si>
  <si>
    <t>NA: No ducts in attic &amp; CZ 2, 4, 9, 10, 12, 14</t>
  </si>
  <si>
    <t>NA: Continuous insulation above/below roof deck &gt;= R-2</t>
  </si>
  <si>
    <t>R-value Trade-off per Table 180.2-A</t>
  </si>
  <si>
    <r>
      <t>U-factor</t>
    </r>
    <r>
      <rPr>
        <b/>
        <sz val="10"/>
        <color rgb="FFFF0000"/>
        <rFont val="Calibri"/>
        <family val="2"/>
      </rPr>
      <t>/ R-value</t>
    </r>
    <r>
      <rPr>
        <b/>
        <sz val="10"/>
        <rFont val="Calibri"/>
        <family val="2"/>
      </rPr>
      <t xml:space="preserve"> of Assembly</t>
    </r>
  </si>
  <si>
    <t>6-7.99</t>
  </si>
  <si>
    <t>4-5.99</t>
  </si>
  <si>
    <t>2-3.99</t>
  </si>
  <si>
    <t>Rvalue Assembly Dropdown</t>
  </si>
  <si>
    <t>8-9.99</t>
  </si>
  <si>
    <t>&gt;= 10</t>
  </si>
  <si>
    <t>&gt;= 24</t>
  </si>
  <si>
    <t>22-23.99</t>
  </si>
  <si>
    <t>20-21.99</t>
  </si>
  <si>
    <t>18-19.99</t>
  </si>
  <si>
    <t>16-17.99</t>
  </si>
  <si>
    <r>
      <rPr>
        <b/>
        <i/>
        <vertAlign val="superscript"/>
        <sz val="10"/>
        <color rgb="FFFF0000"/>
        <rFont val="Calibri"/>
        <family val="2"/>
        <scheme val="minor"/>
      </rPr>
      <t>2</t>
    </r>
    <r>
      <rPr>
        <b/>
        <i/>
        <sz val="10"/>
        <color rgb="FFFF0000"/>
        <rFont val="Calibri"/>
        <family val="2"/>
        <scheme val="minor"/>
      </rPr>
      <t xml:space="preserve"> For alterations using U-factor as the Thermal Performance Unit, at least R-10 insulation must be above deck.</t>
    </r>
  </si>
  <si>
    <t>2 For alterations using U-factor as the Thermal Performance Unit, at least R-10 insulation must be above deck.</t>
  </si>
  <si>
    <r>
      <rPr>
        <b/>
        <i/>
        <strike/>
        <vertAlign val="superscript"/>
        <sz val="10"/>
        <color rgb="FFFF0000"/>
        <rFont val="Calibri"/>
        <family val="2"/>
        <scheme val="minor"/>
      </rPr>
      <t>2</t>
    </r>
    <r>
      <rPr>
        <b/>
        <i/>
        <vertAlign val="superscript"/>
        <sz val="10"/>
        <color rgb="FFFF0000"/>
        <rFont val="Calibri"/>
        <family val="2"/>
        <scheme val="minor"/>
      </rPr>
      <t xml:space="preserve"> 3</t>
    </r>
    <r>
      <rPr>
        <i/>
        <sz val="10"/>
        <rFont val="Calibri"/>
        <family val="2"/>
        <scheme val="minor"/>
      </rPr>
      <t xml:space="preserve"> If "R-value" is shown in cell 12 as the Thermal Performance Unit, the R-value shown here is for continuous insulation per Table 141.0-C.</t>
    </r>
  </si>
  <si>
    <t>Multifamily Framed Roof Assemblies</t>
  </si>
  <si>
    <t>Location/ Fire Rating</t>
  </si>
  <si>
    <r>
      <rPr>
        <i/>
        <vertAlign val="superscript"/>
        <sz val="10"/>
        <rFont val="Calibri"/>
        <family val="2"/>
        <scheme val="minor"/>
      </rPr>
      <t>2</t>
    </r>
    <r>
      <rPr>
        <i/>
        <sz val="10"/>
        <rFont val="Calibri"/>
        <family val="2"/>
        <scheme val="minor"/>
      </rPr>
      <t xml:space="preserve"> If "R-value" is shown in cell 10 as the Thermal Performance Unit, the R-value shown here is for cavity insulation per §141.0(b)1B</t>
    </r>
  </si>
  <si>
    <t>Exterior &gt; 1hr fire rating</t>
  </si>
  <si>
    <t>Exterior &lt;= 1hr fire rating</t>
  </si>
  <si>
    <r>
      <rPr>
        <b/>
        <sz val="9"/>
        <color rgb="FFFF0000"/>
        <rFont val="Calibri"/>
        <family val="2"/>
      </rPr>
      <t>Multifamily Conditioned Floor Area
(ft</t>
    </r>
    <r>
      <rPr>
        <b/>
        <vertAlign val="superscript"/>
        <sz val="9"/>
        <color rgb="FFFF0000"/>
        <rFont val="Calibri"/>
        <family val="2"/>
      </rPr>
      <t>2</t>
    </r>
    <r>
      <rPr>
        <b/>
        <sz val="9"/>
        <color rgb="FFFF0000"/>
        <rFont val="Calibri"/>
        <family val="2"/>
      </rPr>
      <t>)</t>
    </r>
  </si>
  <si>
    <r>
      <rPr>
        <i/>
        <vertAlign val="superscript"/>
        <sz val="9"/>
        <rFont val="Calibri"/>
        <family val="2"/>
        <scheme val="minor"/>
      </rPr>
      <t>2</t>
    </r>
    <r>
      <rPr>
        <i/>
        <sz val="9"/>
        <rFont val="Calibri"/>
        <family val="2"/>
        <scheme val="minor"/>
      </rPr>
      <t xml:space="preserve"> Do not include demising walls per </t>
    </r>
    <r>
      <rPr>
        <b/>
        <i/>
        <sz val="9"/>
        <color rgb="FFFF0000"/>
        <rFont val="Calibri"/>
        <family val="2"/>
        <scheme val="minor"/>
      </rPr>
      <t>§170.2(a)3Ai.</t>
    </r>
  </si>
  <si>
    <r>
      <t>Maximum Allowed Vertical Fenestration (ft</t>
    </r>
    <r>
      <rPr>
        <b/>
        <strike/>
        <vertAlign val="superscript"/>
        <sz val="9"/>
        <color rgb="FFFF0000"/>
        <rFont val="Calibri"/>
        <family val="2"/>
      </rPr>
      <t>2</t>
    </r>
    <r>
      <rPr>
        <b/>
        <strike/>
        <sz val="9"/>
        <color rgb="FFFF0000"/>
        <rFont val="Calibri"/>
        <family val="2"/>
      </rPr>
      <t>)- 
West Facing</t>
    </r>
  </si>
  <si>
    <r>
      <t>Total Vertical Fenestration (ft</t>
    </r>
    <r>
      <rPr>
        <b/>
        <strike/>
        <vertAlign val="superscript"/>
        <sz val="9"/>
        <color rgb="FFFF0000"/>
        <rFont val="Calibri"/>
        <family val="2"/>
      </rPr>
      <t>2</t>
    </r>
    <r>
      <rPr>
        <b/>
        <strike/>
        <sz val="9"/>
        <color rgb="FFFF0000"/>
        <rFont val="Calibri"/>
        <family val="2"/>
      </rPr>
      <t>) per Design- West Facing</t>
    </r>
  </si>
  <si>
    <t>East</t>
  </si>
  <si>
    <t>West</t>
  </si>
  <si>
    <t>Orientation</t>
  </si>
  <si>
    <t>Multifamily Fire Rated Swinging</t>
  </si>
  <si>
    <t>MF Common use area entry Non-swinging</t>
  </si>
  <si>
    <t>MF Common use are entry Swinging</t>
  </si>
  <si>
    <t>MF Dwelling Unit Entry</t>
  </si>
  <si>
    <t>Multifamily (MF)</t>
  </si>
  <si>
    <r>
      <t>This table demonstrates compliance with prescriptive exterior door requirements in §140.3(a)7</t>
    </r>
    <r>
      <rPr>
        <b/>
        <i/>
        <sz val="10"/>
        <color rgb="FFFF0000"/>
        <rFont val="Calibri"/>
        <family val="2"/>
        <scheme val="minor"/>
      </rPr>
      <t>/§170.2(a)4</t>
    </r>
    <r>
      <rPr>
        <i/>
        <sz val="10"/>
        <rFont val="Calibri"/>
        <family val="2"/>
        <scheme val="minor"/>
      </rPr>
      <t xml:space="preserve"> for new construction or additions. Doors which are being replaced (alterations) do not need to be documented in this table because there are no Title 24, Part 6 requirements that apply. Exterior doors separate conditioned space from unconditioned space or from ambient air. Doors that are more than 25% glass in area are considered Glazed Doors and should be documented on Table K with fenestration per Table B.</t>
    </r>
  </si>
  <si>
    <r>
      <rPr>
        <strike/>
        <sz val="9"/>
        <color rgb="FFFF0000"/>
        <rFont val="Calibri"/>
        <family val="2"/>
        <scheme val="minor"/>
      </rPr>
      <t xml:space="preserve">High-rise Res/ </t>
    </r>
    <r>
      <rPr>
        <sz val="9"/>
        <rFont val="Calibri"/>
        <family val="2"/>
        <scheme val="minor"/>
      </rPr>
      <t>Hotel/ Motel: New</t>
    </r>
  </si>
  <si>
    <r>
      <rPr>
        <strike/>
        <sz val="9"/>
        <color rgb="FFFF0000"/>
        <rFont val="Calibri"/>
        <family val="2"/>
        <scheme val="minor"/>
      </rPr>
      <t xml:space="preserve">High-rise Res/ </t>
    </r>
    <r>
      <rPr>
        <sz val="9"/>
        <rFont val="Calibri"/>
        <family val="2"/>
        <scheme val="minor"/>
      </rPr>
      <t>Hotel/ Motel: Alt. (Replacement &gt; 150ft</t>
    </r>
    <r>
      <rPr>
        <vertAlign val="superscript"/>
        <sz val="9"/>
        <rFont val="Calibri"/>
        <family val="2"/>
        <scheme val="minor"/>
      </rPr>
      <t>2)</t>
    </r>
  </si>
  <si>
    <r>
      <rPr>
        <b/>
        <strike/>
        <sz val="9"/>
        <color rgb="FFFF0000"/>
        <rFont val="Calibri"/>
        <family val="2"/>
        <scheme val="minor"/>
      </rPr>
      <t xml:space="preserve">High-rise Res/ </t>
    </r>
    <r>
      <rPr>
        <sz val="9"/>
        <rFont val="Calibri"/>
        <family val="2"/>
        <scheme val="minor"/>
      </rPr>
      <t>Hotel/ Motel: Alt.(Adding New &gt; 50ft</t>
    </r>
    <r>
      <rPr>
        <vertAlign val="superscript"/>
        <sz val="9"/>
        <rFont val="Calibri"/>
        <family val="2"/>
        <scheme val="minor"/>
      </rPr>
      <t>2</t>
    </r>
    <r>
      <rPr>
        <sz val="9"/>
        <rFont val="Calibri"/>
        <family val="2"/>
        <scheme val="minor"/>
      </rPr>
      <t>)</t>
    </r>
  </si>
  <si>
    <r>
      <rPr>
        <b/>
        <strike/>
        <sz val="9"/>
        <color rgb="FFFF0000"/>
        <rFont val="Calibri"/>
        <family val="2"/>
        <scheme val="minor"/>
      </rPr>
      <t xml:space="preserve">High-rise Res/ </t>
    </r>
    <r>
      <rPr>
        <sz val="9"/>
        <rFont val="Calibri"/>
        <family val="2"/>
        <scheme val="minor"/>
      </rPr>
      <t>Hotel/ Motel: Alt. (Adding New &lt;= 50ft</t>
    </r>
    <r>
      <rPr>
        <vertAlign val="superscript"/>
        <sz val="9"/>
        <rFont val="Calibri"/>
        <family val="2"/>
        <scheme val="minor"/>
      </rPr>
      <t>2</t>
    </r>
    <r>
      <rPr>
        <sz val="9"/>
        <rFont val="Calibri"/>
        <family val="2"/>
        <scheme val="minor"/>
      </rPr>
      <t>)</t>
    </r>
  </si>
  <si>
    <r>
      <rPr>
        <i/>
        <vertAlign val="superscript"/>
        <sz val="9"/>
        <rFont val="Calibri"/>
        <family val="2"/>
        <scheme val="minor"/>
      </rPr>
      <t>2</t>
    </r>
    <r>
      <rPr>
        <i/>
        <sz val="9"/>
        <rFont val="Calibri"/>
        <family val="2"/>
        <scheme val="minor"/>
      </rPr>
      <t xml:space="preserve"> The NA6 Default Calculation can only be used for </t>
    </r>
    <r>
      <rPr>
        <b/>
        <i/>
        <sz val="9"/>
        <color rgb="FFFF0000"/>
        <rFont val="Calibri"/>
        <family val="2"/>
        <scheme val="minor"/>
      </rPr>
      <t>alterations or dwelling units in buildings with &lt;= 3 habitable stories.</t>
    </r>
    <r>
      <rPr>
        <i/>
        <sz val="9"/>
        <rFont val="Calibri"/>
        <family val="2"/>
        <scheme val="minor"/>
      </rPr>
      <t xml:space="preserve"> </t>
    </r>
    <r>
      <rPr>
        <b/>
        <strike/>
        <sz val="9"/>
        <color rgb="FFFF0000"/>
        <rFont val="Calibri"/>
        <family val="2"/>
        <scheme val="minor"/>
      </rPr>
      <t xml:space="preserve">with less than </t>
    </r>
    <r>
      <rPr>
        <b/>
        <i/>
        <sz val="9"/>
        <color rgb="FFFF0000"/>
        <rFont val="Calibri"/>
        <family val="2"/>
        <scheme val="minor"/>
      </rPr>
      <t>Alterations are limited to 200 ft</t>
    </r>
    <r>
      <rPr>
        <b/>
        <i/>
        <vertAlign val="superscript"/>
        <sz val="9"/>
        <color rgb="FFFF0000"/>
        <rFont val="Calibri"/>
        <family val="2"/>
        <scheme val="minor"/>
      </rPr>
      <t>2</t>
    </r>
    <r>
      <rPr>
        <b/>
        <i/>
        <sz val="9"/>
        <color rgb="FFFF0000"/>
        <rFont val="Calibri"/>
        <family val="2"/>
        <scheme val="minor"/>
      </rPr>
      <t xml:space="preserve"> of site built glazing and dwelling units are limited to 250ft</t>
    </r>
    <r>
      <rPr>
        <b/>
        <i/>
        <vertAlign val="superscript"/>
        <sz val="9"/>
        <color rgb="FFFF0000"/>
        <rFont val="Calibri"/>
        <family val="2"/>
        <scheme val="minor"/>
      </rPr>
      <t>2</t>
    </r>
    <r>
      <rPr>
        <b/>
        <i/>
        <sz val="9"/>
        <color rgb="FFFF0000"/>
        <rFont val="Calibri"/>
        <family val="2"/>
        <scheme val="minor"/>
      </rPr>
      <t xml:space="preserve"> or 5% of conditioned floor area. </t>
    </r>
    <r>
      <rPr>
        <i/>
        <sz val="9"/>
        <rFont val="Calibri"/>
        <family val="2"/>
        <scheme val="minor"/>
      </rPr>
      <t xml:space="preserve">If the </t>
    </r>
    <r>
      <rPr>
        <b/>
        <i/>
        <strike/>
        <sz val="9"/>
        <color rgb="FFFF0000"/>
        <rFont val="Calibri"/>
        <family val="2"/>
        <scheme val="minor"/>
      </rPr>
      <t xml:space="preserve">project </t>
    </r>
    <r>
      <rPr>
        <b/>
        <i/>
        <sz val="9"/>
        <color rgb="FFFF0000"/>
        <rFont val="Calibri"/>
        <family val="2"/>
        <scheme val="minor"/>
      </rPr>
      <t xml:space="preserve">fenestration does not meet these conditions </t>
    </r>
    <r>
      <rPr>
        <b/>
        <strike/>
        <sz val="9"/>
        <color rgb="FFFF0000"/>
        <rFont val="Calibri"/>
        <family val="2"/>
        <scheme val="minor"/>
      </rPr>
      <t>has greater than 200 ft</t>
    </r>
    <r>
      <rPr>
        <b/>
        <strike/>
        <vertAlign val="superscript"/>
        <sz val="9"/>
        <color rgb="FFFF0000"/>
        <rFont val="Calibri"/>
        <family val="2"/>
        <scheme val="minor"/>
      </rPr>
      <t>2</t>
    </r>
    <r>
      <rPr>
        <i/>
        <sz val="9"/>
        <rFont val="Calibri"/>
        <family val="2"/>
        <scheme val="minor"/>
      </rPr>
      <t>, the only options for determining fenestration values are NFRC Certification or the Default Tables in §110.6.</t>
    </r>
  </si>
  <si>
    <r>
      <rPr>
        <b/>
        <i/>
        <vertAlign val="superscript"/>
        <sz val="9"/>
        <rFont val="Calibri"/>
        <family val="2"/>
        <scheme val="minor"/>
      </rPr>
      <t>3</t>
    </r>
    <r>
      <rPr>
        <i/>
        <vertAlign val="superscript"/>
        <sz val="9"/>
        <rFont val="Calibri"/>
        <family val="2"/>
        <scheme val="minor"/>
      </rPr>
      <t xml:space="preserve"> </t>
    </r>
    <r>
      <rPr>
        <i/>
        <sz val="9"/>
        <rFont val="Calibri"/>
        <family val="2"/>
        <scheme val="minor"/>
      </rPr>
      <t>Overhangs must extend past the left and right window the same distance as the depth of the overhang or greater to show an affect on the RSHGC.  If an overhang does not meet this requirement, the affect of the overhang will be ignored.</t>
    </r>
  </si>
  <si>
    <r>
      <rPr>
        <b/>
        <i/>
        <vertAlign val="superscript"/>
        <sz val="9"/>
        <rFont val="Calibri"/>
        <family val="2"/>
        <scheme val="minor"/>
      </rPr>
      <t xml:space="preserve">4 </t>
    </r>
    <r>
      <rPr>
        <i/>
        <sz val="9"/>
        <rFont val="Calibri"/>
        <family val="2"/>
        <scheme val="minor"/>
      </rPr>
      <t>Projecting includes casement and awning windows.</t>
    </r>
  </si>
  <si>
    <t>Dwellng Units &gt; 3 stories: New</t>
  </si>
  <si>
    <r>
      <rPr>
        <b/>
        <strike/>
        <sz val="9"/>
        <color rgb="FFFF0000"/>
        <rFont val="Calibri"/>
        <family val="2"/>
        <scheme val="minor"/>
      </rPr>
      <t xml:space="preserve">High-rise Res/ </t>
    </r>
    <r>
      <rPr>
        <sz val="9"/>
        <color theme="1"/>
        <rFont val="Calibri"/>
        <family val="2"/>
        <scheme val="minor"/>
      </rPr>
      <t>Hotel/ Motel: Alt. (Add/Replacement &gt; 50ft</t>
    </r>
    <r>
      <rPr>
        <vertAlign val="superscript"/>
        <sz val="9"/>
        <color theme="1"/>
        <rFont val="Calibri"/>
        <family val="2"/>
        <scheme val="minor"/>
      </rPr>
      <t>2)</t>
    </r>
  </si>
  <si>
    <r>
      <rPr>
        <b/>
        <strike/>
        <sz val="9"/>
        <color rgb="FFFF0000"/>
        <rFont val="Calibri"/>
        <family val="2"/>
        <scheme val="minor"/>
      </rPr>
      <t xml:space="preserve">High-rise Res/ </t>
    </r>
    <r>
      <rPr>
        <sz val="9"/>
        <color theme="1"/>
        <rFont val="Calibri"/>
        <family val="2"/>
        <scheme val="minor"/>
      </rPr>
      <t>Hotel/ Motel: Alt. (Add/Replacement &lt;= 50ft</t>
    </r>
    <r>
      <rPr>
        <vertAlign val="superscript"/>
        <sz val="9"/>
        <color theme="1"/>
        <rFont val="Calibri"/>
        <family val="2"/>
        <scheme val="minor"/>
      </rPr>
      <t>2)</t>
    </r>
  </si>
  <si>
    <r>
      <t>Overhang Details for RSHGC per §140.3</t>
    </r>
    <r>
      <rPr>
        <b/>
        <sz val="11"/>
        <color rgb="FFFF0000"/>
        <rFont val="Calibri"/>
        <family val="2"/>
        <scheme val="minor"/>
      </rPr>
      <t>/ §170.2</t>
    </r>
  </si>
  <si>
    <r>
      <t>Total Skylight Area using NA6 Default:</t>
    </r>
    <r>
      <rPr>
        <b/>
        <strike/>
        <vertAlign val="superscript"/>
        <sz val="9"/>
        <color rgb="FFFF0000"/>
        <rFont val="Calibri"/>
        <family val="2"/>
      </rPr>
      <t>2</t>
    </r>
  </si>
  <si>
    <r>
      <t xml:space="preserve">"COMPLIES" or "DOES NOT COMPLY".  Complies if column to the left is </t>
    </r>
    <r>
      <rPr>
        <b/>
        <strike/>
        <u/>
        <sz val="9"/>
        <color rgb="FFFF0000"/>
        <rFont val="Calibri"/>
        <family val="2"/>
      </rPr>
      <t>&lt;</t>
    </r>
    <r>
      <rPr>
        <b/>
        <strike/>
        <sz val="9"/>
        <color rgb="FFFF0000"/>
        <rFont val="Calibri"/>
        <family val="2"/>
      </rPr>
      <t xml:space="preserve"> 200ft2, otherwise, DNC.</t>
    </r>
  </si>
  <si>
    <r>
      <rPr>
        <i/>
        <vertAlign val="superscript"/>
        <sz val="9"/>
        <color theme="1"/>
        <rFont val="Calibri"/>
        <family val="2"/>
        <scheme val="minor"/>
      </rPr>
      <t>2</t>
    </r>
    <r>
      <rPr>
        <i/>
        <sz val="9"/>
        <color theme="1"/>
        <rFont val="Calibri"/>
        <family val="2"/>
        <scheme val="minor"/>
      </rPr>
      <t xml:space="preserve"> The NA6 Default Calculation can only be used </t>
    </r>
    <r>
      <rPr>
        <b/>
        <i/>
        <sz val="9"/>
        <color rgb="FFFF0000"/>
        <rFont val="Calibri"/>
        <family val="2"/>
        <scheme val="minor"/>
      </rPr>
      <t>for alterations or dwelling units in buildings with &lt;= 3 habitable stories. with less than Alterations are limited to 200 ft2 of site built glazing and dwelling units are limited to 250ft2 or 5% of conditioned floor area. If the project fenestration does not meet these conditions has greater than 200 ft2, the only options for determining fenestration values are NFRC Certification or the Default Tables in §110.6.</t>
    </r>
  </si>
  <si>
    <r>
      <t>Table K indicates more than 200ft</t>
    </r>
    <r>
      <rPr>
        <b/>
        <strike/>
        <vertAlign val="superscript"/>
        <sz val="10"/>
        <color rgb="FFFF0000"/>
        <rFont val="Calibri"/>
        <family val="2"/>
        <scheme val="minor"/>
      </rPr>
      <t>2</t>
    </r>
    <r>
      <rPr>
        <b/>
        <strike/>
        <sz val="10"/>
        <color rgb="FFFF0000"/>
        <rFont val="Calibri"/>
        <family val="2"/>
        <scheme val="minor"/>
      </rPr>
      <t xml:space="preserve"> of site built skylight is using the NA6 default to demonstrate compliance.  Please review Table K to reduce the area of site built skylight using NA6 to 200ft</t>
    </r>
    <r>
      <rPr>
        <b/>
        <strike/>
        <vertAlign val="superscript"/>
        <sz val="10"/>
        <color rgb="FFFF0000"/>
        <rFont val="Calibri"/>
        <family val="2"/>
        <scheme val="minor"/>
      </rPr>
      <t>2</t>
    </r>
    <r>
      <rPr>
        <b/>
        <strike/>
        <sz val="10"/>
        <color rgb="FFFF0000"/>
        <rFont val="Calibri"/>
        <family val="2"/>
        <scheme val="minor"/>
      </rPr>
      <t xml:space="preserve"> or less.</t>
    </r>
  </si>
  <si>
    <r>
      <rPr>
        <b/>
        <strike/>
        <sz val="9"/>
        <color rgb="FFFF0000"/>
        <rFont val="Calibri"/>
        <family val="2"/>
      </rPr>
      <t>Left Extent</t>
    </r>
    <r>
      <rPr>
        <b/>
        <strike/>
        <vertAlign val="superscript"/>
        <sz val="9"/>
        <color rgb="FFFF0000"/>
        <rFont val="Calibri"/>
        <family val="2"/>
      </rPr>
      <t xml:space="preserve">3 </t>
    </r>
    <r>
      <rPr>
        <b/>
        <strike/>
        <sz val="9"/>
        <color rgb="FFFF0000"/>
        <rFont val="Calibri"/>
        <family val="2"/>
      </rPr>
      <t>(ft)</t>
    </r>
    <r>
      <rPr>
        <b/>
        <sz val="9"/>
        <color rgb="FFFF0000"/>
        <rFont val="Calibri"/>
        <family val="2"/>
      </rPr>
      <t xml:space="preserve">
Projection per Eq. 140.3-C/ 170.2-A</t>
    </r>
  </si>
  <si>
    <r>
      <rPr>
        <b/>
        <strike/>
        <sz val="9"/>
        <color rgb="FFFF0000"/>
        <rFont val="Calibri"/>
        <family val="2"/>
      </rPr>
      <t>Right Extent</t>
    </r>
    <r>
      <rPr>
        <b/>
        <strike/>
        <vertAlign val="superscript"/>
        <sz val="9"/>
        <color rgb="FFFF0000"/>
        <rFont val="Calibri"/>
        <family val="2"/>
      </rPr>
      <t xml:space="preserve">3 </t>
    </r>
    <r>
      <rPr>
        <b/>
        <strike/>
        <sz val="9"/>
        <color rgb="FFFF0000"/>
        <rFont val="Calibri"/>
        <family val="2"/>
      </rPr>
      <t>(ft)</t>
    </r>
    <r>
      <rPr>
        <b/>
        <sz val="9"/>
        <color rgb="FFFF0000"/>
        <rFont val="Calibri"/>
        <family val="2"/>
      </rPr>
      <t xml:space="preserve">
Spacing per Eq. 140.3-C/ 170.2-A</t>
    </r>
  </si>
  <si>
    <r>
      <rPr>
        <sz val="11"/>
        <color rgb="FFFF0000"/>
        <rFont val="Wingdings"/>
        <charset val="2"/>
      </rPr>
      <t>¨</t>
    </r>
    <r>
      <rPr>
        <sz val="11"/>
        <color rgb="FFFF0000"/>
        <rFont val="Calibri"/>
        <family val="2"/>
      </rPr>
      <t xml:space="preserve"> Multifamily Vertical/Glazed Door (new)</t>
    </r>
  </si>
  <si>
    <r>
      <rPr>
        <i/>
        <vertAlign val="superscript"/>
        <sz val="9"/>
        <rFont val="Calibri"/>
        <family val="2"/>
        <scheme val="minor"/>
      </rPr>
      <t>1</t>
    </r>
    <r>
      <rPr>
        <i/>
        <sz val="9"/>
        <rFont val="Calibri"/>
        <family val="2"/>
        <scheme val="minor"/>
      </rPr>
      <t xml:space="preserve"> FOOTNOTE: 5% of total roof area allowed for areas other than atria &gt; 55ft.  10% allowed for atria &gt; 55ft.</t>
    </r>
  </si>
  <si>
    <r>
      <t>Multifamily adding up to 16ft</t>
    </r>
    <r>
      <rPr>
        <b/>
        <vertAlign val="superscript"/>
        <sz val="9"/>
        <color rgb="FFFF0000"/>
        <rFont val="Calibri"/>
        <family val="2"/>
        <scheme val="minor"/>
      </rPr>
      <t>2</t>
    </r>
    <r>
      <rPr>
        <b/>
        <sz val="9"/>
        <color rgb="FFFF0000"/>
        <rFont val="Calibri"/>
        <family val="2"/>
        <scheme val="minor"/>
      </rPr>
      <t xml:space="preserve"> of skylight per dwelling unit?</t>
    </r>
  </si>
  <si>
    <t>Architectural Window- Fixed (Multifamily only)</t>
  </si>
  <si>
    <t>Architectural Window- Operable (Multifamily only)</t>
  </si>
  <si>
    <t>Dwelling Units &lt;= 3 stories: New</t>
  </si>
  <si>
    <r>
      <t>Dwelling Units &lt;= 3 stories: Alt. (Replacement &lt;= 150ft</t>
    </r>
    <r>
      <rPr>
        <b/>
        <vertAlign val="superscript"/>
        <sz val="9"/>
        <color rgb="FFFF0000"/>
        <rFont val="Calibri"/>
        <family val="2"/>
        <scheme val="minor"/>
      </rPr>
      <t>2</t>
    </r>
    <r>
      <rPr>
        <b/>
        <sz val="9"/>
        <color rgb="FFFF0000"/>
        <rFont val="Calibri"/>
        <family val="2"/>
        <scheme val="minor"/>
      </rPr>
      <t>)</t>
    </r>
  </si>
  <si>
    <r>
      <t>Dwelling Units &lt;= 3 stories: Alt. (Replacement &gt; 150ft</t>
    </r>
    <r>
      <rPr>
        <b/>
        <vertAlign val="superscript"/>
        <sz val="9"/>
        <color rgb="FFFF0000"/>
        <rFont val="Calibri"/>
        <family val="2"/>
        <scheme val="minor"/>
      </rPr>
      <t>2</t>
    </r>
    <r>
      <rPr>
        <b/>
        <sz val="9"/>
        <color rgb="FFFF0000"/>
        <rFont val="Calibri"/>
        <family val="2"/>
        <scheme val="minor"/>
      </rPr>
      <t>)</t>
    </r>
  </si>
  <si>
    <r>
      <t>Dwelling Units &lt;= 3 stories: Alt. (Adding New &gt; 50ft</t>
    </r>
    <r>
      <rPr>
        <b/>
        <vertAlign val="superscript"/>
        <sz val="9"/>
        <color rgb="FFFF0000"/>
        <rFont val="Calibri"/>
        <family val="2"/>
        <scheme val="minor"/>
      </rPr>
      <t>2</t>
    </r>
    <r>
      <rPr>
        <b/>
        <sz val="9"/>
        <color rgb="FFFF0000"/>
        <rFont val="Calibri"/>
        <family val="2"/>
        <scheme val="minor"/>
      </rPr>
      <t>)</t>
    </r>
  </si>
  <si>
    <r>
      <t>Dwelling Units &gt; 3 stories: Alt. (Replacement &gt; 150ft</t>
    </r>
    <r>
      <rPr>
        <b/>
        <vertAlign val="superscript"/>
        <sz val="9"/>
        <color rgb="FFFF0000"/>
        <rFont val="Calibri"/>
        <family val="2"/>
        <scheme val="minor"/>
      </rPr>
      <t>2</t>
    </r>
    <r>
      <rPr>
        <b/>
        <sz val="9"/>
        <color rgb="FFFF0000"/>
        <rFont val="Calibri"/>
        <family val="2"/>
        <scheme val="minor"/>
      </rPr>
      <t>)</t>
    </r>
  </si>
  <si>
    <r>
      <t>Dwelling Units &gt; 3 stories: Alt. (Replacement &lt;= 150ft</t>
    </r>
    <r>
      <rPr>
        <b/>
        <vertAlign val="superscript"/>
        <sz val="9"/>
        <color rgb="FFFF0000"/>
        <rFont val="Calibri"/>
        <family val="2"/>
        <scheme val="minor"/>
      </rPr>
      <t>2</t>
    </r>
    <r>
      <rPr>
        <b/>
        <sz val="9"/>
        <color rgb="FFFF0000"/>
        <rFont val="Calibri"/>
        <family val="2"/>
        <scheme val="minor"/>
      </rPr>
      <t>)</t>
    </r>
  </si>
  <si>
    <r>
      <t>Dwelling Units &gt; 3 stories: Alt. (Adding New &gt; 50ft</t>
    </r>
    <r>
      <rPr>
        <b/>
        <vertAlign val="superscript"/>
        <sz val="9"/>
        <color rgb="FFFF0000"/>
        <rFont val="Calibri"/>
        <family val="2"/>
        <scheme val="minor"/>
      </rPr>
      <t>2</t>
    </r>
    <r>
      <rPr>
        <b/>
        <sz val="9"/>
        <color rgb="FFFF0000"/>
        <rFont val="Calibri"/>
        <family val="2"/>
        <scheme val="minor"/>
      </rPr>
      <t>)</t>
    </r>
  </si>
  <si>
    <r>
      <rPr>
        <b/>
        <strike/>
        <sz val="10"/>
        <color rgb="FFFF0000"/>
        <rFont val="Calibri"/>
        <family val="2"/>
        <scheme val="minor"/>
      </rPr>
      <t xml:space="preserve">High-rise Res/ </t>
    </r>
    <r>
      <rPr>
        <strike/>
        <sz val="10"/>
        <color rgb="FFFF0000"/>
        <rFont val="Calibri"/>
        <family val="2"/>
        <scheme val="minor"/>
      </rPr>
      <t>Hotel/ Motel</t>
    </r>
  </si>
  <si>
    <r>
      <rPr>
        <b/>
        <strike/>
        <sz val="9"/>
        <color rgb="FFFF0000"/>
        <rFont val="Calibri"/>
        <family val="2"/>
        <scheme val="minor"/>
      </rPr>
      <t xml:space="preserve">Any </t>
    </r>
    <r>
      <rPr>
        <sz val="9"/>
        <rFont val="Calibri"/>
        <family val="2"/>
        <scheme val="minor"/>
      </rPr>
      <t xml:space="preserve">Occupancy </t>
    </r>
    <r>
      <rPr>
        <b/>
        <sz val="9"/>
        <color rgb="FFFF0000"/>
        <rFont val="Calibri"/>
        <family val="2"/>
        <scheme val="minor"/>
      </rPr>
      <t>other than dwelling unit</t>
    </r>
    <r>
      <rPr>
        <sz val="9"/>
        <rFont val="Calibri"/>
        <family val="2"/>
        <scheme val="minor"/>
      </rPr>
      <t>: Alt. (Replacement &lt;= 150ft</t>
    </r>
    <r>
      <rPr>
        <vertAlign val="superscript"/>
        <sz val="9"/>
        <rFont val="Calibri"/>
        <family val="2"/>
        <scheme val="minor"/>
      </rPr>
      <t>2)</t>
    </r>
  </si>
  <si>
    <t>Table 170.2-A</t>
  </si>
  <si>
    <r>
      <t>&lt;= 3ft</t>
    </r>
    <r>
      <rPr>
        <b/>
        <vertAlign val="superscript"/>
        <sz val="9"/>
        <color rgb="FFFF0000"/>
        <rFont val="Calibri"/>
        <family val="2"/>
        <scheme val="minor"/>
      </rPr>
      <t>2</t>
    </r>
    <r>
      <rPr>
        <b/>
        <sz val="9"/>
        <color rgb="FFFF0000"/>
        <rFont val="Calibri"/>
        <family val="2"/>
        <scheme val="minor"/>
      </rPr>
      <t xml:space="preserve"> glass in dwelling unit door</t>
    </r>
  </si>
  <si>
    <t>Table 180.2-B</t>
  </si>
  <si>
    <r>
      <rPr>
        <b/>
        <sz val="9"/>
        <color rgb="FFFF0000"/>
        <rFont val="Calibri"/>
        <family val="2"/>
      </rPr>
      <t xml:space="preserve">U-factor/ </t>
    </r>
    <r>
      <rPr>
        <b/>
        <sz val="9"/>
        <color rgb="FF000000"/>
        <rFont val="Calibri"/>
        <family val="2"/>
      </rPr>
      <t>(R)SHGC Compliance Method</t>
    </r>
  </si>
  <si>
    <t>Equation 170.2-B (new only)</t>
  </si>
  <si>
    <t>Dwelling Units &lt;= 3 stories: Alt. (Replacement)</t>
  </si>
  <si>
    <r>
      <t>Dwelling Units &lt;= 3 stories: Alt. (Adding &gt; 16ft</t>
    </r>
    <r>
      <rPr>
        <b/>
        <vertAlign val="superscript"/>
        <sz val="9"/>
        <color rgb="FFFF0000"/>
        <rFont val="Calibri"/>
        <family val="2"/>
        <scheme val="minor"/>
      </rPr>
      <t>2</t>
    </r>
    <r>
      <rPr>
        <b/>
        <sz val="9"/>
        <color rgb="FFFF0000"/>
        <rFont val="Calibri"/>
        <family val="2"/>
        <scheme val="minor"/>
      </rPr>
      <t>)</t>
    </r>
  </si>
  <si>
    <t>Dwelling Units &gt; 3 stories: New</t>
  </si>
  <si>
    <t>Dwelling Units &gt; 3 stories: Alt. (Replacement)</t>
  </si>
  <si>
    <r>
      <t>Dwelling Units &gt; 3 stories: Alt. (Adding &gt; 16ft</t>
    </r>
    <r>
      <rPr>
        <b/>
        <vertAlign val="superscript"/>
        <sz val="9"/>
        <color rgb="FFFF0000"/>
        <rFont val="Calibri"/>
        <family val="2"/>
        <scheme val="minor"/>
      </rPr>
      <t>2</t>
    </r>
    <r>
      <rPr>
        <b/>
        <sz val="9"/>
        <color rgb="FFFF0000"/>
        <rFont val="Calibri"/>
        <family val="2"/>
        <scheme val="minor"/>
      </rPr>
      <t>)</t>
    </r>
  </si>
  <si>
    <r>
      <t>Relocatable all CZ: Alt. (Add/Replacement &lt;= 50ft</t>
    </r>
    <r>
      <rPr>
        <vertAlign val="superscript"/>
        <sz val="9"/>
        <color theme="1"/>
        <rFont val="Calibri"/>
        <family val="2"/>
        <scheme val="minor"/>
      </rPr>
      <t>2)</t>
    </r>
  </si>
  <si>
    <t>Pull down</t>
  </si>
  <si>
    <t>Compliance Method for Multifamily Alterations</t>
  </si>
  <si>
    <r>
      <rPr>
        <b/>
        <strike/>
        <sz val="11"/>
        <color rgb="FFFF0000"/>
        <rFont val="Calibri"/>
        <family val="2"/>
        <scheme val="minor"/>
      </rPr>
      <t>13</t>
    </r>
    <r>
      <rPr>
        <b/>
        <sz val="11"/>
        <color rgb="FFFF0000"/>
        <rFont val="Calibri"/>
        <family val="2"/>
        <scheme val="minor"/>
      </rPr>
      <t xml:space="preserve"> 14</t>
    </r>
  </si>
  <si>
    <r>
      <rPr>
        <b/>
        <strike/>
        <sz val="11"/>
        <color rgb="FFFF0000"/>
        <rFont val="Calibri"/>
        <family val="2"/>
      </rPr>
      <t>14</t>
    </r>
    <r>
      <rPr>
        <b/>
        <sz val="11"/>
        <color rgb="FFFF0000"/>
        <rFont val="Calibri"/>
        <family val="2"/>
      </rPr>
      <t xml:space="preserve"> 15</t>
    </r>
  </si>
  <si>
    <r>
      <rPr>
        <b/>
        <strike/>
        <sz val="11"/>
        <color rgb="FFFF0000"/>
        <rFont val="Calibri"/>
        <family val="2"/>
      </rPr>
      <t>15</t>
    </r>
    <r>
      <rPr>
        <b/>
        <sz val="11"/>
        <color rgb="FFFF0000"/>
        <rFont val="Calibri"/>
        <family val="2"/>
      </rPr>
      <t xml:space="preserve"> 16</t>
    </r>
  </si>
  <si>
    <r>
      <rPr>
        <b/>
        <strike/>
        <sz val="11"/>
        <color rgb="FFFF0000"/>
        <rFont val="Calibri"/>
        <family val="2"/>
      </rPr>
      <t>16</t>
    </r>
    <r>
      <rPr>
        <b/>
        <sz val="11"/>
        <color rgb="FFFF0000"/>
        <rFont val="Calibri"/>
        <family val="2"/>
      </rPr>
      <t xml:space="preserve"> 17</t>
    </r>
  </si>
  <si>
    <r>
      <rPr>
        <b/>
        <strike/>
        <sz val="11"/>
        <color rgb="FFFF0000"/>
        <rFont val="Calibri"/>
        <family val="2"/>
        <scheme val="minor"/>
      </rPr>
      <t>17</t>
    </r>
    <r>
      <rPr>
        <b/>
        <sz val="11"/>
        <color rgb="FFFF0000"/>
        <rFont val="Calibri"/>
        <family val="2"/>
        <scheme val="minor"/>
      </rPr>
      <t xml:space="preserve"> 18</t>
    </r>
  </si>
  <si>
    <r>
      <rPr>
        <b/>
        <strike/>
        <sz val="11"/>
        <color rgb="FFFF0000"/>
        <rFont val="Calibri"/>
        <family val="2"/>
      </rPr>
      <t>18</t>
    </r>
    <r>
      <rPr>
        <b/>
        <sz val="11"/>
        <color rgb="FFFF0000"/>
        <rFont val="Calibri"/>
        <family val="2"/>
      </rPr>
      <t xml:space="preserve"> 19</t>
    </r>
  </si>
  <si>
    <r>
      <rPr>
        <b/>
        <strike/>
        <sz val="11"/>
        <color rgb="FFFF0000"/>
        <rFont val="Calibri"/>
        <family val="2"/>
      </rPr>
      <t>19</t>
    </r>
    <r>
      <rPr>
        <b/>
        <sz val="11"/>
        <color rgb="FFFF0000"/>
        <rFont val="Calibri"/>
        <family val="2"/>
      </rPr>
      <t xml:space="preserve"> 20</t>
    </r>
  </si>
  <si>
    <r>
      <rPr>
        <b/>
        <strike/>
        <sz val="11"/>
        <color rgb="FFFF0000"/>
        <rFont val="Calibri"/>
        <family val="2"/>
      </rPr>
      <t>20</t>
    </r>
    <r>
      <rPr>
        <b/>
        <sz val="11"/>
        <color rgb="FFFF0000"/>
        <rFont val="Calibri"/>
        <family val="2"/>
      </rPr>
      <t xml:space="preserve"> 21</t>
    </r>
  </si>
  <si>
    <r>
      <rPr>
        <b/>
        <strike/>
        <sz val="11"/>
        <color rgb="FFFF0000"/>
        <rFont val="Calibri"/>
        <family val="2"/>
      </rPr>
      <t>21</t>
    </r>
    <r>
      <rPr>
        <b/>
        <sz val="11"/>
        <color rgb="FFFF0000"/>
        <rFont val="Calibri"/>
        <family val="2"/>
      </rPr>
      <t xml:space="preserve"> 22</t>
    </r>
  </si>
  <si>
    <t>Note C1 and C2 for skylghts with no curb changed in 2019 but I missed it. Values were transposed for metal &amp;  metal w thermal break. Let's update for 2022</t>
  </si>
  <si>
    <r>
      <rPr>
        <b/>
        <strike/>
        <sz val="10"/>
        <color rgb="FFFF0000"/>
        <rFont val="Calibri"/>
        <family val="2"/>
        <scheme val="minor"/>
      </rPr>
      <t>High-rise Res/</t>
    </r>
    <r>
      <rPr>
        <sz val="10"/>
        <rFont val="Calibri"/>
        <family val="2"/>
        <scheme val="minor"/>
      </rPr>
      <t xml:space="preserve"> Hotel/ Motel</t>
    </r>
  </si>
  <si>
    <r>
      <rPr>
        <b/>
        <strike/>
        <sz val="9"/>
        <color rgb="FFFF0000"/>
        <rFont val="Calibri"/>
        <family val="2"/>
        <scheme val="minor"/>
      </rPr>
      <t xml:space="preserve">High-rise Res/ </t>
    </r>
    <r>
      <rPr>
        <sz val="9"/>
        <rFont val="Calibri"/>
        <family val="2"/>
        <scheme val="minor"/>
      </rPr>
      <t>Hotel/ Motel: New</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</si>
  <si>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Metal Panel walls are combined with wood framed, spandrel &amp; curtain, SIPs and straw bale wall types. The area-weighted compliance option is not available for alterations demonstrating compliance with R-values in §141.0(b)1B3.</t>
    </r>
  </si>
  <si>
    <r>
      <t>Location</t>
    </r>
    <r>
      <rPr>
        <b/>
        <sz val="9"/>
        <color rgb="FFFF0000"/>
        <rFont val="Calibri"/>
        <family val="2"/>
        <scheme val="minor"/>
      </rPr>
      <t>/ Fire Rating</t>
    </r>
  </si>
  <si>
    <r>
      <rPr>
        <b/>
        <sz val="11"/>
        <color rgb="FFFF0000"/>
        <rFont val="Wingdings"/>
        <charset val="2"/>
      </rPr>
      <t>¨</t>
    </r>
    <r>
      <rPr>
        <b/>
        <sz val="11"/>
        <color rgb="FFFF0000"/>
        <rFont val="Calibri"/>
        <family val="2"/>
      </rPr>
      <t xml:space="preserve"> Framed-Multifamily</t>
    </r>
  </si>
  <si>
    <r>
      <t>New or Add &gt; 700ft</t>
    </r>
    <r>
      <rPr>
        <vertAlign val="superscript"/>
        <sz val="11"/>
        <color theme="1"/>
        <rFont val="Calibri"/>
        <family val="2"/>
        <scheme val="minor"/>
      </rPr>
      <t>2</t>
    </r>
  </si>
  <si>
    <r>
      <t>Add &lt;= 700ft</t>
    </r>
    <r>
      <rPr>
        <vertAlign val="superscript"/>
        <sz val="11"/>
        <color theme="1"/>
        <rFont val="Calibri"/>
        <family val="2"/>
        <scheme val="minor"/>
      </rPr>
      <t>2</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</si>
  <si>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The area-weighted compliance option is not available for assemblies demonstrating compliance with R-value requirements.</t>
    </r>
  </si>
  <si>
    <t>Exception to Roof Insulation Requirements in §180.2(b)1 (Alts. Only)</t>
  </si>
  <si>
    <t>Exception to §180.2(b)1 dropdown</t>
  </si>
  <si>
    <t>Roof recovers with new R-10 insulation added above deck</t>
  </si>
  <si>
    <t xml:space="preserve">  Existing mechanical equipment located on the roof will not be disconnected and lifted, insulation added is the greater of R-10 or the maximum installed thickness that will allow the distance between the height of the roof membrane surface to the top of the base flashing to remain in accordance with the manufacturer’s instructions.</t>
  </si>
  <si>
    <t>The area of the roof recoat is not required to be insulated</t>
  </si>
  <si>
    <t>Frame Material</t>
  </si>
  <si>
    <t>Roof Type dropdown</t>
  </si>
  <si>
    <t>Enclosed Rafter Ceiling</t>
  </si>
  <si>
    <t>Not vented attic or enclosed rafter</t>
  </si>
  <si>
    <t>Vented Attic</t>
  </si>
  <si>
    <t>Other than Vented Attic</t>
  </si>
  <si>
    <t xml:space="preserve">Alt. Low Slope &lt; 2:12 </t>
  </si>
  <si>
    <t xml:space="preserve">Alt. Steep Slope &gt;= 2:12 </t>
  </si>
  <si>
    <t>Dwelling units have at least R-19 existing insulation installed at the ceiling level in climate zone 1, 3, 4 or 9.</t>
  </si>
  <si>
    <t>Project located in Climate Zone 5, 6, or 7</t>
  </si>
  <si>
    <t>Dwelling units have at least R-38 existing insulation installed at the ceiling level in climate zone 2, 8 or 10-16</t>
  </si>
  <si>
    <t>The alteration would directly cause the disturbance of asbestos and the asbestos is not being abated.</t>
  </si>
  <si>
    <t>There is knob and tube wiring located in the vented attic.</t>
  </si>
  <si>
    <t>Accessible space in the attic is not large enough to accommodate the required R-value and the entire accessible space will be filled with insulation provided such installation does not violate Section 806.3 of Title 24, Part 2.5.</t>
  </si>
  <si>
    <t>Attic space above the altered dwelling unit is shared with other dwelling units and the requirements of Section 180.2(b)1Bi are not triggered for the other dwelling units.</t>
  </si>
  <si>
    <r>
      <t xml:space="preserve">Roof Type </t>
    </r>
    <r>
      <rPr>
        <b/>
        <vertAlign val="superscript"/>
        <sz val="9"/>
        <color theme="1"/>
        <rFont val="Calibri"/>
        <family val="2"/>
        <scheme val="minor"/>
      </rPr>
      <t>2</t>
    </r>
    <r>
      <rPr>
        <b/>
        <sz val="9"/>
        <color theme="1"/>
        <rFont val="Calibri"/>
        <family val="2"/>
        <scheme val="minor"/>
      </rPr>
      <t xml:space="preserve"> </t>
    </r>
  </si>
  <si>
    <r>
      <rPr>
        <i/>
        <vertAlign val="superscript"/>
        <sz val="10"/>
        <rFont val="Calibri"/>
        <family val="2"/>
        <scheme val="minor"/>
      </rPr>
      <t>2</t>
    </r>
    <r>
      <rPr>
        <i/>
        <sz val="10"/>
        <rFont val="Calibri"/>
        <family val="2"/>
        <scheme val="minor"/>
      </rPr>
      <t xml:space="preserve"> Option B: insulation installed between the roof rafters in contact with the roof deck and an additional layer of ceiling insulation located between the attic and the conditioned space; Option C: ceiling insulation located between the attic and the conditioned space.</t>
    </r>
  </si>
  <si>
    <r>
      <rPr>
        <b/>
        <strike/>
        <sz val="9"/>
        <color rgb="FFFF0000"/>
        <rFont val="Calibri"/>
        <family val="2"/>
        <scheme val="minor"/>
      </rPr>
      <t>High-rise Res/</t>
    </r>
    <r>
      <rPr>
        <sz val="9"/>
        <color theme="1"/>
        <rFont val="Calibri"/>
        <family val="2"/>
        <scheme val="minor"/>
      </rPr>
      <t xml:space="preserve"> Hotel/ Motel</t>
    </r>
  </si>
  <si>
    <r>
      <rPr>
        <b/>
        <strike/>
        <sz val="9"/>
        <color rgb="FFFF0000"/>
        <rFont val="Calibri"/>
        <family val="2"/>
        <scheme val="minor"/>
      </rPr>
      <t xml:space="preserve">High-rise Res/ </t>
    </r>
    <r>
      <rPr>
        <sz val="9"/>
        <color theme="1"/>
        <rFont val="Calibri"/>
        <family val="2"/>
        <scheme val="minor"/>
      </rPr>
      <t>Hotel/ Motel</t>
    </r>
  </si>
  <si>
    <t>17</t>
  </si>
  <si>
    <t>THIS ENTIRE SUBTABLE IS NEW FOR 2022, it is mostly the same as the NR Framing subtable</t>
  </si>
  <si>
    <t>Compliance Unit</t>
  </si>
  <si>
    <t>Assemblies Using U-factor as Compliance Unit</t>
  </si>
  <si>
    <r>
      <t>Net Area</t>
    </r>
    <r>
      <rPr>
        <b/>
        <vertAlign val="superscript"/>
        <sz val="9"/>
        <rFont val="Calibri"/>
        <family val="2"/>
        <scheme val="minor"/>
      </rPr>
      <t>3</t>
    </r>
    <r>
      <rPr>
        <b/>
        <sz val="9"/>
        <rFont val="Calibri"/>
        <family val="2"/>
        <scheme val="minor"/>
      </rPr>
      <t xml:space="preserve">
(ft</t>
    </r>
    <r>
      <rPr>
        <b/>
        <vertAlign val="superscript"/>
        <sz val="9"/>
        <rFont val="Calibri"/>
        <family val="2"/>
        <scheme val="minor"/>
      </rPr>
      <t>2</t>
    </r>
    <r>
      <rPr>
        <b/>
        <sz val="9"/>
        <rFont val="Calibri"/>
        <family val="2"/>
        <scheme val="minor"/>
      </rPr>
      <t>)</t>
    </r>
  </si>
  <si>
    <r>
      <rPr>
        <b/>
        <i/>
        <vertAlign val="superscript"/>
        <sz val="10"/>
        <rFont val="Calibri"/>
        <family val="2"/>
        <scheme val="minor"/>
      </rPr>
      <t>3</t>
    </r>
    <r>
      <rPr>
        <i/>
        <sz val="10"/>
        <color theme="1"/>
        <rFont val="Calibri"/>
        <family val="2"/>
        <scheme val="minor"/>
      </rPr>
      <t xml:space="preserve"> Roof area minus any fenestration/ skylight area</t>
    </r>
  </si>
  <si>
    <t>Assemblies Using R-value as Compliance Unit</t>
  </si>
  <si>
    <t>20</t>
  </si>
  <si>
    <t>Radiant Barrier Req?</t>
  </si>
  <si>
    <r>
      <t>Minimum R-value Required</t>
    </r>
    <r>
      <rPr>
        <b/>
        <vertAlign val="superscript"/>
        <sz val="9"/>
        <rFont val="Calibri"/>
        <family val="2"/>
        <scheme val="minor"/>
      </rPr>
      <t>3</t>
    </r>
  </si>
  <si>
    <t>At Ceiling</t>
  </si>
  <si>
    <r>
      <t>Below Roof Deck</t>
    </r>
    <r>
      <rPr>
        <vertAlign val="superscript"/>
        <sz val="9"/>
        <rFont val="Calibri"/>
        <family val="2"/>
        <scheme val="minor"/>
      </rPr>
      <t>4</t>
    </r>
  </si>
  <si>
    <r>
      <rPr>
        <b/>
        <i/>
        <vertAlign val="superscript"/>
        <sz val="10"/>
        <rFont val="Calibri"/>
        <family val="2"/>
        <scheme val="minor"/>
      </rPr>
      <t>4</t>
    </r>
    <r>
      <rPr>
        <i/>
        <sz val="10"/>
        <rFont val="Calibri"/>
        <family val="2"/>
        <scheme val="minor"/>
      </rPr>
      <t xml:space="preserve"> Install the specified R-value with an air space present between the roofing and the roof deck. Such as standard installation of concrete or clay tile. R-values shown  are for wood-frame construction with insulation installed between the framing members. Alternatives including insulation above rafters or above roof deck shall comply with the performance standards.</t>
    </r>
  </si>
  <si>
    <t xml:space="preserve">Attic- Opt. B </t>
  </si>
  <si>
    <t>Attic- Opt. C</t>
  </si>
  <si>
    <t>Yes/No</t>
  </si>
  <si>
    <r>
      <rPr>
        <b/>
        <i/>
        <vertAlign val="superscript"/>
        <sz val="10"/>
        <rFont val="Calibri"/>
        <family val="2"/>
        <scheme val="minor"/>
      </rPr>
      <t>3</t>
    </r>
    <r>
      <rPr>
        <i/>
        <sz val="10"/>
        <rFont val="Calibri"/>
        <family val="2"/>
        <scheme val="minor"/>
      </rPr>
      <t xml:space="preserve"> When R-value is used for low-sloped roof alterations, the value shown here is for continuous insulation per §180.2(b)1Aiii.</t>
    </r>
  </si>
  <si>
    <t>Area-Weighted Average U-factor Compliance Calculation for Multifamily-Framed</t>
  </si>
  <si>
    <r>
      <t>Total Area of Roof Type
(ft</t>
    </r>
    <r>
      <rPr>
        <b/>
        <vertAlign val="superscript"/>
        <sz val="9"/>
        <color rgb="FFFF0000"/>
        <rFont val="Calibri"/>
        <family val="2"/>
        <scheme val="minor"/>
      </rPr>
      <t>2</t>
    </r>
    <r>
      <rPr>
        <b/>
        <sz val="9"/>
        <color rgb="FFFF0000"/>
        <rFont val="Calibri"/>
        <family val="2"/>
        <scheme val="minor"/>
      </rPr>
      <t>)</t>
    </r>
  </si>
  <si>
    <t>Multifamily Framed Roof</t>
  </si>
  <si>
    <r>
      <t>Sum of "Area (ft</t>
    </r>
    <r>
      <rPr>
        <i/>
        <vertAlign val="superscript"/>
        <sz val="9"/>
        <color rgb="FFFF0000"/>
        <rFont val="Calibri"/>
        <family val="2"/>
        <scheme val="minor"/>
      </rPr>
      <t>2</t>
    </r>
    <r>
      <rPr>
        <i/>
        <sz val="9"/>
        <color rgb="FFFF0000"/>
        <rFont val="Calibri"/>
        <family val="2"/>
        <scheme val="minor"/>
      </rPr>
      <t>)" column 18 for the subtable</t>
    </r>
  </si>
  <si>
    <t>Multifamily &gt; 1hr fire rating</t>
  </si>
  <si>
    <t>Multifamily &lt;= 1hr fire rating</t>
  </si>
  <si>
    <r>
      <t>This table specifies project envelope components within the permit application demonstrating compliance using the prescriptive paths outlined in §140.3</t>
    </r>
    <r>
      <rPr>
        <b/>
        <i/>
        <sz val="10"/>
        <color rgb="FFFF0000"/>
        <rFont val="Calibri"/>
        <family val="2"/>
      </rPr>
      <t>/§170.2</t>
    </r>
    <r>
      <rPr>
        <i/>
        <sz val="10"/>
        <rFont val="Calibri"/>
        <family val="2"/>
      </rPr>
      <t>, and §141.0(a)1</t>
    </r>
    <r>
      <rPr>
        <b/>
        <i/>
        <sz val="10"/>
        <color rgb="FFFF0000"/>
        <rFont val="Calibri"/>
        <family val="2"/>
      </rPr>
      <t>/§180.1</t>
    </r>
    <r>
      <rPr>
        <i/>
        <sz val="10"/>
        <rFont val="Calibri"/>
        <family val="2"/>
      </rPr>
      <t xml:space="preserve"> and §141.0(b)1 and 2</t>
    </r>
    <r>
      <rPr>
        <b/>
        <i/>
        <sz val="10"/>
        <color rgb="FFFF0000"/>
        <rFont val="Calibri"/>
        <family val="2"/>
      </rPr>
      <t>/ §180.2</t>
    </r>
    <r>
      <rPr>
        <i/>
        <sz val="10"/>
        <rFont val="Calibri"/>
        <family val="2"/>
      </rPr>
      <t xml:space="preserve"> for additions and alterations. </t>
    </r>
  </si>
  <si>
    <r>
      <t>This document is used to demonstrate compliance with mandatory requirements in §110.8(g) and §120.7(b)/</t>
    </r>
    <r>
      <rPr>
        <b/>
        <i/>
        <sz val="10"/>
        <color rgb="FFFF0000"/>
        <rFont val="Calibri"/>
        <family val="2"/>
      </rPr>
      <t>§160.1</t>
    </r>
    <r>
      <rPr>
        <i/>
        <sz val="10"/>
        <rFont val="Calibri"/>
        <family val="2"/>
      </rPr>
      <t xml:space="preserve"> for newly constructed </t>
    </r>
    <r>
      <rPr>
        <b/>
        <i/>
        <sz val="10"/>
        <color rgb="FFFF0000"/>
        <rFont val="Calibri"/>
        <family val="2"/>
      </rPr>
      <t>nonresidential, hotel/motel, multifamily and mixed-use buildings</t>
    </r>
    <r>
      <rPr>
        <i/>
        <sz val="10"/>
        <rFont val="Calibri"/>
        <family val="2"/>
      </rPr>
      <t>, and §141.0(b)1</t>
    </r>
    <r>
      <rPr>
        <b/>
        <i/>
        <sz val="10"/>
        <color rgb="FFFF0000"/>
        <rFont val="Calibri"/>
        <family val="2"/>
      </rPr>
      <t>/§180.2</t>
    </r>
    <r>
      <rPr>
        <i/>
        <sz val="10"/>
        <rFont val="Calibri"/>
        <family val="2"/>
      </rPr>
      <t xml:space="preserve"> for alterations, related to roof, wall and floor assemblies.  It is also used to demonstrate compliance with prescriptive requirements in §140.3</t>
    </r>
    <r>
      <rPr>
        <b/>
        <i/>
        <sz val="10"/>
        <color rgb="FFFF0000"/>
        <rFont val="Calibri"/>
        <family val="2"/>
      </rPr>
      <t>/§170.2</t>
    </r>
    <r>
      <rPr>
        <i/>
        <sz val="10"/>
        <rFont val="Calibri"/>
        <family val="2"/>
      </rPr>
      <t xml:space="preserve"> for newly constructed buildings, and §141.0</t>
    </r>
    <r>
      <rPr>
        <b/>
        <i/>
        <sz val="10"/>
        <color rgb="FFFF0000"/>
        <rFont val="Calibri"/>
        <family val="2"/>
      </rPr>
      <t>/§180.1/§180.2</t>
    </r>
    <r>
      <rPr>
        <i/>
        <sz val="10"/>
        <rFont val="Calibri"/>
        <family val="2"/>
      </rPr>
      <t xml:space="preserve"> for additions and alterations, related to roof, wall, floor, door, fenestration and daylighting requirements.</t>
    </r>
  </si>
  <si>
    <r>
      <rPr>
        <i/>
        <vertAlign val="superscript"/>
        <sz val="10"/>
        <rFont val="Calibri"/>
        <family val="2"/>
        <scheme val="minor"/>
      </rPr>
      <t>1</t>
    </r>
    <r>
      <rPr>
        <i/>
        <sz val="10"/>
        <rFont val="Calibri"/>
        <family val="2"/>
        <scheme val="minor"/>
      </rPr>
      <t xml:space="preserve"> FOOTNOTE:  Enclosed spaces  &gt; 5,000 ft² directly under roof with ceiling height &gt; 15ft in climate zones 2 through 15 are required to meet the minimum daylighting requirements defined in §140.3(c)</t>
    </r>
    <r>
      <rPr>
        <b/>
        <i/>
        <sz val="10"/>
        <color rgb="FFFF0000"/>
        <rFont val="Calibri"/>
        <family val="2"/>
        <scheme val="minor"/>
      </rPr>
      <t>/§170.2(b)</t>
    </r>
    <r>
      <rPr>
        <i/>
        <sz val="10"/>
        <rFont val="Calibri"/>
        <family val="2"/>
        <scheme val="minor"/>
      </rPr>
      <t>.  Compliance with  §140.3(c)</t>
    </r>
    <r>
      <rPr>
        <b/>
        <i/>
        <sz val="10"/>
        <color rgb="FFFF0000"/>
        <rFont val="Calibri"/>
        <family val="2"/>
        <scheme val="minor"/>
      </rPr>
      <t>/§170.2(b)</t>
    </r>
    <r>
      <rPr>
        <i/>
        <sz val="10"/>
        <rFont val="Calibri"/>
        <family val="2"/>
        <scheme val="minor"/>
      </rPr>
      <t xml:space="preserve"> is documented in Table L.  This is the only prescriptive requirement which applies to unconditioned spaces.</t>
    </r>
  </si>
  <si>
    <r>
      <t>Table F indicates the roof alteration scope meets an exception listed in §141.0(b)2Biii</t>
    </r>
    <r>
      <rPr>
        <b/>
        <sz val="10"/>
        <color rgb="FFFF0000"/>
        <rFont val="Calibri"/>
        <family val="2"/>
        <scheme val="minor"/>
      </rPr>
      <t>/§180.2</t>
    </r>
    <r>
      <rPr>
        <sz val="10"/>
        <rFont val="Calibri"/>
        <family val="2"/>
        <scheme val="minor"/>
      </rPr>
      <t xml:space="preserve"> and therefore does not trigger roof assembly insulation requirements.</t>
    </r>
  </si>
  <si>
    <r>
      <t>This table demonstrates compliance with prescriptive roof assembly requirements in §140.3(a)1B</t>
    </r>
    <r>
      <rPr>
        <b/>
        <i/>
        <sz val="10"/>
        <color rgb="FFFF0000"/>
        <rFont val="Calibri"/>
        <family val="2"/>
        <scheme val="minor"/>
      </rPr>
      <t>/§170.2(a)1B</t>
    </r>
    <r>
      <rPr>
        <i/>
        <sz val="10"/>
        <rFont val="Calibri"/>
        <family val="2"/>
        <scheme val="minor"/>
      </rPr>
      <t xml:space="preserve"> for new construction, </t>
    </r>
    <r>
      <rPr>
        <b/>
        <i/>
        <sz val="10"/>
        <color rgb="FFFF0000"/>
        <rFont val="Calibri"/>
        <family val="2"/>
        <scheme val="minor"/>
      </rPr>
      <t>§141.0(a)/§180.1 for additions and §141.0(b)2Biii/§180.2 for alterations.</t>
    </r>
    <r>
      <rPr>
        <i/>
        <sz val="10"/>
        <rFont val="Calibri"/>
        <family val="2"/>
        <scheme val="minor"/>
      </rPr>
      <t xml:space="preserve"> </t>
    </r>
  </si>
  <si>
    <r>
      <rPr>
        <i/>
        <sz val="10"/>
        <rFont val="Calibri"/>
        <family val="2"/>
        <scheme val="minor"/>
      </rPr>
      <t>This table demonstrates compliance with prescriptive wall assembly requirements in</t>
    </r>
    <r>
      <rPr>
        <b/>
        <i/>
        <sz val="10"/>
        <color rgb="FFFF0000"/>
        <rFont val="Calibri"/>
        <family val="2"/>
        <scheme val="minor"/>
      </rPr>
      <t xml:space="preserve"> §140.3(a)/§170.2(a) for new construction, §141.0(a)/§180.1 for additions and §141.0(b)1B/§180.2 for alterations. </t>
    </r>
  </si>
  <si>
    <r>
      <t>This table demonstrates compliance with prescriptive floor assembly requirements in</t>
    </r>
    <r>
      <rPr>
        <b/>
        <i/>
        <sz val="10"/>
        <color rgb="FFFF0000"/>
        <rFont val="Calibri"/>
        <family val="2"/>
        <scheme val="minor"/>
      </rPr>
      <t xml:space="preserve"> §140.3(a)4/§170.2(a)5 for new construction,  §141.0(a)/§180.1 for additions or mandatory floor assembly requirements in §141.0(b)1C/§180.2 for alterations.</t>
    </r>
  </si>
  <si>
    <r>
      <t xml:space="preserve"> This table demonstrates compliance with prescriptive fenestration requirements in </t>
    </r>
    <r>
      <rPr>
        <b/>
        <i/>
        <sz val="10"/>
        <color rgb="FFFF0000"/>
        <rFont val="Calibri"/>
        <family val="2"/>
        <scheme val="minor"/>
      </rPr>
      <t>§140.3(a)5/§170.2(a)3 for new construction, §141.0(a)/§180.1 for additions, or §141.0(b)2A/§180.2 for alterations.</t>
    </r>
    <r>
      <rPr>
        <i/>
        <sz val="10"/>
        <rFont val="Calibri"/>
        <family val="2"/>
        <scheme val="minor"/>
      </rPr>
      <t xml:space="preserve">  Exterior doors that are more than 25% glass in area are considered Glazed Doors and should be documented on this table with fenestration. </t>
    </r>
  </si>
  <si>
    <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b/>
        <i/>
        <strike/>
        <sz val="10"/>
        <color rgb="FFFF0000"/>
        <rFont val="Calibri"/>
        <family val="2"/>
      </rPr>
      <t xml:space="preserve">https://www.energy.ca.gov/title24/2019standards/2019_compliance_documents/Nonresidential_Documents/NRCI/ </t>
    </r>
    <r>
      <rPr>
        <b/>
        <sz val="10"/>
        <color rgb="FF00B050"/>
        <rFont val="Calibri"/>
        <family val="2"/>
      </rPr>
      <t xml:space="preserve"> </t>
    </r>
  </si>
  <si>
    <r>
      <t>NRCI-ENV</t>
    </r>
    <r>
      <rPr>
        <b/>
        <strike/>
        <sz val="10"/>
        <color rgb="FFFF0000"/>
        <rFont val="Calibri"/>
        <family val="2"/>
        <scheme val="minor"/>
      </rPr>
      <t>-01</t>
    </r>
    <r>
      <rPr>
        <sz val="10"/>
        <color theme="1"/>
        <rFont val="Calibri"/>
        <family val="2"/>
        <scheme val="minor"/>
      </rPr>
      <t xml:space="preserve">-E - Must be submitted for all buildings. </t>
    </r>
  </si>
  <si>
    <r>
      <t xml:space="preserve">Selections have been made based on information provided in previous tables of this document.  If any selection needs to be changed, form user must provide an explanation to be added to Table D Exceptional Conditions.  These documents must be provided to the building inspector during construction and can be found online at </t>
    </r>
    <r>
      <rPr>
        <b/>
        <i/>
        <strike/>
        <sz val="10"/>
        <color rgb="FFFF0000"/>
        <rFont val="Calibri"/>
        <family val="2"/>
      </rPr>
      <t>https://www.energy.ca.gov/title24/2019standards/2019_compliance_documents/Nonresidential_Documents/NRCA/</t>
    </r>
    <r>
      <rPr>
        <i/>
        <sz val="10"/>
        <color rgb="FF231F20"/>
        <rFont val="Calibri"/>
        <family val="2"/>
      </rPr>
      <t>.  Individuals who perform the field testing and verification work, and provide the information required for completion of the fenestration Certificate of Acceptance documentation are not required to be licensed professionals. However, the person who signs the Certificate of Acceptance document to certify compliance with the acceptance requirements shall be licensed as specified in Standards Section 10-103(a)4 and NA7.3.1.</t>
    </r>
  </si>
  <si>
    <r>
      <t>COMPLIES</t>
    </r>
    <r>
      <rPr>
        <b/>
        <i/>
        <sz val="11"/>
        <rFont val="Calibri"/>
        <family val="2"/>
        <scheme val="minor"/>
      </rPr>
      <t xml:space="preserve"> or</t>
    </r>
    <r>
      <rPr>
        <b/>
        <sz val="11"/>
        <rFont val="Calibri"/>
        <family val="2"/>
        <scheme val="minor"/>
      </rPr>
      <t xml:space="preserve"> COMPLIES with Exceptional Conditions  </t>
    </r>
    <r>
      <rPr>
        <b/>
        <i/>
        <sz val="11"/>
        <rFont val="Calibri"/>
        <family val="2"/>
        <scheme val="minor"/>
      </rPr>
      <t>or</t>
    </r>
    <r>
      <rPr>
        <b/>
        <sz val="11"/>
        <rFont val="Calibri"/>
        <family val="2"/>
        <scheme val="minor"/>
      </rPr>
      <t xml:space="preserve">  DOES NOT COMPLY </t>
    </r>
  </si>
  <si>
    <r>
      <t>This table demonstrates compliance with prescriptive daylight zone requirements in §140.3(c)</t>
    </r>
    <r>
      <rPr>
        <b/>
        <i/>
        <sz val="10"/>
        <color rgb="FFFF0000"/>
        <rFont val="Calibri"/>
        <family val="2"/>
      </rPr>
      <t>/§170.2(b)</t>
    </r>
    <r>
      <rPr>
        <i/>
        <sz val="10"/>
        <rFont val="Calibri"/>
        <family val="2"/>
      </rPr>
      <t xml:space="preserve"> for new construction, additions, or alterations which install a new lighting system within climate zones 2-15.  Enclosed spaces greater than 5,000ft2 and under a roof with at least a 15ft ceiling height must be included in the table.</t>
    </r>
    <r>
      <rPr>
        <b/>
        <sz val="10"/>
        <rFont val="Calibri"/>
        <family val="2"/>
      </rPr>
      <t xml:space="preserve"> </t>
    </r>
  </si>
  <si>
    <r>
      <rPr>
        <i/>
        <vertAlign val="superscript"/>
        <sz val="10"/>
        <color rgb="FF000000"/>
        <rFont val="Calibri"/>
        <family val="2"/>
        <scheme val="minor"/>
      </rPr>
      <t>3</t>
    </r>
    <r>
      <rPr>
        <i/>
        <sz val="10"/>
        <color rgb="FF000000"/>
        <rFont val="Calibri"/>
        <family val="2"/>
        <scheme val="minor"/>
      </rPr>
      <t xml:space="preserve">  Must be at least 3% to comply with §140.3(c)4</t>
    </r>
    <r>
      <rPr>
        <b/>
        <i/>
        <sz val="10"/>
        <color rgb="FFFF0000"/>
        <rFont val="Calibri"/>
        <family val="2"/>
        <scheme val="minor"/>
      </rPr>
      <t>/§170.2(b)</t>
    </r>
    <r>
      <rPr>
        <i/>
        <sz val="10"/>
        <color rgb="FF000000"/>
        <rFont val="Calibri"/>
        <family val="2"/>
        <scheme val="minor"/>
      </rPr>
      <t>.</t>
    </r>
  </si>
  <si>
    <r>
      <rPr>
        <i/>
        <vertAlign val="superscript"/>
        <sz val="10"/>
        <color rgb="FF000000"/>
        <rFont val="Calibri"/>
        <family val="2"/>
        <scheme val="minor"/>
      </rPr>
      <t>4</t>
    </r>
    <r>
      <rPr>
        <i/>
        <sz val="10"/>
        <color rgb="FF000000"/>
        <rFont val="Calibri"/>
        <family val="2"/>
        <scheme val="minor"/>
      </rPr>
      <t xml:space="preserve">  Must be at least 1.5% to comply with §140.3(c)4</t>
    </r>
    <r>
      <rPr>
        <b/>
        <i/>
        <sz val="10"/>
        <color rgb="FFFF0000"/>
        <rFont val="Calibri"/>
        <family val="2"/>
        <scheme val="minor"/>
      </rPr>
      <t>/§170.2(b)</t>
    </r>
    <r>
      <rPr>
        <i/>
        <sz val="10"/>
        <color rgb="FF000000"/>
        <rFont val="Calibri"/>
        <family val="2"/>
        <scheme val="minor"/>
      </rPr>
      <t>.</t>
    </r>
  </si>
  <si>
    <r>
      <t>Provided Min Daylit Areas per §140.3(c)</t>
    </r>
    <r>
      <rPr>
        <b/>
        <sz val="10"/>
        <color rgb="FFFF0000"/>
        <rFont val="Calibri"/>
        <family val="2"/>
        <scheme val="minor"/>
      </rPr>
      <t>/§170.2(b)</t>
    </r>
  </si>
  <si>
    <r>
      <t>Compliance with §140.3(c)1</t>
    </r>
    <r>
      <rPr>
        <b/>
        <sz val="11"/>
        <color rgb="FFFF0000"/>
        <rFont val="Calibri"/>
        <family val="2"/>
        <scheme val="minor"/>
      </rPr>
      <t>/§170.2(b)</t>
    </r>
  </si>
  <si>
    <r>
      <t>Compliance with §140.3(c)4</t>
    </r>
    <r>
      <rPr>
        <b/>
        <sz val="11"/>
        <color rgb="FFFF0000"/>
        <rFont val="Calibri"/>
        <family val="2"/>
      </rPr>
      <t>/§170.2(b)</t>
    </r>
  </si>
  <si>
    <r>
      <t>Alternate Compliance with §140.3(c)4</t>
    </r>
    <r>
      <rPr>
        <b/>
        <sz val="11"/>
        <color rgb="FFFF0000"/>
        <rFont val="Calibri"/>
        <family val="2"/>
      </rPr>
      <t>/§170.2(b)</t>
    </r>
  </si>
  <si>
    <t>Mulitfamily: New</t>
  </si>
  <si>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Framed floors are combined with SIPs floors. The area-weighted compliance option is not available for </t>
    </r>
    <r>
      <rPr>
        <b/>
        <i/>
        <strike/>
        <sz val="10"/>
        <color rgb="FFFF0000"/>
        <rFont val="Calibri"/>
        <family val="2"/>
        <scheme val="minor"/>
      </rPr>
      <t>alterations</t>
    </r>
    <r>
      <rPr>
        <b/>
        <i/>
        <sz val="10"/>
        <color rgb="FFFF0000"/>
        <rFont val="Calibri"/>
        <family val="2"/>
        <scheme val="minor"/>
      </rPr>
      <t xml:space="preserve"> assemblies</t>
    </r>
    <r>
      <rPr>
        <i/>
        <sz val="10"/>
        <rFont val="Calibri"/>
        <family val="2"/>
        <scheme val="minor"/>
      </rPr>
      <t xml:space="preserve"> demonstrating compliance with R-values </t>
    </r>
    <r>
      <rPr>
        <b/>
        <i/>
        <strike/>
        <sz val="10"/>
        <color rgb="FFFF0000"/>
        <rFont val="Calibri"/>
        <family val="2"/>
        <scheme val="minor"/>
      </rPr>
      <t>in §141.0(b)1C1</t>
    </r>
    <r>
      <rPr>
        <i/>
        <sz val="10"/>
        <rFont val="Calibri"/>
        <family val="2"/>
        <scheme val="minor"/>
      </rPr>
      <t>.</t>
    </r>
  </si>
  <si>
    <r>
      <rPr>
        <i/>
        <vertAlign val="superscript"/>
        <sz val="10"/>
        <rFont val="Calibri"/>
        <family val="2"/>
        <scheme val="minor"/>
      </rPr>
      <t>2</t>
    </r>
    <r>
      <rPr>
        <i/>
        <sz val="10"/>
        <rFont val="Calibri"/>
        <family val="2"/>
        <scheme val="minor"/>
      </rPr>
      <t xml:space="preserve"> If "R-value" is shown in cell 09 as the Thermal Performance Unit, the R-value shown here is for cavity insulation </t>
    </r>
    <r>
      <rPr>
        <b/>
        <i/>
        <strike/>
        <sz val="10"/>
        <color rgb="FFFF0000"/>
        <rFont val="Calibri"/>
        <family val="2"/>
        <scheme val="minor"/>
      </rPr>
      <t>per §141.0(b)1C1</t>
    </r>
    <r>
      <rPr>
        <i/>
        <sz val="10"/>
        <rFont val="Calibri"/>
        <family val="2"/>
        <scheme val="minor"/>
      </rPr>
      <t>.</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</si>
  <si>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SIPs floors are combined with Framed floors.</t>
    </r>
  </si>
  <si>
    <r>
      <t xml:space="preserve">Include Framed Floors in Area-Weighted </t>
    </r>
    <r>
      <rPr>
        <b/>
        <sz val="11"/>
        <color rgb="FFFF0000"/>
        <rFont val="Calibri"/>
        <family val="2"/>
        <scheme val="minor"/>
      </rPr>
      <t xml:space="preserve">Average U-factor </t>
    </r>
    <r>
      <rPr>
        <sz val="11"/>
        <color theme="1"/>
        <rFont val="Calibri"/>
        <family val="2"/>
        <scheme val="minor"/>
      </rPr>
      <t>Calculation</t>
    </r>
    <r>
      <rPr>
        <b/>
        <vertAlign val="superscript"/>
        <sz val="1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</si>
  <si>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Raised Mass floors may not be combined with other floor types. The area-weighted compliance option is not available for</t>
    </r>
    <r>
      <rPr>
        <b/>
        <i/>
        <sz val="10"/>
        <color rgb="FFFF0000"/>
        <rFont val="Calibri"/>
        <family val="2"/>
        <scheme val="minor"/>
      </rPr>
      <t xml:space="preserve"> </t>
    </r>
    <r>
      <rPr>
        <b/>
        <i/>
        <strike/>
        <sz val="10"/>
        <color rgb="FFFF0000"/>
        <rFont val="Calibri"/>
        <family val="2"/>
        <scheme val="minor"/>
      </rPr>
      <t>alterations</t>
    </r>
    <r>
      <rPr>
        <b/>
        <i/>
        <sz val="10"/>
        <color rgb="FFFF0000"/>
        <rFont val="Calibri"/>
        <family val="2"/>
        <scheme val="minor"/>
      </rPr>
      <t xml:space="preserve"> assemblies </t>
    </r>
    <r>
      <rPr>
        <i/>
        <sz val="10"/>
        <color theme="1"/>
        <rFont val="Calibri"/>
        <family val="2"/>
        <scheme val="minor"/>
      </rPr>
      <t>demonstrating compliance with R-values</t>
    </r>
    <r>
      <rPr>
        <b/>
        <i/>
        <strike/>
        <sz val="10"/>
        <color rgb="FFFF0000"/>
        <rFont val="Calibri"/>
        <family val="2"/>
        <scheme val="minor"/>
      </rPr>
      <t xml:space="preserve"> in §141.0(b)1C2 for high-rise residential and hotel/motel occupancies</t>
    </r>
    <r>
      <rPr>
        <i/>
        <sz val="10"/>
        <rFont val="Calibri"/>
        <family val="2"/>
        <scheme val="minor"/>
      </rPr>
      <t>.</t>
    </r>
  </si>
  <si>
    <r>
      <rPr>
        <i/>
        <vertAlign val="superscript"/>
        <sz val="10"/>
        <color theme="1"/>
        <rFont val="Calibri"/>
        <family val="2"/>
        <scheme val="minor"/>
      </rPr>
      <t>2</t>
    </r>
    <r>
      <rPr>
        <i/>
        <sz val="10"/>
        <color theme="1"/>
        <rFont val="Calibri"/>
        <family val="2"/>
        <scheme val="minor"/>
      </rPr>
      <t xml:space="preserve"> If "R-value" is shown in cell 08 as the Thermal Performance Unit, the R-value shown here is for continuous insulation</t>
    </r>
    <r>
      <rPr>
        <b/>
        <i/>
        <strike/>
        <sz val="10"/>
        <color rgb="FFFF0000"/>
        <rFont val="Calibri"/>
        <family val="2"/>
        <scheme val="minor"/>
      </rPr>
      <t xml:space="preserve"> per §141.0(b)1C2</t>
    </r>
    <r>
      <rPr>
        <i/>
        <sz val="10"/>
        <color theme="1"/>
        <rFont val="Calibri"/>
        <family val="2"/>
        <scheme val="minor"/>
      </rPr>
      <t>.</t>
    </r>
  </si>
  <si>
    <r>
      <rPr>
        <b/>
        <strike/>
        <sz val="9"/>
        <color rgb="FFFF0000"/>
        <rFont val="Calibri"/>
        <family val="2"/>
        <scheme val="minor"/>
      </rPr>
      <t xml:space="preserve">High-rise Res/ </t>
    </r>
    <r>
      <rPr>
        <b/>
        <sz val="9"/>
        <color rgb="FFFF0000"/>
        <rFont val="Calibri"/>
        <family val="2"/>
        <scheme val="minor"/>
      </rPr>
      <t>Multifamily/</t>
    </r>
    <r>
      <rPr>
        <sz val="9"/>
        <color theme="1"/>
        <rFont val="Calibri"/>
        <family val="2"/>
        <scheme val="minor"/>
      </rPr>
      <t>Hotel/ Motel: Altered</t>
    </r>
  </si>
  <si>
    <t>Multifamily: New</t>
  </si>
  <si>
    <t>Area-Weighted Average U-factor Compliance Calculation for Framed/ SIPs Floor Types</t>
  </si>
  <si>
    <t>Low-rise Multifamily and Multifamily Mixed-use Certificates of Installation</t>
  </si>
  <si>
    <r>
      <t>Addition is &lt;= 700 ft</t>
    </r>
    <r>
      <rPr>
        <vertAlign val="superscript"/>
        <sz val="10"/>
        <rFont val="Calibri"/>
        <family val="2"/>
        <scheme val="minor"/>
      </rPr>
      <t>2</t>
    </r>
  </si>
  <si>
    <r>
      <t>Addition is &gt; 700 ft</t>
    </r>
    <r>
      <rPr>
        <vertAlign val="superscript"/>
        <sz val="10"/>
        <rFont val="Calibri"/>
        <family val="2"/>
        <scheme val="minor"/>
      </rPr>
      <t>2</t>
    </r>
  </si>
  <si>
    <t xml:space="preserve">LMCI-ENV-E - Must be submitted for all buildings. </t>
  </si>
  <si>
    <t>Nonresidential, Hotel/Motel, and High-rise Multifamily and Multifamily Mixed-use Certificates of Installation</t>
  </si>
  <si>
    <r>
      <t xml:space="preserve">Selections have been made based on information provided in this document.  If any selections have been changed by the permit applicant, an explanation should be included in Table E. Additional Remarks.  These documents must be completed by the installer and provided to the building inspector during construction.  The final documents must be created by a HERS Providers registry, but drafts can be found online at </t>
    </r>
    <r>
      <rPr>
        <b/>
        <i/>
        <strike/>
        <sz val="10"/>
        <color rgb="FFFF0000"/>
        <rFont val="Calibri"/>
        <family val="2"/>
        <scheme val="minor"/>
      </rPr>
      <t>https://www.energy.ca.gov/title24/2019standards/2019_compliance_documents/Nonresidential_Documents/NRCV/</t>
    </r>
  </si>
  <si>
    <t>O. DECLARATION OF REQUIRED CERTIFICATES OF VERIFICATION</t>
  </si>
  <si>
    <r>
      <t xml:space="preserve">Selections have been made based on information provided in this document.  If any selections have been changed by the permit applicant, an explanation should be included in Table E. Additional Remarks.  These documents must be completed by a HERS Rater and provided to the building inspector during construction.  The final documents must be created by a HERS Providers registry, but drafts can be found online at </t>
    </r>
    <r>
      <rPr>
        <b/>
        <strike/>
        <sz val="10"/>
        <color rgb="FFFF0000"/>
        <rFont val="Calibri"/>
        <family val="2"/>
      </rPr>
      <t>https://www.energy.ca.gov/title24/2019standards/2019_compliance_documents/Nonresidential_Documents/NRCV/</t>
    </r>
    <r>
      <rPr>
        <i/>
        <sz val="10"/>
        <color rgb="FF231F20"/>
        <rFont val="Calibri"/>
        <family val="2"/>
      </rPr>
      <t>.</t>
    </r>
  </si>
  <si>
    <t>There are no Certificates of Verification that apply to this project.</t>
  </si>
  <si>
    <t>This entire table is new for 2022</t>
  </si>
  <si>
    <t>Table O</t>
  </si>
  <si>
    <t>Declaration of Required Certificates of Verification</t>
  </si>
  <si>
    <r>
      <t xml:space="preserve">NRCC-ENV-E </t>
    </r>
    <r>
      <rPr>
        <b/>
        <strike/>
        <sz val="8"/>
        <color rgb="FFFF0000"/>
        <rFont val="Calibri"/>
        <family val="2"/>
        <scheme val="minor"/>
      </rPr>
      <t>(Created XX/XX)</t>
    </r>
  </si>
  <si>
    <r>
      <t xml:space="preserve">LMCV-HERS-ENV-21-H -QII Framing Stage
</t>
    </r>
    <r>
      <rPr>
        <i/>
        <sz val="10"/>
        <rFont val="Calibri"/>
        <family val="2"/>
        <scheme val="minor"/>
      </rPr>
      <t>(Applies to "R" occupancy only)</t>
    </r>
  </si>
  <si>
    <r>
      <t xml:space="preserve">LMCV-HERS-ENV-22-H -QII Insulation Stage
</t>
    </r>
    <r>
      <rPr>
        <i/>
        <sz val="10"/>
        <rFont val="Calibri"/>
        <family val="2"/>
        <scheme val="minor"/>
      </rPr>
      <t>(Applies to "R" occupancy only)</t>
    </r>
  </si>
  <si>
    <r>
      <rPr>
        <sz val="10"/>
        <rFont val="Wingdings"/>
        <charset val="2"/>
      </rPr>
      <t xml:space="preserve"> ¨</t>
    </r>
    <r>
      <rPr>
        <sz val="10"/>
        <rFont val="Calibri"/>
        <family val="2"/>
      </rPr>
      <t xml:space="preserve">  Exterior </t>
    </r>
    <r>
      <rPr>
        <b/>
        <sz val="10"/>
        <color rgb="FFFF0000"/>
        <rFont val="Calibri"/>
        <family val="2"/>
      </rPr>
      <t>Opaque</t>
    </r>
    <r>
      <rPr>
        <sz val="10"/>
        <rFont val="Calibri"/>
        <family val="2"/>
      </rPr>
      <t xml:space="preserve"> Doors</t>
    </r>
  </si>
  <si>
    <r>
      <t xml:space="preserve">Exterior </t>
    </r>
    <r>
      <rPr>
        <b/>
        <sz val="11"/>
        <color rgb="FFFF0000"/>
        <rFont val="Calibri"/>
        <family val="2"/>
        <scheme val="minor"/>
      </rPr>
      <t>Opaque</t>
    </r>
    <r>
      <rPr>
        <sz val="11"/>
        <color theme="1"/>
        <rFont val="Calibri"/>
        <family val="2"/>
        <scheme val="minor"/>
      </rPr>
      <t xml:space="preserve"> Doors NA for Alts.</t>
    </r>
  </si>
  <si>
    <t xml:space="preserve">New construction multifamily occupancies with attic roofs may choose between U-factor or R-value to demonstrate compliance with Table 170.2-A or Section 180.2(b)1 for alterations. New construction non-attic roofs must comply with U-factors per Table 170.2-A. </t>
  </si>
  <si>
    <r>
      <t xml:space="preserve">   </t>
    </r>
    <r>
      <rPr>
        <sz val="10"/>
        <rFont val="Wingdings"/>
        <charset val="2"/>
      </rPr>
      <t>¨</t>
    </r>
    <r>
      <rPr>
        <sz val="10"/>
        <rFont val="Calibri"/>
        <family val="2"/>
      </rPr>
      <t xml:space="preserve">  Roofing Material </t>
    </r>
    <r>
      <rPr>
        <b/>
        <vertAlign val="superscript"/>
        <sz val="10"/>
        <color rgb="FFFF0000"/>
        <rFont val="Calibri"/>
        <family val="2"/>
      </rPr>
      <t>2</t>
    </r>
  </si>
  <si>
    <r>
      <rPr>
        <b/>
        <i/>
        <vertAlign val="superscript"/>
        <sz val="10"/>
        <color rgb="FFFF0000"/>
        <rFont val="Calibri"/>
        <family val="2"/>
        <scheme val="minor"/>
      </rPr>
      <t>2</t>
    </r>
    <r>
      <rPr>
        <b/>
        <i/>
        <sz val="10"/>
        <color rgb="FFFF0000"/>
        <rFont val="Calibri"/>
        <family val="2"/>
        <scheme val="minor"/>
      </rPr>
      <t xml:space="preserve"> Roof recovers and replacements must also check the "Roof Assembly" box and document compliance with insulation requirements in Table F. Roof recoats may document compliance with roof material only in Table G.</t>
    </r>
  </si>
  <si>
    <r>
      <t xml:space="preserve">This table demonstrates compliance with prescriptive roof material requirements in </t>
    </r>
    <r>
      <rPr>
        <b/>
        <i/>
        <sz val="10"/>
        <color rgb="FFFF0000"/>
        <rFont val="Calibri"/>
        <family val="2"/>
      </rPr>
      <t xml:space="preserve">§140.3(a)1A/§170.2(a)1A for new construction, §141.0(a)/§180.1 for additions and §141.0(b)2B/§180.2 for alterations. </t>
    </r>
    <r>
      <rPr>
        <i/>
        <sz val="10"/>
        <rFont val="Calibri"/>
        <family val="2"/>
      </rPr>
      <t xml:space="preserve">
</t>
    </r>
    <r>
      <rPr>
        <b/>
        <i/>
        <sz val="10"/>
        <color rgb="FFFF0000"/>
        <rFont val="Calibri"/>
        <family val="2"/>
      </rPr>
      <t>Roof recovers and replacements must also document compliance with insulation requirements in Table F. Roof recoats may document compliance with roof material only in Table G.</t>
    </r>
  </si>
  <si>
    <t>Slab floor perimeter</t>
  </si>
  <si>
    <t>The minimum depth of concrete slab floor perimeter insulation shall be 16 inches or the depth of the footing of the building, whichever is less.</t>
  </si>
  <si>
    <t>Unit Dropdown</t>
  </si>
  <si>
    <t>Insulation Depth</t>
  </si>
  <si>
    <t>Thermal Performance per Design</t>
  </si>
  <si>
    <t>Low-rise Multifamily Slab-on-Grade Floors (new floors in Climate Zone 16 only)</t>
  </si>
  <si>
    <r>
      <t xml:space="preserve"> </t>
    </r>
    <r>
      <rPr>
        <b/>
        <sz val="11"/>
        <color rgb="FFFF0000"/>
        <rFont val="Wingdings"/>
        <charset val="2"/>
      </rPr>
      <t>¨</t>
    </r>
    <r>
      <rPr>
        <b/>
        <sz val="11"/>
        <color rgb="FFFF0000"/>
        <rFont val="Calibri"/>
        <family val="2"/>
      </rPr>
      <t xml:space="preserve"> Slab-on-grade (New Low-rise MF only)</t>
    </r>
  </si>
  <si>
    <t>NFRC Rated Insulated Door w Ufactor &lt;= 0.20</t>
  </si>
  <si>
    <t>Multifamily Exterior Vertical Fenestration and Glazed Doors- Total Building Area (New Construction &amp; Additions Only)</t>
  </si>
  <si>
    <r>
      <rPr>
        <i/>
        <vertAlign val="superscript"/>
        <sz val="9"/>
        <rFont val="Calibri"/>
        <family val="2"/>
        <scheme val="minor"/>
      </rPr>
      <t>3</t>
    </r>
    <r>
      <rPr>
        <i/>
        <sz val="9"/>
        <rFont val="Calibri"/>
        <family val="2"/>
        <scheme val="minor"/>
      </rPr>
      <t xml:space="preserve"> Includes glazed door fenestration area </t>
    </r>
    <r>
      <rPr>
        <b/>
        <i/>
        <sz val="9"/>
        <color rgb="FFFF0000"/>
        <rFont val="Calibri"/>
        <family val="2"/>
        <scheme val="minor"/>
      </rPr>
      <t>but does not include fenestration in demising walls</t>
    </r>
    <r>
      <rPr>
        <i/>
        <sz val="9"/>
        <rFont val="Calibri"/>
        <family val="2"/>
        <scheme val="minor"/>
      </rPr>
      <t>.</t>
    </r>
  </si>
  <si>
    <t>Certificates of Acceptance apply to LRMF too, yes? Gina says Yes</t>
  </si>
  <si>
    <t>Non-attic- Opt. D</t>
  </si>
  <si>
    <r>
      <rPr>
        <b/>
        <i/>
        <vertAlign val="superscript"/>
        <sz val="10"/>
        <rFont val="Calibri"/>
        <family val="2"/>
        <scheme val="minor"/>
      </rPr>
      <t>2</t>
    </r>
    <r>
      <rPr>
        <b/>
        <i/>
        <vertAlign val="superscript"/>
        <sz val="10"/>
        <color rgb="FFFF0000"/>
        <rFont val="Calibri"/>
        <family val="2"/>
        <scheme val="minor"/>
      </rPr>
      <t xml:space="preserve"> </t>
    </r>
    <r>
      <rPr>
        <i/>
        <sz val="10"/>
        <color theme="1"/>
        <rFont val="Calibri"/>
        <family val="2"/>
        <scheme val="minor"/>
      </rPr>
      <t>Mass walls are defined as "light" or "heavy" depending on their Heat Capacity.  Heat Capacity is determined in Tables 4.3.5 and 4.3.6 in Joint Appendix 4.  Walls with Heat Capacity of 15 or greater are "heavy" while walls with Heat Capacity from 7 to less than 15 are "light".  Walls with heat capacity less than 7 would be categorized as "Wood framed and Other" for compliance purposes.</t>
    </r>
  </si>
  <si>
    <r>
      <rPr>
        <b/>
        <i/>
        <vertAlign val="superscript"/>
        <sz val="10"/>
        <rFont val="Calibri"/>
        <family val="2"/>
        <scheme val="minor"/>
      </rPr>
      <t xml:space="preserve">3 </t>
    </r>
    <r>
      <rPr>
        <i/>
        <sz val="10"/>
        <color theme="1"/>
        <rFont val="Calibri"/>
        <family val="2"/>
        <scheme val="minor"/>
      </rPr>
      <t>Wall area minus any fenestration area</t>
    </r>
  </si>
  <si>
    <t>Low-rise Multifamily and Multifamily Mixed-use Certificates of Verification</t>
  </si>
  <si>
    <r>
      <t>This document is used to demonstrate compliance with mandatory requirements in §110.8(g) and §120.7(b)/</t>
    </r>
    <r>
      <rPr>
        <b/>
        <i/>
        <sz val="10"/>
        <color rgb="FFFF0000"/>
        <rFont val="Calibri"/>
        <family val="2"/>
      </rPr>
      <t>§160.1</t>
    </r>
    <r>
      <rPr>
        <i/>
        <sz val="10"/>
        <rFont val="Calibri"/>
        <family val="2"/>
      </rPr>
      <t xml:space="preserve"> for newly constructed </t>
    </r>
    <r>
      <rPr>
        <b/>
        <i/>
        <strike/>
        <sz val="10"/>
        <color rgb="FF0070C0"/>
        <rFont val="Calibri"/>
        <family val="2"/>
      </rPr>
      <t>nonresidential, hotel/motel,</t>
    </r>
    <r>
      <rPr>
        <b/>
        <i/>
        <sz val="10"/>
        <color rgb="FFFF0000"/>
        <rFont val="Calibri"/>
        <family val="2"/>
      </rPr>
      <t xml:space="preserve"> multifamily and mixed-use buildings</t>
    </r>
    <r>
      <rPr>
        <i/>
        <sz val="10"/>
        <rFont val="Calibri"/>
        <family val="2"/>
      </rPr>
      <t>, and §141.0(b)1</t>
    </r>
    <r>
      <rPr>
        <b/>
        <i/>
        <sz val="10"/>
        <color rgb="FFFF0000"/>
        <rFont val="Calibri"/>
        <family val="2"/>
      </rPr>
      <t>/§180.2</t>
    </r>
    <r>
      <rPr>
        <i/>
        <sz val="10"/>
        <rFont val="Calibri"/>
        <family val="2"/>
      </rPr>
      <t xml:space="preserve"> for alterations, related to roof, wall and floor assemblies.  It is also used to demonstrate compliance with prescriptive requirements in §140.3</t>
    </r>
    <r>
      <rPr>
        <b/>
        <i/>
        <sz val="10"/>
        <color rgb="FFFF0000"/>
        <rFont val="Calibri"/>
        <family val="2"/>
      </rPr>
      <t>/§170.2</t>
    </r>
    <r>
      <rPr>
        <i/>
        <sz val="10"/>
        <rFont val="Calibri"/>
        <family val="2"/>
      </rPr>
      <t xml:space="preserve"> for newly constructed buildings, and §141.0</t>
    </r>
    <r>
      <rPr>
        <b/>
        <i/>
        <sz val="10"/>
        <color rgb="FFFF0000"/>
        <rFont val="Calibri"/>
        <family val="2"/>
      </rPr>
      <t>/§180.1/§180.2</t>
    </r>
    <r>
      <rPr>
        <i/>
        <sz val="10"/>
        <rFont val="Calibri"/>
        <family val="2"/>
      </rPr>
      <t xml:space="preserve"> for additions and alterations, related to roof, wall, floor, door, fenestration and daylighting requirements.</t>
    </r>
  </si>
  <si>
    <r>
      <t>CA Building Energy Efficiency Standards - 20</t>
    </r>
    <r>
      <rPr>
        <b/>
        <strike/>
        <sz val="10"/>
        <color rgb="FFFF0000"/>
        <rFont val="Calibri"/>
        <family val="2"/>
        <scheme val="minor"/>
      </rPr>
      <t>19</t>
    </r>
    <r>
      <rPr>
        <b/>
        <sz val="10"/>
        <color rgb="FFFF0000"/>
        <rFont val="Calibri"/>
        <family val="2"/>
        <scheme val="minor"/>
      </rPr>
      <t>22</t>
    </r>
    <r>
      <rPr>
        <sz val="10"/>
        <rFont val="Calibri"/>
        <family val="2"/>
        <scheme val="minor"/>
      </rPr>
      <t xml:space="preserve"> </t>
    </r>
    <r>
      <rPr>
        <b/>
        <strike/>
        <sz val="10"/>
        <color rgb="FF0070C0"/>
        <rFont val="Calibri"/>
        <family val="2"/>
        <scheme val="minor"/>
      </rPr>
      <t>Nonresidential</t>
    </r>
    <r>
      <rPr>
        <b/>
        <sz val="10"/>
        <color rgb="FF0070C0"/>
        <rFont val="Calibri"/>
        <family val="2"/>
        <scheme val="minor"/>
      </rPr>
      <t xml:space="preserve"> Low-rise Multifamily Mixed-Use</t>
    </r>
    <r>
      <rPr>
        <sz val="10"/>
        <rFont val="Calibri"/>
        <family val="2"/>
        <scheme val="minor"/>
      </rPr>
      <t xml:space="preserve"> Compliance: http://www.energy.ca.gov/title24/20</t>
    </r>
    <r>
      <rPr>
        <b/>
        <strike/>
        <sz val="10"/>
        <color rgb="FFFF0000"/>
        <rFont val="Calibri"/>
        <family val="2"/>
        <scheme val="minor"/>
      </rPr>
      <t>19</t>
    </r>
    <r>
      <rPr>
        <b/>
        <sz val="10"/>
        <color rgb="FFFF0000"/>
        <rFont val="Calibri"/>
        <family val="2"/>
        <scheme val="minor"/>
      </rPr>
      <t>22</t>
    </r>
    <r>
      <rPr>
        <sz val="10"/>
        <rFont val="Calibri"/>
        <family val="2"/>
        <scheme val="minor"/>
      </rPr>
      <t>standards</t>
    </r>
  </si>
  <si>
    <t>Office</t>
  </si>
  <si>
    <t>Retail</t>
  </si>
  <si>
    <t>Grocery</t>
  </si>
  <si>
    <t>Hotel/ Motel</t>
  </si>
  <si>
    <t>Healthcare facility</t>
  </si>
  <si>
    <t>Financial Institution</t>
  </si>
  <si>
    <t>High-Rise Residential</t>
  </si>
  <si>
    <t>Unleased Tenant Space</t>
  </si>
  <si>
    <t>Auditorium</t>
  </si>
  <si>
    <t>Library</t>
  </si>
  <si>
    <t>Restaurant</t>
  </si>
  <si>
    <t xml:space="preserve">Parking Garage </t>
  </si>
  <si>
    <t>Convention Center</t>
  </si>
  <si>
    <t>Medical Office Bldg/ Clinic</t>
  </si>
  <si>
    <t>Theater</t>
  </si>
  <si>
    <t>Religious Facility           </t>
  </si>
  <si>
    <t>Commercial Industrial             </t>
  </si>
  <si>
    <t>Data Center  </t>
  </si>
  <si>
    <t>Gymnasium</t>
  </si>
  <si>
    <t>Support Area</t>
  </si>
  <si>
    <t>All Nonresidential, including Relocatable Public School Building certified for use in one climate zone             
Occupancy: A / B / E / F / H/ M / S / U</t>
  </si>
  <si>
    <t>Hotel/Motel Guest Rooms     Occupancy: R-1</t>
  </si>
  <si>
    <t>High-Rise Residential 
Occupancy</t>
  </si>
  <si>
    <t>Warehouse</t>
  </si>
  <si>
    <t>School or Classroom</t>
  </si>
  <si>
    <t>Relocatable Public School</t>
  </si>
  <si>
    <t>All Other Occupancy Types</t>
  </si>
  <si>
    <r>
      <rPr>
        <b/>
        <strike/>
        <sz val="10"/>
        <color rgb="FF0070C0"/>
        <rFont val="Calibri"/>
        <family val="2"/>
        <scheme val="minor"/>
      </rPr>
      <t xml:space="preserve">High </t>
    </r>
    <r>
      <rPr>
        <b/>
        <sz val="10"/>
        <color rgb="FF0070C0"/>
        <rFont val="Calibri"/>
        <family val="2"/>
        <scheme val="minor"/>
      </rPr>
      <t>Low</t>
    </r>
    <r>
      <rPr>
        <b/>
        <sz val="10"/>
        <color rgb="FFFF0000"/>
        <rFont val="Calibri"/>
        <family val="2"/>
        <scheme val="minor"/>
      </rPr>
      <t>-Rise Residential</t>
    </r>
  </si>
  <si>
    <r>
      <t xml:space="preserve">The note about making changes in the </t>
    </r>
    <r>
      <rPr>
        <b/>
        <sz val="10"/>
        <color rgb="FF0070C0"/>
        <rFont val="Calibri"/>
        <family val="2"/>
        <scheme val="minor"/>
      </rPr>
      <t>NRCI/NRCA [LMCI/LMCA]</t>
    </r>
    <r>
      <rPr>
        <sz val="10"/>
        <rFont val="Calibri"/>
        <family val="2"/>
        <scheme val="minor"/>
      </rPr>
      <t xml:space="preserve"> tables need to show up too just like on LTI.  Note Table letters will need to be updated to match this form.</t>
    </r>
  </si>
  <si>
    <r>
      <t>Nonresidential</t>
    </r>
    <r>
      <rPr>
        <b/>
        <strike/>
        <sz val="9"/>
        <color rgb="FF0070C0"/>
        <rFont val="Calibri"/>
        <family val="2"/>
        <scheme val="minor"/>
      </rPr>
      <t>/ Relocatable 1 CZ</t>
    </r>
    <r>
      <rPr>
        <sz val="9"/>
        <rFont val="Calibri"/>
        <family val="2"/>
        <scheme val="minor"/>
      </rPr>
      <t>: New</t>
    </r>
  </si>
  <si>
    <r>
      <t>Nonresidential</t>
    </r>
    <r>
      <rPr>
        <b/>
        <strike/>
        <sz val="9"/>
        <color rgb="FF0070C0"/>
        <rFont val="Calibri"/>
        <family val="2"/>
        <scheme val="minor"/>
      </rPr>
      <t>/ Relocatable 1 CZ</t>
    </r>
    <r>
      <rPr>
        <sz val="9"/>
        <rFont val="Calibri"/>
        <family val="2"/>
        <scheme val="minor"/>
      </rPr>
      <t>: Alt. (Replacement &gt; 150ft</t>
    </r>
    <r>
      <rPr>
        <vertAlign val="superscript"/>
        <sz val="9"/>
        <rFont val="Calibri"/>
        <family val="2"/>
        <scheme val="minor"/>
      </rPr>
      <t>2)</t>
    </r>
  </si>
  <si>
    <r>
      <t>Relocatable all CZ: Alt. (Replacement &gt; 150ft</t>
    </r>
    <r>
      <rPr>
        <b/>
        <strike/>
        <vertAlign val="superscript"/>
        <sz val="9"/>
        <color rgb="FF0070C0"/>
        <rFont val="Calibri"/>
        <family val="2"/>
        <scheme val="minor"/>
      </rPr>
      <t>2)</t>
    </r>
  </si>
  <si>
    <r>
      <t>Nonresidential</t>
    </r>
    <r>
      <rPr>
        <b/>
        <strike/>
        <sz val="9"/>
        <color rgb="FF0070C0"/>
        <rFont val="Calibri"/>
        <family val="2"/>
        <scheme val="minor"/>
      </rPr>
      <t>/ Relocatable 1 CZ</t>
    </r>
    <r>
      <rPr>
        <sz val="9"/>
        <rFont val="Calibri"/>
        <family val="2"/>
        <scheme val="minor"/>
      </rPr>
      <t>: Alt.(Adding New &gt; 50ft</t>
    </r>
    <r>
      <rPr>
        <vertAlign val="superscript"/>
        <sz val="9"/>
        <rFont val="Calibri"/>
        <family val="2"/>
        <scheme val="minor"/>
      </rPr>
      <t>2</t>
    </r>
    <r>
      <rPr>
        <sz val="9"/>
        <rFont val="Calibri"/>
        <family val="2"/>
        <scheme val="minor"/>
      </rPr>
      <t>)</t>
    </r>
  </si>
  <si>
    <r>
      <t>Relocatable all CZ: Alt.(Adding New &gt; 50ft</t>
    </r>
    <r>
      <rPr>
        <b/>
        <strike/>
        <vertAlign val="superscript"/>
        <sz val="9"/>
        <color rgb="FF0070C0"/>
        <rFont val="Calibri"/>
        <family val="2"/>
        <scheme val="minor"/>
      </rPr>
      <t>2</t>
    </r>
    <r>
      <rPr>
        <b/>
        <strike/>
        <sz val="9"/>
        <color rgb="FF0070C0"/>
        <rFont val="Calibri"/>
        <family val="2"/>
        <scheme val="minor"/>
      </rPr>
      <t>)</t>
    </r>
  </si>
  <si>
    <r>
      <t>Nonresidential</t>
    </r>
    <r>
      <rPr>
        <b/>
        <strike/>
        <sz val="9"/>
        <color rgb="FF0070C0"/>
        <rFont val="Calibri"/>
        <family val="2"/>
        <scheme val="minor"/>
      </rPr>
      <t>/ Relocatable 1 CZ</t>
    </r>
    <r>
      <rPr>
        <sz val="9"/>
        <rFont val="Calibri"/>
        <family val="2"/>
        <scheme val="minor"/>
      </rPr>
      <t>: Alt. (Adding New &lt;= 50ft</t>
    </r>
    <r>
      <rPr>
        <vertAlign val="superscript"/>
        <sz val="9"/>
        <rFont val="Calibri"/>
        <family val="2"/>
        <scheme val="minor"/>
      </rPr>
      <t>2</t>
    </r>
    <r>
      <rPr>
        <sz val="9"/>
        <rFont val="Calibri"/>
        <family val="2"/>
        <scheme val="minor"/>
      </rPr>
      <t>)</t>
    </r>
  </si>
  <si>
    <r>
      <t>Relocatable all CZ: Alt. (Adding New &lt;= 50ft</t>
    </r>
    <r>
      <rPr>
        <b/>
        <strike/>
        <vertAlign val="superscript"/>
        <sz val="9"/>
        <color rgb="FF0070C0"/>
        <rFont val="Calibri"/>
        <family val="2"/>
        <scheme val="minor"/>
      </rPr>
      <t>2</t>
    </r>
    <r>
      <rPr>
        <b/>
        <strike/>
        <sz val="9"/>
        <color rgb="FF0070C0"/>
        <rFont val="Calibri"/>
        <family val="2"/>
        <scheme val="minor"/>
      </rPr>
      <t>)</t>
    </r>
  </si>
  <si>
    <r>
      <t>Dwelling Units &gt; 3 stories: Alt. (Replacement &gt; 150ft</t>
    </r>
    <r>
      <rPr>
        <b/>
        <strike/>
        <vertAlign val="superscript"/>
        <sz val="9"/>
        <color rgb="FF0070C0"/>
        <rFont val="Calibri"/>
        <family val="2"/>
        <scheme val="minor"/>
      </rPr>
      <t>2</t>
    </r>
    <r>
      <rPr>
        <b/>
        <strike/>
        <sz val="9"/>
        <color rgb="FF0070C0"/>
        <rFont val="Calibri"/>
        <family val="2"/>
        <scheme val="minor"/>
      </rPr>
      <t>)</t>
    </r>
  </si>
  <si>
    <r>
      <t>Dwelling Units &gt; 3 stories: Alt. (Replacement &lt;= 150ft</t>
    </r>
    <r>
      <rPr>
        <b/>
        <strike/>
        <vertAlign val="superscript"/>
        <sz val="9"/>
        <color rgb="FF0070C0"/>
        <rFont val="Calibri"/>
        <family val="2"/>
        <scheme val="minor"/>
      </rPr>
      <t>2</t>
    </r>
    <r>
      <rPr>
        <b/>
        <strike/>
        <sz val="9"/>
        <color rgb="FF0070C0"/>
        <rFont val="Calibri"/>
        <family val="2"/>
        <scheme val="minor"/>
      </rPr>
      <t>)</t>
    </r>
  </si>
  <si>
    <r>
      <t>Dwelling Units &gt; 3 stories: Alt. (Adding New &gt; 50ft</t>
    </r>
    <r>
      <rPr>
        <b/>
        <strike/>
        <vertAlign val="superscript"/>
        <sz val="9"/>
        <color rgb="FF0070C0"/>
        <rFont val="Calibri"/>
        <family val="2"/>
        <scheme val="minor"/>
      </rPr>
      <t>2</t>
    </r>
    <r>
      <rPr>
        <b/>
        <strike/>
        <sz val="9"/>
        <color rgb="FF0070C0"/>
        <rFont val="Calibri"/>
        <family val="2"/>
        <scheme val="minor"/>
      </rPr>
      <t>)</t>
    </r>
  </si>
  <si>
    <r>
      <t>Nonresidential</t>
    </r>
    <r>
      <rPr>
        <b/>
        <strike/>
        <sz val="9"/>
        <color rgb="FF0070C0"/>
        <rFont val="Calibri"/>
        <family val="2"/>
        <scheme val="minor"/>
      </rPr>
      <t>/ Relocatable 1 CZ</t>
    </r>
    <r>
      <rPr>
        <sz val="9"/>
        <color theme="1"/>
        <rFont val="Calibri"/>
        <family val="2"/>
        <scheme val="minor"/>
      </rPr>
      <t>: Alt. (Add/Replacement &gt; 50ft</t>
    </r>
    <r>
      <rPr>
        <vertAlign val="superscript"/>
        <sz val="9"/>
        <color theme="1"/>
        <rFont val="Calibri"/>
        <family val="2"/>
        <scheme val="minor"/>
      </rPr>
      <t>2)</t>
    </r>
  </si>
  <si>
    <r>
      <t>Relocatable all CZ: Alt. (Add/Replacement &gt; 50ft</t>
    </r>
    <r>
      <rPr>
        <b/>
        <strike/>
        <vertAlign val="superscript"/>
        <sz val="9"/>
        <color rgb="FF0070C0"/>
        <rFont val="Calibri"/>
        <family val="2"/>
        <scheme val="minor"/>
      </rPr>
      <t>2)</t>
    </r>
  </si>
  <si>
    <r>
      <t>Nonresidential</t>
    </r>
    <r>
      <rPr>
        <b/>
        <strike/>
        <sz val="9"/>
        <color rgb="FF0070C0"/>
        <rFont val="Calibri"/>
        <family val="2"/>
        <scheme val="minor"/>
      </rPr>
      <t>/ Relocatable 1 CZ</t>
    </r>
    <r>
      <rPr>
        <sz val="9"/>
        <color theme="1"/>
        <rFont val="Calibri"/>
        <family val="2"/>
        <scheme val="minor"/>
      </rPr>
      <t>: Alt. (Add/Replacement &lt;= 50ft</t>
    </r>
    <r>
      <rPr>
        <vertAlign val="superscript"/>
        <sz val="9"/>
        <color theme="1"/>
        <rFont val="Calibri"/>
        <family val="2"/>
        <scheme val="minor"/>
      </rPr>
      <t>2)</t>
    </r>
  </si>
  <si>
    <r>
      <t>Relocatable all CZ: Alt. (Add/Replacement &lt;= 50ft</t>
    </r>
    <r>
      <rPr>
        <b/>
        <strike/>
        <vertAlign val="superscript"/>
        <sz val="9"/>
        <color rgb="FF0070C0"/>
        <rFont val="Calibri"/>
        <family val="2"/>
        <scheme val="minor"/>
      </rPr>
      <t>2)</t>
    </r>
  </si>
  <si>
    <r>
      <t>Dwelling Units &gt; 3 stories: Alt. (Adding &gt; 16ft</t>
    </r>
    <r>
      <rPr>
        <b/>
        <strike/>
        <vertAlign val="superscript"/>
        <sz val="9"/>
        <color rgb="FF0070C0"/>
        <rFont val="Calibri"/>
        <family val="2"/>
        <scheme val="minor"/>
      </rPr>
      <t>2</t>
    </r>
    <r>
      <rPr>
        <b/>
        <strike/>
        <sz val="9"/>
        <color rgb="FF0070C0"/>
        <rFont val="Calibri"/>
        <family val="2"/>
        <scheme val="minor"/>
      </rPr>
      <t>)</t>
    </r>
  </si>
  <si>
    <t>M. DECLARATION OF REQUIRED CERTIFICATES OF INSTALLATION</t>
  </si>
  <si>
    <r>
      <t xml:space="preserve">LMCI-HERS-ENV-21-H -QII Framing Stage
</t>
    </r>
    <r>
      <rPr>
        <b/>
        <i/>
        <sz val="10"/>
        <color rgb="FF0070C0"/>
        <rFont val="Calibri"/>
        <family val="2"/>
        <scheme val="minor"/>
      </rPr>
      <t>(Applies to "R" occupancy only)</t>
    </r>
  </si>
  <si>
    <r>
      <t xml:space="preserve">LMCI-HERS-ENV-22-H -QII Insulation Stage
</t>
    </r>
    <r>
      <rPr>
        <b/>
        <i/>
        <sz val="10"/>
        <color rgb="FF0070C0"/>
        <rFont val="Calibri"/>
        <family val="2"/>
        <scheme val="minor"/>
      </rPr>
      <t>(Applies to "R" occupancy only)</t>
    </r>
  </si>
  <si>
    <r>
      <rPr>
        <b/>
        <strike/>
        <sz val="10"/>
        <color rgb="FF0070C0"/>
        <rFont val="Calibri"/>
        <family val="2"/>
        <scheme val="minor"/>
      </rPr>
      <t>NR</t>
    </r>
    <r>
      <rPr>
        <b/>
        <sz val="10"/>
        <color rgb="FF0070C0"/>
        <rFont val="Calibri"/>
        <family val="2"/>
        <scheme val="minor"/>
      </rPr>
      <t>LM</t>
    </r>
    <r>
      <rPr>
        <sz val="10"/>
        <color theme="1"/>
        <rFont val="Calibri"/>
        <family val="2"/>
        <scheme val="minor"/>
      </rPr>
      <t>CA-ENV-02-F - Must be submitted for all new, added or altered fenestration.</t>
    </r>
  </si>
  <si>
    <r>
      <rPr>
        <b/>
        <strike/>
        <sz val="10"/>
        <color rgb="FF0070C0"/>
        <rFont val="Calibri"/>
        <family val="2"/>
        <scheme val="minor"/>
      </rPr>
      <t>NR</t>
    </r>
    <r>
      <rPr>
        <b/>
        <sz val="10"/>
        <color rgb="FF0070C0"/>
        <rFont val="Calibri"/>
        <family val="2"/>
        <scheme val="minor"/>
      </rPr>
      <t>LM</t>
    </r>
    <r>
      <rPr>
        <sz val="10"/>
        <color theme="1"/>
        <rFont val="Calibri"/>
        <family val="2"/>
        <scheme val="minor"/>
      </rPr>
      <t xml:space="preserve">CA-ENV-03-F - Daylighting design indoor lighting power adjustment factors (PAF).
</t>
    </r>
    <r>
      <rPr>
        <i/>
        <sz val="10"/>
        <color theme="1"/>
        <rFont val="Calibri"/>
        <family val="2"/>
        <scheme val="minor"/>
      </rPr>
      <t xml:space="preserve">Note: The requirement for this </t>
    </r>
    <r>
      <rPr>
        <b/>
        <i/>
        <strike/>
        <sz val="10"/>
        <color rgb="FF0070C0"/>
        <rFont val="Calibri"/>
        <family val="2"/>
        <scheme val="minor"/>
      </rPr>
      <t>NR</t>
    </r>
    <r>
      <rPr>
        <b/>
        <i/>
        <sz val="10"/>
        <color rgb="FF0070C0"/>
        <rFont val="Calibri"/>
        <family val="2"/>
        <scheme val="minor"/>
      </rPr>
      <t>LM</t>
    </r>
    <r>
      <rPr>
        <i/>
        <sz val="10"/>
        <color theme="1"/>
        <rFont val="Calibri"/>
        <family val="2"/>
        <scheme val="minor"/>
      </rPr>
      <t xml:space="preserve">CA is indicated on the </t>
    </r>
    <r>
      <rPr>
        <b/>
        <i/>
        <strike/>
        <sz val="10"/>
        <color rgb="FF0070C0"/>
        <rFont val="Calibri"/>
        <family val="2"/>
        <scheme val="minor"/>
      </rPr>
      <t>NR</t>
    </r>
    <r>
      <rPr>
        <b/>
        <i/>
        <sz val="10"/>
        <color rgb="FF0070C0"/>
        <rFont val="Calibri"/>
        <family val="2"/>
        <scheme val="minor"/>
      </rPr>
      <t>LM</t>
    </r>
    <r>
      <rPr>
        <i/>
        <sz val="10"/>
        <color theme="1"/>
        <rFont val="Calibri"/>
        <family val="2"/>
        <scheme val="minor"/>
      </rPr>
      <t xml:space="preserve">CC-LTI (prescriptive) or </t>
    </r>
    <r>
      <rPr>
        <b/>
        <i/>
        <strike/>
        <sz val="10"/>
        <color rgb="FF0070C0"/>
        <rFont val="Calibri"/>
        <family val="2"/>
        <scheme val="minor"/>
      </rPr>
      <t>NR</t>
    </r>
    <r>
      <rPr>
        <b/>
        <i/>
        <sz val="10"/>
        <color rgb="FF0070C0"/>
        <rFont val="Calibri"/>
        <family val="2"/>
        <scheme val="minor"/>
      </rPr>
      <t>LM</t>
    </r>
    <r>
      <rPr>
        <i/>
        <sz val="10"/>
        <color theme="1"/>
        <rFont val="Calibri"/>
        <family val="2"/>
        <scheme val="minor"/>
      </rPr>
      <t>CC-PRF (performance) because it is only relevant if a PAF is used for clerestories, daylight redirection devices or horizontal slats.</t>
    </r>
  </si>
  <si>
    <r>
      <t>Quality Insulation Installation (QII) is required for low-rise multifamily/ low-rise MF mixed-use occupancies per §170.2(a)6 for new construction and additions &lt;= 700ft</t>
    </r>
    <r>
      <rPr>
        <b/>
        <vertAlign val="superscript"/>
        <sz val="10"/>
        <color rgb="FF0070C0"/>
        <rFont val="Calibri"/>
        <family val="2"/>
        <scheme val="minor"/>
      </rPr>
      <t>2</t>
    </r>
    <r>
      <rPr>
        <b/>
        <sz val="10"/>
        <color rgb="FF0070C0"/>
        <rFont val="Calibri"/>
        <family val="2"/>
        <scheme val="minor"/>
      </rPr>
      <t>. Installers must follow QII requirements specified in Reference Appendix RA3.5 &amp; field verification must be conducted by a HERS Rater for all "R" occupancies.</t>
    </r>
  </si>
  <si>
    <t>Remove 07 and make the appropriate choices based on LMCC or NRCC</t>
  </si>
  <si>
    <r>
      <t>Dwelling Units &lt;= 3 stories: Alt. (Replacement &gt; 150ft</t>
    </r>
    <r>
      <rPr>
        <b/>
        <strike/>
        <vertAlign val="superscript"/>
        <sz val="9"/>
        <color rgb="FFFF0000"/>
        <rFont val="Calibri"/>
        <family val="2"/>
        <scheme val="minor"/>
      </rPr>
      <t>2</t>
    </r>
    <r>
      <rPr>
        <b/>
        <strike/>
        <sz val="9"/>
        <color rgb="FFFF0000"/>
        <rFont val="Calibri"/>
        <family val="2"/>
        <scheme val="minor"/>
      </rPr>
      <t>)</t>
    </r>
  </si>
  <si>
    <r>
      <t>Dwelling Units &lt;= 3 stories: Alt. (Replacement &lt;= 150ft</t>
    </r>
    <r>
      <rPr>
        <b/>
        <strike/>
        <vertAlign val="superscript"/>
        <sz val="9"/>
        <color rgb="FFFF0000"/>
        <rFont val="Calibri"/>
        <family val="2"/>
        <scheme val="minor"/>
      </rPr>
      <t>2</t>
    </r>
    <r>
      <rPr>
        <b/>
        <strike/>
        <sz val="9"/>
        <color rgb="FFFF0000"/>
        <rFont val="Calibri"/>
        <family val="2"/>
        <scheme val="minor"/>
      </rPr>
      <t>)</t>
    </r>
  </si>
  <si>
    <r>
      <t>Dwelling Units &lt;= 3 stories: Alt. (Adding New &gt; 50ft</t>
    </r>
    <r>
      <rPr>
        <b/>
        <strike/>
        <vertAlign val="superscript"/>
        <sz val="9"/>
        <color rgb="FFFF0000"/>
        <rFont val="Calibri"/>
        <family val="2"/>
        <scheme val="minor"/>
      </rPr>
      <t>2</t>
    </r>
    <r>
      <rPr>
        <b/>
        <strike/>
        <sz val="9"/>
        <color rgb="FFFF0000"/>
        <rFont val="Calibri"/>
        <family val="2"/>
        <scheme val="minor"/>
      </rPr>
      <t>)</t>
    </r>
  </si>
  <si>
    <t>Dwelling Units &lt;= 3 stories: Alt. (Adding &gt; 16ft2)</t>
  </si>
  <si>
    <t xml:space="preserve">08 </t>
  </si>
  <si>
    <t>01a</t>
  </si>
  <si>
    <t>01b</t>
  </si>
  <si>
    <t>01a dropdown</t>
  </si>
  <si>
    <t>01b dropdown</t>
  </si>
  <si>
    <t>&lt;= 16ft2 new skylight per dwelling unit</t>
  </si>
  <si>
    <r>
      <t>Nonresidential</t>
    </r>
    <r>
      <rPr>
        <strike/>
        <sz val="9"/>
        <color theme="1"/>
        <rFont val="Calibri"/>
        <family val="2"/>
        <scheme val="minor"/>
      </rPr>
      <t>/</t>
    </r>
    <r>
      <rPr>
        <b/>
        <strike/>
        <sz val="9"/>
        <color rgb="FF0070C0"/>
        <rFont val="Calibri"/>
        <family val="2"/>
        <scheme val="minor"/>
      </rPr>
      <t xml:space="preserve"> Relocatable 1 CZ</t>
    </r>
    <r>
      <rPr>
        <sz val="9"/>
        <color theme="1"/>
        <rFont val="Calibri"/>
        <family val="2"/>
        <scheme val="minor"/>
      </rPr>
      <t>: New</t>
    </r>
  </si>
  <si>
    <r>
      <t>Nonresidential</t>
    </r>
    <r>
      <rPr>
        <strike/>
        <sz val="9"/>
        <color theme="1"/>
        <rFont val="Calibri"/>
        <family val="2"/>
        <scheme val="minor"/>
      </rPr>
      <t>/ Relocatable 1 CZ</t>
    </r>
    <r>
      <rPr>
        <sz val="9"/>
        <color theme="1"/>
        <rFont val="Calibri"/>
        <family val="2"/>
        <scheme val="minor"/>
      </rPr>
      <t>: New</t>
    </r>
  </si>
  <si>
    <r>
      <t>Nonresidential</t>
    </r>
    <r>
      <rPr>
        <strike/>
        <sz val="9"/>
        <color theme="1"/>
        <rFont val="Calibri"/>
        <family val="2"/>
        <scheme val="minor"/>
      </rPr>
      <t>/ Relocatable 1 CZ</t>
    </r>
    <r>
      <rPr>
        <sz val="9"/>
        <color theme="1"/>
        <rFont val="Calibri"/>
        <family val="2"/>
        <scheme val="minor"/>
      </rPr>
      <t>: Alt. (Add/Replacement &gt; 50ft</t>
    </r>
    <r>
      <rPr>
        <vertAlign val="superscript"/>
        <sz val="9"/>
        <color theme="1"/>
        <rFont val="Calibri"/>
        <family val="2"/>
        <scheme val="minor"/>
      </rPr>
      <t>2)</t>
    </r>
  </si>
  <si>
    <r>
      <t>Nonresidential</t>
    </r>
    <r>
      <rPr>
        <strike/>
        <sz val="9"/>
        <color theme="1"/>
        <rFont val="Calibri"/>
        <family val="2"/>
        <scheme val="minor"/>
      </rPr>
      <t>/ Relocatable 1 CZ</t>
    </r>
    <r>
      <rPr>
        <sz val="9"/>
        <color theme="1"/>
        <rFont val="Calibri"/>
        <family val="2"/>
        <scheme val="minor"/>
      </rPr>
      <t>: Alt. (Add/Replacement &lt;= 50ft</t>
    </r>
    <r>
      <rPr>
        <vertAlign val="superscript"/>
        <sz val="9"/>
        <color theme="1"/>
        <rFont val="Calibri"/>
        <family val="2"/>
        <scheme val="minor"/>
      </rPr>
      <t>2)</t>
    </r>
  </si>
  <si>
    <t>□</t>
  </si>
  <si>
    <t>Multifamily adding up to 16ft2 of skylight per dwelling unit?</t>
  </si>
  <si>
    <t>01 dropdown</t>
  </si>
  <si>
    <r>
      <rPr>
        <b/>
        <sz val="11"/>
        <color rgb="FFFF0000"/>
        <rFont val="Calibri"/>
        <family val="2"/>
        <scheme val="minor"/>
      </rPr>
      <t>07</t>
    </r>
    <r>
      <rPr>
        <b/>
        <sz val="11"/>
        <color theme="1"/>
        <rFont val="Calibri"/>
        <family val="2"/>
        <scheme val="minor"/>
      </rPr>
      <t xml:space="preserve"> dropdown</t>
    </r>
  </si>
  <si>
    <r>
      <rPr>
        <b/>
        <sz val="11"/>
        <color rgb="FFFF0000"/>
        <rFont val="Calibri"/>
        <family val="2"/>
        <scheme val="minor"/>
      </rPr>
      <t>08</t>
    </r>
    <r>
      <rPr>
        <b/>
        <sz val="11"/>
        <color theme="1"/>
        <rFont val="Calibri"/>
        <family val="2"/>
        <scheme val="minor"/>
      </rPr>
      <t xml:space="preserve"> Dropdown</t>
    </r>
  </si>
  <si>
    <t>08 Dropdown</t>
  </si>
  <si>
    <t xml:space="preserve">11 </t>
  </si>
  <si>
    <r>
      <rPr>
        <b/>
        <strike/>
        <sz val="8"/>
        <color rgb="FF0070C0"/>
        <rFont val="Calibri"/>
        <family val="2"/>
        <scheme val="minor"/>
      </rPr>
      <t>NR</t>
    </r>
    <r>
      <rPr>
        <b/>
        <sz val="8"/>
        <color rgb="FF0070C0"/>
        <rFont val="Calibri"/>
        <family val="2"/>
        <scheme val="minor"/>
      </rPr>
      <t>LM</t>
    </r>
    <r>
      <rPr>
        <sz val="8"/>
        <rFont val="Calibri"/>
        <family val="2"/>
        <scheme val="minor"/>
      </rPr>
      <t>CC-ENV</t>
    </r>
    <r>
      <rPr>
        <b/>
        <sz val="8"/>
        <color rgb="FF0070C0"/>
        <rFont val="Calibri"/>
        <family val="2"/>
        <scheme val="minor"/>
      </rPr>
      <t>-01</t>
    </r>
    <r>
      <rPr>
        <sz val="8"/>
        <rFont val="Calibri"/>
        <family val="2"/>
        <scheme val="minor"/>
      </rPr>
      <t xml:space="preserve">-E </t>
    </r>
    <r>
      <rPr>
        <b/>
        <strike/>
        <sz val="8"/>
        <color rgb="FFFF0000"/>
        <rFont val="Calibri"/>
        <family val="2"/>
        <scheme val="minor"/>
      </rPr>
      <t>(Created XX/XX)</t>
    </r>
  </si>
  <si>
    <r>
      <rPr>
        <b/>
        <strike/>
        <sz val="11"/>
        <color rgb="FF0070C0"/>
        <rFont val="Calibri"/>
        <family val="2"/>
        <scheme val="minor"/>
      </rPr>
      <t>NR</t>
    </r>
    <r>
      <rPr>
        <b/>
        <sz val="11"/>
        <color rgb="FF0070C0"/>
        <rFont val="Calibri"/>
        <family val="2"/>
        <scheme val="minor"/>
      </rPr>
      <t>LM</t>
    </r>
    <r>
      <rPr>
        <sz val="11"/>
        <color rgb="FF000000"/>
        <rFont val="Calibri"/>
        <family val="2"/>
        <scheme val="minor"/>
      </rPr>
      <t>CC-ENV</t>
    </r>
    <r>
      <rPr>
        <b/>
        <sz val="11"/>
        <color rgb="FF0070C0"/>
        <rFont val="Calibri"/>
        <family val="2"/>
        <scheme val="minor"/>
      </rPr>
      <t>-01</t>
    </r>
    <r>
      <rPr>
        <sz val="11"/>
        <color rgb="FF000000"/>
        <rFont val="Calibri"/>
        <family val="2"/>
        <scheme val="minor"/>
      </rPr>
      <t>-E</t>
    </r>
  </si>
  <si>
    <r>
      <t xml:space="preserve">LMCI-HERS-ENV-20a-H -Enclosure Air Leakage Single Point Test- Manual Meter 
</t>
    </r>
    <r>
      <rPr>
        <b/>
        <i/>
        <strike/>
        <sz val="10"/>
        <color rgb="FFFF0000"/>
        <rFont val="Calibri"/>
        <family val="2"/>
        <scheme val="minor"/>
      </rPr>
      <t>(Applies to "R" occupancy only)</t>
    </r>
    <r>
      <rPr>
        <b/>
        <strike/>
        <sz val="10"/>
        <color rgb="FFFF0000"/>
        <rFont val="Calibri"/>
        <family val="2"/>
        <scheme val="minor"/>
      </rPr>
      <t xml:space="preserve">
</t>
    </r>
    <r>
      <rPr>
        <b/>
        <i/>
        <strike/>
        <sz val="10"/>
        <color rgb="FFFF0000"/>
        <rFont val="Calibri"/>
        <family val="2"/>
        <scheme val="minor"/>
      </rPr>
      <t>Note: The requirement for this LMCI is indicated on the LMCC-MCH (prescriptive) or LMCC-PRF (performance) because it is only relevant if the mechanical IAQ system is not balanced.</t>
    </r>
  </si>
  <si>
    <r>
      <t xml:space="preserve">LMCI-HERS-ENV-20b-H -Enclosure Air Leakage Single Point Test- Automatic Meter
</t>
    </r>
    <r>
      <rPr>
        <b/>
        <i/>
        <strike/>
        <sz val="10"/>
        <color rgb="FFFF0000"/>
        <rFont val="Calibri"/>
        <family val="2"/>
        <scheme val="minor"/>
      </rPr>
      <t>(Applies to "R" occupancy only)</t>
    </r>
    <r>
      <rPr>
        <b/>
        <strike/>
        <sz val="10"/>
        <color rgb="FFFF0000"/>
        <rFont val="Calibri"/>
        <family val="2"/>
        <scheme val="minor"/>
      </rPr>
      <t xml:space="preserve">
</t>
    </r>
    <r>
      <rPr>
        <b/>
        <i/>
        <strike/>
        <sz val="10"/>
        <color rgb="FFFF0000"/>
        <rFont val="Calibri"/>
        <family val="2"/>
        <scheme val="minor"/>
      </rPr>
      <t>Note: The requirement for this LMCI is indicated on the LMCC-MCH (prescriptive) or LMCC-PRF (performance) because it is only relevant if the mechanical IAQ system is not balanced.</t>
    </r>
  </si>
  <si>
    <t>REMOVED ON 6.29.22</t>
  </si>
  <si>
    <r>
      <t xml:space="preserve">LMCV-HERS-ENV-20a-H -Enclosure Air Leakage Single Point Test- Manual Meter
</t>
    </r>
    <r>
      <rPr>
        <i/>
        <sz val="10"/>
        <rFont val="Calibri"/>
        <family val="2"/>
        <scheme val="minor"/>
      </rPr>
      <t>(Applies to "R" occupancy only)</t>
    </r>
    <r>
      <rPr>
        <sz val="10"/>
        <rFont val="Calibri"/>
        <family val="2"/>
        <scheme val="minor"/>
      </rPr>
      <t xml:space="preserve">
Note: The requirement for this LMCV is indicated on the LMCC-MCH (prescriptive) or LMCC-PRF (performance) because it is only relevant if the mechanical IAQ system is not balanced.</t>
    </r>
  </si>
  <si>
    <r>
      <t xml:space="preserve">LMCV-HERS-ENV-20b-H -Enclosure Air Leakage Single Point Test- Automatic Meter
</t>
    </r>
    <r>
      <rPr>
        <i/>
        <sz val="10"/>
        <rFont val="Calibri"/>
        <family val="2"/>
        <scheme val="minor"/>
      </rPr>
      <t>(Applies to "R" occupancy only)</t>
    </r>
    <r>
      <rPr>
        <sz val="10"/>
        <rFont val="Calibri"/>
        <family val="2"/>
        <scheme val="minor"/>
      </rPr>
      <t xml:space="preserve">
Note: The requirement for this LMCV is indicated on the LMCC-MCH (prescriptive) or LMCC-PRF (performance) because it is only relevant if the mechanical IAQ system is not balanced.</t>
    </r>
  </si>
  <si>
    <t>Footer for every page:</t>
  </si>
  <si>
    <t>Registration Number:</t>
  </si>
  <si>
    <t>Registration Date/Time:</t>
  </si>
  <si>
    <t>Registration Provider:</t>
  </si>
  <si>
    <t>Report Version:</t>
  </si>
  <si>
    <r>
      <rPr>
        <b/>
        <strike/>
        <sz val="10"/>
        <color rgb="FFFF0000"/>
        <rFont val="Calibri"/>
        <family val="2"/>
        <scheme val="minor"/>
      </rPr>
      <t>Project</t>
    </r>
    <r>
      <rPr>
        <b/>
        <sz val="10"/>
        <rFont val="Calibri"/>
        <family val="2"/>
        <scheme val="minor"/>
      </rPr>
      <t xml:space="preserve"> </t>
    </r>
    <r>
      <rPr>
        <b/>
        <u/>
        <sz val="10"/>
        <color rgb="FFFF0000"/>
        <rFont val="Calibri"/>
        <family val="2"/>
        <scheme val="minor"/>
      </rPr>
      <t>Compliance</t>
    </r>
    <r>
      <rPr>
        <b/>
        <sz val="10"/>
        <rFont val="Calibri"/>
        <family val="2"/>
        <scheme val="minor"/>
      </rPr>
      <t xml:space="preserve"> ID:</t>
    </r>
  </si>
  <si>
    <t>Schema Version:</t>
  </si>
  <si>
    <t>Report Generated:</t>
  </si>
  <si>
    <r>
      <rPr>
        <b/>
        <strike/>
        <sz val="11"/>
        <color rgb="FFFF0000"/>
        <rFont val="Calibri"/>
        <family val="2"/>
      </rPr>
      <t>O</t>
    </r>
    <r>
      <rPr>
        <b/>
        <sz val="11"/>
        <color rgb="FFFF0000"/>
        <rFont val="Calibri"/>
        <family val="2"/>
      </rPr>
      <t>N</t>
    </r>
    <r>
      <rPr>
        <b/>
        <sz val="11"/>
        <color rgb="FF231F20"/>
        <rFont val="Calibri"/>
        <family val="2"/>
      </rPr>
      <t>. DECLARATION OF REQUIRED CERTIFICATES OF ACCEPTANCE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</si>
</sst>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
    <numFmt numFmtId="167" formatCode="0.0000"/>
    <numFmt numFmtId="168" formatCode="0.000"/>
  </numFmts>
  <fonts count="200">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sz val="11"/>
      <name val="Calibri"/>
      <family val="2"/>
    </font>
    <font>
      <b/>
      <sz val="10"/>
      <name val="Calibri"/>
      <family val="2"/>
      <scheme val="minor"/>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12"/>
      <color theme="1"/>
      <name val="AvenirNext LT Pro Regular"/>
      <family val="2"/>
    </font>
    <font>
      <sz val="10"/>
      <color rgb="FF000000"/>
      <name val="Times New Roman"/>
      <family val="1"/>
    </font>
    <font>
      <sz val="9"/>
      <name val="Calibri"/>
      <family val="2"/>
    </font>
    <font>
      <sz val="11"/>
      <color rgb="FF000000"/>
      <name val="Times New Roman"/>
      <family val="1"/>
    </font>
    <font>
      <i/>
      <sz val="11"/>
      <color rgb="FFFF0000"/>
      <name val="Calibri"/>
      <family val="2"/>
    </font>
    <font>
      <sz val="11"/>
      <color rgb="FF000000"/>
      <name val="Calibri"/>
      <family val="2"/>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i/>
      <sz val="10"/>
      <color rgb="FF000000"/>
      <name val="Calibri"/>
      <family val="2"/>
      <scheme val="minor"/>
    </font>
    <font>
      <sz val="10"/>
      <color rgb="FFFF0000"/>
      <name val="Calibri"/>
      <family val="2"/>
      <scheme val="minor"/>
    </font>
    <font>
      <i/>
      <sz val="10"/>
      <color rgb="FF231F20"/>
      <name val="Calibri"/>
      <family val="2"/>
    </font>
    <font>
      <sz val="10"/>
      <color rgb="FF000000"/>
      <name val="Times New Roman"/>
      <family val="1"/>
    </font>
    <font>
      <sz val="9"/>
      <color rgb="FFFF0000"/>
      <name val="Calibri"/>
      <family val="2"/>
      <scheme val="minor"/>
    </font>
    <font>
      <sz val="11"/>
      <name val="Arial"/>
      <family val="2"/>
    </font>
    <font>
      <sz val="11"/>
      <color rgb="FF000000"/>
      <name val="Calibri"/>
      <family val="2"/>
      <scheme val="minor"/>
    </font>
    <font>
      <sz val="11"/>
      <color rgb="FF000000"/>
      <name val="Wingdings"/>
      <charset val="2"/>
    </font>
    <font>
      <b/>
      <sz val="9"/>
      <name val="Calibri"/>
      <family val="2"/>
      <scheme val="minor"/>
    </font>
    <font>
      <i/>
      <sz val="11"/>
      <color rgb="FFFF0000"/>
      <name val="Calibri"/>
      <family val="2"/>
      <scheme val="minor"/>
    </font>
    <font>
      <i/>
      <sz val="9"/>
      <color theme="1"/>
      <name val="Calibri"/>
      <family val="2"/>
      <scheme val="minor"/>
    </font>
    <font>
      <sz val="16"/>
      <color theme="1"/>
      <name val="Arial"/>
      <family val="2"/>
    </font>
    <font>
      <b/>
      <sz val="11"/>
      <color theme="1"/>
      <name val="Calibri"/>
      <family val="2"/>
      <scheme val="minor"/>
    </font>
    <font>
      <b/>
      <sz val="10"/>
      <color theme="1"/>
      <name val="Calibri"/>
      <family val="2"/>
      <scheme val="minor"/>
    </font>
    <font>
      <b/>
      <i/>
      <sz val="10"/>
      <color rgb="FFFF0000"/>
      <name val="Calibri"/>
      <family val="2"/>
      <scheme val="minor"/>
    </font>
    <font>
      <b/>
      <sz val="11"/>
      <color rgb="FFFF0000"/>
      <name val="Calibri"/>
      <family val="2"/>
      <scheme val="minor"/>
    </font>
    <font>
      <sz val="11"/>
      <color theme="1"/>
      <name val="Calibri"/>
      <family val="2"/>
    </font>
    <font>
      <sz val="10"/>
      <color rgb="FFFF0000"/>
      <name val="Times New Roman"/>
      <family val="1"/>
    </font>
    <font>
      <sz val="10"/>
      <name val="Calibri"/>
      <family val="2"/>
      <scheme val="minor"/>
    </font>
    <font>
      <b/>
      <i/>
      <sz val="10"/>
      <color rgb="FFFF0000"/>
      <name val="Calibri"/>
      <family val="2"/>
    </font>
    <font>
      <sz val="9"/>
      <color theme="1"/>
      <name val="Calibri"/>
      <family val="2"/>
      <scheme val="minor"/>
    </font>
    <font>
      <b/>
      <sz val="11"/>
      <color rgb="FF000000"/>
      <name val="Calibri"/>
      <family val="2"/>
    </font>
    <font>
      <b/>
      <sz val="10"/>
      <color rgb="FFFF0000"/>
      <name val="Times New Roman"/>
      <family val="1"/>
    </font>
    <font>
      <b/>
      <sz val="10"/>
      <name val="Calibri"/>
      <family val="2"/>
    </font>
    <font>
      <sz val="9"/>
      <name val="Calibri"/>
      <family val="2"/>
      <scheme val="minor"/>
    </font>
    <font>
      <i/>
      <sz val="9"/>
      <color rgb="FFFF0000"/>
      <name val="Calibri"/>
      <family val="2"/>
      <scheme val="minor"/>
    </font>
    <font>
      <b/>
      <sz val="9"/>
      <color theme="1"/>
      <name val="Calibri"/>
      <family val="2"/>
      <scheme val="minor"/>
    </font>
    <font>
      <b/>
      <sz val="9"/>
      <color rgb="FF000000"/>
      <name val="Calibri"/>
      <family val="2"/>
    </font>
    <font>
      <sz val="10"/>
      <color rgb="FFC00000"/>
      <name val="Times New Roman"/>
      <family val="1"/>
    </font>
    <font>
      <b/>
      <sz val="10"/>
      <color rgb="FFFF0000"/>
      <name val="Calibri"/>
      <family val="2"/>
      <scheme val="minor"/>
    </font>
    <font>
      <sz val="11"/>
      <color rgb="FFFF0000"/>
      <name val="Calibri"/>
      <family val="2"/>
      <scheme val="minor"/>
    </font>
    <font>
      <b/>
      <i/>
      <sz val="9"/>
      <color rgb="FFFF0000"/>
      <name val="Calibri"/>
      <family val="2"/>
      <scheme val="minor"/>
    </font>
    <font>
      <b/>
      <sz val="12"/>
      <name val="Calibri"/>
      <family val="2"/>
    </font>
    <font>
      <i/>
      <sz val="10"/>
      <color rgb="FFFF0000"/>
      <name val="Calibri"/>
      <family val="2"/>
      <scheme val="minor"/>
    </font>
    <font>
      <b/>
      <sz val="11"/>
      <color rgb="FF000000"/>
      <name val="Calibri"/>
      <family val="2"/>
      <scheme val="minor"/>
    </font>
    <font>
      <b/>
      <i/>
      <sz val="11"/>
      <name val="Calibri"/>
      <family val="2"/>
      <scheme val="minor"/>
    </font>
    <font>
      <b/>
      <sz val="11"/>
      <color rgb="FFC00000"/>
      <name val="Calibri"/>
      <family val="2"/>
      <scheme val="minor"/>
    </font>
    <font>
      <b/>
      <i/>
      <sz val="10"/>
      <color rgb="FFFF0000"/>
      <name val="Times New Roman"/>
      <family val="1"/>
    </font>
    <font>
      <i/>
      <sz val="11"/>
      <color rgb="FFC00000"/>
      <name val="Calibri"/>
      <family val="2"/>
      <scheme val="minor"/>
    </font>
    <font>
      <b/>
      <sz val="12"/>
      <color rgb="FF000000"/>
      <name val="Calibri"/>
      <family val="2"/>
      <scheme val="minor"/>
    </font>
    <font>
      <sz val="24"/>
      <color rgb="FF000000"/>
      <name val="Calibri"/>
      <family val="2"/>
    </font>
    <font>
      <sz val="24"/>
      <color rgb="FF000000"/>
      <name val="Calibri"/>
      <family val="2"/>
      <scheme val="minor"/>
    </font>
    <font>
      <vertAlign val="superscript"/>
      <sz val="10"/>
      <color rgb="FF000000"/>
      <name val="Calibri"/>
      <family val="2"/>
      <scheme val="minor"/>
    </font>
    <font>
      <b/>
      <sz val="26"/>
      <color rgb="FF000000"/>
      <name val="Calibri"/>
      <family val="2"/>
      <scheme val="minor"/>
    </font>
    <font>
      <i/>
      <sz val="10"/>
      <color rgb="FFFF0000"/>
      <name val="Times New Roman"/>
      <family val="1"/>
    </font>
    <font>
      <b/>
      <sz val="10"/>
      <color rgb="FF000000"/>
      <name val="Calibri"/>
      <family val="2"/>
      <scheme val="minor"/>
    </font>
    <font>
      <b/>
      <vertAlign val="superscript"/>
      <sz val="9"/>
      <color theme="1"/>
      <name val="Calibri"/>
      <family val="2"/>
      <scheme val="minor"/>
    </font>
    <font>
      <vertAlign val="superscript"/>
      <sz val="10"/>
      <color theme="1"/>
      <name val="Calibri"/>
      <family val="2"/>
      <scheme val="minor"/>
    </font>
    <font>
      <i/>
      <vertAlign val="superscript"/>
      <sz val="9"/>
      <color theme="1"/>
      <name val="Calibri"/>
      <family val="2"/>
      <scheme val="minor"/>
    </font>
    <font>
      <sz val="11"/>
      <name val="Calibri"/>
      <family val="2"/>
      <scheme val="minor"/>
    </font>
    <font>
      <i/>
      <vertAlign val="superscript"/>
      <sz val="10"/>
      <color theme="1"/>
      <name val="Calibri"/>
      <family val="2"/>
      <scheme val="minor"/>
    </font>
    <font>
      <i/>
      <sz val="10"/>
      <color rgb="FF0070C0"/>
      <name val="Calibri"/>
      <family val="2"/>
      <scheme val="minor"/>
    </font>
    <font>
      <sz val="10"/>
      <name val="Wingdings"/>
      <charset val="2"/>
    </font>
    <font>
      <sz val="11"/>
      <color theme="1"/>
      <name val="Wingdings"/>
      <charset val="2"/>
    </font>
    <font>
      <i/>
      <vertAlign val="superscript"/>
      <sz val="9"/>
      <color rgb="FFFF0000"/>
      <name val="Calibri"/>
      <family val="2"/>
      <scheme val="minor"/>
    </font>
    <font>
      <u/>
      <sz val="9"/>
      <color indexed="81"/>
      <name val="Tahoma"/>
      <family val="2"/>
    </font>
    <font>
      <b/>
      <vertAlign val="superscript"/>
      <sz val="11"/>
      <name val="Calibri"/>
      <family val="2"/>
      <scheme val="minor"/>
    </font>
    <font>
      <vertAlign val="superscript"/>
      <sz val="11"/>
      <color theme="1"/>
      <name val="Calibri"/>
      <family val="2"/>
      <scheme val="minor"/>
    </font>
    <font>
      <i/>
      <sz val="10"/>
      <name val="Calibri"/>
      <family val="2"/>
      <scheme val="minor"/>
    </font>
    <font>
      <i/>
      <vertAlign val="superscript"/>
      <sz val="10"/>
      <name val="Calibri"/>
      <family val="2"/>
      <scheme val="minor"/>
    </font>
    <font>
      <vertAlign val="superscript"/>
      <sz val="11"/>
      <name val="Calibri"/>
      <family val="2"/>
      <scheme val="minor"/>
    </font>
    <font>
      <vertAlign val="superscript"/>
      <sz val="10"/>
      <name val="Calibri"/>
      <family val="2"/>
    </font>
    <font>
      <b/>
      <vertAlign val="superscript"/>
      <sz val="9"/>
      <name val="Calibri"/>
      <family val="2"/>
    </font>
    <font>
      <i/>
      <sz val="9"/>
      <name val="Calibri"/>
      <family val="2"/>
      <scheme val="minor"/>
    </font>
    <font>
      <i/>
      <vertAlign val="superscript"/>
      <sz val="9"/>
      <name val="Calibri"/>
      <family val="2"/>
      <scheme val="minor"/>
    </font>
    <font>
      <vertAlign val="superscript"/>
      <sz val="9"/>
      <name val="Calibri"/>
      <family val="2"/>
      <scheme val="minor"/>
    </font>
    <font>
      <vertAlign val="superscript"/>
      <sz val="9"/>
      <color theme="1"/>
      <name val="Calibri"/>
      <family val="2"/>
      <scheme val="minor"/>
    </font>
    <font>
      <b/>
      <vertAlign val="superscript"/>
      <sz val="9"/>
      <color rgb="FF000000"/>
      <name val="Calibri"/>
      <family val="2"/>
    </font>
    <font>
      <b/>
      <sz val="12"/>
      <name val="Calibri"/>
      <family val="2"/>
      <scheme val="minor"/>
    </font>
    <font>
      <i/>
      <vertAlign val="superscript"/>
      <sz val="10"/>
      <color rgb="FF000000"/>
      <name val="Calibri"/>
      <family val="2"/>
      <scheme val="minor"/>
    </font>
    <font>
      <b/>
      <vertAlign val="superscript"/>
      <sz val="11"/>
      <name val="Calibri"/>
      <family val="2"/>
    </font>
    <font>
      <vertAlign val="superscript"/>
      <sz val="11"/>
      <color rgb="FF000000"/>
      <name val="Calibri"/>
      <family val="2"/>
    </font>
    <font>
      <b/>
      <sz val="10"/>
      <color rgb="FF000000"/>
      <name val="Calibri"/>
      <family val="2"/>
    </font>
    <font>
      <b/>
      <sz val="11"/>
      <color rgb="FFFF0000"/>
      <name val="Arial"/>
      <family val="2"/>
    </font>
    <font>
      <b/>
      <sz val="10"/>
      <color rgb="FF00B050"/>
      <name val="Calibri"/>
      <family val="2"/>
    </font>
    <font>
      <sz val="11"/>
      <color rgb="FFCC99FF"/>
      <name val="Calibri"/>
      <family val="2"/>
      <scheme val="minor"/>
    </font>
    <font>
      <strike/>
      <sz val="9"/>
      <name val="Calibri"/>
      <family val="2"/>
      <scheme val="minor"/>
    </font>
    <font>
      <strike/>
      <sz val="10"/>
      <name val="Calibri"/>
      <family val="2"/>
      <scheme val="minor"/>
    </font>
    <font>
      <i/>
      <sz val="11"/>
      <name val="Calibri"/>
      <family val="2"/>
    </font>
    <font>
      <i/>
      <sz val="11"/>
      <name val="Calibri"/>
      <family val="2"/>
      <scheme val="minor"/>
    </font>
    <font>
      <i/>
      <sz val="10"/>
      <name val="Times New Roman"/>
      <family val="1"/>
    </font>
    <font>
      <sz val="11"/>
      <name val="Wingdings"/>
      <charset val="2"/>
    </font>
    <font>
      <i/>
      <sz val="9"/>
      <name val="Calibri"/>
      <family val="2"/>
    </font>
    <font>
      <b/>
      <vertAlign val="superscript"/>
      <sz val="9"/>
      <name val="Calibri"/>
      <family val="2"/>
      <scheme val="minor"/>
    </font>
    <font>
      <strike/>
      <sz val="11"/>
      <name val="Calibri"/>
      <family val="2"/>
      <scheme val="minor"/>
    </font>
    <font>
      <b/>
      <i/>
      <sz val="9"/>
      <name val="Calibri"/>
      <family val="2"/>
      <scheme val="minor"/>
    </font>
    <font>
      <sz val="10"/>
      <name val="Times New Roman"/>
      <family val="1"/>
    </font>
    <font>
      <b/>
      <i/>
      <sz val="10"/>
      <name val="Calibri"/>
      <family val="2"/>
    </font>
    <font>
      <vertAlign val="superscript"/>
      <sz val="10"/>
      <name val="Calibri"/>
      <family val="2"/>
      <scheme val="minor"/>
    </font>
    <font>
      <sz val="8"/>
      <name val="Calibri"/>
      <family val="2"/>
      <scheme val="minor"/>
    </font>
    <font>
      <b/>
      <strike/>
      <sz val="10"/>
      <color rgb="FFFF0000"/>
      <name val="Calibri"/>
      <family val="2"/>
      <scheme val="minor"/>
    </font>
    <font>
      <sz val="9.1"/>
      <name val="Calibri"/>
      <family val="2"/>
    </font>
    <font>
      <b/>
      <strike/>
      <sz val="9"/>
      <color indexed="10"/>
      <name val="Tahoma"/>
      <family val="2"/>
    </font>
    <font>
      <b/>
      <sz val="9"/>
      <color indexed="10"/>
      <name val="Tahoma"/>
      <family val="2"/>
    </font>
    <font>
      <b/>
      <strike/>
      <vertAlign val="superscript"/>
      <sz val="10"/>
      <color rgb="FFFF0000"/>
      <name val="Calibri"/>
      <family val="2"/>
      <scheme val="minor"/>
    </font>
    <font>
      <b/>
      <strike/>
      <sz val="11"/>
      <color rgb="FFFF0000"/>
      <name val="Calibri"/>
      <family val="2"/>
      <scheme val="minor"/>
    </font>
    <font>
      <b/>
      <sz val="9"/>
      <color rgb="FFFF0000"/>
      <name val="Calibri"/>
      <family val="2"/>
    </font>
    <font>
      <b/>
      <i/>
      <sz val="9"/>
      <color rgb="FFFF0000"/>
      <name val="Calibri"/>
      <family val="2"/>
    </font>
    <font>
      <b/>
      <sz val="9"/>
      <color rgb="FFFF0000"/>
      <name val="Calibri"/>
      <family val="2"/>
      <scheme val="minor"/>
    </font>
    <font>
      <b/>
      <strike/>
      <sz val="11"/>
      <color rgb="FFFF0000"/>
      <name val="Calibri"/>
      <family val="2"/>
    </font>
    <font>
      <b/>
      <strike/>
      <sz val="9"/>
      <color rgb="FFFF0000"/>
      <name val="Calibri"/>
      <family val="2"/>
    </font>
    <font>
      <b/>
      <strike/>
      <vertAlign val="superscript"/>
      <sz val="9"/>
      <color rgb="FFFF0000"/>
      <name val="Calibri"/>
      <family val="2"/>
    </font>
    <font>
      <b/>
      <i/>
      <strike/>
      <sz val="9"/>
      <color rgb="FFFF0000"/>
      <name val="Calibri"/>
      <family val="2"/>
    </font>
    <font>
      <b/>
      <strike/>
      <sz val="9"/>
      <color rgb="FFFF0000"/>
      <name val="Calibri"/>
      <family val="2"/>
      <scheme val="minor"/>
    </font>
    <font>
      <b/>
      <i/>
      <strike/>
      <u/>
      <sz val="9"/>
      <color rgb="FFFF0000"/>
      <name val="Calibri"/>
      <family val="2"/>
    </font>
    <font>
      <b/>
      <i/>
      <vertAlign val="superscript"/>
      <sz val="9"/>
      <color rgb="FFFF0000"/>
      <name val="Calibri"/>
      <family val="2"/>
      <scheme val="minor"/>
    </font>
    <font>
      <b/>
      <i/>
      <strike/>
      <sz val="9"/>
      <color rgb="FFFF0000"/>
      <name val="Calibri"/>
      <family val="2"/>
      <scheme val="minor"/>
    </font>
    <font>
      <b/>
      <strike/>
      <vertAlign val="superscript"/>
      <sz val="9"/>
      <color rgb="FFFF0000"/>
      <name val="Calibri"/>
      <family val="2"/>
      <scheme val="minor"/>
    </font>
    <font>
      <sz val="9"/>
      <color indexed="10"/>
      <name val="Tahoma"/>
      <family val="2"/>
    </font>
    <font>
      <strike/>
      <sz val="11"/>
      <color rgb="FFFF0000"/>
      <name val="Calibri"/>
      <family val="2"/>
      <scheme val="minor"/>
    </font>
    <font>
      <b/>
      <vertAlign val="superscript"/>
      <sz val="9"/>
      <color rgb="FFFF0000"/>
      <name val="Calibri"/>
      <family val="2"/>
      <scheme val="minor"/>
    </font>
    <font>
      <b/>
      <i/>
      <vertAlign val="superscript"/>
      <sz val="10"/>
      <color rgb="FFFF0000"/>
      <name val="Calibri"/>
      <family val="2"/>
      <scheme val="minor"/>
    </font>
    <font>
      <b/>
      <i/>
      <strike/>
      <vertAlign val="superscript"/>
      <sz val="10"/>
      <color rgb="FFFF0000"/>
      <name val="Calibri"/>
      <family val="2"/>
      <scheme val="minor"/>
    </font>
    <font>
      <b/>
      <vertAlign val="superscript"/>
      <sz val="10"/>
      <color rgb="FFFF0000"/>
      <name val="Calibri"/>
      <family val="2"/>
      <scheme val="minor"/>
    </font>
    <font>
      <b/>
      <sz val="10"/>
      <color rgb="FFFF0000"/>
      <name val="Calibri"/>
      <family val="2"/>
    </font>
    <font>
      <b/>
      <vertAlign val="superscript"/>
      <sz val="9"/>
      <color rgb="FFFF0000"/>
      <name val="Calibri"/>
      <family val="2"/>
    </font>
    <font>
      <b/>
      <sz val="11"/>
      <color rgb="FFFF0000"/>
      <name val="Calibri"/>
      <family val="2"/>
    </font>
    <font>
      <b/>
      <i/>
      <sz val="9"/>
      <name val="Calibri"/>
      <family val="2"/>
    </font>
    <font>
      <b/>
      <i/>
      <vertAlign val="superscript"/>
      <sz val="9"/>
      <name val="Calibri"/>
      <family val="2"/>
      <scheme val="minor"/>
    </font>
    <font>
      <strike/>
      <sz val="9"/>
      <color rgb="FFFF0000"/>
      <name val="Calibri"/>
      <family val="2"/>
      <scheme val="minor"/>
    </font>
    <font>
      <b/>
      <strike/>
      <u/>
      <sz val="9"/>
      <color rgb="FFFF0000"/>
      <name val="Calibri"/>
      <family val="2"/>
    </font>
    <font>
      <sz val="11"/>
      <color rgb="FFFF0000"/>
      <name val="Calibri"/>
      <family val="2"/>
      <charset val="2"/>
    </font>
    <font>
      <sz val="11"/>
      <color rgb="FFFF0000"/>
      <name val="Wingdings"/>
      <charset val="2"/>
    </font>
    <font>
      <sz val="11"/>
      <color rgb="FFFF0000"/>
      <name val="Calibri"/>
      <family val="2"/>
    </font>
    <font>
      <strike/>
      <sz val="10"/>
      <color rgb="FFFF0000"/>
      <name val="Calibri"/>
      <family val="2"/>
      <scheme val="minor"/>
    </font>
    <font>
      <b/>
      <sz val="11"/>
      <color rgb="FFFF0000"/>
      <name val="Calibri"/>
      <family val="2"/>
      <charset val="2"/>
    </font>
    <font>
      <b/>
      <sz val="11"/>
      <color rgb="FFFF0000"/>
      <name val="Wingdings"/>
      <charset val="2"/>
    </font>
    <font>
      <b/>
      <i/>
      <vertAlign val="superscript"/>
      <sz val="10"/>
      <name val="Calibri"/>
      <family val="2"/>
      <scheme val="minor"/>
    </font>
    <font>
      <b/>
      <i/>
      <strike/>
      <sz val="10"/>
      <color rgb="FFFF0000"/>
      <name val="Calibri"/>
      <family val="2"/>
    </font>
    <font>
      <b/>
      <i/>
      <strike/>
      <sz val="10"/>
      <color rgb="FFFF0000"/>
      <name val="Calibri"/>
      <family val="2"/>
      <scheme val="minor"/>
    </font>
    <font>
      <b/>
      <strike/>
      <sz val="10"/>
      <color rgb="FFFF0000"/>
      <name val="Calibri"/>
      <family val="2"/>
    </font>
    <font>
      <sz val="11"/>
      <color rgb="FFFF0000"/>
      <name val="Arial"/>
      <family val="2"/>
    </font>
    <font>
      <b/>
      <strike/>
      <sz val="8"/>
      <color rgb="FFFF0000"/>
      <name val="Calibri"/>
      <family val="2"/>
      <scheme val="minor"/>
    </font>
    <font>
      <sz val="10"/>
      <name val="Calibri"/>
      <family val="2"/>
      <charset val="2"/>
    </font>
    <font>
      <b/>
      <vertAlign val="superscript"/>
      <sz val="10"/>
      <color rgb="FFFF0000"/>
      <name val="Calibri"/>
      <family val="2"/>
    </font>
    <font>
      <b/>
      <strike/>
      <sz val="8"/>
      <color rgb="FF0070C0"/>
      <name val="Calibri"/>
      <family val="2"/>
      <scheme val="minor"/>
    </font>
    <font>
      <b/>
      <sz val="8"/>
      <color rgb="FF0070C0"/>
      <name val="Calibri"/>
      <family val="2"/>
      <scheme val="minor"/>
    </font>
    <font>
      <b/>
      <strike/>
      <sz val="11"/>
      <color rgb="FF0070C0"/>
      <name val="Calibri"/>
      <family val="2"/>
      <scheme val="minor"/>
    </font>
    <font>
      <b/>
      <sz val="11"/>
      <color rgb="FF0070C0"/>
      <name val="Calibri"/>
      <family val="2"/>
      <scheme val="minor"/>
    </font>
    <font>
      <b/>
      <i/>
      <strike/>
      <sz val="10"/>
      <color rgb="FF0070C0"/>
      <name val="Calibri"/>
      <family val="2"/>
    </font>
    <font>
      <b/>
      <strike/>
      <sz val="10"/>
      <color rgb="FF0070C0"/>
      <name val="Calibri"/>
      <family val="2"/>
      <scheme val="minor"/>
    </font>
    <font>
      <b/>
      <sz val="10"/>
      <color rgb="FF0070C0"/>
      <name val="Calibri"/>
      <family val="2"/>
      <scheme val="minor"/>
    </font>
    <font>
      <b/>
      <sz val="10"/>
      <color rgb="FFFF0000"/>
      <name val="Wingdings"/>
      <charset val="2"/>
    </font>
    <font>
      <b/>
      <strike/>
      <sz val="10"/>
      <color rgb="FFFF0000"/>
      <name val="Wingdings"/>
      <charset val="2"/>
    </font>
    <font>
      <b/>
      <strike/>
      <sz val="9"/>
      <color rgb="FF0070C0"/>
      <name val="Calibri"/>
      <family val="2"/>
      <scheme val="minor"/>
    </font>
    <font>
      <b/>
      <strike/>
      <vertAlign val="superscript"/>
      <sz val="9"/>
      <color rgb="FF0070C0"/>
      <name val="Calibri"/>
      <family val="2"/>
      <scheme val="minor"/>
    </font>
    <font>
      <b/>
      <strike/>
      <sz val="9"/>
      <color indexed="39"/>
      <name val="Tahoma"/>
      <family val="2"/>
    </font>
    <font>
      <strike/>
      <sz val="9"/>
      <color indexed="10"/>
      <name val="Tahoma"/>
      <family val="2"/>
    </font>
    <font>
      <b/>
      <i/>
      <sz val="10"/>
      <color rgb="FF0070C0"/>
      <name val="Calibri"/>
      <family val="2"/>
      <scheme val="minor"/>
    </font>
    <font>
      <b/>
      <vertAlign val="superscript"/>
      <sz val="10"/>
      <color rgb="FF0070C0"/>
      <name val="Calibri"/>
      <family val="2"/>
      <scheme val="minor"/>
    </font>
    <font>
      <b/>
      <sz val="9"/>
      <color indexed="39"/>
      <name val="Tahoma"/>
      <family val="2"/>
    </font>
    <font>
      <sz val="9"/>
      <color indexed="39"/>
      <name val="Tahoma"/>
      <family val="2"/>
    </font>
    <font>
      <b/>
      <i/>
      <strike/>
      <sz val="10"/>
      <color rgb="FF0070C0"/>
      <name val="Calibri"/>
      <family val="2"/>
      <scheme val="minor"/>
    </font>
    <font>
      <strike/>
      <sz val="9"/>
      <color indexed="81"/>
      <name val="Tahoma"/>
      <family val="2"/>
    </font>
    <font>
      <strike/>
      <sz val="9"/>
      <color theme="1"/>
      <name val="Calibri"/>
      <family val="2"/>
      <scheme val="minor"/>
    </font>
    <font>
      <b/>
      <sz val="18"/>
      <color rgb="FF000000"/>
      <name val="Calibri"/>
      <family val="2"/>
    </font>
    <font>
      <strike/>
      <sz val="10"/>
      <color rgb="FFFF0000"/>
      <name val="Wingdings"/>
      <charset val="2"/>
    </font>
    <font>
      <b/>
      <u/>
      <sz val="10"/>
      <color rgb="FFFF0000"/>
      <name val="Calibri"/>
      <family val="2"/>
      <scheme val="minor"/>
    </font>
  </fonts>
  <fills count="21">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theme="5"/>
        <bgColor indexed="64"/>
      </patternFill>
    </fill>
    <fill>
      <patternFill patternType="solid">
        <fgColor rgb="FF0070C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CC99FF"/>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rgb="FF231F20"/>
      </top>
      <bottom/>
      <diagonal/>
    </border>
  </borders>
  <cellStyleXfs count="16">
    <xf numFmtId="0" fontId="0" fillId="0" borderId="0"/>
    <xf numFmtId="0" fontId="28" fillId="0" borderId="0"/>
    <xf numFmtId="0" fontId="31" fillId="0" borderId="0"/>
    <xf numFmtId="0" fontId="32" fillId="0" borderId="0"/>
    <xf numFmtId="0" fontId="11" fillId="0" borderId="0"/>
    <xf numFmtId="0" fontId="9" fillId="0" borderId="0"/>
    <xf numFmtId="0" fontId="45" fillId="0" borderId="0"/>
    <xf numFmtId="0" fontId="8" fillId="0" borderId="0"/>
    <xf numFmtId="0" fontId="28" fillId="0" borderId="0"/>
    <xf numFmtId="0" fontId="8" fillId="0" borderId="0"/>
    <xf numFmtId="0" fontId="6" fillId="0" borderId="0"/>
    <xf numFmtId="0" fontId="6" fillId="0" borderId="0"/>
    <xf numFmtId="0" fontId="28" fillId="0" borderId="0"/>
    <xf numFmtId="0" fontId="6" fillId="0" borderId="0"/>
    <xf numFmtId="0" fontId="6" fillId="0" borderId="0"/>
    <xf numFmtId="0" fontId="1" fillId="0" borderId="0"/>
  </cellStyleXfs>
  <cellXfs count="1497">
    <xf numFmtId="0" fontId="0" fillId="0" borderId="0" xfId="0"/>
    <xf numFmtId="0" fontId="12" fillId="0" borderId="0" xfId="0" applyFont="1" applyFill="1" applyBorder="1" applyAlignment="1">
      <alignment horizontal="left" vertical="top"/>
    </xf>
    <xf numFmtId="0" fontId="0" fillId="0" borderId="0" xfId="0" applyFill="1" applyBorder="1" applyAlignment="1">
      <alignment horizontal="left" vertical="top"/>
    </xf>
    <xf numFmtId="0" fontId="14" fillId="0" borderId="0" xfId="0" applyFont="1" applyFill="1" applyBorder="1" applyAlignment="1">
      <alignment horizontal="left" vertical="top"/>
    </xf>
    <xf numFmtId="0" fontId="15" fillId="0" borderId="0" xfId="0" applyFont="1" applyFill="1" applyBorder="1" applyAlignment="1">
      <alignment horizontal="left" vertical="top"/>
    </xf>
    <xf numFmtId="0" fontId="19" fillId="0" borderId="0" xfId="0" applyFont="1"/>
    <xf numFmtId="0" fontId="19" fillId="0" borderId="0" xfId="0" applyFont="1" applyAlignment="1">
      <alignment horizontal="center" vertical="center"/>
    </xf>
    <xf numFmtId="0" fontId="19" fillId="0" borderId="0" xfId="0" applyFont="1" applyBorder="1"/>
    <xf numFmtId="0" fontId="19" fillId="0" borderId="0" xfId="0" applyFont="1" applyFill="1" applyBorder="1"/>
    <xf numFmtId="0" fontId="19" fillId="0" borderId="0" xfId="0" applyFont="1" applyFill="1" applyBorder="1" applyAlignment="1">
      <alignment horizontal="center"/>
    </xf>
    <xf numFmtId="0" fontId="28" fillId="0" borderId="0" xfId="1" applyFill="1" applyBorder="1" applyAlignment="1">
      <alignment horizontal="left" vertical="top"/>
    </xf>
    <xf numFmtId="0" fontId="28" fillId="0" borderId="0" xfId="1" applyFill="1" applyBorder="1" applyAlignment="1">
      <alignment horizontal="center" vertical="top"/>
    </xf>
    <xf numFmtId="0" fontId="19" fillId="0" borderId="0" xfId="0" applyFont="1" applyFill="1" applyBorder="1" applyAlignment="1"/>
    <xf numFmtId="0" fontId="38" fillId="0" borderId="0" xfId="0" applyFont="1" applyBorder="1" applyAlignment="1">
      <alignment horizontal="center" vertical="center"/>
    </xf>
    <xf numFmtId="0" fontId="39" fillId="7" borderId="0" xfId="4" applyFont="1" applyFill="1"/>
    <xf numFmtId="0" fontId="11" fillId="0" borderId="0" xfId="4"/>
    <xf numFmtId="0" fontId="11" fillId="0" borderId="0" xfId="4" applyFill="1"/>
    <xf numFmtId="0" fontId="11" fillId="0" borderId="0" xfId="4" applyAlignment="1">
      <alignment horizontal="center"/>
    </xf>
    <xf numFmtId="0" fontId="19" fillId="0" borderId="0" xfId="0" applyFont="1" applyBorder="1"/>
    <xf numFmtId="0" fontId="19" fillId="0" borderId="0" xfId="0" applyFont="1" applyBorder="1" applyAlignment="1">
      <alignment horizontal="right"/>
    </xf>
    <xf numFmtId="0" fontId="10" fillId="0" borderId="0" xfId="4" applyFont="1"/>
    <xf numFmtId="0" fontId="10" fillId="0" borderId="0" xfId="4" applyFont="1" applyFill="1"/>
    <xf numFmtId="0" fontId="8" fillId="0" borderId="0" xfId="4" applyFont="1"/>
    <xf numFmtId="0" fontId="8" fillId="0" borderId="0" xfId="4" applyFont="1" applyFill="1"/>
    <xf numFmtId="0" fontId="0" fillId="0" borderId="0" xfId="0" applyFill="1"/>
    <xf numFmtId="0" fontId="0" fillId="0" borderId="0" xfId="0"/>
    <xf numFmtId="0" fontId="12" fillId="0" borderId="0" xfId="0" applyFont="1" applyFill="1" applyBorder="1" applyAlignment="1">
      <alignment horizontal="left" vertical="top"/>
    </xf>
    <xf numFmtId="0" fontId="0" fillId="10" borderId="0" xfId="0" applyFill="1"/>
    <xf numFmtId="0" fontId="0" fillId="8" borderId="0" xfId="0" applyFill="1"/>
    <xf numFmtId="0" fontId="0" fillId="5" borderId="0" xfId="0" applyFill="1"/>
    <xf numFmtId="0" fontId="19" fillId="8" borderId="2" xfId="0" applyFont="1" applyFill="1" applyBorder="1" applyAlignment="1">
      <alignment horizontal="right" vertical="center"/>
    </xf>
    <xf numFmtId="0" fontId="0" fillId="0" borderId="0" xfId="0" applyFill="1" applyAlignment="1">
      <alignment horizontal="center"/>
    </xf>
    <xf numFmtId="0" fontId="19" fillId="10" borderId="13" xfId="0" applyFont="1" applyFill="1" applyBorder="1"/>
    <xf numFmtId="0" fontId="19" fillId="10" borderId="12" xfId="0" applyFont="1" applyFill="1" applyBorder="1"/>
    <xf numFmtId="0" fontId="0" fillId="0" borderId="0" xfId="0" applyFont="1"/>
    <xf numFmtId="0" fontId="47" fillId="0" borderId="13" xfId="0" applyFont="1" applyFill="1" applyBorder="1" applyAlignment="1">
      <alignment horizontal="left" vertical="top"/>
    </xf>
    <xf numFmtId="0" fontId="0" fillId="0" borderId="13" xfId="0" applyFont="1" applyFill="1" applyBorder="1" applyAlignment="1">
      <alignment horizontal="left" vertical="top"/>
    </xf>
    <xf numFmtId="0" fontId="48" fillId="0" borderId="13" xfId="0" applyFont="1" applyFill="1" applyBorder="1" applyAlignment="1">
      <alignment horizontal="right" vertical="center"/>
    </xf>
    <xf numFmtId="0" fontId="48" fillId="0" borderId="12" xfId="0" applyFont="1" applyFill="1" applyBorder="1" applyAlignment="1">
      <alignment horizontal="right" vertical="center"/>
    </xf>
    <xf numFmtId="0" fontId="48" fillId="0" borderId="12" xfId="0" applyFont="1" applyFill="1" applyBorder="1" applyAlignment="1">
      <alignment horizontal="left" vertical="center"/>
    </xf>
    <xf numFmtId="0" fontId="7" fillId="0" borderId="0" xfId="4" applyFont="1" applyFill="1"/>
    <xf numFmtId="0" fontId="6" fillId="0" borderId="0" xfId="4" applyFont="1"/>
    <xf numFmtId="0" fontId="26" fillId="0" borderId="2" xfId="1" applyFont="1" applyFill="1" applyBorder="1" applyAlignment="1">
      <alignment horizontal="center" vertical="top"/>
    </xf>
    <xf numFmtId="0" fontId="0" fillId="0" borderId="0" xfId="0"/>
    <xf numFmtId="0" fontId="19" fillId="0" borderId="0" xfId="0" applyFont="1"/>
    <xf numFmtId="0" fontId="0" fillId="0" borderId="0" xfId="0" applyFill="1" applyBorder="1"/>
    <xf numFmtId="0" fontId="0" fillId="0" borderId="0" xfId="0" applyFill="1"/>
    <xf numFmtId="0" fontId="0" fillId="10" borderId="0" xfId="0" applyFill="1"/>
    <xf numFmtId="0" fontId="0" fillId="8" borderId="0" xfId="0" applyFill="1"/>
    <xf numFmtId="0" fontId="0" fillId="5" borderId="0" xfId="0" applyFill="1"/>
    <xf numFmtId="0" fontId="44" fillId="0" borderId="0" xfId="0" applyFont="1" applyFill="1" applyBorder="1" applyAlignment="1">
      <alignment vertical="top" wrapText="1"/>
    </xf>
    <xf numFmtId="0" fontId="20" fillId="0" borderId="0" xfId="0" applyFont="1" applyFill="1" applyBorder="1" applyAlignment="1">
      <alignment vertical="top" wrapText="1"/>
    </xf>
    <xf numFmtId="0" fontId="38" fillId="0" borderId="2" xfId="0" applyFont="1" applyBorder="1" applyAlignment="1">
      <alignment horizontal="center" vertical="center"/>
    </xf>
    <xf numFmtId="0" fontId="53" fillId="0" borderId="2" xfId="0" applyFont="1" applyBorder="1" applyAlignment="1">
      <alignment horizontal="center" vertical="center"/>
    </xf>
    <xf numFmtId="0" fontId="38" fillId="10" borderId="2" xfId="0" applyFont="1" applyFill="1" applyBorder="1" applyAlignment="1">
      <alignment horizontal="center" vertical="center"/>
    </xf>
    <xf numFmtId="0" fontId="39" fillId="9" borderId="0" xfId="4" applyFont="1" applyFill="1"/>
    <xf numFmtId="0" fontId="5" fillId="0" borderId="0" xfId="4" applyFont="1" applyFill="1"/>
    <xf numFmtId="0" fontId="5" fillId="0" borderId="0" xfId="4" applyFont="1" applyAlignment="1">
      <alignment horizontal="center" vertical="center"/>
    </xf>
    <xf numFmtId="49" fontId="19" fillId="0" borderId="2" xfId="0" applyNumberFormat="1" applyFont="1" applyFill="1" applyBorder="1" applyAlignment="1">
      <alignment horizontal="center" vertical="center"/>
    </xf>
    <xf numFmtId="0" fontId="4" fillId="0" borderId="0" xfId="4" applyFont="1"/>
    <xf numFmtId="0" fontId="28" fillId="0" borderId="0" xfId="8" applyFill="1" applyBorder="1" applyAlignment="1">
      <alignment horizontal="left" vertical="top"/>
    </xf>
    <xf numFmtId="0" fontId="19" fillId="0" borderId="0" xfId="0" applyFont="1" applyFill="1" applyBorder="1" applyAlignment="1">
      <alignment vertical="top"/>
    </xf>
    <xf numFmtId="0" fontId="19" fillId="0" borderId="0" xfId="0" applyFont="1" applyFill="1" applyBorder="1" applyAlignment="1">
      <alignment horizontal="left" vertical="top"/>
    </xf>
    <xf numFmtId="0" fontId="19" fillId="0" borderId="0" xfId="0" applyFont="1" applyFill="1" applyBorder="1" applyAlignment="1">
      <alignment horizontal="center" vertical="top"/>
    </xf>
    <xf numFmtId="0" fontId="20" fillId="0" borderId="0" xfId="0" applyFont="1" applyFill="1" applyBorder="1" applyAlignment="1">
      <alignment horizontal="center" vertical="top" wrapText="1"/>
    </xf>
    <xf numFmtId="0" fontId="21" fillId="0" borderId="0" xfId="0" applyFont="1" applyFill="1" applyBorder="1" applyAlignment="1">
      <alignment horizontal="left" vertical="top" wrapText="1"/>
    </xf>
    <xf numFmtId="0" fontId="19" fillId="0" borderId="0" xfId="0" applyFont="1" applyFill="1" applyBorder="1" applyAlignment="1">
      <alignment horizontal="left" vertical="top" wrapText="1"/>
    </xf>
    <xf numFmtId="0" fontId="19" fillId="0" borderId="0" xfId="0" applyFont="1" applyBorder="1" applyAlignment="1"/>
    <xf numFmtId="0" fontId="43" fillId="0" borderId="0" xfId="0" applyFont="1" applyBorder="1" applyAlignment="1">
      <alignment vertical="center" wrapText="1"/>
    </xf>
    <xf numFmtId="0" fontId="0" fillId="0" borderId="0" xfId="0" applyBorder="1"/>
    <xf numFmtId="0" fontId="54" fillId="0" borderId="0" xfId="0" applyFont="1" applyBorder="1" applyAlignment="1">
      <alignment vertical="center"/>
    </xf>
    <xf numFmtId="49" fontId="0" fillId="0" borderId="0" xfId="0" applyNumberFormat="1" applyFill="1" applyBorder="1" applyAlignment="1">
      <alignment horizontal="center" vertical="center"/>
    </xf>
    <xf numFmtId="0" fontId="19" fillId="0" borderId="0" xfId="0" applyFont="1" applyFill="1" applyBorder="1" applyAlignment="1">
      <alignment horizontal="center" vertical="center"/>
    </xf>
    <xf numFmtId="0" fontId="57" fillId="0" borderId="0" xfId="0" applyFont="1"/>
    <xf numFmtId="0" fontId="0" fillId="11" borderId="0" xfId="0" applyFill="1" applyAlignment="1"/>
    <xf numFmtId="49" fontId="19" fillId="0" borderId="12" xfId="0" applyNumberFormat="1" applyFont="1" applyFill="1" applyBorder="1" applyAlignment="1">
      <alignment horizontal="center" vertical="center"/>
    </xf>
    <xf numFmtId="0" fontId="38" fillId="0" borderId="0" xfId="0" applyFont="1" applyFill="1" applyBorder="1" applyAlignment="1">
      <alignment horizontal="center" vertical="center"/>
    </xf>
    <xf numFmtId="0" fontId="4" fillId="0" borderId="0" xfId="4" applyFont="1" applyFill="1"/>
    <xf numFmtId="0" fontId="4" fillId="0" borderId="0" xfId="4" applyFont="1" applyAlignment="1">
      <alignment horizontal="left"/>
    </xf>
    <xf numFmtId="0" fontId="4" fillId="0" borderId="0" xfId="4" applyFont="1" applyAlignment="1">
      <alignment wrapText="1"/>
    </xf>
    <xf numFmtId="0" fontId="19" fillId="0" borderId="0" xfId="0" applyFont="1" applyFill="1" applyBorder="1" applyAlignment="1">
      <alignment horizontal="center"/>
    </xf>
    <xf numFmtId="0" fontId="59" fillId="0" borderId="0" xfId="1" applyFont="1" applyFill="1" applyBorder="1" applyAlignment="1">
      <alignment vertical="top" wrapText="1"/>
    </xf>
    <xf numFmtId="0" fontId="26" fillId="0" borderId="0" xfId="1" applyFont="1" applyFill="1" applyBorder="1" applyAlignment="1">
      <alignment horizontal="center" vertical="top"/>
    </xf>
    <xf numFmtId="0" fontId="0" fillId="4" borderId="0" xfId="0" applyFill="1"/>
    <xf numFmtId="0" fontId="28" fillId="0" borderId="0" xfId="1" applyFill="1" applyBorder="1" applyAlignment="1">
      <alignment horizontal="center" vertical="center"/>
    </xf>
    <xf numFmtId="165" fontId="61" fillId="0" borderId="0" xfId="1" applyNumberFormat="1" applyFont="1" applyFill="1" applyBorder="1" applyAlignment="1">
      <alignment vertical="top" wrapText="1"/>
    </xf>
    <xf numFmtId="0" fontId="19" fillId="15" borderId="2" xfId="0" applyFont="1" applyFill="1" applyBorder="1" applyAlignment="1">
      <alignment horizontal="center" vertical="center"/>
    </xf>
    <xf numFmtId="0" fontId="19" fillId="14" borderId="2" xfId="0" applyFont="1" applyFill="1" applyBorder="1" applyAlignment="1">
      <alignment horizontal="center" vertical="center"/>
    </xf>
    <xf numFmtId="0" fontId="62" fillId="0" borderId="0" xfId="0" applyFont="1" applyBorder="1" applyAlignment="1">
      <alignment vertical="center" wrapText="1"/>
    </xf>
    <xf numFmtId="0" fontId="0" fillId="0" borderId="14" xfId="0" applyFill="1" applyBorder="1" applyAlignment="1">
      <alignment horizontal="center" vertical="center"/>
    </xf>
    <xf numFmtId="0" fontId="0" fillId="0" borderId="0" xfId="0" applyAlignment="1">
      <alignment horizontal="center" vertical="center"/>
    </xf>
    <xf numFmtId="0" fontId="62" fillId="0" borderId="0" xfId="0" applyFont="1" applyFill="1" applyBorder="1" applyAlignment="1">
      <alignment horizontal="center" vertical="center"/>
    </xf>
    <xf numFmtId="0" fontId="66" fillId="0" borderId="0" xfId="0" applyFont="1" applyFill="1" applyBorder="1" applyAlignment="1">
      <alignment horizontal="center" vertical="center"/>
    </xf>
    <xf numFmtId="0" fontId="0" fillId="0" borderId="0" xfId="0" applyFill="1" applyBorder="1" applyAlignment="1">
      <alignment horizontal="center" vertical="center"/>
    </xf>
    <xf numFmtId="0" fontId="67" fillId="0" borderId="0" xfId="0" applyFont="1" applyFill="1" applyBorder="1" applyAlignment="1">
      <alignment horizontal="center" vertical="center"/>
    </xf>
    <xf numFmtId="0" fontId="68" fillId="0" borderId="0" xfId="0" applyFont="1" applyFill="1" applyBorder="1" applyAlignment="1">
      <alignment horizontal="center" vertical="center" wrapText="1"/>
    </xf>
    <xf numFmtId="0" fontId="62" fillId="5" borderId="2" xfId="0" applyFont="1" applyFill="1" applyBorder="1" applyAlignment="1">
      <alignment horizontal="center" vertical="center"/>
    </xf>
    <xf numFmtId="0" fontId="46" fillId="0" borderId="0" xfId="0" applyFont="1" applyAlignment="1">
      <alignment vertical="top" wrapText="1"/>
    </xf>
    <xf numFmtId="0" fontId="62" fillId="0" borderId="2" xfId="0" applyFont="1" applyFill="1" applyBorder="1" applyAlignment="1">
      <alignment horizontal="center"/>
    </xf>
    <xf numFmtId="0" fontId="62" fillId="0" borderId="0" xfId="0" applyFont="1" applyAlignment="1">
      <alignment horizontal="center" vertical="center"/>
    </xf>
    <xf numFmtId="49" fontId="36" fillId="0" borderId="0" xfId="1" applyNumberFormat="1" applyFont="1" applyFill="1" applyBorder="1" applyAlignment="1">
      <alignment horizontal="center" vertical="top" wrapText="1"/>
    </xf>
    <xf numFmtId="0" fontId="62" fillId="0" borderId="0" xfId="0" applyFont="1" applyFill="1" applyBorder="1" applyAlignment="1">
      <alignment vertical="center"/>
    </xf>
    <xf numFmtId="0" fontId="68" fillId="0" borderId="0" xfId="0" applyFont="1" applyAlignment="1">
      <alignment horizontal="center" vertical="center"/>
    </xf>
    <xf numFmtId="0" fontId="19" fillId="0" borderId="0" xfId="0" applyFont="1" applyFill="1" applyBorder="1" applyAlignment="1">
      <alignment horizontal="center" vertical="center" wrapText="1"/>
    </xf>
    <xf numFmtId="0" fontId="64" fillId="0" borderId="0" xfId="1" applyFont="1" applyFill="1" applyBorder="1" applyAlignment="1">
      <alignment vertical="top" wrapText="1"/>
    </xf>
    <xf numFmtId="0" fontId="0" fillId="0" borderId="0" xfId="0" applyFill="1" applyAlignment="1"/>
    <xf numFmtId="0" fontId="0" fillId="0" borderId="0" xfId="0" applyAlignment="1">
      <alignment vertical="center"/>
    </xf>
    <xf numFmtId="0" fontId="0" fillId="0" borderId="0" xfId="0" applyAlignment="1">
      <alignment vertical="top" wrapText="1"/>
    </xf>
    <xf numFmtId="0" fontId="28" fillId="0" borderId="0" xfId="1" applyFill="1" applyBorder="1" applyAlignment="1">
      <alignment horizontal="left" vertical="center"/>
    </xf>
    <xf numFmtId="49" fontId="19" fillId="0" borderId="2" xfId="0" applyNumberFormat="1" applyFont="1" applyFill="1" applyBorder="1" applyAlignment="1">
      <alignment horizontal="center"/>
    </xf>
    <xf numFmtId="49" fontId="19" fillId="0" borderId="0" xfId="0" applyNumberFormat="1" applyFont="1" applyFill="1" applyBorder="1" applyAlignment="1"/>
    <xf numFmtId="0" fontId="71" fillId="0" borderId="8" xfId="0" applyFont="1" applyBorder="1" applyAlignment="1">
      <alignment wrapText="1"/>
    </xf>
    <xf numFmtId="0" fontId="71" fillId="0" borderId="0" xfId="0" applyFont="1" applyAlignment="1">
      <alignment wrapText="1"/>
    </xf>
    <xf numFmtId="0" fontId="0" fillId="0" borderId="0" xfId="0" applyAlignment="1"/>
    <xf numFmtId="0" fontId="70" fillId="0" borderId="0" xfId="1" applyFont="1" applyFill="1" applyBorder="1" applyAlignment="1">
      <alignment vertical="top" wrapText="1"/>
    </xf>
    <xf numFmtId="0" fontId="25" fillId="5" borderId="4" xfId="1" applyFont="1" applyFill="1" applyBorder="1" applyAlignment="1">
      <alignment horizontal="center" vertical="center" wrapText="1"/>
    </xf>
    <xf numFmtId="0" fontId="25" fillId="0" borderId="0" xfId="1" applyFont="1" applyFill="1" applyBorder="1" applyAlignment="1">
      <alignment vertical="center" wrapText="1"/>
    </xf>
    <xf numFmtId="0" fontId="0" fillId="11" borderId="0" xfId="0" applyFill="1" applyAlignment="1">
      <alignment horizontal="center"/>
    </xf>
    <xf numFmtId="0" fontId="34" fillId="0" borderId="0" xfId="1" applyFont="1" applyFill="1" applyBorder="1" applyAlignment="1">
      <alignment horizontal="left" vertical="top"/>
    </xf>
    <xf numFmtId="0" fontId="28" fillId="0" borderId="0" xfId="1" applyFill="1" applyBorder="1" applyAlignment="1">
      <alignment horizontal="center"/>
    </xf>
    <xf numFmtId="0" fontId="86" fillId="0" borderId="0" xfId="1" applyFont="1" applyFill="1" applyBorder="1" applyAlignment="1">
      <alignment horizontal="left" vertical="top"/>
    </xf>
    <xf numFmtId="0" fontId="26" fillId="0" borderId="0" xfId="1" applyFont="1" applyFill="1" applyBorder="1" applyAlignment="1">
      <alignment wrapText="1"/>
    </xf>
    <xf numFmtId="0" fontId="26" fillId="0" borderId="0" xfId="1" applyFont="1" applyFill="1" applyBorder="1" applyAlignment="1"/>
    <xf numFmtId="0" fontId="0" fillId="11" borderId="0" xfId="0" applyFill="1" applyAlignment="1">
      <alignment horizontal="center"/>
    </xf>
    <xf numFmtId="0" fontId="81" fillId="0" borderId="0" xfId="1" applyFont="1" applyFill="1" applyBorder="1" applyAlignment="1">
      <alignment vertical="center"/>
    </xf>
    <xf numFmtId="0" fontId="62" fillId="0" borderId="2" xfId="0" applyFont="1" applyBorder="1" applyAlignment="1">
      <alignment horizontal="center" vertical="center"/>
    </xf>
    <xf numFmtId="0" fontId="62" fillId="0" borderId="2" xfId="0" applyFont="1" applyBorder="1" applyAlignment="1">
      <alignment horizontal="center"/>
    </xf>
    <xf numFmtId="0" fontId="66" fillId="0" borderId="2" xfId="0" applyFont="1" applyFill="1" applyBorder="1" applyAlignment="1">
      <alignment horizontal="center" vertical="center"/>
    </xf>
    <xf numFmtId="49" fontId="36" fillId="0" borderId="0" xfId="1" applyNumberFormat="1" applyFont="1" applyFill="1" applyBorder="1" applyAlignment="1">
      <alignment horizontal="center" vertical="center" wrapText="1"/>
    </xf>
    <xf numFmtId="0" fontId="23" fillId="0" borderId="0" xfId="1" applyFont="1" applyFill="1" applyBorder="1" applyAlignment="1">
      <alignment horizontal="center" vertical="center" wrapText="1"/>
    </xf>
    <xf numFmtId="0" fontId="0" fillId="0" borderId="0" xfId="0" applyFill="1" applyBorder="1" applyAlignment="1"/>
    <xf numFmtId="0" fontId="49" fillId="0" borderId="0" xfId="1" applyFont="1" applyFill="1" applyBorder="1" applyAlignment="1">
      <alignment horizontal="center" vertical="center" wrapText="1"/>
    </xf>
    <xf numFmtId="49" fontId="36" fillId="0" borderId="0" xfId="1" applyNumberFormat="1" applyFont="1" applyFill="1" applyBorder="1" applyAlignment="1">
      <alignment vertical="top" wrapText="1"/>
    </xf>
    <xf numFmtId="0" fontId="49" fillId="0" borderId="0" xfId="1" applyFont="1" applyFill="1" applyBorder="1" applyAlignment="1">
      <alignment vertical="center" wrapText="1"/>
    </xf>
    <xf numFmtId="0" fontId="24" fillId="0" borderId="0" xfId="1" applyFont="1" applyFill="1" applyBorder="1" applyAlignment="1">
      <alignment vertical="center" wrapText="1"/>
    </xf>
    <xf numFmtId="0" fontId="0" fillId="11" borderId="0" xfId="0" applyFill="1"/>
    <xf numFmtId="0" fontId="67" fillId="0" borderId="0" xfId="0" applyFont="1" applyAlignment="1">
      <alignment vertical="top" wrapText="1"/>
    </xf>
    <xf numFmtId="0" fontId="68" fillId="0" borderId="0" xfId="0" applyFont="1" applyFill="1" applyBorder="1" applyAlignment="1">
      <alignment vertical="center" wrapText="1"/>
    </xf>
    <xf numFmtId="0" fontId="0" fillId="0" borderId="15" xfId="0" applyFill="1" applyBorder="1" applyAlignment="1">
      <alignment horizontal="center" vertical="center"/>
    </xf>
    <xf numFmtId="0" fontId="46" fillId="0" borderId="8" xfId="0" applyFont="1" applyBorder="1" applyAlignment="1"/>
    <xf numFmtId="0" fontId="46" fillId="0" borderId="0" xfId="0" applyFont="1" applyAlignment="1"/>
    <xf numFmtId="0" fontId="0" fillId="10" borderId="2" xfId="0" applyFill="1" applyBorder="1" applyAlignment="1">
      <alignment horizontal="center"/>
    </xf>
    <xf numFmtId="0" fontId="62" fillId="0" borderId="0" xfId="0" applyFont="1" applyFill="1" applyBorder="1" applyAlignment="1">
      <alignment horizontal="center" vertical="center" wrapText="1"/>
    </xf>
    <xf numFmtId="0" fontId="0" fillId="10" borderId="2" xfId="0" applyFill="1" applyBorder="1"/>
    <xf numFmtId="0" fontId="67" fillId="0" borderId="0" xfId="0" applyFont="1" applyFill="1" applyBorder="1" applyAlignment="1">
      <alignment vertical="top" wrapText="1"/>
    </xf>
    <xf numFmtId="0" fontId="67" fillId="0" borderId="0" xfId="0" applyFont="1" applyFill="1" applyBorder="1" applyAlignment="1">
      <alignment vertical="center"/>
    </xf>
    <xf numFmtId="0" fontId="62" fillId="0" borderId="0" xfId="0" applyFont="1" applyFill="1" applyBorder="1"/>
    <xf numFmtId="0" fontId="62" fillId="0" borderId="0" xfId="0" applyFont="1" applyFill="1" applyBorder="1" applyAlignment="1">
      <alignment horizontal="right"/>
    </xf>
    <xf numFmtId="0" fontId="62" fillId="0" borderId="0" xfId="0" applyFont="1" applyFill="1" applyBorder="1" applyAlignment="1">
      <alignment horizontal="center"/>
    </xf>
    <xf numFmtId="0" fontId="0" fillId="0" borderId="2" xfId="0" applyFill="1" applyBorder="1" applyAlignment="1">
      <alignment horizontal="center" vertical="center"/>
    </xf>
    <xf numFmtId="0" fontId="62" fillId="0" borderId="0" xfId="0" applyFont="1" applyBorder="1" applyAlignment="1">
      <alignment horizontal="center" vertical="center"/>
    </xf>
    <xf numFmtId="49" fontId="63" fillId="0" borderId="0" xfId="1" applyNumberFormat="1" applyFont="1" applyFill="1" applyBorder="1" applyAlignment="1">
      <alignment vertical="center" wrapText="1"/>
    </xf>
    <xf numFmtId="0" fontId="62" fillId="0" borderId="2" xfId="0" applyFont="1" applyFill="1" applyBorder="1" applyAlignment="1">
      <alignment horizontal="center" vertical="center"/>
    </xf>
    <xf numFmtId="0" fontId="19" fillId="10" borderId="13" xfId="0" applyFont="1" applyFill="1" applyBorder="1" applyAlignment="1"/>
    <xf numFmtId="0" fontId="19" fillId="10" borderId="12" xfId="0" applyFont="1" applyFill="1" applyBorder="1" applyAlignment="1"/>
    <xf numFmtId="0" fontId="62" fillId="0" borderId="2" xfId="0" applyFont="1" applyBorder="1" applyAlignment="1">
      <alignment horizontal="center" vertical="center"/>
    </xf>
    <xf numFmtId="0" fontId="62" fillId="0" borderId="2" xfId="0" applyFont="1" applyFill="1" applyBorder="1" applyAlignment="1">
      <alignment horizontal="center" vertical="center"/>
    </xf>
    <xf numFmtId="0" fontId="66" fillId="0" borderId="10" xfId="0" applyFont="1" applyFill="1" applyBorder="1" applyAlignment="1">
      <alignment horizontal="center" vertical="center"/>
    </xf>
    <xf numFmtId="0" fontId="66" fillId="0" borderId="15" xfId="0" applyFont="1" applyFill="1" applyBorder="1" applyAlignment="1">
      <alignment horizontal="center" vertical="center"/>
    </xf>
    <xf numFmtId="0" fontId="66" fillId="0" borderId="9" xfId="0" applyFont="1" applyFill="1" applyBorder="1" applyAlignment="1">
      <alignment horizontal="center" vertical="center"/>
    </xf>
    <xf numFmtId="0" fontId="66" fillId="0" borderId="2" xfId="0" applyFont="1" applyFill="1" applyBorder="1" applyAlignment="1">
      <alignment horizontal="center" vertical="center"/>
    </xf>
    <xf numFmtId="0" fontId="67" fillId="0" borderId="0" xfId="0" applyFont="1" applyFill="1" applyBorder="1" applyAlignment="1">
      <alignment horizontal="center" vertical="center"/>
    </xf>
    <xf numFmtId="49" fontId="0" fillId="3" borderId="2" xfId="0" applyNumberFormat="1" applyFill="1" applyBorder="1" applyAlignment="1">
      <alignment horizontal="center" vertical="center"/>
    </xf>
    <xf numFmtId="0" fontId="19" fillId="0" borderId="2" xfId="0" applyFont="1" applyFill="1" applyBorder="1" applyAlignment="1">
      <alignment horizontal="center" vertical="center"/>
    </xf>
    <xf numFmtId="0" fontId="17" fillId="9" borderId="2" xfId="0" applyFont="1" applyFill="1" applyBorder="1" applyAlignment="1">
      <alignment horizontal="left"/>
    </xf>
    <xf numFmtId="0" fontId="17" fillId="9" borderId="10" xfId="0" applyFont="1" applyFill="1" applyBorder="1" applyAlignment="1"/>
    <xf numFmtId="0" fontId="17" fillId="9" borderId="10" xfId="0" applyFont="1" applyFill="1" applyBorder="1" applyAlignment="1">
      <alignment horizontal="left"/>
    </xf>
    <xf numFmtId="0" fontId="43" fillId="0" borderId="0" xfId="0" applyFont="1" applyFill="1" applyBorder="1" applyAlignment="1">
      <alignment vertical="center" wrapText="1"/>
    </xf>
    <xf numFmtId="0" fontId="73" fillId="0" borderId="0" xfId="0" applyFont="1" applyFill="1" applyBorder="1" applyAlignment="1"/>
    <xf numFmtId="0" fontId="19" fillId="0" borderId="0" xfId="0" applyFont="1" applyFill="1" applyBorder="1" applyAlignment="1">
      <alignment vertical="center"/>
    </xf>
    <xf numFmtId="0" fontId="19" fillId="0" borderId="2" xfId="0" applyFont="1" applyFill="1" applyBorder="1" applyAlignment="1">
      <alignment vertical="center"/>
    </xf>
    <xf numFmtId="0" fontId="62" fillId="0" borderId="2" xfId="0" applyFont="1" applyBorder="1" applyAlignment="1">
      <alignment horizontal="center" vertical="center"/>
    </xf>
    <xf numFmtId="0" fontId="62" fillId="0" borderId="2" xfId="0" applyFont="1" applyFill="1" applyBorder="1" applyAlignment="1">
      <alignment horizontal="center" vertical="center"/>
    </xf>
    <xf numFmtId="0" fontId="62" fillId="0" borderId="10" xfId="0" applyFont="1" applyBorder="1" applyAlignment="1">
      <alignment horizontal="center" vertical="center"/>
    </xf>
    <xf numFmtId="0" fontId="67" fillId="0" borderId="0" xfId="0" applyFont="1" applyFill="1" applyBorder="1" applyAlignment="1">
      <alignment horizontal="center" vertical="center"/>
    </xf>
    <xf numFmtId="0" fontId="37" fillId="0" borderId="0" xfId="0" applyFont="1" applyAlignment="1">
      <alignment horizontal="left" vertical="center"/>
    </xf>
    <xf numFmtId="49" fontId="36" fillId="3" borderId="6" xfId="1" applyNumberFormat="1" applyFont="1" applyFill="1" applyBorder="1" applyAlignment="1">
      <alignment horizontal="center" vertical="top" wrapText="1"/>
    </xf>
    <xf numFmtId="49" fontId="36" fillId="3" borderId="17" xfId="1" applyNumberFormat="1" applyFont="1" applyFill="1" applyBorder="1" applyAlignment="1">
      <alignment horizontal="center" vertical="top" wrapText="1"/>
    </xf>
    <xf numFmtId="49" fontId="36" fillId="3" borderId="6" xfId="1" applyNumberFormat="1" applyFont="1" applyFill="1" applyBorder="1" applyAlignment="1">
      <alignment horizontal="center" vertical="center" wrapText="1"/>
    </xf>
    <xf numFmtId="49" fontId="36" fillId="3" borderId="2" xfId="1" applyNumberFormat="1" applyFont="1" applyFill="1" applyBorder="1" applyAlignment="1">
      <alignment horizontal="center" vertical="top" wrapText="1"/>
    </xf>
    <xf numFmtId="0" fontId="0" fillId="3" borderId="2" xfId="0" applyFill="1" applyBorder="1" applyAlignment="1">
      <alignment horizontal="center" vertical="center"/>
    </xf>
    <xf numFmtId="0" fontId="68" fillId="3" borderId="2" xfId="0" applyFont="1" applyFill="1" applyBorder="1" applyAlignment="1">
      <alignment horizontal="center" vertical="center"/>
    </xf>
    <xf numFmtId="0" fontId="68" fillId="3" borderId="0" xfId="0" applyFont="1" applyFill="1" applyAlignment="1">
      <alignment horizontal="center" vertical="center" wrapText="1"/>
    </xf>
    <xf numFmtId="0" fontId="50" fillId="3" borderId="2" xfId="0" applyFont="1" applyFill="1" applyBorder="1" applyAlignment="1">
      <alignment horizontal="right" vertical="center"/>
    </xf>
    <xf numFmtId="0" fontId="95" fillId="10" borderId="2" xfId="0" applyFont="1" applyFill="1" applyBorder="1" applyAlignment="1">
      <alignment horizontal="center"/>
    </xf>
    <xf numFmtId="0" fontId="19" fillId="13" borderId="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49" fontId="36" fillId="3" borderId="2" xfId="1" applyNumberFormat="1" applyFont="1" applyFill="1" applyBorder="1" applyAlignment="1">
      <alignment horizontal="center" vertical="center" wrapText="1"/>
    </xf>
    <xf numFmtId="0" fontId="67" fillId="0" borderId="0" xfId="0" applyFont="1" applyBorder="1" applyAlignment="1">
      <alignment vertical="center" wrapText="1"/>
    </xf>
    <xf numFmtId="0" fontId="68" fillId="3" borderId="4" xfId="0" applyFont="1" applyFill="1" applyBorder="1" applyAlignment="1">
      <alignment horizontal="center" vertical="center"/>
    </xf>
    <xf numFmtId="0" fontId="68" fillId="3" borderId="2" xfId="0" applyFont="1" applyFill="1" applyBorder="1" applyAlignment="1">
      <alignment horizontal="center" vertical="center" wrapText="1"/>
    </xf>
    <xf numFmtId="0" fontId="54" fillId="0" borderId="0" xfId="0" applyFont="1" applyFill="1" applyBorder="1" applyAlignment="1"/>
    <xf numFmtId="0" fontId="75" fillId="0" borderId="0" xfId="0" applyFont="1" applyFill="1" applyBorder="1" applyAlignment="1">
      <alignment vertical="center"/>
    </xf>
    <xf numFmtId="0" fontId="0" fillId="0" borderId="0" xfId="0" applyFont="1" applyFill="1" applyBorder="1" applyAlignment="1">
      <alignment vertical="center"/>
    </xf>
    <xf numFmtId="0" fontId="62" fillId="0" borderId="0" xfId="0" applyFont="1" applyFill="1" applyBorder="1" applyAlignment="1"/>
    <xf numFmtId="0" fontId="62" fillId="0" borderId="0" xfId="0" applyFont="1" applyFill="1" applyBorder="1" applyAlignment="1">
      <alignment wrapText="1"/>
    </xf>
    <xf numFmtId="0" fontId="25" fillId="3" borderId="2" xfId="1" applyFont="1" applyFill="1" applyBorder="1" applyAlignment="1">
      <alignment horizontal="center" vertical="center" wrapText="1"/>
    </xf>
    <xf numFmtId="49" fontId="36" fillId="0" borderId="0" xfId="1" applyNumberFormat="1" applyFont="1" applyFill="1" applyBorder="1" applyAlignment="1">
      <alignment horizontal="center" vertical="top" wrapText="1"/>
    </xf>
    <xf numFmtId="0" fontId="68" fillId="0" borderId="0" xfId="0" applyFont="1" applyFill="1" applyBorder="1" applyAlignment="1">
      <alignment horizontal="center" vertical="center" wrapText="1"/>
    </xf>
    <xf numFmtId="0" fontId="50" fillId="0" borderId="0" xfId="0" applyFont="1" applyFill="1" applyBorder="1" applyAlignment="1">
      <alignment horizontal="right" vertical="center"/>
    </xf>
    <xf numFmtId="0" fontId="54" fillId="4" borderId="2" xfId="0" applyFont="1" applyFill="1" applyBorder="1" applyAlignment="1">
      <alignment vertical="center" wrapText="1"/>
    </xf>
    <xf numFmtId="49" fontId="36" fillId="0" borderId="0" xfId="1" applyNumberFormat="1" applyFont="1" applyFill="1" applyBorder="1" applyAlignment="1">
      <alignment horizontal="center" vertical="top" wrapText="1"/>
    </xf>
    <xf numFmtId="0" fontId="68" fillId="0" borderId="0" xfId="0" applyFont="1" applyFill="1" applyBorder="1" applyAlignment="1">
      <alignment horizontal="center" vertical="center" wrapText="1"/>
    </xf>
    <xf numFmtId="0" fontId="62" fillId="0" borderId="2" xfId="0" applyFont="1" applyBorder="1" applyAlignment="1">
      <alignment horizontal="center" vertical="center"/>
    </xf>
    <xf numFmtId="0" fontId="67" fillId="0" borderId="0" xfId="0" applyFont="1" applyAlignment="1">
      <alignment horizontal="left" vertical="top" wrapText="1"/>
    </xf>
    <xf numFmtId="0" fontId="62" fillId="0" borderId="2" xfId="0" applyFont="1" applyFill="1" applyBorder="1" applyAlignment="1">
      <alignment horizontal="center" vertical="center"/>
    </xf>
    <xf numFmtId="0" fontId="67" fillId="0" borderId="0" xfId="0" applyFont="1" applyFill="1" applyBorder="1" applyAlignment="1">
      <alignment horizontal="center" vertical="center"/>
    </xf>
    <xf numFmtId="0" fontId="25" fillId="0" borderId="0" xfId="1" applyFont="1" applyFill="1" applyBorder="1" applyAlignment="1">
      <alignment horizontal="center" vertical="center" wrapText="1"/>
    </xf>
    <xf numFmtId="49" fontId="0" fillId="0" borderId="11" xfId="0" applyNumberFormat="1" applyFill="1" applyBorder="1" applyAlignment="1">
      <alignment horizontal="center" vertical="center"/>
    </xf>
    <xf numFmtId="0" fontId="0" fillId="0" borderId="14" xfId="0" applyFill="1" applyBorder="1" applyAlignment="1">
      <alignment horizontal="left"/>
    </xf>
    <xf numFmtId="0" fontId="58" fillId="0" borderId="14" xfId="0" applyFont="1" applyFill="1" applyBorder="1" applyAlignment="1">
      <alignment horizontal="center" vertical="center"/>
    </xf>
    <xf numFmtId="0" fontId="91" fillId="0" borderId="2" xfId="0" applyFont="1" applyFill="1" applyBorder="1" applyAlignment="1">
      <alignment horizontal="center" vertical="center" wrapText="1"/>
    </xf>
    <xf numFmtId="0" fontId="58" fillId="10" borderId="2" xfId="0" applyFont="1" applyFill="1" applyBorder="1" applyAlignment="1">
      <alignment horizontal="left" vertical="center"/>
    </xf>
    <xf numFmtId="49" fontId="36" fillId="0" borderId="0" xfId="1" applyNumberFormat="1" applyFont="1" applyFill="1" applyBorder="1" applyAlignment="1">
      <alignment horizontal="center" vertical="top" wrapText="1"/>
    </xf>
    <xf numFmtId="0" fontId="66" fillId="0" borderId="2" xfId="0" applyFont="1" applyFill="1" applyBorder="1" applyAlignment="1">
      <alignment horizontal="center" vertical="center"/>
    </xf>
    <xf numFmtId="0" fontId="62" fillId="0" borderId="2" xfId="0" applyFont="1" applyFill="1" applyBorder="1" applyAlignment="1">
      <alignment horizontal="center" vertical="center"/>
    </xf>
    <xf numFmtId="0" fontId="62" fillId="0" borderId="2" xfId="0" applyFont="1" applyBorder="1" applyAlignment="1">
      <alignment horizontal="center" vertical="center"/>
    </xf>
    <xf numFmtId="0" fontId="67" fillId="0" borderId="0" xfId="0" applyFont="1" applyFill="1" applyBorder="1" applyAlignment="1">
      <alignment horizontal="center" vertical="center"/>
    </xf>
    <xf numFmtId="0" fontId="68" fillId="0" borderId="0" xfId="0" applyFont="1" applyFill="1" applyBorder="1" applyAlignment="1">
      <alignment horizontal="center" vertical="center"/>
    </xf>
    <xf numFmtId="49" fontId="36" fillId="0" borderId="0" xfId="1" applyNumberFormat="1" applyFont="1" applyFill="1" applyBorder="1" applyAlignment="1">
      <alignment vertical="center" wrapText="1"/>
    </xf>
    <xf numFmtId="0" fontId="0" fillId="0" borderId="0" xfId="0" applyFill="1" applyBorder="1" applyAlignment="1">
      <alignment vertical="center"/>
    </xf>
    <xf numFmtId="0" fontId="67" fillId="0" borderId="0" xfId="0" applyFont="1" applyFill="1" applyBorder="1" applyAlignment="1">
      <alignment vertical="center" wrapText="1"/>
    </xf>
    <xf numFmtId="0" fontId="62" fillId="0" borderId="2" xfId="0" applyFont="1" applyFill="1" applyBorder="1" applyAlignment="1">
      <alignment horizontal="center" vertical="center"/>
    </xf>
    <xf numFmtId="0" fontId="62" fillId="0" borderId="14" xfId="0" applyFont="1" applyBorder="1" applyAlignment="1">
      <alignment horizontal="center" vertical="center"/>
    </xf>
    <xf numFmtId="0" fontId="37" fillId="0" borderId="14" xfId="0" applyFont="1" applyFill="1" applyBorder="1" applyAlignment="1">
      <alignment vertical="center" wrapText="1"/>
    </xf>
    <xf numFmtId="0" fontId="62" fillId="0" borderId="2" xfId="0" applyFont="1" applyBorder="1" applyAlignment="1">
      <alignment horizontal="center" vertical="center"/>
    </xf>
    <xf numFmtId="0" fontId="26" fillId="0" borderId="0" xfId="1" applyFont="1" applyFill="1" applyBorder="1" applyAlignment="1">
      <alignment horizontal="center" vertical="top" wrapText="1"/>
    </xf>
    <xf numFmtId="0" fontId="59" fillId="0" borderId="0" xfId="1" applyFont="1" applyFill="1" applyBorder="1" applyAlignment="1">
      <alignment horizontal="left" vertical="top" wrapText="1"/>
    </xf>
    <xf numFmtId="0" fontId="25" fillId="0" borderId="0" xfId="1" applyFont="1" applyFill="1" applyBorder="1" applyAlignment="1">
      <alignment horizontal="center" vertical="center" wrapText="1"/>
    </xf>
    <xf numFmtId="0" fontId="25" fillId="5" borderId="2" xfId="1" applyFont="1" applyFill="1" applyBorder="1" applyAlignment="1">
      <alignment horizontal="center" vertical="center" wrapText="1"/>
    </xf>
    <xf numFmtId="0" fontId="37" fillId="0" borderId="0" xfId="0" applyFont="1" applyFill="1" applyAlignment="1">
      <alignment horizontal="left" vertical="center"/>
    </xf>
    <xf numFmtId="49" fontId="36" fillId="3" borderId="2" xfId="1" applyNumberFormat="1" applyFont="1" applyFill="1" applyBorder="1" applyAlignment="1">
      <alignment horizontal="center" vertical="top" wrapText="1"/>
    </xf>
    <xf numFmtId="0" fontId="60" fillId="0" borderId="2" xfId="1" applyFont="1" applyFill="1" applyBorder="1" applyAlignment="1">
      <alignment horizontal="center" vertical="center" wrapText="1"/>
    </xf>
    <xf numFmtId="0" fontId="23" fillId="5" borderId="2" xfId="1" applyFont="1" applyFill="1" applyBorder="1" applyAlignment="1">
      <alignment horizontal="center" vertical="center" wrapText="1"/>
    </xf>
    <xf numFmtId="20" fontId="26" fillId="0" borderId="0" xfId="1" applyNumberFormat="1" applyFont="1" applyFill="1" applyBorder="1" applyAlignment="1">
      <alignment horizontal="center" vertical="top"/>
    </xf>
    <xf numFmtId="0" fontId="19" fillId="0" borderId="0" xfId="0" applyFont="1" applyFill="1" applyBorder="1" applyAlignment="1">
      <alignment horizontal="center"/>
    </xf>
    <xf numFmtId="49" fontId="36" fillId="3" borderId="2" xfId="1" applyNumberFormat="1" applyFont="1" applyFill="1" applyBorder="1" applyAlignment="1">
      <alignment horizontal="center" vertical="top" wrapText="1"/>
    </xf>
    <xf numFmtId="0" fontId="62" fillId="0" borderId="2" xfId="0" applyFont="1" applyBorder="1" applyAlignment="1">
      <alignment horizontal="center" vertical="center"/>
    </xf>
    <xf numFmtId="0" fontId="62" fillId="0" borderId="10" xfId="0" applyFont="1" applyBorder="1" applyAlignment="1">
      <alignment horizontal="center" vertical="center"/>
    </xf>
    <xf numFmtId="0" fontId="62" fillId="0" borderId="2" xfId="0" applyFont="1" applyFill="1" applyBorder="1" applyAlignment="1">
      <alignment horizontal="center" vertical="center"/>
    </xf>
    <xf numFmtId="0" fontId="67" fillId="0" borderId="0" xfId="0" applyFont="1" applyAlignment="1">
      <alignment horizontal="left" vertical="top" wrapText="1"/>
    </xf>
    <xf numFmtId="0" fontId="19" fillId="0" borderId="0" xfId="0" applyFont="1"/>
    <xf numFmtId="0" fontId="19" fillId="0" borderId="2" xfId="0" applyFont="1" applyBorder="1" applyAlignment="1">
      <alignment horizontal="center" vertical="center"/>
    </xf>
    <xf numFmtId="0" fontId="0" fillId="5" borderId="2" xfId="0" applyFill="1" applyBorder="1" applyAlignment="1">
      <alignment horizontal="center" vertical="center"/>
    </xf>
    <xf numFmtId="0" fontId="28" fillId="5" borderId="2" xfId="1" applyFill="1" applyBorder="1" applyAlignment="1">
      <alignment horizontal="center" vertical="top"/>
    </xf>
    <xf numFmtId="0" fontId="19" fillId="3" borderId="10" xfId="0" applyFont="1" applyFill="1" applyBorder="1" applyAlignment="1">
      <alignment horizontal="right" vertical="center"/>
    </xf>
    <xf numFmtId="0" fontId="65" fillId="0" borderId="0" xfId="1" applyFont="1" applyFill="1" applyBorder="1" applyAlignment="1">
      <alignment vertical="center" wrapText="1"/>
    </xf>
    <xf numFmtId="0" fontId="65" fillId="3" borderId="2" xfId="1" applyFont="1" applyFill="1" applyBorder="1" applyAlignment="1">
      <alignment horizontal="center" vertical="center" wrapText="1"/>
    </xf>
    <xf numFmtId="0" fontId="66" fillId="0" borderId="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0" fontId="62" fillId="0" borderId="10" xfId="0" applyFont="1" applyBorder="1" applyAlignment="1">
      <alignment horizontal="center" vertical="center"/>
    </xf>
    <xf numFmtId="0" fontId="62" fillId="0" borderId="2" xfId="0" applyFont="1" applyBorder="1" applyAlignment="1">
      <alignment horizontal="center" vertical="center"/>
    </xf>
    <xf numFmtId="0" fontId="62" fillId="0" borderId="2" xfId="0" applyFont="1" applyFill="1" applyBorder="1" applyAlignment="1">
      <alignment horizontal="center" vertical="center"/>
    </xf>
    <xf numFmtId="0" fontId="55" fillId="5" borderId="2" xfId="0" applyFont="1" applyFill="1" applyBorder="1" applyAlignment="1">
      <alignment horizontal="center" vertical="center"/>
    </xf>
    <xf numFmtId="9" fontId="19" fillId="0" borderId="2" xfId="0" applyNumberFormat="1" applyFont="1" applyFill="1" applyBorder="1" applyAlignment="1">
      <alignment horizontal="center" vertical="center"/>
    </xf>
    <xf numFmtId="9" fontId="19" fillId="0" borderId="2" xfId="0" applyNumberFormat="1" applyFont="1" applyBorder="1" applyAlignment="1">
      <alignment horizontal="center" vertical="center"/>
    </xf>
    <xf numFmtId="49" fontId="36" fillId="3" borderId="2" xfId="1" applyNumberFormat="1" applyFont="1" applyFill="1" applyBorder="1" applyAlignment="1">
      <alignment horizontal="center" vertical="top" wrapText="1"/>
    </xf>
    <xf numFmtId="0" fontId="67" fillId="0" borderId="0" xfId="0" applyFont="1" applyBorder="1" applyAlignment="1">
      <alignment horizontal="center" vertical="center" wrapText="1"/>
    </xf>
    <xf numFmtId="0" fontId="25" fillId="3" borderId="2" xfId="1" applyFont="1" applyFill="1" applyBorder="1" applyAlignment="1">
      <alignment horizontal="center" vertical="center" wrapText="1"/>
    </xf>
    <xf numFmtId="0" fontId="68" fillId="3" borderId="2" xfId="0" applyFont="1" applyFill="1" applyBorder="1" applyAlignment="1">
      <alignment horizontal="center" vertical="center" wrapText="1"/>
    </xf>
    <xf numFmtId="0" fontId="68" fillId="0" borderId="0" xfId="0" applyFont="1" applyFill="1" applyBorder="1" applyAlignment="1">
      <alignment horizontal="center" vertical="center" wrapText="1"/>
    </xf>
    <xf numFmtId="0" fontId="68" fillId="3" borderId="4" xfId="0" applyFont="1" applyFill="1" applyBorder="1" applyAlignment="1">
      <alignment horizontal="center" vertical="center" wrapText="1"/>
    </xf>
    <xf numFmtId="0" fontId="66" fillId="0" borderId="2" xfId="0" applyFont="1" applyFill="1" applyBorder="1" applyAlignment="1">
      <alignment horizontal="center" vertical="center"/>
    </xf>
    <xf numFmtId="49" fontId="36" fillId="0" borderId="0" xfId="1" applyNumberFormat="1" applyFont="1" applyFill="1" applyBorder="1" applyAlignment="1">
      <alignment horizontal="center" vertical="top" wrapText="1"/>
    </xf>
    <xf numFmtId="49" fontId="36" fillId="3" borderId="2" xfId="1" applyNumberFormat="1" applyFont="1" applyFill="1" applyBorder="1" applyAlignment="1">
      <alignment horizontal="center" vertical="center" wrapText="1"/>
    </xf>
    <xf numFmtId="0" fontId="25" fillId="3" borderId="4" xfId="1" applyFont="1" applyFill="1" applyBorder="1" applyAlignment="1">
      <alignment horizontal="center" vertical="center" wrapText="1"/>
    </xf>
    <xf numFmtId="0" fontId="62" fillId="0" borderId="2" xfId="0" applyFont="1" applyBorder="1" applyAlignment="1">
      <alignment horizontal="center" vertical="center"/>
    </xf>
    <xf numFmtId="0" fontId="62" fillId="0" borderId="2" xfId="0" applyFont="1" applyFill="1" applyBorder="1" applyAlignment="1">
      <alignment horizontal="center" vertical="center"/>
    </xf>
    <xf numFmtId="0" fontId="67" fillId="0" borderId="0" xfId="0" applyFont="1" applyAlignment="1">
      <alignment horizontal="left" vertical="top" wrapText="1"/>
    </xf>
    <xf numFmtId="0" fontId="67" fillId="0" borderId="0" xfId="0" applyFont="1" applyFill="1" applyBorder="1" applyAlignment="1">
      <alignment horizontal="center" vertical="center" wrapText="1"/>
    </xf>
    <xf numFmtId="0" fontId="67" fillId="0" borderId="0" xfId="0" applyFont="1" applyFill="1" applyBorder="1" applyAlignment="1">
      <alignment horizontal="center" vertical="center"/>
    </xf>
    <xf numFmtId="0" fontId="62" fillId="0" borderId="13" xfId="0" applyFont="1" applyFill="1" applyBorder="1" applyAlignment="1">
      <alignment horizontal="center" vertical="center"/>
    </xf>
    <xf numFmtId="0" fontId="66" fillId="0" borderId="13" xfId="0" applyFont="1" applyFill="1" applyBorder="1" applyAlignment="1">
      <alignment horizontal="center" vertical="center"/>
    </xf>
    <xf numFmtId="0" fontId="66" fillId="0" borderId="0" xfId="0" applyFont="1" applyFill="1" applyBorder="1" applyAlignment="1">
      <alignment vertical="center"/>
    </xf>
    <xf numFmtId="49" fontId="36" fillId="0" borderId="0" xfId="1" applyNumberFormat="1" applyFont="1" applyFill="1" applyBorder="1" applyAlignment="1">
      <alignment horizontal="center" vertical="top" wrapText="1"/>
    </xf>
    <xf numFmtId="0" fontId="25" fillId="3" borderId="2" xfId="1" applyFont="1" applyFill="1" applyBorder="1" applyAlignment="1">
      <alignment horizontal="center" vertical="center" wrapText="1"/>
    </xf>
    <xf numFmtId="0" fontId="68" fillId="3" borderId="2" xfId="0" applyFont="1" applyFill="1" applyBorder="1" applyAlignment="1">
      <alignment horizontal="center" vertical="center" wrapText="1"/>
    </xf>
    <xf numFmtId="0" fontId="68" fillId="0" borderId="0" xfId="0" applyFont="1" applyFill="1" applyBorder="1" applyAlignment="1">
      <alignment horizontal="center" vertical="center" wrapText="1"/>
    </xf>
    <xf numFmtId="49" fontId="36" fillId="3" borderId="2" xfId="1" applyNumberFormat="1" applyFont="1" applyFill="1" applyBorder="1" applyAlignment="1">
      <alignment horizontal="center" vertical="top" wrapText="1"/>
    </xf>
    <xf numFmtId="49" fontId="36" fillId="3" borderId="2" xfId="1" applyNumberFormat="1" applyFont="1" applyFill="1" applyBorder="1" applyAlignment="1">
      <alignment horizontal="center" vertical="center" wrapText="1"/>
    </xf>
    <xf numFmtId="0" fontId="67" fillId="0" borderId="0" xfId="0" applyFont="1" applyFill="1" applyBorder="1" applyAlignment="1">
      <alignment horizontal="center" vertical="center" wrapText="1"/>
    </xf>
    <xf numFmtId="0" fontId="67" fillId="0" borderId="0" xfId="0" applyFont="1" applyFill="1" applyBorder="1" applyAlignment="1">
      <alignment horizontal="center" vertical="center"/>
    </xf>
    <xf numFmtId="0" fontId="91" fillId="0" borderId="0" xfId="0" applyFont="1" applyFill="1" applyBorder="1" applyAlignment="1"/>
    <xf numFmtId="0" fontId="91" fillId="0" borderId="0" xfId="0" applyFont="1" applyFill="1" applyBorder="1" applyAlignment="1">
      <alignment vertical="center"/>
    </xf>
    <xf numFmtId="0" fontId="67" fillId="0" borderId="0" xfId="0" applyFont="1" applyFill="1" applyBorder="1" applyAlignment="1">
      <alignment horizontal="left" vertical="top" wrapText="1"/>
    </xf>
    <xf numFmtId="0" fontId="58" fillId="10" borderId="2" xfId="0" applyFont="1" applyFill="1" applyBorder="1" applyAlignment="1">
      <alignment vertical="center"/>
    </xf>
    <xf numFmtId="0" fontId="62" fillId="0" borderId="2" xfId="0" applyFont="1" applyFill="1" applyBorder="1" applyAlignment="1">
      <alignment horizontal="center" vertical="center" wrapText="1"/>
    </xf>
    <xf numFmtId="0" fontId="62" fillId="0" borderId="0" xfId="0" applyFont="1" applyBorder="1" applyAlignment="1">
      <alignment horizontal="center"/>
    </xf>
    <xf numFmtId="0" fontId="0" fillId="0" borderId="0" xfId="0" applyBorder="1" applyAlignment="1">
      <alignment horizontal="center"/>
    </xf>
    <xf numFmtId="49" fontId="0" fillId="3" borderId="2" xfId="0" applyNumberFormat="1" applyFill="1" applyBorder="1" applyAlignment="1">
      <alignment horizontal="center" vertical="center"/>
    </xf>
    <xf numFmtId="0" fontId="67" fillId="0" borderId="0" xfId="0" applyFont="1" applyFill="1" applyBorder="1" applyAlignment="1">
      <alignment horizontal="center" vertical="center" wrapText="1"/>
    </xf>
    <xf numFmtId="0" fontId="58" fillId="10" borderId="2" xfId="0" applyFont="1" applyFill="1" applyBorder="1" applyAlignment="1">
      <alignment horizontal="center" vertical="center"/>
    </xf>
    <xf numFmtId="0" fontId="37" fillId="0" borderId="0" xfId="0" applyFont="1" applyFill="1" applyBorder="1" applyAlignment="1">
      <alignment vertical="center" wrapText="1"/>
    </xf>
    <xf numFmtId="0" fontId="67" fillId="0" borderId="0" xfId="0" applyFont="1" applyBorder="1" applyAlignment="1">
      <alignment vertical="top" wrapText="1"/>
    </xf>
    <xf numFmtId="0" fontId="19" fillId="3"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left"/>
    </xf>
    <xf numFmtId="0" fontId="58" fillId="0" borderId="0" xfId="0" applyFont="1" applyFill="1" applyBorder="1" applyAlignment="1">
      <alignment vertical="center"/>
    </xf>
    <xf numFmtId="0" fontId="58" fillId="0" borderId="0" xfId="0" applyFont="1" applyFill="1" applyBorder="1" applyAlignment="1">
      <alignment horizontal="center" vertical="center"/>
    </xf>
    <xf numFmtId="0" fontId="3" fillId="0" borderId="0" xfId="4" applyFont="1"/>
    <xf numFmtId="0" fontId="3" fillId="0" borderId="0" xfId="4" applyFont="1" applyAlignment="1">
      <alignment wrapText="1"/>
    </xf>
    <xf numFmtId="0" fontId="57" fillId="0" borderId="0" xfId="0" applyFont="1" applyBorder="1" applyAlignment="1">
      <alignment vertical="top" wrapText="1"/>
    </xf>
    <xf numFmtId="0" fontId="78" fillId="0" borderId="8" xfId="0" applyFont="1" applyBorder="1" applyAlignment="1">
      <alignment wrapText="1"/>
    </xf>
    <xf numFmtId="0" fontId="78" fillId="0" borderId="0" xfId="0" applyFont="1" applyBorder="1" applyAlignment="1">
      <alignment wrapText="1"/>
    </xf>
    <xf numFmtId="49" fontId="36" fillId="0" borderId="0" xfId="1" applyNumberFormat="1" applyFont="1" applyFill="1" applyBorder="1" applyAlignment="1">
      <alignment horizontal="center" vertical="top" wrapText="1"/>
    </xf>
    <xf numFmtId="0" fontId="68" fillId="3" borderId="2" xfId="0" applyFont="1" applyFill="1" applyBorder="1" applyAlignment="1">
      <alignment horizontal="center" vertical="center" wrapText="1"/>
    </xf>
    <xf numFmtId="0" fontId="68" fillId="0" borderId="0" xfId="0" applyFont="1" applyFill="1" applyBorder="1" applyAlignment="1">
      <alignment horizontal="center" vertical="center" wrapText="1"/>
    </xf>
    <xf numFmtId="49" fontId="36" fillId="3" borderId="2" xfId="1" applyNumberFormat="1" applyFont="1" applyFill="1" applyBorder="1" applyAlignment="1">
      <alignment horizontal="center" vertical="top" wrapText="1"/>
    </xf>
    <xf numFmtId="49" fontId="36" fillId="3" borderId="2" xfId="1" applyNumberFormat="1" applyFont="1" applyFill="1" applyBorder="1" applyAlignment="1">
      <alignment horizontal="center" vertical="center" wrapText="1"/>
    </xf>
    <xf numFmtId="0" fontId="0" fillId="0" borderId="2" xfId="0" applyBorder="1" applyAlignment="1">
      <alignment horizontal="center"/>
    </xf>
    <xf numFmtId="0" fontId="62" fillId="0" borderId="0" xfId="0" applyFont="1" applyFill="1" applyBorder="1" applyAlignment="1">
      <alignment horizontal="left" wrapText="1"/>
    </xf>
    <xf numFmtId="0" fontId="0" fillId="0" borderId="0" xfId="0" applyFill="1" applyBorder="1" applyAlignment="1">
      <alignment horizontal="center" vertical="center"/>
    </xf>
    <xf numFmtId="0" fontId="67" fillId="0" borderId="0" xfId="0" applyFont="1" applyFill="1" applyBorder="1" applyAlignment="1">
      <alignment horizontal="center" vertical="center"/>
    </xf>
    <xf numFmtId="49" fontId="67" fillId="0" borderId="0" xfId="0" applyNumberFormat="1" applyFont="1" applyAlignment="1">
      <alignment horizontal="center" vertical="top" wrapText="1"/>
    </xf>
    <xf numFmtId="0" fontId="67" fillId="0" borderId="8" xfId="0" applyFont="1" applyFill="1" applyBorder="1" applyAlignment="1">
      <alignment horizontal="center" vertical="center" wrapText="1"/>
    </xf>
    <xf numFmtId="0" fontId="68" fillId="0" borderId="0" xfId="0" applyFont="1" applyBorder="1" applyAlignment="1">
      <alignment vertical="center" wrapText="1"/>
    </xf>
    <xf numFmtId="49" fontId="36" fillId="0" borderId="1" xfId="1" applyNumberFormat="1" applyFont="1" applyFill="1" applyBorder="1" applyAlignment="1">
      <alignment vertical="center" wrapText="1"/>
    </xf>
    <xf numFmtId="49" fontId="36" fillId="0" borderId="16" xfId="1" applyNumberFormat="1" applyFont="1" applyFill="1" applyBorder="1" applyAlignment="1">
      <alignment vertical="center" wrapText="1"/>
    </xf>
    <xf numFmtId="49" fontId="36" fillId="0" borderId="1" xfId="1" applyNumberFormat="1" applyFont="1" applyFill="1" applyBorder="1" applyAlignment="1">
      <alignment horizontal="center" vertical="center" wrapText="1"/>
    </xf>
    <xf numFmtId="49" fontId="36" fillId="0" borderId="16" xfId="1" applyNumberFormat="1" applyFont="1" applyFill="1" applyBorder="1" applyAlignment="1">
      <alignment horizontal="center" vertical="center" wrapText="1"/>
    </xf>
    <xf numFmtId="0" fontId="19" fillId="0" borderId="0" xfId="0" applyFont="1" applyBorder="1" applyAlignment="1">
      <alignment horizontal="center" vertical="center" wrapText="1"/>
    </xf>
    <xf numFmtId="0" fontId="66" fillId="3" borderId="2" xfId="0" applyFont="1" applyFill="1" applyBorder="1" applyAlignment="1">
      <alignment horizontal="right" vertical="center"/>
    </xf>
    <xf numFmtId="0" fontId="54" fillId="5" borderId="2" xfId="0" applyFont="1" applyFill="1" applyBorder="1" applyAlignment="1">
      <alignment horizontal="center"/>
    </xf>
    <xf numFmtId="0" fontId="54" fillId="5" borderId="2" xfId="0" applyFont="1" applyFill="1" applyBorder="1" applyAlignment="1">
      <alignment horizontal="center"/>
    </xf>
    <xf numFmtId="0" fontId="25" fillId="10" borderId="2" xfId="1" applyFont="1" applyFill="1" applyBorder="1" applyAlignment="1">
      <alignment horizontal="center" vertical="center" wrapText="1"/>
    </xf>
    <xf numFmtId="0" fontId="0" fillId="0" borderId="10" xfId="0" applyBorder="1" applyAlignment="1">
      <alignment horizontal="center"/>
    </xf>
    <xf numFmtId="0" fontId="0" fillId="0" borderId="2" xfId="0" applyBorder="1" applyAlignment="1">
      <alignment horizontal="center" vertical="center"/>
    </xf>
    <xf numFmtId="0" fontId="62" fillId="0" borderId="0" xfId="0" applyFont="1" applyFill="1" applyBorder="1" applyAlignment="1">
      <alignment vertical="top"/>
    </xf>
    <xf numFmtId="0" fontId="62" fillId="0" borderId="0" xfId="0" applyFont="1" applyFill="1" applyBorder="1" applyAlignment="1">
      <alignment horizontal="center" vertical="top"/>
    </xf>
    <xf numFmtId="49" fontId="36" fillId="0" borderId="14" xfId="1" applyNumberFormat="1" applyFont="1" applyFill="1" applyBorder="1" applyAlignment="1">
      <alignment horizontal="center" vertical="center" wrapText="1"/>
    </xf>
    <xf numFmtId="49" fontId="36" fillId="0" borderId="15" xfId="1" applyNumberFormat="1" applyFont="1" applyFill="1" applyBorder="1" applyAlignment="1">
      <alignment horizontal="center" vertical="center" wrapText="1"/>
    </xf>
    <xf numFmtId="49" fontId="36" fillId="0" borderId="9" xfId="1" applyNumberFormat="1" applyFont="1" applyFill="1" applyBorder="1" applyAlignment="1">
      <alignment horizontal="center" vertical="center" wrapText="1"/>
    </xf>
    <xf numFmtId="49" fontId="36" fillId="0" borderId="14" xfId="1" applyNumberFormat="1" applyFont="1" applyFill="1" applyBorder="1" applyAlignment="1">
      <alignment vertical="center" wrapText="1"/>
    </xf>
    <xf numFmtId="49" fontId="36" fillId="0" borderId="15" xfId="1" applyNumberFormat="1" applyFont="1" applyFill="1" applyBorder="1" applyAlignment="1">
      <alignment vertical="center" wrapText="1"/>
    </xf>
    <xf numFmtId="49" fontId="36" fillId="0" borderId="9" xfId="1" applyNumberFormat="1" applyFont="1" applyFill="1" applyBorder="1" applyAlignment="1">
      <alignment vertical="center" wrapText="1"/>
    </xf>
    <xf numFmtId="0" fontId="67" fillId="4" borderId="2" xfId="0" applyFont="1" applyFill="1" applyBorder="1" applyAlignment="1">
      <alignment vertical="center" wrapText="1"/>
    </xf>
    <xf numFmtId="49" fontId="67" fillId="4" borderId="2" xfId="0" applyNumberFormat="1" applyFont="1" applyFill="1" applyBorder="1" applyAlignment="1">
      <alignment vertical="center" wrapText="1"/>
    </xf>
    <xf numFmtId="0" fontId="25" fillId="3" borderId="2" xfId="1" applyFont="1" applyFill="1" applyBorder="1" applyAlignment="1">
      <alignment horizontal="center" vertical="center" wrapText="1"/>
    </xf>
    <xf numFmtId="0" fontId="68" fillId="3" borderId="2" xfId="0" applyFont="1" applyFill="1" applyBorder="1" applyAlignment="1">
      <alignment horizontal="center" vertical="center" wrapText="1"/>
    </xf>
    <xf numFmtId="0" fontId="68" fillId="0" borderId="0" xfId="0" applyFont="1" applyFill="1" applyBorder="1" applyAlignment="1">
      <alignment horizontal="center" vertical="center" wrapText="1"/>
    </xf>
    <xf numFmtId="0" fontId="66" fillId="0" borderId="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49" fontId="36" fillId="3" borderId="2" xfId="1" applyNumberFormat="1" applyFont="1" applyFill="1" applyBorder="1" applyAlignment="1">
      <alignment horizontal="center" vertical="center" wrapText="1"/>
    </xf>
    <xf numFmtId="0" fontId="67" fillId="0" borderId="0" xfId="0" applyFont="1" applyFill="1" applyBorder="1" applyAlignment="1">
      <alignment horizontal="center" vertical="center" wrapText="1"/>
    </xf>
    <xf numFmtId="0" fontId="66" fillId="0" borderId="12" xfId="0" applyFont="1" applyFill="1" applyBorder="1" applyAlignment="1">
      <alignment horizontal="center" vertical="center"/>
    </xf>
    <xf numFmtId="0" fontId="62" fillId="0" borderId="2" xfId="0" applyFont="1" applyBorder="1" applyAlignment="1">
      <alignment horizontal="center" vertical="center"/>
    </xf>
    <xf numFmtId="0" fontId="0" fillId="0" borderId="2" xfId="0" applyBorder="1" applyAlignment="1">
      <alignment horizontal="center"/>
    </xf>
    <xf numFmtId="0" fontId="54" fillId="5" borderId="2" xfId="0" applyFont="1" applyFill="1" applyBorder="1" applyAlignment="1">
      <alignment horizontal="center"/>
    </xf>
    <xf numFmtId="0" fontId="0" fillId="0" borderId="0" xfId="0" applyFill="1" applyBorder="1" applyAlignment="1">
      <alignment horizontal="center" vertical="center"/>
    </xf>
    <xf numFmtId="0" fontId="0" fillId="11" borderId="0" xfId="0" applyFill="1" applyAlignment="1">
      <alignment horizontal="center"/>
    </xf>
    <xf numFmtId="0" fontId="79" fillId="0" borderId="0" xfId="1" applyFont="1" applyFill="1" applyBorder="1" applyAlignment="1">
      <alignment horizontal="left" vertical="top" wrapText="1"/>
    </xf>
    <xf numFmtId="49" fontId="63" fillId="0" borderId="0" xfId="1" applyNumberFormat="1" applyFont="1" applyFill="1" applyBorder="1" applyAlignment="1">
      <alignment horizontal="center" vertical="center" wrapText="1"/>
    </xf>
    <xf numFmtId="0" fontId="35" fillId="0" borderId="0" xfId="1" applyFont="1" applyFill="1" applyBorder="1" applyAlignment="1">
      <alignment horizontal="center" vertical="top" wrapText="1"/>
    </xf>
    <xf numFmtId="0" fontId="87" fillId="5" borderId="2" xfId="1" applyFont="1" applyFill="1" applyBorder="1" applyAlignment="1">
      <alignment horizontal="center" vertical="center"/>
    </xf>
    <xf numFmtId="0" fontId="63" fillId="0" borderId="0" xfId="1" applyFont="1" applyFill="1" applyBorder="1" applyAlignment="1">
      <alignment vertical="center"/>
    </xf>
    <xf numFmtId="0" fontId="110" fillId="0" borderId="0" xfId="0" applyFont="1" applyFill="1" applyBorder="1" applyAlignment="1">
      <alignment vertical="top" wrapText="1"/>
    </xf>
    <xf numFmtId="0" fontId="54" fillId="0" borderId="0" xfId="0" applyFont="1" applyFill="1" applyBorder="1" applyAlignment="1">
      <alignment vertical="center"/>
    </xf>
    <xf numFmtId="0" fontId="52" fillId="0" borderId="0" xfId="0" applyFont="1" applyBorder="1" applyAlignment="1">
      <alignment vertical="top" wrapText="1"/>
    </xf>
    <xf numFmtId="0" fontId="62" fillId="0" borderId="2" xfId="0" applyFont="1" applyBorder="1" applyAlignment="1">
      <alignment horizontal="center" vertical="center"/>
    </xf>
    <xf numFmtId="0" fontId="54" fillId="0" borderId="0" xfId="0" applyFont="1" applyFill="1" applyBorder="1" applyAlignment="1">
      <alignment horizontal="center" vertical="center"/>
    </xf>
    <xf numFmtId="0" fontId="0" fillId="0" borderId="0" xfId="0" applyBorder="1" applyAlignment="1">
      <alignment horizontal="center" vertical="center"/>
    </xf>
    <xf numFmtId="0" fontId="2" fillId="0" borderId="0" xfId="4" applyFont="1"/>
    <xf numFmtId="0" fontId="76" fillId="0" borderId="0" xfId="1" applyFont="1" applyFill="1" applyBorder="1" applyAlignment="1">
      <alignment horizontal="center" vertical="top" wrapText="1"/>
    </xf>
    <xf numFmtId="0" fontId="76" fillId="0" borderId="0" xfId="1" applyFont="1" applyFill="1" applyBorder="1" applyAlignment="1">
      <alignment horizontal="center"/>
    </xf>
    <xf numFmtId="49" fontId="76" fillId="0" borderId="0" xfId="1" applyNumberFormat="1" applyFont="1" applyFill="1" applyBorder="1" applyAlignment="1">
      <alignment horizontal="center" vertical="center" wrapText="1"/>
    </xf>
    <xf numFmtId="0" fontId="51" fillId="0" borderId="0" xfId="1" applyFont="1" applyFill="1" applyBorder="1" applyAlignment="1">
      <alignment horizontal="center" vertical="center" wrapText="1"/>
    </xf>
    <xf numFmtId="0" fontId="76" fillId="0" borderId="0" xfId="1" applyNumberFormat="1" applyFont="1" applyFill="1" applyBorder="1" applyAlignment="1">
      <alignment horizontal="center" vertical="center" wrapText="1"/>
    </xf>
    <xf numFmtId="9" fontId="76" fillId="0" borderId="0" xfId="1" applyNumberFormat="1" applyFont="1" applyFill="1" applyBorder="1" applyAlignment="1">
      <alignment horizontal="center" vertical="center" wrapText="1"/>
    </xf>
    <xf numFmtId="9" fontId="51" fillId="0" borderId="0" xfId="1" applyNumberFormat="1" applyFont="1" applyFill="1" applyBorder="1" applyAlignment="1">
      <alignment horizontal="center" vertical="center" wrapText="1"/>
    </xf>
    <xf numFmtId="0" fontId="75" fillId="0" borderId="0" xfId="1" applyFont="1" applyFill="1" applyBorder="1" applyAlignment="1">
      <alignment horizontal="center" vertical="center" wrapText="1"/>
    </xf>
    <xf numFmtId="0" fontId="26" fillId="0" borderId="0" xfId="1" applyFont="1" applyFill="1" applyBorder="1" applyAlignment="1">
      <alignment vertical="top"/>
    </xf>
    <xf numFmtId="0" fontId="81" fillId="0" borderId="0" xfId="1" applyFont="1" applyFill="1" applyBorder="1" applyAlignment="1">
      <alignment vertical="top" wrapText="1"/>
    </xf>
    <xf numFmtId="0" fontId="83" fillId="0" borderId="0" xfId="1" applyFont="1" applyFill="1" applyBorder="1" applyAlignment="1">
      <alignment vertical="center" wrapText="1"/>
    </xf>
    <xf numFmtId="0" fontId="82" fillId="0" borderId="0" xfId="1" applyFont="1" applyFill="1" applyBorder="1" applyAlignment="1">
      <alignment vertical="center" wrapText="1"/>
    </xf>
    <xf numFmtId="166" fontId="83" fillId="0" borderId="0" xfId="1" applyNumberFormat="1" applyFont="1" applyFill="1" applyBorder="1" applyAlignment="1">
      <alignment vertical="center" wrapText="1"/>
    </xf>
    <xf numFmtId="0" fontId="76" fillId="0" borderId="0" xfId="1" applyFont="1" applyFill="1" applyBorder="1" applyAlignment="1">
      <alignment vertical="top" wrapText="1"/>
    </xf>
    <xf numFmtId="0" fontId="80" fillId="0" borderId="0" xfId="1" applyFont="1" applyFill="1" applyBorder="1" applyAlignment="1">
      <alignment vertical="top" wrapText="1"/>
    </xf>
    <xf numFmtId="0" fontId="85" fillId="0" borderId="0" xfId="1" applyFont="1" applyFill="1" applyBorder="1" applyAlignment="1"/>
    <xf numFmtId="0" fontId="80" fillId="0" borderId="0" xfId="1" applyFont="1" applyFill="1" applyBorder="1" applyAlignment="1">
      <alignment vertical="center" wrapText="1"/>
    </xf>
    <xf numFmtId="0" fontId="79" fillId="0" borderId="0" xfId="1" applyFont="1" applyFill="1" applyBorder="1" applyAlignment="1">
      <alignment vertical="top" wrapText="1"/>
    </xf>
    <xf numFmtId="0" fontId="26" fillId="0" borderId="2" xfId="1" applyFont="1" applyFill="1" applyBorder="1" applyAlignment="1">
      <alignment horizontal="center" vertical="center" wrapText="1"/>
    </xf>
    <xf numFmtId="0" fontId="95" fillId="10" borderId="0" xfId="0" applyFont="1" applyFill="1" applyAlignment="1">
      <alignment horizontal="center" vertical="center"/>
    </xf>
    <xf numFmtId="0" fontId="2" fillId="0" borderId="0" xfId="4" applyFont="1" applyFill="1"/>
    <xf numFmtId="0" fontId="25" fillId="3" borderId="2" xfId="1" applyFont="1" applyFill="1" applyBorder="1" applyAlignment="1">
      <alignment horizontal="center" vertical="center" wrapText="1"/>
    </xf>
    <xf numFmtId="49" fontId="36" fillId="3" borderId="2" xfId="1" applyNumberFormat="1" applyFont="1" applyFill="1" applyBorder="1" applyAlignment="1">
      <alignment horizontal="center" vertical="center" wrapText="1"/>
    </xf>
    <xf numFmtId="0" fontId="62" fillId="0" borderId="2" xfId="0" applyFont="1" applyBorder="1" applyAlignment="1">
      <alignment horizontal="center" vertical="center"/>
    </xf>
    <xf numFmtId="0" fontId="17" fillId="9" borderId="2" xfId="0" applyFont="1" applyFill="1" applyBorder="1" applyAlignment="1">
      <alignment vertical="center"/>
    </xf>
    <xf numFmtId="0" fontId="38" fillId="10" borderId="4" xfId="0" applyFont="1" applyFill="1" applyBorder="1" applyAlignment="1">
      <alignment horizontal="center" vertical="center"/>
    </xf>
    <xf numFmtId="0" fontId="38" fillId="0" borderId="2" xfId="0" applyFont="1" applyFill="1" applyBorder="1" applyAlignment="1">
      <alignment vertical="center"/>
    </xf>
    <xf numFmtId="0" fontId="38" fillId="10" borderId="6" xfId="0" applyFont="1" applyFill="1" applyBorder="1" applyAlignment="1">
      <alignment horizontal="center" vertical="center"/>
    </xf>
    <xf numFmtId="0" fontId="17" fillId="9" borderId="10" xfId="0" applyFont="1" applyFill="1" applyBorder="1" applyAlignment="1">
      <alignment horizontal="left" vertical="center"/>
    </xf>
    <xf numFmtId="49" fontId="36" fillId="10" borderId="2" xfId="1" applyNumberFormat="1" applyFont="1" applyFill="1" applyBorder="1" applyAlignment="1">
      <alignment horizontal="center" vertical="center" wrapText="1"/>
    </xf>
    <xf numFmtId="0" fontId="75" fillId="0" borderId="13" xfId="0" applyFont="1" applyFill="1" applyBorder="1" applyAlignment="1">
      <alignment vertical="center" wrapText="1"/>
    </xf>
    <xf numFmtId="0" fontId="62" fillId="5" borderId="2" xfId="0" applyFont="1" applyFill="1" applyBorder="1" applyAlignment="1">
      <alignment horizontal="center" vertical="center" wrapText="1"/>
    </xf>
    <xf numFmtId="49" fontId="36" fillId="3" borderId="2" xfId="1" applyNumberFormat="1" applyFont="1" applyFill="1" applyBorder="1" applyAlignment="1">
      <alignment horizontal="center" vertical="center" wrapText="1"/>
    </xf>
    <xf numFmtId="0" fontId="62" fillId="5" borderId="2" xfId="0" applyFont="1" applyFill="1" applyBorder="1" applyAlignment="1">
      <alignment horizontal="center" vertical="center"/>
    </xf>
    <xf numFmtId="0" fontId="62" fillId="0" borderId="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0" fontId="37" fillId="0" borderId="0" xfId="0" applyFont="1" applyFill="1" applyBorder="1" applyAlignment="1">
      <alignment horizontal="left" vertical="center" wrapText="1"/>
    </xf>
    <xf numFmtId="0" fontId="25" fillId="3" borderId="2" xfId="1" applyFont="1" applyFill="1" applyBorder="1" applyAlignment="1">
      <alignment horizontal="center" vertical="center" wrapText="1"/>
    </xf>
    <xf numFmtId="0" fontId="66" fillId="0" borderId="2" xfId="0" applyFont="1" applyFill="1" applyBorder="1" applyAlignment="1">
      <alignment horizontal="center" vertical="center"/>
    </xf>
    <xf numFmtId="49" fontId="36" fillId="0" borderId="0" xfId="1" applyNumberFormat="1" applyFont="1" applyFill="1" applyBorder="1" applyAlignment="1">
      <alignment horizontal="center" vertical="top" wrapText="1"/>
    </xf>
    <xf numFmtId="0" fontId="62" fillId="0" borderId="2" xfId="0" applyFont="1" applyBorder="1" applyAlignment="1">
      <alignment horizontal="center" vertical="center"/>
    </xf>
    <xf numFmtId="0" fontId="0" fillId="0" borderId="0" xfId="0" applyFill="1" applyBorder="1" applyAlignment="1">
      <alignment horizontal="center" vertical="center"/>
    </xf>
    <xf numFmtId="49" fontId="0" fillId="3" borderId="2" xfId="0" applyNumberFormat="1" applyFill="1" applyBorder="1" applyAlignment="1">
      <alignment horizontal="center" vertical="center"/>
    </xf>
    <xf numFmtId="49" fontId="36" fillId="3" borderId="2" xfId="1" applyNumberFormat="1" applyFont="1" applyFill="1" applyBorder="1" applyAlignment="1">
      <alignment horizontal="center" vertical="top" wrapText="1"/>
    </xf>
    <xf numFmtId="0" fontId="62" fillId="0" borderId="2" xfId="0" applyFont="1" applyFill="1" applyBorder="1" applyAlignment="1">
      <alignment horizontal="center" vertical="center"/>
    </xf>
    <xf numFmtId="49" fontId="36" fillId="3" borderId="13" xfId="1" applyNumberFormat="1" applyFont="1" applyFill="1" applyBorder="1" applyAlignment="1">
      <alignment horizontal="center" vertical="top" wrapText="1"/>
    </xf>
    <xf numFmtId="0" fontId="58" fillId="10" borderId="2" xfId="0" applyFont="1" applyFill="1" applyBorder="1" applyAlignment="1">
      <alignment horizontal="left" vertical="center"/>
    </xf>
    <xf numFmtId="0" fontId="25" fillId="3" borderId="4" xfId="1" applyFont="1" applyFill="1" applyBorder="1" applyAlignment="1">
      <alignment horizontal="center" vertical="center" wrapText="1"/>
    </xf>
    <xf numFmtId="0" fontId="62" fillId="0" borderId="2" xfId="0" applyFont="1" applyBorder="1" applyAlignment="1">
      <alignment horizontal="center" vertical="center"/>
    </xf>
    <xf numFmtId="0" fontId="62" fillId="0" borderId="10" xfId="0" applyFont="1" applyBorder="1" applyAlignment="1">
      <alignment horizontal="center" vertical="center"/>
    </xf>
    <xf numFmtId="0" fontId="62" fillId="0" borderId="12" xfId="0" applyFont="1" applyBorder="1" applyAlignment="1">
      <alignment horizontal="center" vertical="center"/>
    </xf>
    <xf numFmtId="0" fontId="0" fillId="0" borderId="0" xfId="0" applyFill="1" applyBorder="1" applyAlignment="1">
      <alignment horizontal="center" vertical="center"/>
    </xf>
    <xf numFmtId="0" fontId="50" fillId="0" borderId="0" xfId="0" applyFont="1" applyFill="1" applyBorder="1" applyAlignment="1">
      <alignment vertical="center"/>
    </xf>
    <xf numFmtId="0" fontId="68" fillId="3" borderId="2" xfId="0" applyFont="1" applyFill="1" applyBorder="1" applyAlignment="1">
      <alignment horizontal="center" vertical="center"/>
    </xf>
    <xf numFmtId="0" fontId="62" fillId="0" borderId="0" xfId="0" applyFont="1" applyFill="1" applyBorder="1" applyAlignment="1">
      <alignment vertical="center" wrapText="1"/>
    </xf>
    <xf numFmtId="49" fontId="0" fillId="0" borderId="8" xfId="0" applyNumberFormat="1" applyFill="1" applyBorder="1" applyAlignment="1">
      <alignment horizontal="center" vertical="center"/>
    </xf>
    <xf numFmtId="0" fontId="0" fillId="0" borderId="9" xfId="0" applyFill="1" applyBorder="1" applyAlignment="1">
      <alignment horizontal="center" vertical="center"/>
    </xf>
    <xf numFmtId="0" fontId="0" fillId="0" borderId="0" xfId="0" applyFill="1" applyAlignment="1">
      <alignment horizontal="center" vertical="center"/>
    </xf>
    <xf numFmtId="0" fontId="37" fillId="0" borderId="0" xfId="0" applyFont="1" applyFill="1" applyAlignment="1">
      <alignment vertical="center" wrapText="1"/>
    </xf>
    <xf numFmtId="0" fontId="62" fillId="0" borderId="10" xfId="0" applyFont="1" applyFill="1" applyBorder="1" applyAlignment="1">
      <alignment horizontal="center" vertical="center"/>
    </xf>
    <xf numFmtId="0" fontId="60" fillId="0" borderId="0" xfId="1" applyFont="1" applyFill="1" applyBorder="1" applyAlignment="1">
      <alignment horizontal="center" vertical="center" wrapText="1"/>
    </xf>
    <xf numFmtId="0" fontId="68" fillId="3" borderId="0" xfId="0" applyFont="1" applyFill="1" applyBorder="1" applyAlignment="1">
      <alignment horizontal="center" vertical="center"/>
    </xf>
    <xf numFmtId="0" fontId="25" fillId="3" borderId="2" xfId="1" applyFont="1" applyFill="1" applyBorder="1" applyAlignment="1">
      <alignment horizontal="center" vertical="center" wrapText="1"/>
    </xf>
    <xf numFmtId="49" fontId="36" fillId="3" borderId="2" xfId="1" applyNumberFormat="1" applyFont="1" applyFill="1" applyBorder="1" applyAlignment="1">
      <alignment horizontal="center" vertical="center" wrapText="1"/>
    </xf>
    <xf numFmtId="0" fontId="62" fillId="0" borderId="2" xfId="0" applyFont="1" applyBorder="1" applyAlignment="1">
      <alignment horizontal="center" vertical="center"/>
    </xf>
    <xf numFmtId="0" fontId="58" fillId="10" borderId="2" xfId="0" applyFont="1" applyFill="1" applyBorder="1" applyAlignment="1">
      <alignment horizontal="center" vertical="center"/>
    </xf>
    <xf numFmtId="0" fontId="62" fillId="0" borderId="10" xfId="0" applyFont="1" applyBorder="1" applyAlignment="1">
      <alignment horizontal="center" vertical="center"/>
    </xf>
    <xf numFmtId="0" fontId="24" fillId="0" borderId="0" xfId="1" applyFont="1" applyFill="1" applyBorder="1" applyAlignment="1">
      <alignment vertical="top" wrapText="1"/>
    </xf>
    <xf numFmtId="0" fontId="28" fillId="0" borderId="0" xfId="1" applyFill="1" applyBorder="1" applyAlignment="1">
      <alignment vertical="top"/>
    </xf>
    <xf numFmtId="49" fontId="74" fillId="3" borderId="2" xfId="1" applyNumberFormat="1" applyFont="1" applyFill="1" applyBorder="1" applyAlignment="1">
      <alignment horizontal="center" vertical="center" wrapText="1"/>
    </xf>
    <xf numFmtId="0" fontId="74" fillId="3" borderId="2" xfId="1" applyFont="1" applyFill="1" applyBorder="1" applyAlignment="1">
      <alignment horizontal="right" vertical="top" wrapText="1"/>
    </xf>
    <xf numFmtId="0" fontId="62" fillId="0" borderId="2" xfId="0" applyFont="1" applyFill="1" applyBorder="1" applyAlignment="1">
      <alignment horizontal="center" vertical="center"/>
    </xf>
    <xf numFmtId="49" fontId="37" fillId="0" borderId="0" xfId="0" applyNumberFormat="1" applyFont="1" applyFill="1" applyBorder="1" applyAlignment="1">
      <alignment vertical="center"/>
    </xf>
    <xf numFmtId="49" fontId="36" fillId="4" borderId="2" xfId="1" applyNumberFormat="1" applyFont="1" applyFill="1" applyBorder="1" applyAlignment="1">
      <alignment horizontal="center" vertical="center" wrapText="1"/>
    </xf>
    <xf numFmtId="49" fontId="67" fillId="0" borderId="0" xfId="0" applyNumberFormat="1" applyFont="1" applyFill="1" applyAlignment="1">
      <alignment horizontal="center" vertical="top" wrapText="1"/>
    </xf>
    <xf numFmtId="0" fontId="67" fillId="0" borderId="0" xfId="0" applyFont="1" applyFill="1" applyAlignment="1">
      <alignment vertical="top" wrapText="1"/>
    </xf>
    <xf numFmtId="0" fontId="1" fillId="0" borderId="0" xfId="4" applyFont="1"/>
    <xf numFmtId="0" fontId="54" fillId="0" borderId="0" xfId="0" applyFont="1" applyFill="1" applyAlignment="1">
      <alignment vertical="center"/>
    </xf>
    <xf numFmtId="0" fontId="0" fillId="11" borderId="0" xfId="0" applyFill="1" applyAlignment="1">
      <alignment horizontal="center"/>
    </xf>
    <xf numFmtId="49" fontId="1" fillId="0" borderId="0" xfId="4" applyNumberFormat="1" applyFont="1" applyAlignment="1">
      <alignment horizontal="left"/>
    </xf>
    <xf numFmtId="0" fontId="33" fillId="0" borderId="0" xfId="8" applyFont="1" applyFill="1" applyBorder="1" applyAlignment="1">
      <alignment vertical="center" wrapText="1"/>
    </xf>
    <xf numFmtId="0" fontId="33" fillId="0" borderId="0" xfId="8" applyFont="1" applyFill="1" applyBorder="1" applyAlignment="1">
      <alignment horizontal="left" vertical="center" wrapText="1"/>
    </xf>
    <xf numFmtId="0" fontId="28" fillId="0" borderId="0" xfId="8" applyFill="1" applyBorder="1" applyAlignment="1">
      <alignment horizontal="left" vertical="center"/>
    </xf>
    <xf numFmtId="0" fontId="21" fillId="3" borderId="2" xfId="8" applyFont="1" applyFill="1" applyBorder="1" applyAlignment="1">
      <alignment horizontal="center" vertical="center"/>
    </xf>
    <xf numFmtId="49" fontId="22" fillId="3" borderId="2" xfId="8" applyNumberFormat="1" applyFont="1" applyFill="1" applyBorder="1" applyAlignment="1">
      <alignment horizontal="center" vertical="center"/>
    </xf>
    <xf numFmtId="49" fontId="22" fillId="3" borderId="10" xfId="8" applyNumberFormat="1" applyFont="1" applyFill="1" applyBorder="1" applyAlignment="1">
      <alignment horizontal="center" vertical="center"/>
    </xf>
    <xf numFmtId="0" fontId="17" fillId="3" borderId="10" xfId="8" applyFont="1" applyFill="1" applyBorder="1" applyAlignment="1">
      <alignment horizontal="center" vertical="center" wrapText="1"/>
    </xf>
    <xf numFmtId="0" fontId="17" fillId="3" borderId="11" xfId="8" applyFont="1" applyFill="1" applyBorder="1" applyAlignment="1">
      <alignment horizontal="center" vertical="center" wrapText="1"/>
    </xf>
    <xf numFmtId="0" fontId="26" fillId="0" borderId="0" xfId="8" applyFont="1" applyFill="1" applyBorder="1" applyAlignment="1">
      <alignment horizontal="left" vertical="top"/>
    </xf>
    <xf numFmtId="0" fontId="29" fillId="0" borderId="0" xfId="8" applyFont="1" applyFill="1" applyBorder="1" applyAlignment="1">
      <alignment horizontal="left" vertical="top"/>
    </xf>
    <xf numFmtId="0" fontId="59" fillId="0" borderId="0" xfId="8" applyFont="1" applyFill="1" applyBorder="1" applyAlignment="1">
      <alignment horizontal="left" vertical="top"/>
    </xf>
    <xf numFmtId="0" fontId="59" fillId="0" borderId="0" xfId="8" applyFont="1" applyFill="1" applyBorder="1" applyAlignment="1">
      <alignment horizontal="center" vertical="top" wrapText="1"/>
    </xf>
    <xf numFmtId="0" fontId="30" fillId="0" borderId="0" xfId="8" applyFont="1" applyFill="1" applyBorder="1" applyAlignment="1">
      <alignment horizontal="left" vertical="top"/>
    </xf>
    <xf numFmtId="0" fontId="26" fillId="12" borderId="0" xfId="8" applyFont="1" applyFill="1" applyBorder="1" applyAlignment="1">
      <alignment horizontal="left" vertical="top"/>
    </xf>
    <xf numFmtId="0" fontId="37" fillId="0" borderId="0" xfId="0" applyFont="1" applyFill="1" applyBorder="1" applyAlignment="1">
      <alignment horizontal="left" vertical="center" wrapText="1"/>
    </xf>
    <xf numFmtId="0" fontId="37" fillId="0" borderId="0" xfId="0" applyFont="1" applyFill="1" applyAlignment="1">
      <alignment horizontal="left" vertical="center" wrapText="1"/>
    </xf>
    <xf numFmtId="0" fontId="37" fillId="0" borderId="0" xfId="0" applyFont="1" applyFill="1" applyAlignment="1">
      <alignment horizontal="left" vertical="center"/>
    </xf>
    <xf numFmtId="0" fontId="19" fillId="16" borderId="2" xfId="0" applyFont="1" applyFill="1" applyBorder="1"/>
    <xf numFmtId="0" fontId="68" fillId="5" borderId="2" xfId="0" applyFont="1" applyFill="1" applyBorder="1" applyAlignment="1">
      <alignment horizontal="center" vertical="center"/>
    </xf>
    <xf numFmtId="0" fontId="68" fillId="5" borderId="2" xfId="0" applyFont="1" applyFill="1" applyBorder="1" applyAlignment="1">
      <alignment horizontal="center" vertical="center" wrapText="1"/>
    </xf>
    <xf numFmtId="0" fontId="68" fillId="5" borderId="0" xfId="0" applyFont="1" applyFill="1" applyAlignment="1">
      <alignment horizontal="center" vertical="center" wrapText="1"/>
    </xf>
    <xf numFmtId="0" fontId="68" fillId="5" borderId="4" xfId="0" applyFont="1" applyFill="1" applyBorder="1" applyAlignment="1">
      <alignment horizontal="center" vertical="center"/>
    </xf>
    <xf numFmtId="0" fontId="68" fillId="5" borderId="4" xfId="0" applyFont="1" applyFill="1" applyBorder="1" applyAlignment="1">
      <alignment horizontal="center" vertical="center" wrapText="1"/>
    </xf>
    <xf numFmtId="0" fontId="50" fillId="5" borderId="2" xfId="1" applyFont="1" applyFill="1" applyBorder="1" applyAlignment="1">
      <alignment horizontal="center" vertical="center" wrapText="1"/>
    </xf>
    <xf numFmtId="0" fontId="68" fillId="5" borderId="0" xfId="0" applyFont="1" applyFill="1" applyAlignment="1">
      <alignment horizontal="center" wrapText="1"/>
    </xf>
    <xf numFmtId="0" fontId="0" fillId="0" borderId="0" xfId="0" applyAlignment="1">
      <alignment horizontal="center"/>
    </xf>
    <xf numFmtId="0" fontId="0" fillId="0" borderId="0" xfId="0" applyFont="1" applyFill="1" applyBorder="1" applyAlignment="1">
      <alignment horizontal="center"/>
    </xf>
    <xf numFmtId="168" fontId="0" fillId="0" borderId="0" xfId="0" applyNumberFormat="1" applyAlignment="1">
      <alignment horizontal="center"/>
    </xf>
    <xf numFmtId="49" fontId="68" fillId="3" borderId="2" xfId="0" applyNumberFormat="1" applyFont="1" applyFill="1" applyBorder="1" applyAlignment="1">
      <alignment horizontal="center" vertical="center" wrapText="1"/>
    </xf>
    <xf numFmtId="0" fontId="0" fillId="0" borderId="2" xfId="0" applyFill="1" applyBorder="1" applyAlignment="1">
      <alignment horizontal="center"/>
    </xf>
    <xf numFmtId="167" fontId="0" fillId="0" borderId="2" xfId="0" applyNumberFormat="1" applyFill="1" applyBorder="1" applyAlignment="1">
      <alignment horizontal="center"/>
    </xf>
    <xf numFmtId="168" fontId="0" fillId="0" borderId="2" xfId="0" applyNumberFormat="1" applyFill="1" applyBorder="1" applyAlignment="1">
      <alignment horizontal="center"/>
    </xf>
    <xf numFmtId="0" fontId="54" fillId="0" borderId="2" xfId="0" applyFont="1" applyBorder="1" applyAlignment="1">
      <alignment horizontal="right"/>
    </xf>
    <xf numFmtId="167" fontId="68" fillId="0" borderId="0" xfId="0" applyNumberFormat="1" applyFont="1" applyFill="1" applyBorder="1" applyAlignment="1">
      <alignment horizontal="center" vertical="center" wrapText="1"/>
    </xf>
    <xf numFmtId="49" fontId="36" fillId="3" borderId="2" xfId="1" applyNumberFormat="1" applyFont="1" applyFill="1" applyBorder="1" applyAlignment="1">
      <alignment horizontal="center" vertical="top" wrapText="1"/>
    </xf>
    <xf numFmtId="0" fontId="25" fillId="3" borderId="2" xfId="1" applyFont="1" applyFill="1" applyBorder="1" applyAlignment="1">
      <alignment horizontal="center" vertical="center" wrapText="1"/>
    </xf>
    <xf numFmtId="0" fontId="0" fillId="0" borderId="0" xfId="0" applyFill="1" applyBorder="1" applyAlignment="1">
      <alignment horizontal="center" vertical="center"/>
    </xf>
    <xf numFmtId="0" fontId="55" fillId="0" borderId="0" xfId="0" applyFont="1" applyFill="1" applyBorder="1" applyAlignment="1">
      <alignment horizontal="center" vertical="center"/>
    </xf>
    <xf numFmtId="0" fontId="1" fillId="0" borderId="0" xfId="4" applyFont="1" applyFill="1"/>
    <xf numFmtId="0" fontId="115" fillId="0" borderId="0" xfId="4" applyFont="1" applyFill="1"/>
    <xf numFmtId="0" fontId="62" fillId="0" borderId="0" xfId="0" applyFont="1" applyFill="1" applyBorder="1" applyAlignment="1">
      <alignment horizontal="center"/>
    </xf>
    <xf numFmtId="0" fontId="67" fillId="0" borderId="0" xfId="0" applyFont="1" applyFill="1" applyBorder="1" applyAlignment="1">
      <alignment horizontal="center" vertical="center"/>
    </xf>
    <xf numFmtId="0" fontId="62" fillId="5" borderId="2" xfId="0" applyFont="1" applyFill="1" applyBorder="1" applyAlignment="1">
      <alignment horizontal="center" vertical="center"/>
    </xf>
    <xf numFmtId="0" fontId="62" fillId="0" borderId="2" xfId="0" applyFont="1" applyFill="1" applyBorder="1" applyAlignment="1">
      <alignment horizontal="center" vertical="center"/>
    </xf>
    <xf numFmtId="0" fontId="62" fillId="0" borderId="12" xfId="0" applyFont="1" applyFill="1" applyBorder="1" applyAlignment="1">
      <alignment horizontal="center" vertical="center"/>
    </xf>
    <xf numFmtId="0" fontId="0" fillId="0" borderId="2" xfId="0" applyBorder="1" applyAlignment="1">
      <alignment horizontal="center"/>
    </xf>
    <xf numFmtId="0" fontId="54" fillId="5" borderId="2" xfId="0" applyFont="1" applyFill="1" applyBorder="1" applyAlignment="1">
      <alignment horizontal="center"/>
    </xf>
    <xf numFmtId="0" fontId="19" fillId="3" borderId="2" xfId="0" applyFont="1" applyFill="1" applyBorder="1" applyAlignment="1">
      <alignment horizontal="center" vertical="center"/>
    </xf>
    <xf numFmtId="0" fontId="62" fillId="0" borderId="2" xfId="0" applyFont="1" applyFill="1" applyBorder="1" applyAlignment="1">
      <alignment horizontal="center" vertical="center"/>
    </xf>
    <xf numFmtId="0" fontId="62" fillId="0" borderId="5" xfId="0" applyFont="1" applyFill="1" applyBorder="1" applyAlignment="1">
      <alignment horizontal="center" vertical="center"/>
    </xf>
    <xf numFmtId="0" fontId="62" fillId="0" borderId="2" xfId="0" applyFont="1" applyFill="1" applyBorder="1" applyAlignment="1">
      <alignment horizontal="center" vertical="center"/>
    </xf>
    <xf numFmtId="0" fontId="68" fillId="5" borderId="2" xfId="0" applyFont="1" applyFill="1" applyBorder="1" applyAlignment="1">
      <alignment horizontal="center" vertical="center" wrapText="1"/>
    </xf>
    <xf numFmtId="0" fontId="62" fillId="0" borderId="0" xfId="0" applyFont="1" applyFill="1" applyBorder="1" applyAlignment="1">
      <alignment horizontal="center"/>
    </xf>
    <xf numFmtId="0" fontId="62" fillId="0" borderId="9" xfId="0" applyFont="1" applyFill="1" applyBorder="1" applyAlignment="1">
      <alignment horizontal="center" vertical="center"/>
    </xf>
    <xf numFmtId="49" fontId="36" fillId="0" borderId="0" xfId="1" applyNumberFormat="1" applyFont="1" applyFill="1" applyBorder="1" applyAlignment="1">
      <alignment horizontal="left" vertical="top" wrapText="1"/>
    </xf>
    <xf numFmtId="2" fontId="36" fillId="0" borderId="0" xfId="1" applyNumberFormat="1" applyFont="1" applyFill="1" applyBorder="1" applyAlignment="1">
      <alignment horizontal="center" vertical="center" wrapText="1"/>
    </xf>
    <xf numFmtId="2" fontId="36" fillId="4" borderId="2" xfId="1" applyNumberFormat="1" applyFont="1" applyFill="1" applyBorder="1" applyAlignment="1">
      <alignment horizontal="center" vertical="center" wrapText="1"/>
    </xf>
    <xf numFmtId="0" fontId="62" fillId="0" borderId="2" xfId="0" applyFont="1" applyFill="1" applyBorder="1" applyAlignment="1">
      <alignment horizontal="center" vertical="center"/>
    </xf>
    <xf numFmtId="0" fontId="68" fillId="3" borderId="2" xfId="0" applyFont="1" applyFill="1" applyBorder="1" applyAlignment="1">
      <alignment horizontal="center" vertical="center" wrapText="1"/>
    </xf>
    <xf numFmtId="0" fontId="37" fillId="0" borderId="0" xfId="0" applyFont="1" applyFill="1" applyAlignment="1">
      <alignment horizontal="left" vertical="center" wrapText="1"/>
    </xf>
    <xf numFmtId="0" fontId="68" fillId="5" borderId="2" xfId="0" applyFont="1" applyFill="1" applyBorder="1" applyAlignment="1">
      <alignment horizontal="center" vertical="center" wrapText="1"/>
    </xf>
    <xf numFmtId="0" fontId="62" fillId="0" borderId="0" xfId="0" applyFont="1" applyFill="1" applyBorder="1" applyAlignment="1">
      <alignment horizontal="center"/>
    </xf>
    <xf numFmtId="0" fontId="54" fillId="5" borderId="2" xfId="0" applyFont="1" applyFill="1" applyBorder="1" applyAlignment="1">
      <alignment horizontal="center"/>
    </xf>
    <xf numFmtId="0" fontId="25" fillId="3" borderId="2" xfId="1" applyFont="1" applyFill="1" applyBorder="1" applyAlignment="1">
      <alignment horizontal="center" vertical="center" wrapText="1"/>
    </xf>
    <xf numFmtId="0" fontId="66" fillId="0" borderId="2" xfId="0" applyFont="1" applyFill="1" applyBorder="1" applyAlignment="1">
      <alignment horizontal="center" vertical="center"/>
    </xf>
    <xf numFmtId="0" fontId="50" fillId="3" borderId="2" xfId="0" applyFont="1" applyFill="1" applyBorder="1" applyAlignment="1">
      <alignment horizontal="center" vertical="center"/>
    </xf>
    <xf numFmtId="0" fontId="65" fillId="3" borderId="2" xfId="1" applyFont="1" applyFill="1" applyBorder="1" applyAlignment="1">
      <alignment horizontal="center" vertical="center" wrapText="1"/>
    </xf>
    <xf numFmtId="0" fontId="25" fillId="3" borderId="4" xfId="1" applyFont="1" applyFill="1" applyBorder="1" applyAlignment="1">
      <alignment horizontal="center" vertical="center" wrapText="1"/>
    </xf>
    <xf numFmtId="0" fontId="25" fillId="3" borderId="6" xfId="1" applyFont="1" applyFill="1" applyBorder="1" applyAlignment="1">
      <alignment horizontal="center" vertical="center" wrapText="1"/>
    </xf>
    <xf numFmtId="0" fontId="37" fillId="0" borderId="0" xfId="0" applyFont="1" applyFill="1"/>
    <xf numFmtId="0" fontId="19" fillId="0" borderId="2" xfId="0" applyFont="1" applyFill="1" applyBorder="1" applyAlignment="1">
      <alignment horizontal="center" vertical="center" wrapText="1"/>
    </xf>
    <xf numFmtId="0" fontId="117" fillId="0" borderId="2" xfId="0" applyFont="1" applyFill="1" applyBorder="1"/>
    <xf numFmtId="0" fontId="19" fillId="0" borderId="2" xfId="0" applyFont="1" applyFill="1" applyBorder="1" applyAlignment="1">
      <alignment horizontal="left" wrapText="1"/>
    </xf>
    <xf numFmtId="49" fontId="21" fillId="3" borderId="2" xfId="1" applyNumberFormat="1" applyFont="1" applyFill="1" applyBorder="1" applyAlignment="1">
      <alignment horizontal="center" vertical="center" wrapText="1"/>
    </xf>
    <xf numFmtId="0" fontId="120" fillId="10" borderId="2" xfId="1" applyFont="1" applyFill="1" applyBorder="1" applyAlignment="1">
      <alignment horizontal="center" vertical="center" wrapText="1"/>
    </xf>
    <xf numFmtId="0" fontId="120" fillId="5" borderId="2" xfId="1" applyFont="1" applyFill="1" applyBorder="1" applyAlignment="1">
      <alignment horizontal="center" vertical="center" wrapText="1"/>
    </xf>
    <xf numFmtId="0" fontId="24" fillId="10" borderId="2" xfId="1" applyFont="1" applyFill="1" applyBorder="1" applyAlignment="1">
      <alignment horizontal="center" vertical="center" wrapText="1"/>
    </xf>
    <xf numFmtId="0" fontId="121" fillId="10" borderId="2" xfId="1" applyFont="1" applyFill="1" applyBorder="1" applyAlignment="1">
      <alignment vertical="center" wrapText="1"/>
    </xf>
    <xf numFmtId="164" fontId="120" fillId="4" borderId="2" xfId="1" applyNumberFormat="1" applyFont="1" applyFill="1" applyBorder="1" applyAlignment="1">
      <alignment horizontal="center" vertical="center" wrapText="1"/>
    </xf>
    <xf numFmtId="0" fontId="120" fillId="4" borderId="2" xfId="1" applyFont="1" applyFill="1" applyBorder="1" applyAlignment="1">
      <alignment horizontal="center" vertical="center" wrapText="1"/>
    </xf>
    <xf numFmtId="49" fontId="21" fillId="10" borderId="2" xfId="1" applyNumberFormat="1" applyFont="1" applyFill="1" applyBorder="1" applyAlignment="1">
      <alignment vertical="center" wrapText="1"/>
    </xf>
    <xf numFmtId="49" fontId="120" fillId="4" borderId="2" xfId="1" applyNumberFormat="1" applyFont="1" applyFill="1" applyBorder="1" applyAlignment="1">
      <alignment horizontal="center" vertical="center" wrapText="1"/>
    </xf>
    <xf numFmtId="0" fontId="60" fillId="13" borderId="12" xfId="0" applyFont="1" applyFill="1" applyBorder="1" applyAlignment="1">
      <alignment horizontal="center" vertical="center"/>
    </xf>
    <xf numFmtId="0" fontId="60" fillId="15" borderId="10" xfId="0" applyFont="1" applyFill="1" applyBorder="1" applyAlignment="1">
      <alignment horizontal="center" vertical="center"/>
    </xf>
    <xf numFmtId="0" fontId="122" fillId="0" borderId="0" xfId="1" applyFont="1" applyFill="1" applyBorder="1" applyAlignment="1">
      <alignment horizontal="left" vertical="top"/>
    </xf>
    <xf numFmtId="0" fontId="27" fillId="0" borderId="0" xfId="0" applyFont="1" applyFill="1" applyAlignment="1">
      <alignment vertical="center"/>
    </xf>
    <xf numFmtId="0" fontId="105" fillId="5" borderId="2" xfId="0" applyFont="1" applyFill="1" applyBorder="1" applyAlignment="1">
      <alignment horizontal="center" vertical="center"/>
    </xf>
    <xf numFmtId="0" fontId="105" fillId="10" borderId="2" xfId="0" applyFont="1" applyFill="1" applyBorder="1" applyAlignment="1">
      <alignment vertical="center" wrapText="1"/>
    </xf>
    <xf numFmtId="0" fontId="60" fillId="13" borderId="2" xfId="0" applyFont="1" applyFill="1" applyBorder="1" applyAlignment="1">
      <alignment horizontal="center" vertical="center"/>
    </xf>
    <xf numFmtId="0" fontId="123" fillId="10" borderId="2" xfId="0" applyFont="1" applyFill="1" applyBorder="1" applyAlignment="1">
      <alignment horizontal="center"/>
    </xf>
    <xf numFmtId="0" fontId="91" fillId="0" borderId="0" xfId="0" applyFont="1"/>
    <xf numFmtId="0" fontId="91" fillId="3" borderId="2" xfId="0" applyFont="1" applyFill="1" applyBorder="1" applyAlignment="1">
      <alignment horizontal="center" vertical="center"/>
    </xf>
    <xf numFmtId="49" fontId="22" fillId="3" borderId="2" xfId="1" applyNumberFormat="1" applyFont="1" applyFill="1" applyBorder="1" applyAlignment="1">
      <alignment horizontal="center" vertical="center" wrapText="1"/>
    </xf>
    <xf numFmtId="49" fontId="22" fillId="0" borderId="14" xfId="1" applyNumberFormat="1" applyFont="1" applyFill="1" applyBorder="1" applyAlignment="1">
      <alignment vertical="center" wrapText="1"/>
    </xf>
    <xf numFmtId="49" fontId="22" fillId="0" borderId="0" xfId="1" applyNumberFormat="1" applyFont="1" applyFill="1" applyBorder="1" applyAlignment="1">
      <alignment vertical="center" wrapText="1"/>
    </xf>
    <xf numFmtId="49" fontId="124" fillId="4" borderId="2" xfId="1" applyNumberFormat="1" applyFont="1" applyFill="1" applyBorder="1" applyAlignment="1">
      <alignment vertical="center" wrapText="1"/>
    </xf>
    <xf numFmtId="49" fontId="22" fillId="0" borderId="1" xfId="1" applyNumberFormat="1" applyFont="1" applyFill="1" applyBorder="1" applyAlignment="1">
      <alignment vertical="center" wrapText="1"/>
    </xf>
    <xf numFmtId="49" fontId="22" fillId="0" borderId="14" xfId="1" applyNumberFormat="1" applyFont="1" applyFill="1" applyBorder="1" applyAlignment="1">
      <alignment horizontal="center" vertical="center" wrapText="1"/>
    </xf>
    <xf numFmtId="49" fontId="22" fillId="0" borderId="0" xfId="1" applyNumberFormat="1" applyFont="1" applyFill="1" applyBorder="1" applyAlignment="1">
      <alignment horizontal="center" vertical="center" wrapText="1"/>
    </xf>
    <xf numFmtId="0" fontId="124" fillId="5" borderId="2" xfId="1" applyFont="1" applyFill="1" applyBorder="1" applyAlignment="1">
      <alignment horizontal="center" vertical="center" wrapText="1"/>
    </xf>
    <xf numFmtId="49" fontId="22" fillId="0" borderId="1" xfId="1" applyNumberFormat="1" applyFont="1" applyFill="1" applyBorder="1" applyAlignment="1">
      <alignment horizontal="center" vertical="center" wrapText="1"/>
    </xf>
    <xf numFmtId="0" fontId="124" fillId="10" borderId="2" xfId="1" applyFont="1" applyFill="1" applyBorder="1" applyAlignment="1">
      <alignment horizontal="center" vertical="center" wrapText="1"/>
    </xf>
    <xf numFmtId="0" fontId="124" fillId="10" borderId="4" xfId="1" applyFont="1" applyFill="1" applyBorder="1" applyAlignment="1">
      <alignment horizontal="center" vertical="center" wrapText="1"/>
    </xf>
    <xf numFmtId="0" fontId="124" fillId="0" borderId="15" xfId="1" applyFont="1" applyFill="1" applyBorder="1" applyAlignment="1">
      <alignment horizontal="center" vertical="center" wrapText="1"/>
    </xf>
    <xf numFmtId="0" fontId="105" fillId="0" borderId="0" xfId="0" applyFont="1" applyBorder="1" applyAlignment="1">
      <alignment horizontal="left" vertical="top" wrapText="1"/>
    </xf>
    <xf numFmtId="0" fontId="91" fillId="0" borderId="0" xfId="0" applyFont="1" applyAlignment="1">
      <alignment horizontal="center" vertical="center"/>
    </xf>
    <xf numFmtId="0" fontId="27" fillId="5" borderId="2" xfId="0" applyFont="1" applyFill="1" applyBorder="1" applyAlignment="1">
      <alignment horizontal="center"/>
    </xf>
    <xf numFmtId="0" fontId="66" fillId="0" borderId="2" xfId="0" applyFont="1" applyBorder="1" applyAlignment="1">
      <alignment horizontal="center" vertical="center"/>
    </xf>
    <xf numFmtId="49" fontId="105" fillId="0" borderId="0" xfId="0" applyNumberFormat="1" applyFont="1" applyAlignment="1">
      <alignment horizontal="center" vertical="top" wrapText="1"/>
    </xf>
    <xf numFmtId="0" fontId="105" fillId="0" borderId="0" xfId="0" applyFont="1" applyAlignment="1">
      <alignment vertical="top" wrapText="1"/>
    </xf>
    <xf numFmtId="0" fontId="66" fillId="0" borderId="5" xfId="0" applyFont="1" applyFill="1" applyBorder="1" applyAlignment="1">
      <alignment horizontal="center" vertical="center"/>
    </xf>
    <xf numFmtId="0" fontId="27" fillId="0" borderId="0" xfId="0" applyFont="1" applyFill="1" applyBorder="1" applyAlignment="1">
      <alignment horizontal="center"/>
    </xf>
    <xf numFmtId="0" fontId="91" fillId="0" borderId="0" xfId="0" applyFont="1" applyBorder="1"/>
    <xf numFmtId="0" fontId="50" fillId="3" borderId="2" xfId="0" applyFont="1" applyFill="1" applyBorder="1" applyAlignment="1">
      <alignment horizontal="center" vertical="center" wrapText="1"/>
    </xf>
    <xf numFmtId="0" fontId="50" fillId="0" borderId="0" xfId="0" applyFont="1" applyFill="1" applyBorder="1" applyAlignment="1">
      <alignment horizontal="center" vertical="center" wrapText="1"/>
    </xf>
    <xf numFmtId="0" fontId="121" fillId="5" borderId="2" xfId="0" applyFont="1" applyFill="1" applyBorder="1" applyAlignment="1">
      <alignment horizontal="center" vertical="center"/>
    </xf>
    <xf numFmtId="0" fontId="105" fillId="10" borderId="2" xfId="0" applyFont="1" applyFill="1" applyBorder="1" applyAlignment="1">
      <alignment horizontal="center" vertical="center" wrapText="1"/>
    </xf>
    <xf numFmtId="0" fontId="105" fillId="4" borderId="2" xfId="0" applyFont="1" applyFill="1" applyBorder="1" applyAlignment="1">
      <alignment horizontal="center" vertical="center" wrapText="1"/>
    </xf>
    <xf numFmtId="0" fontId="91" fillId="0" borderId="0" xfId="0" applyFont="1" applyFill="1" applyBorder="1"/>
    <xf numFmtId="0" fontId="105" fillId="0" borderId="0" xfId="0" applyFont="1" applyFill="1" applyBorder="1" applyAlignment="1">
      <alignment horizontal="center" vertical="center" wrapText="1"/>
    </xf>
    <xf numFmtId="0" fontId="91" fillId="0" borderId="0" xfId="0" applyFont="1" applyFill="1"/>
    <xf numFmtId="0" fontId="66" fillId="0" borderId="0" xfId="0" applyFont="1" applyFill="1" applyBorder="1" applyAlignment="1">
      <alignment vertical="top"/>
    </xf>
    <xf numFmtId="0" fontId="66" fillId="0" borderId="0" xfId="0" applyFont="1" applyFill="1" applyBorder="1" applyAlignment="1">
      <alignment horizontal="right" vertical="top"/>
    </xf>
    <xf numFmtId="0" fontId="66" fillId="0" borderId="0" xfId="0" applyFont="1" applyFill="1" applyBorder="1" applyAlignment="1">
      <alignment horizontal="center" vertical="top"/>
    </xf>
    <xf numFmtId="0" fontId="66" fillId="0" borderId="0" xfId="0" applyFont="1" applyFill="1" applyBorder="1" applyAlignment="1">
      <alignment horizontal="left" wrapText="1"/>
    </xf>
    <xf numFmtId="0" fontId="105" fillId="0" borderId="0" xfId="0" applyFont="1" applyFill="1" applyBorder="1" applyAlignment="1">
      <alignment vertical="top" wrapText="1"/>
    </xf>
    <xf numFmtId="0" fontId="66" fillId="0" borderId="0" xfId="0" applyFont="1" applyFill="1" applyBorder="1"/>
    <xf numFmtId="0" fontId="66" fillId="0" borderId="0" xfId="0" applyFont="1" applyFill="1" applyBorder="1" applyAlignment="1">
      <alignment horizontal="right"/>
    </xf>
    <xf numFmtId="0" fontId="91" fillId="0" borderId="2" xfId="0" applyFont="1" applyBorder="1" applyAlignment="1">
      <alignment horizontal="center"/>
    </xf>
    <xf numFmtId="0" fontId="66" fillId="0" borderId="0" xfId="0" applyFont="1" applyFill="1" applyBorder="1" applyAlignment="1">
      <alignment horizontal="center"/>
    </xf>
    <xf numFmtId="49" fontId="22" fillId="3" borderId="2" xfId="1" applyNumberFormat="1" applyFont="1" applyFill="1" applyBorder="1" applyAlignment="1">
      <alignment horizontal="center" vertical="top" wrapText="1"/>
    </xf>
    <xf numFmtId="0" fontId="91" fillId="10" borderId="2" xfId="0" applyFont="1" applyFill="1" applyBorder="1" applyAlignment="1">
      <alignment horizontal="center"/>
    </xf>
    <xf numFmtId="0" fontId="91" fillId="10" borderId="2" xfId="0" applyFont="1" applyFill="1" applyBorder="1"/>
    <xf numFmtId="0" fontId="27" fillId="0" borderId="0" xfId="0" applyFont="1" applyFill="1" applyBorder="1" applyAlignment="1">
      <alignment vertical="center"/>
    </xf>
    <xf numFmtId="0" fontId="100" fillId="0" borderId="14" xfId="0" applyFont="1" applyFill="1" applyBorder="1" applyAlignment="1">
      <alignment vertical="center" wrapText="1"/>
    </xf>
    <xf numFmtId="0" fontId="60" fillId="14" borderId="2" xfId="0" applyFont="1" applyFill="1" applyBorder="1" applyAlignment="1">
      <alignment horizontal="center" vertical="center"/>
    </xf>
    <xf numFmtId="0" fontId="60" fillId="15" borderId="2" xfId="0" applyFont="1" applyFill="1" applyBorder="1" applyAlignment="1">
      <alignment horizontal="center" vertical="center"/>
    </xf>
    <xf numFmtId="0" fontId="60" fillId="0" borderId="2" xfId="0" applyFont="1" applyBorder="1" applyAlignment="1">
      <alignment horizontal="center" vertical="center"/>
    </xf>
    <xf numFmtId="0" fontId="66" fillId="0" borderId="0" xfId="0" applyFont="1" applyFill="1" applyBorder="1" applyAlignment="1"/>
    <xf numFmtId="0" fontId="105" fillId="10" borderId="2" xfId="0" applyFont="1" applyFill="1" applyBorder="1" applyAlignment="1">
      <alignment horizontal="center" vertical="center"/>
    </xf>
    <xf numFmtId="0" fontId="105" fillId="10" borderId="10" xfId="0" applyFont="1" applyFill="1" applyBorder="1" applyAlignment="1">
      <alignment horizontal="center" vertical="center"/>
    </xf>
    <xf numFmtId="0" fontId="91" fillId="10" borderId="2" xfId="0" applyFont="1" applyFill="1" applyBorder="1" applyAlignment="1"/>
    <xf numFmtId="0" fontId="100" fillId="0" borderId="0" xfId="0" applyFont="1" applyFill="1" applyAlignment="1">
      <alignment horizontal="left" vertical="center"/>
    </xf>
    <xf numFmtId="0" fontId="123" fillId="9" borderId="2" xfId="0" applyFont="1" applyFill="1" applyBorder="1" applyAlignment="1"/>
    <xf numFmtId="0" fontId="105" fillId="4" borderId="2" xfId="0" applyFont="1" applyFill="1" applyBorder="1" applyAlignment="1">
      <alignment wrapText="1"/>
    </xf>
    <xf numFmtId="49" fontId="105" fillId="4" borderId="2" xfId="0" applyNumberFormat="1" applyFont="1" applyFill="1" applyBorder="1" applyAlignment="1">
      <alignment wrapText="1"/>
    </xf>
    <xf numFmtId="0" fontId="27" fillId="4" borderId="2" xfId="0" applyFont="1" applyFill="1" applyBorder="1" applyAlignment="1">
      <alignment vertical="center" wrapText="1"/>
    </xf>
    <xf numFmtId="0" fontId="105" fillId="0" borderId="0" xfId="0" applyFont="1" applyFill="1" applyBorder="1" applyAlignment="1">
      <alignment horizontal="center" vertical="center"/>
    </xf>
    <xf numFmtId="0" fontId="105" fillId="11" borderId="2" xfId="0" applyFont="1" applyFill="1" applyBorder="1" applyAlignment="1">
      <alignment wrapText="1"/>
    </xf>
    <xf numFmtId="0" fontId="27" fillId="0" borderId="2" xfId="0" applyFont="1" applyBorder="1" applyAlignment="1">
      <alignment horizontal="center" vertical="center" wrapText="1"/>
    </xf>
    <xf numFmtId="49" fontId="105" fillId="4" borderId="2" xfId="0" applyNumberFormat="1" applyFont="1" applyFill="1" applyBorder="1"/>
    <xf numFmtId="0" fontId="50" fillId="3" borderId="0" xfId="0" applyFont="1" applyFill="1" applyAlignment="1">
      <alignment horizontal="center" vertical="center" wrapText="1"/>
    </xf>
    <xf numFmtId="49" fontId="22" fillId="3" borderId="6" xfId="1" applyNumberFormat="1" applyFont="1" applyFill="1" applyBorder="1" applyAlignment="1">
      <alignment horizontal="center" vertical="top" wrapText="1"/>
    </xf>
    <xf numFmtId="49" fontId="22" fillId="3" borderId="17" xfId="1" applyNumberFormat="1" applyFont="1" applyFill="1" applyBorder="1" applyAlignment="1">
      <alignment horizontal="center" vertical="top" wrapText="1"/>
    </xf>
    <xf numFmtId="49" fontId="22" fillId="3" borderId="6" xfId="1" applyNumberFormat="1" applyFont="1" applyFill="1" applyBorder="1" applyAlignment="1">
      <alignment horizontal="center" vertical="center" wrapText="1"/>
    </xf>
    <xf numFmtId="0" fontId="50" fillId="3" borderId="10" xfId="0" applyFont="1" applyFill="1" applyBorder="1" applyAlignment="1">
      <alignment horizontal="center" vertical="center" wrapText="1"/>
    </xf>
    <xf numFmtId="0" fontId="50" fillId="3" borderId="4" xfId="0" applyFont="1" applyFill="1" applyBorder="1" applyAlignment="1">
      <alignment horizontal="center" vertical="center"/>
    </xf>
    <xf numFmtId="0" fontId="50" fillId="3" borderId="4" xfId="0" applyFont="1" applyFill="1" applyBorder="1" applyAlignment="1">
      <alignment horizontal="center" vertical="center" wrapText="1"/>
    </xf>
    <xf numFmtId="0" fontId="66" fillId="0" borderId="10" xfId="0" applyFont="1" applyBorder="1" applyAlignment="1">
      <alignment horizontal="center" vertical="center"/>
    </xf>
    <xf numFmtId="0" fontId="118" fillId="0" borderId="2" xfId="0" applyFont="1" applyFill="1" applyBorder="1" applyAlignment="1">
      <alignment horizontal="center" vertical="center"/>
    </xf>
    <xf numFmtId="0" fontId="91" fillId="10" borderId="4" xfId="0" applyFont="1" applyFill="1" applyBorder="1" applyAlignment="1">
      <alignment horizontal="center" vertical="center"/>
    </xf>
    <xf numFmtId="0" fontId="91" fillId="10" borderId="6" xfId="0" applyFont="1" applyFill="1" applyBorder="1" applyAlignment="1">
      <alignment horizontal="center" vertical="center"/>
    </xf>
    <xf numFmtId="0" fontId="91" fillId="10" borderId="2" xfId="0" applyFont="1" applyFill="1" applyBorder="1" applyAlignment="1">
      <alignment horizontal="center" vertical="center"/>
    </xf>
    <xf numFmtId="0" fontId="27" fillId="0" borderId="0" xfId="0" applyFont="1" applyFill="1" applyBorder="1" applyAlignment="1"/>
    <xf numFmtId="49" fontId="22" fillId="0" borderId="0" xfId="1" applyNumberFormat="1" applyFont="1" applyFill="1" applyBorder="1" applyAlignment="1">
      <alignment horizontal="center" vertical="top" wrapText="1"/>
    </xf>
    <xf numFmtId="0" fontId="27" fillId="0" borderId="2" xfId="0" applyFont="1" applyBorder="1" applyAlignment="1">
      <alignment horizontal="right" vertical="center"/>
    </xf>
    <xf numFmtId="0" fontId="60" fillId="3" borderId="10" xfId="0" applyFont="1" applyFill="1" applyBorder="1" applyAlignment="1">
      <alignment horizontal="right" vertical="center"/>
    </xf>
    <xf numFmtId="0" fontId="91" fillId="9" borderId="2" xfId="0" applyFont="1" applyFill="1" applyBorder="1" applyAlignment="1">
      <alignment horizontal="center" vertical="center"/>
    </xf>
    <xf numFmtId="164" fontId="120" fillId="0" borderId="0" xfId="1" applyNumberFormat="1" applyFont="1" applyFill="1" applyBorder="1" applyAlignment="1">
      <alignment horizontal="center" vertical="top" wrapText="1"/>
    </xf>
    <xf numFmtId="0" fontId="128" fillId="9" borderId="2" xfId="1" applyFont="1" applyFill="1" applyBorder="1" applyAlignment="1">
      <alignment horizontal="center" vertical="top"/>
    </xf>
    <xf numFmtId="0" fontId="128" fillId="0" borderId="0" xfId="1" applyFont="1" applyFill="1" applyBorder="1" applyAlignment="1">
      <alignment horizontal="left" vertical="top"/>
    </xf>
    <xf numFmtId="0" fontId="60" fillId="0" borderId="0" xfId="0" applyFont="1" applyFill="1" applyAlignment="1">
      <alignment horizontal="center" vertical="center"/>
    </xf>
    <xf numFmtId="0" fontId="60" fillId="13" borderId="0" xfId="0" applyFont="1" applyFill="1" applyAlignment="1">
      <alignment horizontal="center" vertical="center"/>
    </xf>
    <xf numFmtId="0" fontId="60" fillId="14" borderId="0" xfId="0" applyFont="1" applyFill="1" applyAlignment="1">
      <alignment horizontal="center" vertical="center"/>
    </xf>
    <xf numFmtId="0" fontId="60" fillId="15" borderId="0" xfId="0" applyFont="1" applyFill="1" applyBorder="1" applyAlignment="1">
      <alignment horizontal="center" vertical="center" wrapText="1"/>
    </xf>
    <xf numFmtId="0" fontId="128" fillId="0" borderId="0" xfId="1" applyFont="1" applyFill="1" applyBorder="1" applyAlignment="1">
      <alignment vertical="top" wrapText="1"/>
    </xf>
    <xf numFmtId="0" fontId="124" fillId="0" borderId="0" xfId="1" applyFont="1" applyFill="1" applyBorder="1" applyAlignment="1">
      <alignment horizontal="center" vertical="center" wrapText="1"/>
    </xf>
    <xf numFmtId="0" fontId="60" fillId="0" borderId="0" xfId="1" applyFont="1" applyFill="1" applyBorder="1" applyAlignment="1">
      <alignment horizontal="center" vertical="top"/>
    </xf>
    <xf numFmtId="0" fontId="128" fillId="0" borderId="0" xfId="1" applyFont="1" applyFill="1" applyBorder="1" applyAlignment="1">
      <alignment horizontal="left" vertical="top" wrapText="1"/>
    </xf>
    <xf numFmtId="0" fontId="60" fillId="0" borderId="0" xfId="1" applyFont="1" applyFill="1" applyBorder="1" applyAlignment="1">
      <alignment horizontal="center" vertical="top" wrapText="1"/>
    </xf>
    <xf numFmtId="20" fontId="60" fillId="0" borderId="0" xfId="1" applyNumberFormat="1" applyFont="1" applyFill="1" applyBorder="1" applyAlignment="1">
      <alignment horizontal="center" vertical="top"/>
    </xf>
    <xf numFmtId="0" fontId="128" fillId="0" borderId="0" xfId="1" applyFont="1" applyFill="1" applyBorder="1" applyAlignment="1">
      <alignment horizontal="center" vertical="top"/>
    </xf>
    <xf numFmtId="2" fontId="124" fillId="0" borderId="0" xfId="1" applyNumberFormat="1" applyFont="1" applyFill="1" applyBorder="1" applyAlignment="1">
      <alignment horizontal="center" vertical="center" wrapText="1"/>
    </xf>
    <xf numFmtId="49" fontId="22" fillId="10" borderId="2" xfId="1" applyNumberFormat="1" applyFont="1" applyFill="1" applyBorder="1" applyAlignment="1">
      <alignment horizontal="center" vertical="center" wrapText="1"/>
    </xf>
    <xf numFmtId="0" fontId="91" fillId="10" borderId="2" xfId="0" applyFont="1" applyFill="1" applyBorder="1" applyAlignment="1">
      <alignment horizontal="left" vertical="center"/>
    </xf>
    <xf numFmtId="0" fontId="100" fillId="5" borderId="2" xfId="0" applyFont="1" applyFill="1" applyBorder="1" applyAlignment="1">
      <alignment horizontal="center" vertical="center"/>
    </xf>
    <xf numFmtId="0" fontId="105" fillId="5" borderId="4" xfId="0" applyFont="1" applyFill="1" applyBorder="1" applyAlignment="1">
      <alignment horizontal="center" vertical="center"/>
    </xf>
    <xf numFmtId="0" fontId="105" fillId="0" borderId="0" xfId="0" applyFont="1" applyBorder="1" applyAlignment="1">
      <alignment horizontal="center" vertical="center" wrapText="1"/>
    </xf>
    <xf numFmtId="0" fontId="91" fillId="0" borderId="0" xfId="0" applyFont="1" applyAlignment="1">
      <alignment horizontal="center"/>
    </xf>
    <xf numFmtId="49" fontId="60" fillId="0" borderId="0" xfId="0" applyNumberFormat="1" applyFont="1"/>
    <xf numFmtId="0" fontId="60" fillId="0" borderId="0" xfId="0" applyFont="1"/>
    <xf numFmtId="0" fontId="91" fillId="6" borderId="0" xfId="0" applyFont="1" applyFill="1"/>
    <xf numFmtId="0" fontId="119" fillId="0" borderId="0" xfId="0" applyFont="1" applyFill="1"/>
    <xf numFmtId="0" fontId="126" fillId="0" borderId="0" xfId="0" applyFont="1" applyFill="1"/>
    <xf numFmtId="0" fontId="60" fillId="0" borderId="0" xfId="0" applyFont="1" applyFill="1"/>
    <xf numFmtId="0" fontId="128" fillId="0" borderId="0" xfId="8" applyFont="1" applyFill="1" applyBorder="1" applyAlignment="1">
      <alignment horizontal="left" vertical="top"/>
    </xf>
    <xf numFmtId="3" fontId="100" fillId="11" borderId="2" xfId="8" applyNumberFormat="1" applyFont="1" applyFill="1" applyBorder="1" applyAlignment="1">
      <alignment horizontal="center" vertical="center" wrapText="1"/>
    </xf>
    <xf numFmtId="0" fontId="60" fillId="0" borderId="0" xfId="0" applyFont="1" applyBorder="1"/>
    <xf numFmtId="0" fontId="60" fillId="0" borderId="0" xfId="0" applyFont="1" applyBorder="1" applyAlignment="1">
      <alignment horizontal="right"/>
    </xf>
    <xf numFmtId="0" fontId="19" fillId="8" borderId="2" xfId="0" applyFont="1" applyFill="1" applyBorder="1"/>
    <xf numFmtId="0" fontId="71" fillId="19" borderId="13" xfId="0" applyFont="1" applyFill="1" applyBorder="1"/>
    <xf numFmtId="0" fontId="71" fillId="19" borderId="12" xfId="0" applyFont="1" applyFill="1" applyBorder="1"/>
    <xf numFmtId="0" fontId="57" fillId="19" borderId="0" xfId="0" applyFont="1" applyFill="1"/>
    <xf numFmtId="0" fontId="132" fillId="19" borderId="0" xfId="0" applyFont="1" applyFill="1"/>
    <xf numFmtId="0" fontId="137" fillId="19" borderId="0" xfId="0" applyFont="1" applyFill="1"/>
    <xf numFmtId="0" fontId="91" fillId="19" borderId="0" xfId="0" applyFont="1" applyFill="1"/>
    <xf numFmtId="0" fontId="138" fillId="19" borderId="6" xfId="1" applyFont="1" applyFill="1" applyBorder="1" applyAlignment="1">
      <alignment horizontal="center" vertical="center" wrapText="1"/>
    </xf>
    <xf numFmtId="0" fontId="138" fillId="19" borderId="2" xfId="1" applyFont="1" applyFill="1" applyBorder="1" applyAlignment="1">
      <alignment horizontal="center" vertical="center" wrapText="1"/>
    </xf>
    <xf numFmtId="49" fontId="141" fillId="19" borderId="2" xfId="1" applyNumberFormat="1" applyFont="1" applyFill="1" applyBorder="1" applyAlignment="1">
      <alignment horizontal="center" vertical="center" wrapText="1"/>
    </xf>
    <xf numFmtId="0" fontId="142" fillId="19" borderId="2" xfId="1" applyFont="1" applyFill="1" applyBorder="1" applyAlignment="1">
      <alignment horizontal="center" vertical="center" wrapText="1"/>
    </xf>
    <xf numFmtId="0" fontId="139" fillId="19" borderId="2" xfId="1" applyFont="1" applyFill="1" applyBorder="1" applyAlignment="1">
      <alignment horizontal="center" vertical="center" wrapText="1"/>
    </xf>
    <xf numFmtId="0" fontId="144" fillId="19" borderId="2" xfId="1" applyFont="1" applyFill="1" applyBorder="1" applyAlignment="1">
      <alignment horizontal="center" vertical="center" wrapText="1"/>
    </xf>
    <xf numFmtId="0" fontId="71" fillId="19" borderId="2" xfId="1" applyFont="1" applyFill="1" applyBorder="1" applyAlignment="1">
      <alignment horizontal="center" vertical="center" wrapText="1"/>
    </xf>
    <xf numFmtId="0" fontId="71" fillId="19" borderId="2" xfId="1" applyFont="1" applyFill="1" applyBorder="1" applyAlignment="1">
      <alignment horizontal="center" vertical="top"/>
    </xf>
    <xf numFmtId="0" fontId="105" fillId="19" borderId="2" xfId="0" applyFont="1" applyFill="1" applyBorder="1" applyAlignment="1">
      <alignment horizontal="center" vertical="center"/>
    </xf>
    <xf numFmtId="0" fontId="57" fillId="19" borderId="2" xfId="0" applyFont="1" applyFill="1" applyBorder="1" applyAlignment="1">
      <alignment horizontal="center"/>
    </xf>
    <xf numFmtId="0" fontId="137" fillId="19" borderId="2" xfId="0" applyFont="1" applyFill="1" applyBorder="1" applyAlignment="1">
      <alignment horizontal="center"/>
    </xf>
    <xf numFmtId="0" fontId="151" fillId="19" borderId="2" xfId="0" applyFont="1" applyFill="1" applyBorder="1" applyAlignment="1">
      <alignment horizontal="center" vertical="center"/>
    </xf>
    <xf numFmtId="0" fontId="72" fillId="19" borderId="2" xfId="0" applyFont="1" applyFill="1" applyBorder="1" applyAlignment="1">
      <alignment horizontal="center"/>
    </xf>
    <xf numFmtId="0" fontId="67" fillId="19" borderId="2" xfId="0" applyFont="1" applyFill="1" applyBorder="1" applyAlignment="1">
      <alignment horizontal="center" vertical="center" wrapText="1"/>
    </xf>
    <xf numFmtId="0" fontId="66" fillId="19" borderId="16" xfId="0" applyFont="1" applyFill="1" applyBorder="1" applyAlignment="1">
      <alignment vertical="center"/>
    </xf>
    <xf numFmtId="0" fontId="66" fillId="19" borderId="2" xfId="0" applyFont="1" applyFill="1" applyBorder="1" applyAlignment="1">
      <alignment horizontal="center" vertical="center"/>
    </xf>
    <xf numFmtId="0" fontId="140" fillId="19" borderId="2" xfId="0" applyFont="1" applyFill="1" applyBorder="1" applyAlignment="1">
      <alignment horizontal="center" vertical="center"/>
    </xf>
    <xf numFmtId="0" fontId="37" fillId="0" borderId="0" xfId="0" applyFont="1" applyFill="1" applyBorder="1" applyAlignment="1">
      <alignment horizontal="left" vertical="center" wrapText="1"/>
    </xf>
    <xf numFmtId="0" fontId="50" fillId="19" borderId="2" xfId="0" applyFont="1" applyFill="1" applyBorder="1" applyAlignment="1">
      <alignment horizontal="center" vertical="center" wrapText="1"/>
    </xf>
    <xf numFmtId="0" fontId="50" fillId="19" borderId="2" xfId="0" applyFont="1" applyFill="1" applyBorder="1" applyAlignment="1">
      <alignment horizontal="center" vertical="center" wrapText="1"/>
    </xf>
    <xf numFmtId="0" fontId="50" fillId="19" borderId="4" xfId="0" applyFont="1" applyFill="1" applyBorder="1" applyAlignment="1">
      <alignment horizontal="center" vertical="center" wrapText="1"/>
    </xf>
    <xf numFmtId="0" fontId="100" fillId="0" borderId="0" xfId="0" applyFont="1" applyFill="1" applyBorder="1" applyAlignment="1">
      <alignment horizontal="left" vertical="center" wrapText="1"/>
    </xf>
    <xf numFmtId="0" fontId="140" fillId="19" borderId="2" xfId="0" applyFont="1" applyFill="1" applyBorder="1" applyAlignment="1">
      <alignment horizontal="center" vertical="center" wrapText="1"/>
    </xf>
    <xf numFmtId="0" fontId="105" fillId="5" borderId="2" xfId="0" applyFont="1" applyFill="1" applyBorder="1" applyAlignment="1">
      <alignment horizontal="center" vertical="center"/>
    </xf>
    <xf numFmtId="0" fontId="105" fillId="10" borderId="2" xfId="0" applyFont="1" applyFill="1" applyBorder="1" applyAlignment="1">
      <alignment horizontal="center" vertical="center"/>
    </xf>
    <xf numFmtId="0" fontId="62" fillId="5" borderId="2" xfId="0" applyFont="1" applyFill="1" applyBorder="1" applyAlignment="1">
      <alignment horizontal="center" vertical="center"/>
    </xf>
    <xf numFmtId="0" fontId="25" fillId="3" borderId="2" xfId="1" applyFont="1" applyFill="1" applyBorder="1" applyAlignment="1">
      <alignment horizontal="center" vertical="center" wrapText="1"/>
    </xf>
    <xf numFmtId="0" fontId="50" fillId="3" borderId="2" xfId="0" applyFont="1" applyFill="1" applyBorder="1" applyAlignment="1">
      <alignment horizontal="center" vertical="center" wrapText="1"/>
    </xf>
    <xf numFmtId="49" fontId="22" fillId="3" borderId="2" xfId="1" applyNumberFormat="1" applyFont="1" applyFill="1" applyBorder="1" applyAlignment="1">
      <alignment horizontal="center" vertical="top" wrapText="1"/>
    </xf>
    <xf numFmtId="49" fontId="36" fillId="3" borderId="2" xfId="1" applyNumberFormat="1" applyFont="1" applyFill="1" applyBorder="1" applyAlignment="1">
      <alignment horizontal="center" vertical="center" wrapText="1"/>
    </xf>
    <xf numFmtId="0" fontId="62" fillId="0" borderId="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0" fontId="58" fillId="10" borderId="2" xfId="0" applyFont="1" applyFill="1" applyBorder="1" applyAlignment="1">
      <alignment horizontal="left" vertical="center"/>
    </xf>
    <xf numFmtId="0" fontId="105" fillId="10" borderId="10" xfId="0" applyFont="1" applyFill="1" applyBorder="1" applyAlignment="1">
      <alignment horizontal="center" vertical="center"/>
    </xf>
    <xf numFmtId="0" fontId="62" fillId="0" borderId="2" xfId="0" applyFont="1" applyBorder="1" applyAlignment="1">
      <alignment horizontal="center" vertical="center"/>
    </xf>
    <xf numFmtId="0" fontId="62" fillId="0" borderId="2" xfId="0" applyFont="1" applyBorder="1" applyAlignment="1">
      <alignment horizontal="center"/>
    </xf>
    <xf numFmtId="0" fontId="68" fillId="19" borderId="2" xfId="0" applyFont="1" applyFill="1" applyBorder="1" applyAlignment="1">
      <alignment horizontal="center" vertical="center" wrapText="1"/>
    </xf>
    <xf numFmtId="0" fontId="62" fillId="19" borderId="10" xfId="0" applyFont="1" applyFill="1" applyBorder="1" applyAlignment="1">
      <alignment horizontal="center" vertical="center"/>
    </xf>
    <xf numFmtId="0" fontId="60" fillId="19" borderId="2" xfId="1" applyFont="1" applyFill="1" applyBorder="1" applyAlignment="1">
      <alignment horizontal="center" vertical="center" wrapText="1"/>
    </xf>
    <xf numFmtId="0" fontId="50" fillId="19" borderId="2" xfId="0" applyFont="1" applyFill="1" applyBorder="1" applyAlignment="1">
      <alignment horizontal="center" vertical="center" wrapText="1"/>
    </xf>
    <xf numFmtId="0" fontId="105" fillId="0" borderId="0" xfId="0" applyFont="1" applyFill="1" applyBorder="1" applyAlignment="1">
      <alignment horizontal="left" vertical="center" wrapText="1"/>
    </xf>
    <xf numFmtId="0" fontId="59" fillId="0" borderId="0" xfId="1" applyFont="1" applyFill="1" applyBorder="1" applyAlignment="1">
      <alignment wrapText="1"/>
    </xf>
    <xf numFmtId="0" fontId="71" fillId="19" borderId="2" xfId="1" applyFont="1" applyFill="1" applyBorder="1" applyAlignment="1">
      <alignment horizontal="center" vertical="top" wrapText="1"/>
    </xf>
    <xf numFmtId="0" fontId="65" fillId="19" borderId="2" xfId="1" applyFont="1" applyFill="1" applyBorder="1" applyAlignment="1">
      <alignment horizontal="center" vertical="center" wrapText="1"/>
    </xf>
    <xf numFmtId="0" fontId="25" fillId="19" borderId="2" xfId="1" applyFont="1" applyFill="1" applyBorder="1" applyAlignment="1">
      <alignment horizontal="center" vertical="center" wrapText="1"/>
    </xf>
    <xf numFmtId="0" fontId="140" fillId="6" borderId="0" xfId="0" applyFont="1" applyFill="1" applyBorder="1" applyAlignment="1">
      <alignment wrapText="1"/>
    </xf>
    <xf numFmtId="0" fontId="100" fillId="19" borderId="0" xfId="0" applyFont="1" applyFill="1" applyAlignment="1">
      <alignment horizontal="left" vertical="center"/>
    </xf>
    <xf numFmtId="0" fontId="100" fillId="19" borderId="0" xfId="0" applyFont="1" applyFill="1" applyBorder="1" applyAlignment="1">
      <alignment horizontal="left" vertical="center" wrapText="1"/>
    </xf>
    <xf numFmtId="0" fontId="0" fillId="10" borderId="2" xfId="0" applyFill="1" applyBorder="1" applyAlignment="1">
      <alignment vertical="center"/>
    </xf>
    <xf numFmtId="0" fontId="0" fillId="0" borderId="0" xfId="0" applyFill="1" applyBorder="1" applyAlignment="1">
      <alignment horizontal="center"/>
    </xf>
    <xf numFmtId="0" fontId="66" fillId="0" borderId="10" xfId="0" applyFont="1" applyFill="1" applyBorder="1" applyAlignment="1">
      <alignment horizontal="center" vertical="center"/>
    </xf>
    <xf numFmtId="0" fontId="66" fillId="0" borderId="2" xfId="0" applyFont="1" applyFill="1" applyBorder="1" applyAlignment="1">
      <alignment horizontal="center" vertical="center"/>
    </xf>
    <xf numFmtId="0" fontId="25" fillId="3" borderId="6" xfId="1" applyFont="1" applyFill="1" applyBorder="1" applyAlignment="1">
      <alignment horizontal="center" vertical="center" wrapText="1"/>
    </xf>
    <xf numFmtId="0" fontId="66" fillId="0" borderId="12" xfId="0" applyFont="1" applyBorder="1" applyAlignment="1">
      <alignment horizontal="center" vertical="center"/>
    </xf>
    <xf numFmtId="0" fontId="27" fillId="3" borderId="2" xfId="0" applyFont="1" applyFill="1" applyBorder="1" applyAlignment="1">
      <alignment horizontal="center" vertical="center"/>
    </xf>
    <xf numFmtId="0" fontId="66" fillId="0" borderId="14" xfId="0" applyFont="1" applyFill="1" applyBorder="1" applyAlignment="1">
      <alignment horizontal="center" vertical="center"/>
    </xf>
    <xf numFmtId="0" fontId="27" fillId="5" borderId="2" xfId="0" applyFont="1" applyFill="1" applyBorder="1" applyAlignment="1">
      <alignment horizontal="center"/>
    </xf>
    <xf numFmtId="49" fontId="21" fillId="3" borderId="2" xfId="1" applyNumberFormat="1" applyFont="1" applyFill="1" applyBorder="1" applyAlignment="1">
      <alignment horizontal="center" vertical="center" wrapText="1"/>
    </xf>
    <xf numFmtId="0" fontId="100" fillId="0" borderId="0" xfId="0" applyFont="1" applyAlignment="1">
      <alignment horizontal="left" vertical="center"/>
    </xf>
    <xf numFmtId="0" fontId="140" fillId="19" borderId="10" xfId="0" applyFont="1" applyFill="1" applyBorder="1" applyAlignment="1">
      <alignment horizontal="center" vertical="center"/>
    </xf>
    <xf numFmtId="49" fontId="36" fillId="19" borderId="2" xfId="1" applyNumberFormat="1" applyFont="1" applyFill="1" applyBorder="1" applyAlignment="1">
      <alignment horizontal="center" vertical="center" wrapText="1"/>
    </xf>
    <xf numFmtId="0" fontId="105" fillId="19" borderId="2" xfId="0" applyFont="1" applyFill="1" applyBorder="1" applyAlignment="1">
      <alignment vertical="center" wrapText="1"/>
    </xf>
    <xf numFmtId="0" fontId="60" fillId="19" borderId="2" xfId="0" applyFont="1" applyFill="1" applyBorder="1" applyAlignment="1">
      <alignment horizontal="center" vertical="center"/>
    </xf>
    <xf numFmtId="2" fontId="36" fillId="19" borderId="2" xfId="1" applyNumberFormat="1" applyFont="1" applyFill="1" applyBorder="1" applyAlignment="1">
      <alignment horizontal="center" vertical="center" wrapText="1"/>
    </xf>
    <xf numFmtId="0" fontId="105" fillId="0" borderId="0" xfId="0" applyFont="1" applyFill="1" applyBorder="1" applyAlignment="1">
      <alignment vertical="center" wrapText="1"/>
    </xf>
    <xf numFmtId="0" fontId="60" fillId="0" borderId="2" xfId="0" applyFont="1" applyFill="1" applyBorder="1" applyAlignment="1">
      <alignment horizontal="center" vertical="center" wrapText="1"/>
    </xf>
    <xf numFmtId="0" fontId="60" fillId="19" borderId="2" xfId="0" applyFont="1" applyFill="1" applyBorder="1" applyAlignment="1">
      <alignment horizontal="center" vertical="center" wrapText="1"/>
    </xf>
    <xf numFmtId="0" fontId="19" fillId="19" borderId="2" xfId="0" applyFont="1" applyFill="1" applyBorder="1" applyAlignment="1">
      <alignment horizontal="center" vertical="center"/>
    </xf>
    <xf numFmtId="0" fontId="23" fillId="5" borderId="2" xfId="0" applyFont="1" applyFill="1" applyBorder="1" applyAlignment="1">
      <alignment horizontal="center" vertical="center" wrapText="1"/>
    </xf>
    <xf numFmtId="0" fontId="23" fillId="19" borderId="2" xfId="0" applyFont="1" applyFill="1" applyBorder="1" applyAlignment="1">
      <alignment horizontal="center" vertical="center" wrapText="1"/>
    </xf>
    <xf numFmtId="0" fontId="71" fillId="19" borderId="2" xfId="0" applyFont="1" applyFill="1" applyBorder="1" applyAlignment="1">
      <alignment horizontal="center" vertical="center" wrapText="1"/>
    </xf>
    <xf numFmtId="0" fontId="57" fillId="19" borderId="2" xfId="0" applyFont="1" applyFill="1" applyBorder="1" applyAlignment="1">
      <alignment horizontal="center" vertical="center"/>
    </xf>
    <xf numFmtId="0" fontId="62" fillId="0" borderId="2" xfId="0" applyFont="1" applyFill="1" applyBorder="1" applyAlignment="1">
      <alignment horizontal="center" vertical="center"/>
    </xf>
    <xf numFmtId="0" fontId="25" fillId="3" borderId="5" xfId="1" applyFont="1" applyFill="1" applyBorder="1" applyAlignment="1">
      <alignment horizontal="center" vertical="center" wrapText="1"/>
    </xf>
    <xf numFmtId="0" fontId="25" fillId="3" borderId="17" xfId="1" applyFont="1" applyFill="1" applyBorder="1" applyAlignment="1">
      <alignment horizontal="center" vertical="center" wrapText="1"/>
    </xf>
    <xf numFmtId="49" fontId="159" fillId="4" borderId="2" xfId="1" applyNumberFormat="1" applyFont="1" applyFill="1" applyBorder="1" applyAlignment="1">
      <alignment vertical="center" wrapText="1"/>
    </xf>
    <xf numFmtId="0" fontId="91" fillId="0" borderId="10" xfId="0" applyFont="1" applyFill="1" applyBorder="1" applyAlignment="1">
      <alignment horizontal="center"/>
    </xf>
    <xf numFmtId="0" fontId="91" fillId="0" borderId="2" xfId="0" applyFont="1" applyFill="1" applyBorder="1" applyAlignment="1">
      <alignment horizontal="center" vertical="center"/>
    </xf>
    <xf numFmtId="0" fontId="62" fillId="19" borderId="2" xfId="0" applyFont="1" applyFill="1" applyBorder="1" applyAlignment="1">
      <alignment horizontal="center" vertical="center"/>
    </xf>
    <xf numFmtId="0" fontId="66" fillId="19" borderId="10" xfId="0" applyFont="1" applyFill="1" applyBorder="1" applyAlignment="1">
      <alignment horizontal="center" vertical="center"/>
    </xf>
    <xf numFmtId="0" fontId="46" fillId="19" borderId="12" xfId="0" applyFont="1" applyFill="1" applyBorder="1" applyAlignment="1">
      <alignment horizontal="center" vertical="center"/>
    </xf>
    <xf numFmtId="0" fontId="0" fillId="0" borderId="2" xfId="0" applyBorder="1" applyAlignment="1">
      <alignment horizontal="center" vertical="center" wrapText="1"/>
    </xf>
    <xf numFmtId="0" fontId="91" fillId="0" borderId="2" xfId="0" applyFont="1" applyBorder="1" applyAlignment="1">
      <alignment horizontal="center" vertical="center" wrapText="1"/>
    </xf>
    <xf numFmtId="0" fontId="54" fillId="19" borderId="2" xfId="0" applyFont="1" applyFill="1" applyBorder="1" applyAlignment="1">
      <alignment horizontal="center" vertical="center"/>
    </xf>
    <xf numFmtId="49" fontId="165" fillId="19" borderId="2" xfId="1" applyNumberFormat="1" applyFont="1" applyFill="1" applyBorder="1" applyAlignment="1">
      <alignment horizontal="center" vertical="center" wrapText="1"/>
    </xf>
    <xf numFmtId="0" fontId="51" fillId="19" borderId="2" xfId="0" applyFont="1" applyFill="1" applyBorder="1" applyAlignment="1">
      <alignment horizontal="center" vertical="center"/>
    </xf>
    <xf numFmtId="0" fontId="132" fillId="19" borderId="2" xfId="1" applyFont="1" applyFill="1" applyBorder="1" applyAlignment="1">
      <alignment horizontal="center" vertical="center" wrapText="1"/>
    </xf>
    <xf numFmtId="0" fontId="166" fillId="19" borderId="2" xfId="1" applyFont="1" applyFill="1" applyBorder="1" applyAlignment="1">
      <alignment horizontal="center" vertical="center" wrapText="1"/>
    </xf>
    <xf numFmtId="0" fontId="46" fillId="19" borderId="2" xfId="0" applyFont="1" applyFill="1" applyBorder="1" applyAlignment="1">
      <alignment horizontal="center" vertical="center"/>
    </xf>
    <xf numFmtId="0" fontId="46" fillId="19" borderId="2" xfId="0" applyFont="1" applyFill="1" applyBorder="1" applyAlignment="1">
      <alignment horizontal="center" vertical="center" wrapText="1"/>
    </xf>
    <xf numFmtId="49" fontId="158" fillId="19" borderId="2" xfId="1" applyNumberFormat="1" applyFont="1" applyFill="1" applyBorder="1" applyAlignment="1">
      <alignment horizontal="center" vertical="top" wrapText="1"/>
    </xf>
    <xf numFmtId="0" fontId="54" fillId="19" borderId="12" xfId="0" applyFont="1" applyFill="1" applyBorder="1" applyAlignment="1">
      <alignment horizontal="center" vertical="center"/>
    </xf>
    <xf numFmtId="0" fontId="62" fillId="0" borderId="2" xfId="0" applyFont="1" applyFill="1" applyBorder="1" applyAlignment="1">
      <alignment horizontal="center" vertical="center" wrapText="1"/>
    </xf>
    <xf numFmtId="0" fontId="62" fillId="0" borderId="2" xfId="0" applyFont="1" applyFill="1" applyBorder="1" applyAlignment="1">
      <alignment horizontal="center" vertical="center"/>
    </xf>
    <xf numFmtId="0" fontId="68" fillId="3" borderId="2" xfId="0" applyFont="1" applyFill="1" applyBorder="1" applyAlignment="1">
      <alignment horizontal="center" vertical="center" wrapText="1"/>
    </xf>
    <xf numFmtId="0" fontId="66" fillId="0" borderId="2" xfId="0" applyFont="1" applyFill="1" applyBorder="1" applyAlignment="1">
      <alignment horizontal="center" vertical="center"/>
    </xf>
    <xf numFmtId="0" fontId="66" fillId="0" borderId="1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0" fontId="138" fillId="19" borderId="2" xfId="1" applyFont="1" applyFill="1" applyBorder="1" applyAlignment="1">
      <alignment horizontal="center" vertical="center" wrapText="1"/>
    </xf>
    <xf numFmtId="0" fontId="57" fillId="19" borderId="0" xfId="0" applyFont="1" applyFill="1" applyAlignment="1">
      <alignment vertical="center"/>
    </xf>
    <xf numFmtId="0" fontId="72" fillId="19" borderId="0" xfId="0" applyFont="1" applyFill="1" applyAlignment="1">
      <alignment vertical="center"/>
    </xf>
    <xf numFmtId="0" fontId="0" fillId="19" borderId="0" xfId="0" applyFill="1" applyAlignment="1">
      <alignment vertical="center"/>
    </xf>
    <xf numFmtId="0" fontId="105" fillId="10" borderId="2" xfId="0" applyFont="1" applyFill="1" applyBorder="1" applyAlignment="1">
      <alignment horizontal="center" vertical="center"/>
    </xf>
    <xf numFmtId="0" fontId="62" fillId="5" borderId="2" xfId="0" applyFont="1" applyFill="1" applyBorder="1" applyAlignment="1">
      <alignment horizontal="center" vertical="center"/>
    </xf>
    <xf numFmtId="0" fontId="62" fillId="0" borderId="2" xfId="0" applyFont="1" applyFill="1" applyBorder="1" applyAlignment="1">
      <alignment horizontal="center" vertical="center"/>
    </xf>
    <xf numFmtId="0" fontId="50" fillId="3" borderId="2" xfId="0" applyFont="1" applyFill="1" applyBorder="1" applyAlignment="1">
      <alignment horizontal="center" vertical="center" wrapText="1"/>
    </xf>
    <xf numFmtId="49" fontId="36" fillId="3" borderId="2" xfId="1" applyNumberFormat="1" applyFont="1" applyFill="1" applyBorder="1" applyAlignment="1">
      <alignment horizontal="center" vertical="center" wrapText="1"/>
    </xf>
    <xf numFmtId="0" fontId="105" fillId="5" borderId="4" xfId="0" applyFont="1" applyFill="1" applyBorder="1" applyAlignment="1">
      <alignment horizontal="center" vertical="center"/>
    </xf>
    <xf numFmtId="0" fontId="25" fillId="3" borderId="2" xfId="1" applyFont="1" applyFill="1" applyBorder="1" applyAlignment="1">
      <alignment horizontal="center" vertical="center" wrapText="1"/>
    </xf>
    <xf numFmtId="0" fontId="105" fillId="5" borderId="12" xfId="0" applyFont="1" applyFill="1" applyBorder="1" applyAlignment="1">
      <alignment horizontal="center" vertical="center"/>
    </xf>
    <xf numFmtId="0" fontId="62" fillId="0" borderId="2" xfId="0" applyFont="1" applyBorder="1" applyAlignment="1">
      <alignment horizontal="center" vertical="center"/>
    </xf>
    <xf numFmtId="0" fontId="62" fillId="0" borderId="12" xfId="0" applyFont="1" applyBorder="1" applyAlignment="1">
      <alignment horizontal="center" vertical="center"/>
    </xf>
    <xf numFmtId="0" fontId="118" fillId="0" borderId="0" xfId="0" applyFont="1" applyFill="1" applyBorder="1" applyAlignment="1">
      <alignment horizontal="center" vertical="center"/>
    </xf>
    <xf numFmtId="0" fontId="50" fillId="3" borderId="2" xfId="0" applyFont="1" applyFill="1" applyBorder="1" applyAlignment="1">
      <alignment horizontal="center" vertical="center" wrapText="1"/>
    </xf>
    <xf numFmtId="0" fontId="62" fillId="5" borderId="2" xfId="0" applyFont="1" applyFill="1" applyBorder="1" applyAlignment="1">
      <alignment horizontal="center" vertical="center"/>
    </xf>
    <xf numFmtId="49" fontId="22" fillId="3" borderId="2" xfId="1" applyNumberFormat="1" applyFont="1" applyFill="1" applyBorder="1" applyAlignment="1">
      <alignment horizontal="center" vertical="center" wrapText="1"/>
    </xf>
    <xf numFmtId="0" fontId="68" fillId="0" borderId="0" xfId="0" applyFont="1" applyFill="1" applyBorder="1" applyAlignment="1">
      <alignment horizontal="center" vertical="center" wrapText="1"/>
    </xf>
    <xf numFmtId="0" fontId="105" fillId="10" borderId="2" xfId="0" applyFont="1" applyFill="1" applyBorder="1" applyAlignment="1">
      <alignment horizontal="center" vertical="center"/>
    </xf>
    <xf numFmtId="49" fontId="36" fillId="0" borderId="0" xfId="1" applyNumberFormat="1" applyFont="1" applyFill="1" applyBorder="1" applyAlignment="1">
      <alignment horizontal="center" vertical="top" wrapText="1"/>
    </xf>
    <xf numFmtId="0" fontId="62" fillId="0" borderId="2" xfId="0" applyFont="1" applyBorder="1" applyAlignment="1">
      <alignment horizontal="center" vertical="center"/>
    </xf>
    <xf numFmtId="0" fontId="0" fillId="0" borderId="0" xfId="0" applyFill="1" applyBorder="1" applyAlignment="1">
      <alignment horizontal="center" vertical="center"/>
    </xf>
    <xf numFmtId="0" fontId="167" fillId="19" borderId="2" xfId="0" applyFont="1" applyFill="1" applyBorder="1" applyAlignment="1">
      <alignment horizontal="left" vertical="center"/>
    </xf>
    <xf numFmtId="0" fontId="62" fillId="0" borderId="0" xfId="0" applyFont="1" applyFill="1" applyBorder="1" applyAlignment="1">
      <alignment horizontal="center" wrapText="1"/>
    </xf>
    <xf numFmtId="0" fontId="0" fillId="0" borderId="0" xfId="0" applyBorder="1" applyAlignment="1">
      <alignment horizontal="center" vertical="center" wrapText="1"/>
    </xf>
    <xf numFmtId="0" fontId="50" fillId="0" borderId="2" xfId="0" applyFont="1" applyFill="1" applyBorder="1" applyAlignment="1">
      <alignment horizontal="center" vertical="center"/>
    </xf>
    <xf numFmtId="0" fontId="50" fillId="5" borderId="2" xfId="0" applyFont="1" applyFill="1" applyBorder="1" applyAlignment="1">
      <alignment horizontal="center" vertical="center" wrapText="1"/>
    </xf>
    <xf numFmtId="0" fontId="100" fillId="5" borderId="4" xfId="0" applyFont="1" applyFill="1" applyBorder="1" applyAlignment="1">
      <alignment horizontal="center" vertical="center"/>
    </xf>
    <xf numFmtId="0" fontId="100" fillId="0" borderId="0" xfId="0" applyFont="1" applyFill="1" applyBorder="1" applyAlignment="1">
      <alignment horizontal="center" vertical="center"/>
    </xf>
    <xf numFmtId="49" fontId="22" fillId="10" borderId="4" xfId="1" applyNumberFormat="1" applyFont="1" applyFill="1" applyBorder="1" applyAlignment="1">
      <alignment horizontal="center" vertical="center" wrapText="1"/>
    </xf>
    <xf numFmtId="0" fontId="91" fillId="10" borderId="4" xfId="0" applyFont="1" applyFill="1" applyBorder="1" applyAlignment="1">
      <alignment horizontal="left" vertical="center"/>
    </xf>
    <xf numFmtId="0" fontId="91" fillId="0" borderId="0" xfId="0" applyFont="1" applyFill="1" applyBorder="1" applyAlignment="1">
      <alignment horizontal="left" vertical="center"/>
    </xf>
    <xf numFmtId="0" fontId="62" fillId="0" borderId="2" xfId="0" applyFont="1" applyFill="1" applyBorder="1" applyAlignment="1">
      <alignment horizontal="center" vertical="center"/>
    </xf>
    <xf numFmtId="0" fontId="62" fillId="0" borderId="2" xfId="0" applyFont="1" applyBorder="1" applyAlignment="1">
      <alignment horizontal="center" vertical="center"/>
    </xf>
    <xf numFmtId="49" fontId="22" fillId="3" borderId="17" xfId="1" applyNumberFormat="1" applyFont="1" applyFill="1" applyBorder="1" applyAlignment="1">
      <alignment horizontal="center" vertical="center" wrapText="1"/>
    </xf>
    <xf numFmtId="49" fontId="21" fillId="0" borderId="0" xfId="1" applyNumberFormat="1" applyFont="1" applyFill="1" applyBorder="1" applyAlignment="1">
      <alignment vertical="center" wrapText="1"/>
    </xf>
    <xf numFmtId="0" fontId="105" fillId="0" borderId="0" xfId="0" applyFont="1" applyFill="1" applyBorder="1" applyAlignment="1">
      <alignment vertical="center"/>
    </xf>
    <xf numFmtId="0" fontId="123" fillId="0" borderId="0" xfId="0" applyFont="1" applyFill="1" applyBorder="1" applyAlignment="1">
      <alignment vertical="center"/>
    </xf>
    <xf numFmtId="49" fontId="22" fillId="0" borderId="0" xfId="1" applyNumberFormat="1" applyFont="1" applyFill="1" applyBorder="1" applyAlignment="1">
      <alignment vertical="top" wrapText="1"/>
    </xf>
    <xf numFmtId="0" fontId="0" fillId="0" borderId="12" xfId="0" applyBorder="1" applyAlignment="1">
      <alignment horizontal="center" vertical="center" wrapText="1"/>
    </xf>
    <xf numFmtId="0" fontId="0" fillId="0" borderId="2" xfId="0" applyFill="1" applyBorder="1" applyAlignment="1">
      <alignment horizontal="center" vertical="center" wrapText="1"/>
    </xf>
    <xf numFmtId="49" fontId="165" fillId="19" borderId="2" xfId="1" applyNumberFormat="1" applyFont="1" applyFill="1" applyBorder="1" applyAlignment="1">
      <alignment horizontal="center" vertical="top" wrapText="1"/>
    </xf>
    <xf numFmtId="0" fontId="72" fillId="19" borderId="2" xfId="0" applyFont="1" applyFill="1" applyBorder="1" applyAlignment="1">
      <alignment horizontal="center" vertical="center" wrapText="1"/>
    </xf>
    <xf numFmtId="0" fontId="67" fillId="19" borderId="2" xfId="0" applyFont="1" applyFill="1" applyBorder="1" applyAlignment="1">
      <alignment wrapText="1"/>
    </xf>
    <xf numFmtId="49" fontId="67" fillId="19" borderId="2" xfId="0" applyNumberFormat="1" applyFont="1" applyFill="1" applyBorder="1" applyAlignment="1">
      <alignment wrapText="1"/>
    </xf>
    <xf numFmtId="0" fontId="57" fillId="19" borderId="2" xfId="0" applyFont="1" applyFill="1" applyBorder="1" applyAlignment="1">
      <alignment vertical="center" wrapText="1"/>
    </xf>
    <xf numFmtId="0" fontId="26" fillId="0" borderId="0" xfId="8" applyFont="1" applyFill="1" applyBorder="1" applyAlignment="1">
      <alignment vertical="top" wrapText="1"/>
    </xf>
    <xf numFmtId="0" fontId="38" fillId="6" borderId="2" xfId="0" applyFont="1" applyFill="1" applyBorder="1" applyAlignment="1">
      <alignment horizontal="center" vertical="center"/>
    </xf>
    <xf numFmtId="0" fontId="19" fillId="19" borderId="2" xfId="0" applyFont="1" applyFill="1" applyBorder="1" applyAlignment="1">
      <alignment horizontal="left" vertical="center" wrapText="1"/>
    </xf>
    <xf numFmtId="0" fontId="72" fillId="19" borderId="0" xfId="0" applyFont="1" applyFill="1"/>
    <xf numFmtId="0" fontId="26" fillId="19" borderId="2" xfId="1" applyFont="1" applyFill="1" applyBorder="1" applyAlignment="1">
      <alignment horizontal="center" vertical="center"/>
    </xf>
    <xf numFmtId="49" fontId="21" fillId="19" borderId="2" xfId="1" applyNumberFormat="1" applyFont="1" applyFill="1" applyBorder="1" applyAlignment="1">
      <alignment horizontal="center" vertical="center" wrapText="1"/>
    </xf>
    <xf numFmtId="0" fontId="140" fillId="19" borderId="2" xfId="0" applyFont="1" applyFill="1" applyBorder="1" applyAlignment="1">
      <alignment horizontal="center" vertical="center" wrapText="1"/>
    </xf>
    <xf numFmtId="0" fontId="62" fillId="19" borderId="2" xfId="0" applyFont="1" applyFill="1" applyBorder="1" applyAlignment="1">
      <alignment horizontal="center" vertical="center" wrapText="1"/>
    </xf>
    <xf numFmtId="0" fontId="62" fillId="0" borderId="2" xfId="0" applyFont="1" applyFill="1" applyBorder="1" applyAlignment="1">
      <alignment horizontal="center" vertical="center"/>
    </xf>
    <xf numFmtId="0" fontId="62" fillId="0" borderId="10" xfId="0" applyFont="1" applyBorder="1" applyAlignment="1">
      <alignment horizontal="center" vertical="center" wrapText="1"/>
    </xf>
    <xf numFmtId="0" fontId="62" fillId="19" borderId="10" xfId="0" applyFont="1" applyFill="1" applyBorder="1" applyAlignment="1">
      <alignment horizontal="center" vertical="center" wrapText="1"/>
    </xf>
    <xf numFmtId="0" fontId="105" fillId="5" borderId="2" xfId="0" applyFont="1" applyFill="1" applyBorder="1" applyAlignment="1">
      <alignment horizontal="center" vertical="center"/>
    </xf>
    <xf numFmtId="0" fontId="62" fillId="0" borderId="2" xfId="0" applyFont="1" applyFill="1" applyBorder="1" applyAlignment="1">
      <alignment horizontal="center" vertical="center"/>
    </xf>
    <xf numFmtId="0" fontId="50" fillId="3" borderId="2" xfId="0" applyFont="1" applyFill="1" applyBorder="1" applyAlignment="1">
      <alignment horizontal="center" vertical="center" wrapText="1"/>
    </xf>
    <xf numFmtId="0" fontId="50" fillId="3" borderId="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0" fontId="25" fillId="3" borderId="2" xfId="1" applyFont="1" applyFill="1" applyBorder="1" applyAlignment="1">
      <alignment horizontal="center" vertical="center" wrapText="1"/>
    </xf>
    <xf numFmtId="0" fontId="25" fillId="9" borderId="2" xfId="1" applyFont="1" applyFill="1" applyBorder="1" applyAlignment="1">
      <alignment horizontal="center" vertical="center" wrapText="1"/>
    </xf>
    <xf numFmtId="0" fontId="123" fillId="9" borderId="2" xfId="0" applyFont="1" applyFill="1" applyBorder="1" applyAlignment="1">
      <alignment horizontal="center"/>
    </xf>
    <xf numFmtId="0" fontId="0" fillId="0" borderId="0" xfId="0" applyFill="1" applyBorder="1" applyAlignment="1">
      <alignment horizontal="center" vertical="center"/>
    </xf>
    <xf numFmtId="0" fontId="62" fillId="0" borderId="2" xfId="0" applyFont="1" applyBorder="1" applyAlignment="1">
      <alignment horizontal="center" vertical="center" wrapText="1"/>
    </xf>
    <xf numFmtId="0" fontId="38" fillId="0" borderId="2" xfId="0" applyFont="1" applyFill="1" applyBorder="1" applyAlignment="1">
      <alignment horizontal="center" vertical="center"/>
    </xf>
    <xf numFmtId="0" fontId="38" fillId="19" borderId="2" xfId="0" applyFont="1" applyFill="1" applyBorder="1" applyAlignment="1">
      <alignment horizontal="center" vertical="center"/>
    </xf>
    <xf numFmtId="0" fontId="38" fillId="16" borderId="2" xfId="0" applyFont="1" applyFill="1" applyBorder="1" applyAlignment="1">
      <alignment horizontal="center" vertical="center"/>
    </xf>
    <xf numFmtId="0" fontId="53" fillId="19" borderId="2" xfId="0" applyFont="1" applyFill="1" applyBorder="1" applyAlignment="1">
      <alignment horizontal="center" vertical="center"/>
    </xf>
    <xf numFmtId="0" fontId="54" fillId="0" borderId="0" xfId="15" applyFont="1"/>
    <xf numFmtId="0" fontId="54" fillId="0" borderId="0" xfId="15" applyFont="1" applyFill="1" applyBorder="1" applyAlignment="1">
      <alignment horizontal="left" vertical="center"/>
    </xf>
    <xf numFmtId="0" fontId="54" fillId="0" borderId="0" xfId="15" applyFont="1" applyFill="1" applyBorder="1"/>
    <xf numFmtId="0" fontId="173" fillId="19" borderId="0" xfId="4" applyFont="1" applyFill="1"/>
    <xf numFmtId="0" fontId="50" fillId="3" borderId="2" xfId="0" applyFont="1" applyFill="1" applyBorder="1" applyAlignment="1">
      <alignment horizontal="center" vertical="center" wrapText="1"/>
    </xf>
    <xf numFmtId="0" fontId="105" fillId="5" borderId="2" xfId="0" applyFont="1" applyFill="1" applyBorder="1" applyAlignment="1">
      <alignment horizontal="center" vertical="center"/>
    </xf>
    <xf numFmtId="0" fontId="105" fillId="10" borderId="2" xfId="0" applyFont="1" applyFill="1" applyBorder="1" applyAlignment="1">
      <alignment horizontal="center" vertical="center"/>
    </xf>
    <xf numFmtId="0" fontId="27" fillId="3" borderId="2" xfId="0" applyFont="1" applyFill="1" applyBorder="1" applyAlignment="1">
      <alignment horizontal="center" vertical="center"/>
    </xf>
    <xf numFmtId="0" fontId="175" fillId="19" borderId="2" xfId="0" applyFont="1" applyFill="1" applyBorder="1" applyAlignment="1"/>
    <xf numFmtId="0" fontId="0" fillId="19" borderId="2" xfId="0" applyFill="1" applyBorder="1" applyAlignment="1">
      <alignment horizontal="center"/>
    </xf>
    <xf numFmtId="0" fontId="61" fillId="0" borderId="0" xfId="0" applyFont="1" applyFill="1" applyBorder="1" applyAlignment="1">
      <alignment vertical="center" wrapText="1"/>
    </xf>
    <xf numFmtId="0" fontId="55" fillId="0" borderId="0" xfId="0" applyFont="1" applyFill="1" applyBorder="1" applyAlignment="1"/>
    <xf numFmtId="0" fontId="72" fillId="0" borderId="0" xfId="0" applyFont="1" applyFill="1"/>
    <xf numFmtId="49" fontId="21" fillId="3" borderId="2" xfId="1" applyNumberFormat="1" applyFont="1" applyFill="1" applyBorder="1" applyAlignment="1">
      <alignment horizontal="center" vertical="top" wrapText="1"/>
    </xf>
    <xf numFmtId="0" fontId="0" fillId="11" borderId="0" xfId="0" applyFill="1" applyAlignment="1">
      <alignment horizontal="center"/>
    </xf>
    <xf numFmtId="0" fontId="19" fillId="10" borderId="13" xfId="0" applyFont="1" applyFill="1" applyBorder="1"/>
    <xf numFmtId="0" fontId="71" fillId="19" borderId="13" xfId="0" applyFont="1" applyFill="1" applyBorder="1"/>
    <xf numFmtId="0" fontId="19" fillId="0" borderId="0" xfId="0" applyFont="1" applyFill="1" applyBorder="1" applyAlignment="1">
      <alignment horizontal="center"/>
    </xf>
    <xf numFmtId="0" fontId="0" fillId="0" borderId="0" xfId="0" applyAlignment="1">
      <alignment horizontal="left" vertical="top"/>
    </xf>
    <xf numFmtId="49" fontId="0" fillId="3" borderId="2" xfId="0" applyNumberFormat="1" applyFill="1" applyBorder="1" applyAlignment="1">
      <alignment horizontal="center" vertical="center"/>
    </xf>
    <xf numFmtId="0" fontId="60" fillId="19" borderId="2" xfId="0" applyFont="1" applyFill="1" applyBorder="1" applyAlignment="1">
      <alignment horizontal="left" vertical="center" wrapText="1"/>
    </xf>
    <xf numFmtId="0" fontId="17" fillId="9" borderId="2" xfId="0" applyFont="1" applyFill="1" applyBorder="1" applyAlignment="1">
      <alignment horizontal="left"/>
    </xf>
    <xf numFmtId="0" fontId="138" fillId="19" borderId="2" xfId="1" applyFont="1" applyFill="1" applyBorder="1" applyAlignment="1">
      <alignment horizontal="center" vertical="center" wrapText="1"/>
    </xf>
    <xf numFmtId="0" fontId="140" fillId="19" borderId="2" xfId="0" applyFont="1" applyFill="1" applyBorder="1" applyAlignment="1">
      <alignment horizontal="center" vertical="center" wrapText="1"/>
    </xf>
    <xf numFmtId="49" fontId="22" fillId="3" borderId="2" xfId="1" applyNumberFormat="1" applyFont="1" applyFill="1" applyBorder="1" applyAlignment="1">
      <alignment horizontal="center" vertical="top" wrapText="1"/>
    </xf>
    <xf numFmtId="0" fontId="50" fillId="3" borderId="2" xfId="0" applyFont="1" applyFill="1" applyBorder="1" applyAlignment="1">
      <alignment horizontal="center" vertical="center" wrapText="1"/>
    </xf>
    <xf numFmtId="49" fontId="36" fillId="3" borderId="2" xfId="1" applyNumberFormat="1" applyFont="1" applyFill="1" applyBorder="1" applyAlignment="1">
      <alignment horizontal="center" vertical="center" wrapText="1"/>
    </xf>
    <xf numFmtId="0" fontId="105" fillId="5" borderId="2" xfId="0" applyFont="1" applyFill="1" applyBorder="1" applyAlignment="1">
      <alignment horizontal="center" vertical="center"/>
    </xf>
    <xf numFmtId="0" fontId="91" fillId="3" borderId="2" xfId="0" applyFont="1" applyFill="1" applyBorder="1" applyAlignment="1">
      <alignment horizontal="center" vertical="center"/>
    </xf>
    <xf numFmtId="49" fontId="22" fillId="3" borderId="2" xfId="1" applyNumberFormat="1" applyFont="1" applyFill="1" applyBorder="1" applyAlignment="1">
      <alignment horizontal="center" vertical="center" wrapText="1"/>
    </xf>
    <xf numFmtId="0" fontId="25" fillId="3" borderId="2" xfId="1" applyFont="1" applyFill="1" applyBorder="1" applyAlignment="1">
      <alignment horizontal="center" vertical="center" wrapText="1"/>
    </xf>
    <xf numFmtId="0" fontId="68" fillId="3" borderId="2" xfId="0" applyFont="1" applyFill="1" applyBorder="1" applyAlignment="1">
      <alignment horizontal="center" vertical="center" wrapText="1"/>
    </xf>
    <xf numFmtId="49" fontId="36" fillId="3" borderId="2" xfId="1" applyNumberFormat="1" applyFont="1" applyFill="1" applyBorder="1" applyAlignment="1">
      <alignment horizontal="center" vertical="top" wrapText="1"/>
    </xf>
    <xf numFmtId="0" fontId="0" fillId="0" borderId="2" xfId="0" applyBorder="1" applyAlignment="1">
      <alignment horizontal="center" vertical="center"/>
    </xf>
    <xf numFmtId="49" fontId="21" fillId="3" borderId="2" xfId="1" applyNumberFormat="1" applyFont="1" applyFill="1" applyBorder="1" applyAlignment="1">
      <alignment horizontal="center" vertical="center" wrapText="1"/>
    </xf>
    <xf numFmtId="0" fontId="0" fillId="10" borderId="2" xfId="0" applyFill="1" applyBorder="1" applyAlignment="1">
      <alignment horizontal="center"/>
    </xf>
    <xf numFmtId="0" fontId="25" fillId="3" borderId="6" xfId="1" applyFont="1" applyFill="1" applyBorder="1" applyAlignment="1">
      <alignment horizontal="center" vertical="center" wrapText="1"/>
    </xf>
    <xf numFmtId="0" fontId="57" fillId="19" borderId="2" xfId="0" applyFont="1" applyFill="1" applyBorder="1" applyAlignment="1">
      <alignment horizontal="center" vertical="center"/>
    </xf>
    <xf numFmtId="0" fontId="0" fillId="0" borderId="2" xfId="0" applyBorder="1" applyAlignment="1">
      <alignment horizontal="center"/>
    </xf>
    <xf numFmtId="0" fontId="62" fillId="0" borderId="2" xfId="0" applyFont="1" applyBorder="1" applyAlignment="1">
      <alignment horizontal="center" vertical="center"/>
    </xf>
    <xf numFmtId="0" fontId="66" fillId="0" borderId="12" xfId="0" applyFont="1" applyBorder="1" applyAlignment="1">
      <alignment horizontal="center" vertical="center"/>
    </xf>
    <xf numFmtId="0" fontId="27" fillId="3" borderId="2" xfId="0" applyFont="1" applyFill="1" applyBorder="1" applyAlignment="1">
      <alignment horizontal="center" vertical="center"/>
    </xf>
    <xf numFmtId="0" fontId="54" fillId="19" borderId="2" xfId="0" applyFont="1" applyFill="1" applyBorder="1" applyAlignment="1">
      <alignment horizontal="center" vertical="center"/>
    </xf>
    <xf numFmtId="0" fontId="124" fillId="5" borderId="2" xfId="1" applyFont="1" applyFill="1" applyBorder="1" applyAlignment="1">
      <alignment horizontal="center" vertical="center" wrapText="1"/>
    </xf>
    <xf numFmtId="0" fontId="46" fillId="19" borderId="12" xfId="0" applyFont="1" applyFill="1" applyBorder="1" applyAlignment="1">
      <alignment horizontal="center" vertical="center"/>
    </xf>
    <xf numFmtId="0" fontId="144" fillId="19" borderId="2" xfId="1" applyFont="1" applyFill="1" applyBorder="1" applyAlignment="1">
      <alignment horizontal="center" vertical="center" wrapText="1"/>
    </xf>
    <xf numFmtId="0" fontId="142" fillId="19" borderId="2" xfId="1" applyFont="1" applyFill="1" applyBorder="1" applyAlignment="1">
      <alignment horizontal="center" vertical="center" wrapText="1"/>
    </xf>
    <xf numFmtId="0" fontId="105" fillId="10" borderId="2" xfId="0" applyFont="1" applyFill="1" applyBorder="1" applyAlignment="1">
      <alignment horizontal="center" vertical="center" wrapText="1"/>
    </xf>
    <xf numFmtId="49" fontId="36" fillId="19" borderId="2" xfId="1" applyNumberFormat="1" applyFont="1" applyFill="1" applyBorder="1" applyAlignment="1">
      <alignment horizontal="center" vertical="center" wrapText="1"/>
    </xf>
    <xf numFmtId="49" fontId="158" fillId="19" borderId="2" xfId="1" applyNumberFormat="1" applyFont="1" applyFill="1" applyBorder="1" applyAlignment="1">
      <alignment horizontal="center" vertical="center" wrapText="1"/>
    </xf>
    <xf numFmtId="0" fontId="60" fillId="19" borderId="2" xfId="0" applyFont="1" applyFill="1" applyBorder="1" applyAlignment="1">
      <alignment horizontal="center" vertical="center"/>
    </xf>
    <xf numFmtId="0" fontId="25" fillId="19" borderId="2" xfId="1" applyFont="1" applyFill="1" applyBorder="1" applyAlignment="1">
      <alignment horizontal="center" vertical="center" wrapText="1"/>
    </xf>
    <xf numFmtId="0" fontId="19" fillId="19" borderId="2" xfId="0" applyFont="1" applyFill="1" applyBorder="1" applyAlignment="1">
      <alignment horizontal="center" vertical="center"/>
    </xf>
    <xf numFmtId="0" fontId="19" fillId="3" borderId="2" xfId="0" applyFont="1" applyFill="1" applyBorder="1" applyAlignment="1">
      <alignment horizontal="center" vertical="center"/>
    </xf>
    <xf numFmtId="0" fontId="12" fillId="0" borderId="0" xfId="0" applyFont="1" applyAlignment="1">
      <alignment horizontal="left" vertical="top"/>
    </xf>
    <xf numFmtId="0" fontId="14" fillId="0" borderId="0" xfId="0" applyFont="1" applyAlignment="1">
      <alignment horizontal="left" vertical="top"/>
    </xf>
    <xf numFmtId="0" fontId="15" fillId="0" borderId="0" xfId="0" applyFont="1" applyAlignment="1">
      <alignment horizontal="left" vertical="top"/>
    </xf>
    <xf numFmtId="0" fontId="48" fillId="0" borderId="12" xfId="0" applyFont="1" applyBorder="1" applyAlignment="1">
      <alignment horizontal="left" vertical="center"/>
    </xf>
    <xf numFmtId="0" fontId="47" fillId="0" borderId="13" xfId="0" applyFont="1" applyBorder="1" applyAlignment="1">
      <alignment horizontal="left" vertical="top"/>
    </xf>
    <xf numFmtId="0" fontId="0" fillId="0" borderId="13" xfId="0" applyBorder="1" applyAlignment="1">
      <alignment horizontal="left" vertical="top"/>
    </xf>
    <xf numFmtId="0" fontId="48" fillId="0" borderId="13" xfId="0" applyFont="1" applyBorder="1" applyAlignment="1">
      <alignment horizontal="right" vertical="center"/>
    </xf>
    <xf numFmtId="0" fontId="48" fillId="20" borderId="12" xfId="0" applyFont="1" applyFill="1" applyBorder="1" applyAlignment="1">
      <alignment horizontal="right" vertical="center"/>
    </xf>
    <xf numFmtId="0" fontId="19" fillId="0" borderId="0" xfId="0" applyFont="1" applyAlignment="1">
      <alignment horizontal="right"/>
    </xf>
    <xf numFmtId="0" fontId="60" fillId="0" borderId="0" xfId="0" applyFont="1" applyAlignment="1">
      <alignment horizontal="right"/>
    </xf>
    <xf numFmtId="0" fontId="38" fillId="0" borderId="0" xfId="0" applyFont="1" applyAlignment="1">
      <alignment horizontal="center" vertical="center"/>
    </xf>
    <xf numFmtId="0" fontId="19" fillId="0" borderId="0" xfId="0" applyFont="1" applyAlignment="1">
      <alignment horizontal="center"/>
    </xf>
    <xf numFmtId="0" fontId="184" fillId="19" borderId="10" xfId="0" applyFont="1" applyFill="1" applyBorder="1" applyAlignment="1">
      <alignment horizontal="center" vertical="center"/>
    </xf>
    <xf numFmtId="0" fontId="185" fillId="19" borderId="2" xfId="0" applyFont="1" applyFill="1" applyBorder="1" applyAlignment="1">
      <alignment horizontal="center" vertical="center"/>
    </xf>
    <xf numFmtId="0" fontId="132" fillId="19" borderId="2" xfId="0" applyFont="1" applyFill="1" applyBorder="1" applyAlignment="1">
      <alignment horizontal="left" vertical="center" wrapText="1"/>
    </xf>
    <xf numFmtId="0" fontId="132" fillId="19" borderId="2" xfId="0" applyFont="1" applyFill="1" applyBorder="1" applyAlignment="1">
      <alignment vertical="center" wrapText="1"/>
    </xf>
    <xf numFmtId="0" fontId="71" fillId="19" borderId="13" xfId="0" applyFont="1" applyFill="1" applyBorder="1" applyAlignment="1">
      <alignment horizontal="left"/>
    </xf>
    <xf numFmtId="0" fontId="71" fillId="19" borderId="12" xfId="0" applyFont="1" applyFill="1" applyBorder="1" applyAlignment="1">
      <alignment horizontal="left"/>
    </xf>
    <xf numFmtId="49" fontId="37" fillId="0" borderId="0" xfId="0" applyNumberFormat="1" applyFont="1" applyAlignment="1">
      <alignment vertical="center"/>
    </xf>
    <xf numFmtId="49" fontId="0" fillId="0" borderId="0" xfId="0" applyNumberFormat="1" applyAlignment="1">
      <alignment horizontal="center" vertical="center"/>
    </xf>
    <xf numFmtId="0" fontId="0" fillId="0" borderId="0" xfId="0" applyAlignment="1">
      <alignment horizontal="left"/>
    </xf>
    <xf numFmtId="0" fontId="58" fillId="0" borderId="0" xfId="0" applyFont="1" applyAlignment="1">
      <alignment vertical="center"/>
    </xf>
    <xf numFmtId="0" fontId="58" fillId="0" borderId="0" xfId="0" applyFont="1" applyAlignment="1">
      <alignment horizontal="center" vertical="center"/>
    </xf>
    <xf numFmtId="0" fontId="28" fillId="0" borderId="0" xfId="1" applyAlignment="1">
      <alignment horizontal="left" vertical="center"/>
    </xf>
    <xf numFmtId="0" fontId="63" fillId="0" borderId="0" xfId="1" applyFont="1" applyAlignment="1">
      <alignment vertical="center"/>
    </xf>
    <xf numFmtId="49" fontId="36" fillId="0" borderId="0" xfId="1" applyNumberFormat="1" applyFont="1" applyAlignment="1">
      <alignment horizontal="center" vertical="center" wrapText="1"/>
    </xf>
    <xf numFmtId="0" fontId="27" fillId="0" borderId="0" xfId="0" applyFont="1" applyAlignment="1">
      <alignment vertical="center"/>
    </xf>
    <xf numFmtId="0" fontId="54" fillId="0" borderId="0" xfId="0" applyFont="1" applyAlignment="1">
      <alignment vertical="center"/>
    </xf>
    <xf numFmtId="0" fontId="105" fillId="0" borderId="0" xfId="0" applyFont="1" applyAlignment="1">
      <alignment vertical="center" wrapText="1"/>
    </xf>
    <xf numFmtId="0" fontId="60" fillId="0" borderId="2" xfId="0" applyFont="1" applyBorder="1" applyAlignment="1">
      <alignment horizontal="center" vertical="center" wrapText="1"/>
    </xf>
    <xf numFmtId="0" fontId="105" fillId="0" borderId="0" xfId="0" applyFont="1" applyAlignment="1">
      <alignment horizontal="left" vertical="center" wrapText="1"/>
    </xf>
    <xf numFmtId="0" fontId="67" fillId="0" borderId="8" xfId="0" applyFont="1" applyBorder="1" applyAlignment="1">
      <alignment horizontal="center" vertical="center" wrapText="1"/>
    </xf>
    <xf numFmtId="0" fontId="67" fillId="0" borderId="0" xfId="0" applyFont="1" applyAlignment="1">
      <alignment horizontal="center" vertical="center" wrapText="1"/>
    </xf>
    <xf numFmtId="0" fontId="25" fillId="0" borderId="0" xfId="1" applyFont="1" applyAlignment="1">
      <alignment vertical="center" wrapText="1"/>
    </xf>
    <xf numFmtId="0" fontId="68" fillId="0" borderId="0" xfId="0" applyFont="1" applyAlignment="1">
      <alignment vertical="center" wrapText="1"/>
    </xf>
    <xf numFmtId="0" fontId="110" fillId="0" borderId="0" xfId="0" applyFont="1" applyAlignment="1">
      <alignment vertical="top" wrapText="1"/>
    </xf>
    <xf numFmtId="0" fontId="54" fillId="0" borderId="0" xfId="0" applyFont="1"/>
    <xf numFmtId="0" fontId="19" fillId="0" borderId="0" xfId="0" applyFont="1" applyAlignment="1">
      <alignment horizontal="center" vertical="center" wrapText="1"/>
    </xf>
    <xf numFmtId="49" fontId="22" fillId="0" borderId="14" xfId="1" applyNumberFormat="1" applyFont="1" applyBorder="1" applyAlignment="1">
      <alignment vertical="center" wrapText="1"/>
    </xf>
    <xf numFmtId="49" fontId="36" fillId="0" borderId="14" xfId="1" applyNumberFormat="1" applyFont="1" applyBorder="1" applyAlignment="1">
      <alignment vertical="center" wrapText="1"/>
    </xf>
    <xf numFmtId="49" fontId="36" fillId="0" borderId="15" xfId="1" applyNumberFormat="1" applyFont="1" applyBorder="1" applyAlignment="1">
      <alignment vertical="center" wrapText="1"/>
    </xf>
    <xf numFmtId="49" fontId="22" fillId="0" borderId="0" xfId="1" applyNumberFormat="1" applyFont="1" applyAlignment="1">
      <alignment vertical="center" wrapText="1"/>
    </xf>
    <xf numFmtId="49" fontId="36" fillId="0" borderId="0" xfId="1" applyNumberFormat="1" applyFont="1" applyAlignment="1">
      <alignment vertical="center" wrapText="1"/>
    </xf>
    <xf numFmtId="49" fontId="36" fillId="0" borderId="9" xfId="1" applyNumberFormat="1" applyFont="1" applyBorder="1" applyAlignment="1">
      <alignment vertical="center" wrapText="1"/>
    </xf>
    <xf numFmtId="49" fontId="22" fillId="0" borderId="1" xfId="1" applyNumberFormat="1" applyFont="1" applyBorder="1" applyAlignment="1">
      <alignment vertical="center" wrapText="1"/>
    </xf>
    <xf numFmtId="49" fontId="36" fillId="0" borderId="1" xfId="1" applyNumberFormat="1" applyFont="1" applyBorder="1" applyAlignment="1">
      <alignment vertical="center" wrapText="1"/>
    </xf>
    <xf numFmtId="49" fontId="36" fillId="0" borderId="16" xfId="1" applyNumberFormat="1" applyFont="1" applyBorder="1" applyAlignment="1">
      <alignment vertical="center" wrapText="1"/>
    </xf>
    <xf numFmtId="49" fontId="22" fillId="0" borderId="14" xfId="1" applyNumberFormat="1" applyFont="1" applyBorder="1" applyAlignment="1">
      <alignment horizontal="center" vertical="center" wrapText="1"/>
    </xf>
    <xf numFmtId="49" fontId="36" fillId="0" borderId="14" xfId="1" applyNumberFormat="1" applyFont="1" applyBorder="1" applyAlignment="1">
      <alignment horizontal="center" vertical="center" wrapText="1"/>
    </xf>
    <xf numFmtId="49" fontId="36" fillId="0" borderId="15" xfId="1" applyNumberFormat="1" applyFont="1" applyBorder="1" applyAlignment="1">
      <alignment horizontal="center" vertical="center" wrapText="1"/>
    </xf>
    <xf numFmtId="49" fontId="22" fillId="0" borderId="0" xfId="1" applyNumberFormat="1" applyFont="1" applyAlignment="1">
      <alignment horizontal="center" vertical="center" wrapText="1"/>
    </xf>
    <xf numFmtId="49" fontId="36" fillId="0" borderId="9" xfId="1" applyNumberFormat="1" applyFont="1" applyBorder="1" applyAlignment="1">
      <alignment horizontal="center" vertical="center" wrapText="1"/>
    </xf>
    <xf numFmtId="49" fontId="22" fillId="0" borderId="1" xfId="1" applyNumberFormat="1" applyFont="1" applyBorder="1" applyAlignment="1">
      <alignment horizontal="center" vertical="center" wrapText="1"/>
    </xf>
    <xf numFmtId="49" fontId="36" fillId="0" borderId="1" xfId="1" applyNumberFormat="1" applyFont="1" applyBorder="1" applyAlignment="1">
      <alignment horizontal="center" vertical="center" wrapText="1"/>
    </xf>
    <xf numFmtId="49" fontId="36" fillId="0" borderId="16" xfId="1" applyNumberFormat="1" applyFont="1" applyBorder="1" applyAlignment="1">
      <alignment horizontal="center" vertical="center" wrapText="1"/>
    </xf>
    <xf numFmtId="0" fontId="124" fillId="0" borderId="15" xfId="1" applyFont="1" applyBorder="1" applyAlignment="1">
      <alignment horizontal="center" vertical="center" wrapText="1"/>
    </xf>
    <xf numFmtId="0" fontId="67" fillId="0" borderId="0" xfId="0" applyFont="1" applyAlignment="1">
      <alignment vertical="center" wrapText="1"/>
    </xf>
    <xf numFmtId="0" fontId="67" fillId="0" borderId="0" xfId="0" applyFont="1" applyAlignment="1">
      <alignment vertical="center"/>
    </xf>
    <xf numFmtId="0" fontId="105" fillId="0" borderId="0" xfId="0" applyFont="1" applyAlignment="1">
      <alignment horizontal="left" vertical="top" wrapText="1"/>
    </xf>
    <xf numFmtId="0" fontId="66" fillId="20" borderId="10" xfId="0" applyFont="1" applyFill="1" applyBorder="1" applyAlignment="1">
      <alignment horizontal="center" vertical="center"/>
    </xf>
    <xf numFmtId="0" fontId="66" fillId="0" borderId="0" xfId="0" applyFont="1" applyAlignment="1">
      <alignment horizontal="center" vertical="center"/>
    </xf>
    <xf numFmtId="0" fontId="62" fillId="0" borderId="0" xfId="0" applyFont="1" applyAlignment="1">
      <alignment horizontal="center" vertical="center" wrapText="1"/>
    </xf>
    <xf numFmtId="0" fontId="186" fillId="20" borderId="10" xfId="0" applyFont="1" applyFill="1" applyBorder="1" applyAlignment="1">
      <alignment horizontal="center" vertical="center"/>
    </xf>
    <xf numFmtId="0" fontId="66" fillId="20" borderId="2" xfId="0" applyFont="1" applyFill="1" applyBorder="1" applyAlignment="1">
      <alignment horizontal="center" vertical="center"/>
    </xf>
    <xf numFmtId="0" fontId="66" fillId="0" borderId="14" xfId="0" applyFont="1" applyBorder="1" applyAlignment="1">
      <alignment horizontal="center" vertical="center"/>
    </xf>
    <xf numFmtId="0" fontId="66" fillId="0" borderId="5" xfId="0" applyFont="1" applyBorder="1" applyAlignment="1">
      <alignment horizontal="center" vertical="center"/>
    </xf>
    <xf numFmtId="0" fontId="186" fillId="20" borderId="2" xfId="0" applyFont="1" applyFill="1" applyBorder="1" applyAlignment="1">
      <alignment horizontal="center" vertical="center"/>
    </xf>
    <xf numFmtId="0" fontId="27" fillId="0" borderId="0" xfId="0" applyFont="1" applyAlignment="1">
      <alignment horizontal="center"/>
    </xf>
    <xf numFmtId="0" fontId="91" fillId="0" borderId="10" xfId="0" applyFont="1" applyBorder="1" applyAlignment="1">
      <alignment horizontal="center"/>
    </xf>
    <xf numFmtId="0" fontId="91" fillId="0" borderId="2" xfId="0" applyFont="1" applyBorder="1" applyAlignment="1">
      <alignment horizontal="center" vertical="center"/>
    </xf>
    <xf numFmtId="0" fontId="67" fillId="0" borderId="0" xfId="0" applyFont="1" applyAlignment="1">
      <alignment horizontal="center" vertical="center"/>
    </xf>
    <xf numFmtId="0" fontId="62" fillId="0" borderId="0" xfId="0" applyFont="1" applyAlignment="1">
      <alignment vertical="top"/>
    </xf>
    <xf numFmtId="0" fontId="62" fillId="0" borderId="0" xfId="0" applyFont="1" applyAlignment="1">
      <alignment horizontal="center" vertical="top"/>
    </xf>
    <xf numFmtId="0" fontId="62" fillId="0" borderId="0" xfId="0" applyFont="1" applyAlignment="1">
      <alignment horizontal="left" wrapText="1"/>
    </xf>
    <xf numFmtId="0" fontId="62" fillId="0" borderId="0" xfId="0" applyFont="1"/>
    <xf numFmtId="0" fontId="62" fillId="0" borderId="0" xfId="0" applyFont="1" applyAlignment="1">
      <alignment horizontal="right"/>
    </xf>
    <xf numFmtId="0" fontId="25" fillId="0" borderId="0" xfId="1" applyFont="1" applyAlignment="1">
      <alignment horizontal="center" vertical="center" wrapText="1"/>
    </xf>
    <xf numFmtId="0" fontId="50" fillId="0" borderId="0" xfId="0" applyFont="1" applyAlignment="1">
      <alignment horizontal="center" vertical="center" wrapText="1"/>
    </xf>
    <xf numFmtId="0" fontId="68" fillId="0" borderId="0" xfId="0" applyFont="1" applyAlignment="1">
      <alignment horizontal="center" vertical="center" wrapText="1"/>
    </xf>
    <xf numFmtId="0" fontId="105" fillId="0" borderId="0" xfId="0" applyFont="1" applyAlignment="1">
      <alignment horizontal="center" vertical="center" wrapText="1"/>
    </xf>
    <xf numFmtId="0" fontId="66" fillId="0" borderId="0" xfId="0" applyFont="1" applyAlignment="1">
      <alignment vertical="top"/>
    </xf>
    <xf numFmtId="0" fontId="66" fillId="0" borderId="0" xfId="0" applyFont="1" applyAlignment="1">
      <alignment horizontal="right" vertical="top"/>
    </xf>
    <xf numFmtId="0" fontId="66" fillId="0" borderId="0" xfId="0" applyFont="1" applyAlignment="1">
      <alignment horizontal="center" vertical="top"/>
    </xf>
    <xf numFmtId="0" fontId="66" fillId="0" borderId="0" xfId="0" applyFont="1" applyAlignment="1">
      <alignment horizontal="left" wrapText="1"/>
    </xf>
    <xf numFmtId="0" fontId="66" fillId="0" borderId="0" xfId="0" applyFont="1"/>
    <xf numFmtId="0" fontId="66" fillId="0" borderId="0" xfId="0" applyFont="1" applyAlignment="1">
      <alignment horizontal="right"/>
    </xf>
    <xf numFmtId="0" fontId="66" fillId="0" borderId="0" xfId="0" applyFont="1" applyAlignment="1">
      <alignment horizontal="center"/>
    </xf>
    <xf numFmtId="0" fontId="52" fillId="0" borderId="0" xfId="0" applyFont="1" applyAlignment="1">
      <alignment vertical="top" wrapText="1"/>
    </xf>
    <xf numFmtId="0" fontId="62" fillId="20" borderId="10" xfId="0" applyFont="1" applyFill="1" applyBorder="1" applyAlignment="1">
      <alignment horizontal="center" vertical="center"/>
    </xf>
    <xf numFmtId="0" fontId="62" fillId="20" borderId="2" xfId="0" applyFont="1" applyFill="1" applyBorder="1" applyAlignment="1">
      <alignment horizontal="center" vertical="center"/>
    </xf>
    <xf numFmtId="49" fontId="36" fillId="0" borderId="0" xfId="1" applyNumberFormat="1" applyFont="1" applyAlignment="1">
      <alignment horizontal="center" vertical="top" wrapText="1"/>
    </xf>
    <xf numFmtId="0" fontId="50" fillId="0" borderId="0" xfId="0" applyFont="1" applyAlignment="1">
      <alignment horizontal="right" vertical="center"/>
    </xf>
    <xf numFmtId="0" fontId="183" fillId="20" borderId="2" xfId="0" applyFont="1" applyFill="1" applyBorder="1" applyAlignment="1">
      <alignment horizontal="left" vertical="center"/>
    </xf>
    <xf numFmtId="0" fontId="183" fillId="20" borderId="2" xfId="0" applyFont="1" applyFill="1" applyBorder="1" applyAlignment="1">
      <alignment horizontal="left" vertical="center" wrapText="1"/>
    </xf>
    <xf numFmtId="0" fontId="19" fillId="20" borderId="2" xfId="0" applyFont="1" applyFill="1" applyBorder="1" applyAlignment="1">
      <alignment horizontal="center" vertical="center" wrapText="1"/>
    </xf>
    <xf numFmtId="0" fontId="19" fillId="20" borderId="2" xfId="0" applyFont="1" applyFill="1" applyBorder="1" applyAlignment="1">
      <alignment horizontal="left" wrapText="1"/>
    </xf>
    <xf numFmtId="0" fontId="57" fillId="19" borderId="2" xfId="0" applyFont="1" applyFill="1" applyBorder="1" applyAlignment="1">
      <alignment horizontal="center" vertical="center"/>
    </xf>
    <xf numFmtId="49" fontId="158" fillId="19" borderId="2" xfId="1" applyNumberFormat="1" applyFont="1" applyFill="1" applyBorder="1" applyAlignment="1">
      <alignment horizontal="center" vertical="center" wrapText="1"/>
    </xf>
    <xf numFmtId="49" fontId="36" fillId="19" borderId="2" xfId="1" applyNumberFormat="1" applyFont="1" applyFill="1" applyBorder="1" applyAlignment="1">
      <alignment horizontal="center" vertical="top" wrapText="1"/>
    </xf>
    <xf numFmtId="49" fontId="22" fillId="3" borderId="12" xfId="1" applyNumberFormat="1" applyFont="1" applyFill="1" applyBorder="1" applyAlignment="1">
      <alignment horizontal="center" vertical="center" wrapText="1"/>
    </xf>
    <xf numFmtId="49" fontId="158" fillId="19" borderId="2" xfId="1" applyNumberFormat="1" applyFont="1" applyFill="1" applyBorder="1" applyAlignment="1">
      <alignment horizontal="center" vertical="center" wrapText="1"/>
    </xf>
    <xf numFmtId="0" fontId="145" fillId="19" borderId="2" xfId="0" applyFont="1" applyFill="1" applyBorder="1" applyAlignment="1">
      <alignment horizontal="center" vertical="center"/>
    </xf>
    <xf numFmtId="49" fontId="158" fillId="19" borderId="12" xfId="1" applyNumberFormat="1" applyFont="1" applyFill="1" applyBorder="1" applyAlignment="1">
      <alignment horizontal="center" vertical="top" wrapText="1"/>
    </xf>
    <xf numFmtId="49" fontId="63" fillId="19" borderId="2" xfId="1" applyNumberFormat="1" applyFont="1" applyFill="1" applyBorder="1" applyAlignment="1">
      <alignment horizontal="center" vertical="center" wrapText="1"/>
    </xf>
    <xf numFmtId="0" fontId="197" fillId="3" borderId="2" xfId="1" applyFont="1" applyFill="1" applyBorder="1" applyAlignment="1">
      <alignment horizontal="center" vertical="center"/>
    </xf>
    <xf numFmtId="0" fontId="198" fillId="19" borderId="2" xfId="0" applyFont="1" applyFill="1" applyBorder="1" applyAlignment="1">
      <alignment horizontal="center" vertical="center"/>
    </xf>
    <xf numFmtId="0" fontId="0" fillId="11" borderId="0" xfId="0" applyFill="1" applyAlignment="1">
      <alignment horizontal="center"/>
    </xf>
    <xf numFmtId="0" fontId="60" fillId="19" borderId="0" xfId="0" applyFont="1" applyFill="1" applyBorder="1" applyAlignment="1"/>
    <xf numFmtId="0" fontId="60" fillId="20" borderId="0" xfId="0" applyFont="1" applyFill="1" applyAlignment="1"/>
    <xf numFmtId="0" fontId="19" fillId="20" borderId="0" xfId="0" applyFont="1" applyFill="1" applyAlignment="1">
      <alignment horizontal="left"/>
    </xf>
    <xf numFmtId="0" fontId="19" fillId="20" borderId="0" xfId="0" applyFont="1" applyFill="1"/>
    <xf numFmtId="0" fontId="0" fillId="20" borderId="0" xfId="0" applyFill="1"/>
    <xf numFmtId="0" fontId="132" fillId="19" borderId="10" xfId="0" applyFont="1" applyFill="1" applyBorder="1"/>
    <xf numFmtId="0" fontId="132" fillId="19" borderId="12" xfId="0" applyFont="1" applyFill="1" applyBorder="1"/>
    <xf numFmtId="0" fontId="71" fillId="19" borderId="10" xfId="0" applyFont="1" applyFill="1" applyBorder="1"/>
    <xf numFmtId="0" fontId="71" fillId="19" borderId="13" xfId="0" applyFont="1" applyFill="1" applyBorder="1"/>
    <xf numFmtId="0" fontId="19" fillId="0" borderId="10" xfId="0" applyFont="1" applyBorder="1" applyAlignment="1">
      <alignment horizontal="right"/>
    </xf>
    <xf numFmtId="0" fontId="19" fillId="0" borderId="12" xfId="0" applyFont="1" applyBorder="1" applyAlignment="1">
      <alignment horizontal="right"/>
    </xf>
    <xf numFmtId="0" fontId="131" fillId="19" borderId="0" xfId="0" applyFont="1" applyFill="1" applyBorder="1" applyAlignment="1">
      <alignment horizontal="left" vertical="center"/>
    </xf>
    <xf numFmtId="0" fontId="16" fillId="0" borderId="0" xfId="0" applyFont="1" applyFill="1" applyBorder="1" applyAlignment="1">
      <alignment horizontal="right" vertical="center"/>
    </xf>
    <xf numFmtId="0" fontId="0" fillId="11" borderId="0" xfId="0" applyFill="1" applyAlignment="1">
      <alignment horizontal="center"/>
    </xf>
    <xf numFmtId="0" fontId="24" fillId="19" borderId="10" xfId="0" applyFont="1" applyFill="1" applyBorder="1" applyAlignment="1">
      <alignment horizontal="left" vertical="top" wrapText="1"/>
    </xf>
    <xf numFmtId="0" fontId="44" fillId="19" borderId="13" xfId="0" applyFont="1" applyFill="1" applyBorder="1" applyAlignment="1">
      <alignment horizontal="left" vertical="top" wrapText="1"/>
    </xf>
    <xf numFmtId="0" fontId="44" fillId="19" borderId="12" xfId="0" applyFont="1" applyFill="1" applyBorder="1" applyAlignment="1">
      <alignment horizontal="left" vertical="top" wrapText="1"/>
    </xf>
    <xf numFmtId="0" fontId="19" fillId="10" borderId="10" xfId="0" applyFont="1" applyFill="1" applyBorder="1"/>
    <xf numFmtId="0" fontId="19" fillId="10" borderId="13" xfId="0" applyFont="1" applyFill="1" applyBorder="1"/>
    <xf numFmtId="0" fontId="19" fillId="0" borderId="10" xfId="0" applyFont="1" applyBorder="1"/>
    <xf numFmtId="0" fontId="19" fillId="0" borderId="12" xfId="0" applyFont="1" applyBorder="1"/>
    <xf numFmtId="0" fontId="131" fillId="20" borderId="0" xfId="0" applyFont="1" applyFill="1" applyAlignment="1">
      <alignment horizontal="left" vertical="center"/>
    </xf>
    <xf numFmtId="0" fontId="16" fillId="0" borderId="0" xfId="0" applyFont="1" applyAlignment="1">
      <alignment horizontal="right" vertical="center"/>
    </xf>
    <xf numFmtId="0" fontId="24" fillId="20" borderId="10" xfId="0" applyFont="1" applyFill="1" applyBorder="1" applyAlignment="1">
      <alignment horizontal="left" vertical="top" wrapText="1"/>
    </xf>
    <xf numFmtId="0" fontId="44" fillId="20" borderId="13" xfId="0" applyFont="1" applyFill="1" applyBorder="1" applyAlignment="1">
      <alignment horizontal="left" vertical="top" wrapText="1"/>
    </xf>
    <xf numFmtId="0" fontId="44" fillId="20" borderId="12" xfId="0" applyFont="1" applyFill="1" applyBorder="1" applyAlignment="1">
      <alignment horizontal="left" vertical="top" wrapText="1"/>
    </xf>
    <xf numFmtId="0" fontId="23" fillId="0" borderId="0" xfId="0" applyFont="1" applyAlignment="1">
      <alignment horizontal="right"/>
    </xf>
    <xf numFmtId="0" fontId="23" fillId="0" borderId="0" xfId="0" applyFont="1" applyAlignment="1">
      <alignment horizontal="center"/>
    </xf>
    <xf numFmtId="0" fontId="55" fillId="0" borderId="0" xfId="0" applyFont="1" applyAlignment="1">
      <alignment horizontal="right"/>
    </xf>
    <xf numFmtId="0" fontId="20" fillId="2" borderId="3" xfId="0" applyFont="1" applyFill="1" applyBorder="1" applyAlignment="1">
      <alignment horizontal="left" vertical="top" wrapText="1"/>
    </xf>
    <xf numFmtId="0" fontId="21" fillId="2" borderId="7" xfId="0" applyFont="1" applyFill="1" applyBorder="1" applyAlignment="1">
      <alignment horizontal="left" vertical="top" wrapText="1"/>
    </xf>
    <xf numFmtId="0" fontId="21" fillId="2" borderId="18" xfId="0" applyFont="1" applyFill="1" applyBorder="1" applyAlignment="1">
      <alignment horizontal="left" vertical="top" wrapText="1"/>
    </xf>
    <xf numFmtId="0" fontId="19" fillId="0" borderId="2" xfId="0" applyFont="1" applyFill="1" applyBorder="1" applyAlignment="1">
      <alignment horizontal="left"/>
    </xf>
    <xf numFmtId="0" fontId="19" fillId="0" borderId="10" xfId="0" applyFont="1" applyFill="1" applyBorder="1" applyAlignment="1">
      <alignment horizontal="left" vertical="center"/>
    </xf>
    <xf numFmtId="0" fontId="19" fillId="0" borderId="13" xfId="0" applyFont="1" applyFill="1" applyBorder="1" applyAlignment="1">
      <alignment horizontal="left" vertical="center"/>
    </xf>
    <xf numFmtId="0" fontId="19" fillId="0" borderId="12" xfId="0" applyFont="1" applyFill="1" applyBorder="1" applyAlignment="1">
      <alignment horizontal="left" vertical="center"/>
    </xf>
    <xf numFmtId="0" fontId="19" fillId="5" borderId="10" xfId="0" applyFont="1" applyFill="1" applyBorder="1" applyAlignment="1">
      <alignment horizontal="left"/>
    </xf>
    <xf numFmtId="0" fontId="19" fillId="5" borderId="13" xfId="0" applyFont="1" applyFill="1" applyBorder="1" applyAlignment="1">
      <alignment horizontal="left"/>
    </xf>
    <xf numFmtId="0" fontId="19" fillId="5" borderId="12" xfId="0" applyFont="1" applyFill="1" applyBorder="1" applyAlignment="1">
      <alignment horizontal="left"/>
    </xf>
    <xf numFmtId="49" fontId="19" fillId="0" borderId="10" xfId="0" applyNumberFormat="1" applyFont="1" applyFill="1" applyBorder="1" applyAlignment="1">
      <alignment horizontal="left" vertical="center"/>
    </xf>
    <xf numFmtId="49" fontId="19" fillId="0" borderId="13" xfId="0" applyNumberFormat="1" applyFont="1" applyFill="1" applyBorder="1" applyAlignment="1">
      <alignment horizontal="left" vertical="center"/>
    </xf>
    <xf numFmtId="49" fontId="19" fillId="0" borderId="12" xfId="0" applyNumberFormat="1" applyFont="1" applyFill="1" applyBorder="1" applyAlignment="1">
      <alignment horizontal="left" vertical="center"/>
    </xf>
    <xf numFmtId="0" fontId="71" fillId="10" borderId="10" xfId="0" applyFont="1" applyFill="1" applyBorder="1" applyAlignment="1">
      <alignment horizontal="center"/>
    </xf>
    <xf numFmtId="0" fontId="71" fillId="10" borderId="12" xfId="0" applyFont="1" applyFill="1" applyBorder="1" applyAlignment="1">
      <alignment horizontal="center"/>
    </xf>
    <xf numFmtId="0" fontId="19" fillId="0" borderId="2" xfId="0" applyFont="1" applyFill="1" applyBorder="1" applyAlignment="1">
      <alignment horizontal="left" vertical="center"/>
    </xf>
    <xf numFmtId="0" fontId="19" fillId="10" borderId="2" xfId="0" applyFont="1" applyFill="1" applyBorder="1" applyAlignment="1">
      <alignment horizontal="center"/>
    </xf>
    <xf numFmtId="0" fontId="100" fillId="19" borderId="14" xfId="0" applyFont="1" applyFill="1" applyBorder="1" applyAlignment="1">
      <alignment horizontal="left" vertical="center" wrapText="1"/>
    </xf>
    <xf numFmtId="0" fontId="132" fillId="19" borderId="10" xfId="0" applyFont="1" applyFill="1" applyBorder="1" applyAlignment="1">
      <alignment horizontal="left" vertical="center" wrapText="1"/>
    </xf>
    <xf numFmtId="0" fontId="132" fillId="19" borderId="13" xfId="0" applyFont="1" applyFill="1" applyBorder="1" applyAlignment="1">
      <alignment horizontal="left" vertical="center" wrapText="1"/>
    </xf>
    <xf numFmtId="0" fontId="132" fillId="19" borderId="12" xfId="0" applyFont="1" applyFill="1" applyBorder="1" applyAlignment="1">
      <alignment horizontal="left" vertical="center" wrapText="1"/>
    </xf>
    <xf numFmtId="0" fontId="0" fillId="0" borderId="0" xfId="0" applyAlignment="1">
      <alignment horizontal="left" vertical="top" wrapText="1"/>
    </xf>
    <xf numFmtId="49" fontId="19" fillId="0" borderId="10" xfId="0" applyNumberFormat="1" applyFont="1" applyFill="1" applyBorder="1" applyAlignment="1">
      <alignment horizontal="left" vertical="center" wrapText="1"/>
    </xf>
    <xf numFmtId="49" fontId="19" fillId="0" borderId="13" xfId="0" applyNumberFormat="1" applyFont="1" applyFill="1" applyBorder="1" applyAlignment="1">
      <alignment horizontal="left" vertical="center" wrapText="1"/>
    </xf>
    <xf numFmtId="49" fontId="19" fillId="0" borderId="12" xfId="0" applyNumberFormat="1" applyFont="1" applyFill="1" applyBorder="1" applyAlignment="1">
      <alignment horizontal="left" vertical="center" wrapText="1"/>
    </xf>
    <xf numFmtId="49" fontId="60" fillId="0" borderId="10" xfId="0" applyNumberFormat="1" applyFont="1" applyFill="1" applyBorder="1" applyAlignment="1">
      <alignment horizontal="left" vertical="center" wrapText="1"/>
    </xf>
    <xf numFmtId="49" fontId="60" fillId="0" borderId="13" xfId="0" applyNumberFormat="1" applyFont="1" applyFill="1" applyBorder="1" applyAlignment="1">
      <alignment horizontal="left" vertical="center" wrapText="1"/>
    </xf>
    <xf numFmtId="0" fontId="71" fillId="19" borderId="13" xfId="0" applyFont="1" applyFill="1" applyBorder="1" applyAlignment="1">
      <alignment horizontal="left"/>
    </xf>
    <xf numFmtId="0" fontId="71" fillId="20" borderId="13" xfId="0" applyFont="1" applyFill="1" applyBorder="1" applyAlignment="1">
      <alignment horizontal="left"/>
    </xf>
    <xf numFmtId="0" fontId="20" fillId="2" borderId="10" xfId="0" applyFont="1" applyFill="1" applyBorder="1" applyAlignment="1">
      <alignment horizontal="left" vertical="top" wrapText="1"/>
    </xf>
    <xf numFmtId="0" fontId="20" fillId="2" borderId="13" xfId="0" applyFont="1" applyFill="1" applyBorder="1" applyAlignment="1">
      <alignment horizontal="left" vertical="top" wrapText="1"/>
    </xf>
    <xf numFmtId="0" fontId="20" fillId="2" borderId="12" xfId="0" applyFont="1" applyFill="1" applyBorder="1" applyAlignment="1">
      <alignment horizontal="left" vertical="top" wrapText="1"/>
    </xf>
    <xf numFmtId="0" fontId="54" fillId="3" borderId="11" xfId="0" applyFont="1" applyFill="1" applyBorder="1" applyAlignment="1">
      <alignment horizontal="center" vertical="center"/>
    </xf>
    <xf numFmtId="0" fontId="54" fillId="3" borderId="14" xfId="0" applyFont="1" applyFill="1" applyBorder="1" applyAlignment="1">
      <alignment horizontal="center" vertical="center"/>
    </xf>
    <xf numFmtId="0" fontId="54" fillId="3" borderId="15" xfId="0" applyFont="1" applyFill="1" applyBorder="1" applyAlignment="1">
      <alignment horizontal="center" vertical="center"/>
    </xf>
    <xf numFmtId="0" fontId="54" fillId="3" borderId="17" xfId="0" applyFont="1" applyFill="1" applyBorder="1" applyAlignment="1">
      <alignment horizontal="center" vertical="center"/>
    </xf>
    <xf numFmtId="0" fontId="54" fillId="3" borderId="1" xfId="0" applyFont="1" applyFill="1" applyBorder="1" applyAlignment="1">
      <alignment horizontal="center" vertical="center"/>
    </xf>
    <xf numFmtId="0" fontId="54" fillId="3" borderId="16" xfId="0" applyFont="1" applyFill="1" applyBorder="1" applyAlignment="1">
      <alignment horizontal="center" vertical="center"/>
    </xf>
    <xf numFmtId="49" fontId="0" fillId="3" borderId="2" xfId="0" applyNumberFormat="1" applyFont="1" applyFill="1" applyBorder="1" applyAlignment="1">
      <alignment horizontal="center" vertical="center"/>
    </xf>
    <xf numFmtId="49" fontId="0" fillId="3" borderId="2" xfId="0" applyNumberFormat="1" applyFill="1" applyBorder="1" applyAlignment="1">
      <alignment horizontal="center" vertical="center"/>
    </xf>
    <xf numFmtId="0" fontId="60" fillId="0" borderId="2" xfId="0" applyFont="1" applyFill="1" applyBorder="1" applyAlignment="1">
      <alignment horizontal="left" vertical="center"/>
    </xf>
    <xf numFmtId="0" fontId="17" fillId="9" borderId="11" xfId="0" applyFont="1" applyFill="1" applyBorder="1" applyAlignment="1">
      <alignment horizontal="left" vertical="center"/>
    </xf>
    <xf numFmtId="0" fontId="17" fillId="9" borderId="15" xfId="0" applyFont="1" applyFill="1" applyBorder="1" applyAlignment="1">
      <alignment horizontal="left" vertical="center"/>
    </xf>
    <xf numFmtId="0" fontId="17" fillId="9" borderId="8" xfId="0" applyFont="1" applyFill="1" applyBorder="1" applyAlignment="1">
      <alignment horizontal="left" vertical="center"/>
    </xf>
    <xf numFmtId="0" fontId="17" fillId="9" borderId="9" xfId="0" applyFont="1" applyFill="1" applyBorder="1" applyAlignment="1">
      <alignment horizontal="left" vertical="center"/>
    </xf>
    <xf numFmtId="0" fontId="17" fillId="9" borderId="17" xfId="0" applyFont="1" applyFill="1" applyBorder="1" applyAlignment="1">
      <alignment horizontal="left" vertical="center"/>
    </xf>
    <xf numFmtId="0" fontId="17" fillId="9" borderId="16" xfId="0" applyFont="1" applyFill="1" applyBorder="1" applyAlignment="1">
      <alignment horizontal="left" vertical="center"/>
    </xf>
    <xf numFmtId="0" fontId="17" fillId="9" borderId="4" xfId="0" applyFont="1" applyFill="1" applyBorder="1" applyAlignment="1">
      <alignment horizontal="left" vertical="center"/>
    </xf>
    <xf numFmtId="0" fontId="17" fillId="9" borderId="6" xfId="0" applyFont="1" applyFill="1" applyBorder="1" applyAlignment="1">
      <alignment horizontal="left" vertical="center"/>
    </xf>
    <xf numFmtId="0" fontId="175" fillId="19" borderId="4" xfId="0" applyFont="1" applyFill="1" applyBorder="1" applyAlignment="1">
      <alignment horizontal="left" vertical="center"/>
    </xf>
    <xf numFmtId="0" fontId="175" fillId="19" borderId="6" xfId="0" applyFont="1" applyFill="1" applyBorder="1" applyAlignment="1">
      <alignment horizontal="left" vertical="center"/>
    </xf>
    <xf numFmtId="0" fontId="56" fillId="0" borderId="0" xfId="0" applyFont="1" applyBorder="1" applyAlignment="1">
      <alignment horizontal="left" wrapText="1"/>
    </xf>
    <xf numFmtId="0" fontId="19" fillId="0" borderId="0" xfId="0" applyFont="1" applyAlignment="1">
      <alignment horizontal="left" wrapText="1"/>
    </xf>
    <xf numFmtId="0" fontId="19" fillId="0" borderId="0" xfId="0" applyFont="1" applyBorder="1" applyAlignment="1">
      <alignment horizontal="left" wrapText="1"/>
    </xf>
    <xf numFmtId="0" fontId="19" fillId="0" borderId="10" xfId="0" applyFont="1" applyFill="1" applyBorder="1" applyAlignment="1">
      <alignment horizontal="center" vertical="center"/>
    </xf>
    <xf numFmtId="0" fontId="19" fillId="0" borderId="13" xfId="0" applyFont="1" applyFill="1" applyBorder="1" applyAlignment="1">
      <alignment horizontal="center" vertical="center"/>
    </xf>
    <xf numFmtId="0" fontId="19" fillId="0" borderId="12" xfId="0" applyFont="1" applyFill="1" applyBorder="1" applyAlignment="1">
      <alignment horizontal="center" vertical="center"/>
    </xf>
    <xf numFmtId="0" fontId="56" fillId="19" borderId="0" xfId="0" applyFont="1" applyFill="1" applyAlignment="1">
      <alignment horizontal="left" wrapText="1"/>
    </xf>
    <xf numFmtId="0" fontId="0" fillId="0" borderId="0" xfId="0" applyAlignment="1">
      <alignment horizontal="left" vertical="top"/>
    </xf>
    <xf numFmtId="0" fontId="60" fillId="19" borderId="10" xfId="0" applyFont="1" applyFill="1" applyBorder="1" applyAlignment="1">
      <alignment horizontal="left" vertical="center"/>
    </xf>
    <xf numFmtId="0" fontId="60" fillId="19" borderId="12" xfId="0" applyFont="1" applyFill="1" applyBorder="1" applyAlignment="1">
      <alignment horizontal="left" vertical="center"/>
    </xf>
    <xf numFmtId="0" fontId="17" fillId="9" borderId="2" xfId="0" applyFont="1" applyFill="1" applyBorder="1" applyAlignment="1">
      <alignment horizontal="left"/>
    </xf>
    <xf numFmtId="0" fontId="60" fillId="9" borderId="2" xfId="0" applyFont="1" applyFill="1" applyBorder="1" applyAlignment="1">
      <alignment horizontal="left"/>
    </xf>
    <xf numFmtId="0" fontId="60" fillId="0" borderId="17" xfId="0" applyFont="1" applyFill="1" applyBorder="1" applyAlignment="1">
      <alignment horizontal="left" vertical="center" wrapText="1"/>
    </xf>
    <xf numFmtId="0" fontId="60" fillId="0" borderId="16" xfId="0" applyFont="1" applyFill="1" applyBorder="1" applyAlignment="1">
      <alignment horizontal="left" vertical="center" wrapText="1"/>
    </xf>
    <xf numFmtId="0" fontId="17" fillId="19" borderId="2" xfId="0" applyFont="1" applyFill="1" applyBorder="1" applyAlignment="1">
      <alignment horizontal="left" vertical="center" wrapText="1"/>
    </xf>
    <xf numFmtId="0" fontId="60" fillId="19" borderId="2" xfId="0" applyFont="1" applyFill="1" applyBorder="1" applyAlignment="1">
      <alignment horizontal="left" vertical="center" wrapText="1"/>
    </xf>
    <xf numFmtId="0" fontId="18" fillId="0" borderId="0" xfId="0" applyFont="1" applyFill="1" applyBorder="1" applyAlignment="1">
      <alignment horizontal="center"/>
    </xf>
    <xf numFmtId="0" fontId="19" fillId="0" borderId="0" xfId="0" applyFont="1" applyFill="1" applyBorder="1" applyAlignment="1">
      <alignment horizontal="center"/>
    </xf>
    <xf numFmtId="0" fontId="73" fillId="0" borderId="0" xfId="0" applyFont="1" applyFill="1" applyBorder="1" applyAlignment="1">
      <alignment horizontal="left"/>
    </xf>
    <xf numFmtId="0" fontId="73" fillId="0" borderId="0" xfId="0" applyFont="1" applyFill="1" applyBorder="1" applyAlignment="1">
      <alignment horizontal="left" vertical="top"/>
    </xf>
    <xf numFmtId="0" fontId="27" fillId="4" borderId="2" xfId="8" applyFont="1" applyFill="1" applyBorder="1" applyAlignment="1">
      <alignment horizontal="center" vertical="center" wrapText="1"/>
    </xf>
    <xf numFmtId="0" fontId="128" fillId="0" borderId="0" xfId="8" applyFont="1" applyFill="1" applyBorder="1" applyAlignment="1">
      <alignment horizontal="right" vertical="center" wrapText="1"/>
    </xf>
    <xf numFmtId="0" fontId="128" fillId="0" borderId="9" xfId="8" applyFont="1" applyFill="1" applyBorder="1" applyAlignment="1">
      <alignment horizontal="right" vertical="center" wrapText="1"/>
    </xf>
    <xf numFmtId="0" fontId="74" fillId="2" borderId="10" xfId="8" applyFont="1" applyFill="1" applyBorder="1" applyAlignment="1">
      <alignment horizontal="left" vertical="center" wrapText="1"/>
    </xf>
    <xf numFmtId="0" fontId="74" fillId="2" borderId="13" xfId="8" applyFont="1" applyFill="1" applyBorder="1" applyAlignment="1">
      <alignment horizontal="left" vertical="center" wrapText="1"/>
    </xf>
    <xf numFmtId="0" fontId="74" fillId="2" borderId="12" xfId="8" applyFont="1" applyFill="1" applyBorder="1" applyAlignment="1">
      <alignment horizontal="left" vertical="center" wrapText="1"/>
    </xf>
    <xf numFmtId="0" fontId="44" fillId="0" borderId="2" xfId="8" applyFont="1" applyFill="1" applyBorder="1" applyAlignment="1">
      <alignment horizontal="left" vertical="top" wrapText="1"/>
    </xf>
    <xf numFmtId="0" fontId="44" fillId="0" borderId="4" xfId="8" applyFont="1" applyFill="1" applyBorder="1" applyAlignment="1">
      <alignment horizontal="left" vertical="top" wrapText="1"/>
    </xf>
    <xf numFmtId="0" fontId="21" fillId="3" borderId="10" xfId="8" applyFont="1" applyFill="1" applyBorder="1" applyAlignment="1">
      <alignment horizontal="center" vertical="center"/>
    </xf>
    <xf numFmtId="0" fontId="21" fillId="3" borderId="13" xfId="8" applyFont="1" applyFill="1" applyBorder="1" applyAlignment="1">
      <alignment horizontal="center" vertical="center"/>
    </xf>
    <xf numFmtId="0" fontId="21" fillId="3" borderId="11" xfId="8" applyFont="1" applyFill="1" applyBorder="1" applyAlignment="1">
      <alignment horizontal="center" vertical="center" wrapText="1"/>
    </xf>
    <xf numFmtId="0" fontId="21" fillId="3" borderId="17" xfId="8" applyFont="1" applyFill="1" applyBorder="1" applyAlignment="1">
      <alignment horizontal="center" vertical="center" wrapText="1"/>
    </xf>
    <xf numFmtId="0" fontId="21" fillId="3" borderId="4" xfId="8" applyFont="1" applyFill="1" applyBorder="1" applyAlignment="1">
      <alignment horizontal="center" vertical="center" wrapText="1"/>
    </xf>
    <xf numFmtId="0" fontId="21" fillId="3" borderId="6" xfId="8" applyFont="1" applyFill="1" applyBorder="1" applyAlignment="1">
      <alignment horizontal="center" vertical="center" wrapText="1"/>
    </xf>
    <xf numFmtId="0" fontId="74" fillId="3" borderId="2" xfId="8" applyFont="1" applyFill="1" applyBorder="1" applyAlignment="1">
      <alignment horizontal="center" vertical="center" wrapText="1"/>
    </xf>
    <xf numFmtId="0" fontId="183" fillId="20" borderId="0" xfId="0" applyFont="1" applyFill="1" applyAlignment="1">
      <alignment horizontal="left" vertical="center" wrapText="1"/>
    </xf>
    <xf numFmtId="0" fontId="19" fillId="5" borderId="11" xfId="0" applyFont="1" applyFill="1" applyBorder="1" applyAlignment="1">
      <alignment horizontal="left" vertical="top" wrapText="1"/>
    </xf>
    <xf numFmtId="0" fontId="19" fillId="5" borderId="14" xfId="0" applyFont="1" applyFill="1" applyBorder="1" applyAlignment="1">
      <alignment horizontal="left" vertical="top" wrapText="1"/>
    </xf>
    <xf numFmtId="0" fontId="19" fillId="5" borderId="15" xfId="0" applyFont="1" applyFill="1" applyBorder="1" applyAlignment="1">
      <alignment horizontal="left" vertical="top" wrapText="1"/>
    </xf>
    <xf numFmtId="0" fontId="19" fillId="5" borderId="17" xfId="0" applyFont="1" applyFill="1" applyBorder="1" applyAlignment="1">
      <alignment horizontal="left" vertical="top" wrapText="1"/>
    </xf>
    <xf numFmtId="0" fontId="19" fillId="5" borderId="1" xfId="0" applyFont="1" applyFill="1" applyBorder="1" applyAlignment="1">
      <alignment horizontal="left" vertical="top" wrapText="1"/>
    </xf>
    <xf numFmtId="0" fontId="19" fillId="5" borderId="16" xfId="0" applyFont="1" applyFill="1" applyBorder="1" applyAlignment="1">
      <alignment horizontal="left" vertical="top" wrapText="1"/>
    </xf>
    <xf numFmtId="0" fontId="44" fillId="0" borderId="10" xfId="0" applyFont="1" applyFill="1" applyBorder="1" applyAlignment="1">
      <alignment horizontal="left" vertical="top" wrapText="1"/>
    </xf>
    <xf numFmtId="0" fontId="44" fillId="0" borderId="13" xfId="0" applyFont="1" applyFill="1" applyBorder="1" applyAlignment="1">
      <alignment horizontal="left" vertical="top" wrapText="1"/>
    </xf>
    <xf numFmtId="0" fontId="44" fillId="0" borderId="12" xfId="0" applyFont="1" applyFill="1" applyBorder="1" applyAlignment="1">
      <alignment horizontal="left" vertical="top" wrapText="1"/>
    </xf>
    <xf numFmtId="0" fontId="60" fillId="19" borderId="0" xfId="0" applyFont="1" applyFill="1" applyAlignment="1">
      <alignment horizontal="left"/>
    </xf>
    <xf numFmtId="0" fontId="60" fillId="20" borderId="0" xfId="0" applyFont="1" applyFill="1" applyAlignment="1">
      <alignment horizontal="left"/>
    </xf>
    <xf numFmtId="0" fontId="19" fillId="10" borderId="11" xfId="0" applyFont="1" applyFill="1" applyBorder="1" applyAlignment="1">
      <alignment horizontal="left" vertical="top" wrapText="1"/>
    </xf>
    <xf numFmtId="0" fontId="19" fillId="10" borderId="14" xfId="0" applyFont="1" applyFill="1" applyBorder="1" applyAlignment="1">
      <alignment horizontal="left" vertical="top" wrapText="1"/>
    </xf>
    <xf numFmtId="0" fontId="19" fillId="10" borderId="15" xfId="0" applyFont="1" applyFill="1" applyBorder="1" applyAlignment="1">
      <alignment horizontal="left" vertical="top" wrapText="1"/>
    </xf>
    <xf numFmtId="0" fontId="19" fillId="10" borderId="17" xfId="0" applyFont="1" applyFill="1" applyBorder="1" applyAlignment="1">
      <alignment horizontal="left" vertical="top" wrapText="1"/>
    </xf>
    <xf numFmtId="0" fontId="19" fillId="10" borderId="1" xfId="0" applyFont="1" applyFill="1" applyBorder="1" applyAlignment="1">
      <alignment horizontal="left" vertical="top" wrapText="1"/>
    </xf>
    <xf numFmtId="0" fontId="19" fillId="10" borderId="16" xfId="0" applyFont="1" applyFill="1" applyBorder="1" applyAlignment="1">
      <alignment horizontal="left" vertical="top" wrapText="1"/>
    </xf>
    <xf numFmtId="0" fontId="62" fillId="0" borderId="10" xfId="0" applyFont="1" applyFill="1" applyBorder="1" applyAlignment="1">
      <alignment horizontal="center" vertical="center"/>
    </xf>
    <xf numFmtId="0" fontId="62" fillId="0" borderId="13" xfId="0" applyFont="1" applyFill="1" applyBorder="1" applyAlignment="1">
      <alignment horizontal="center" vertical="center"/>
    </xf>
    <xf numFmtId="0" fontId="62" fillId="0" borderId="12" xfId="0" applyFont="1" applyFill="1" applyBorder="1" applyAlignment="1">
      <alignment horizontal="center" vertical="center"/>
    </xf>
    <xf numFmtId="0" fontId="121" fillId="0" borderId="10" xfId="0" applyFont="1" applyFill="1" applyBorder="1" applyAlignment="1">
      <alignment horizontal="left"/>
    </xf>
    <xf numFmtId="0" fontId="121" fillId="0" borderId="13" xfId="0" applyFont="1" applyFill="1" applyBorder="1" applyAlignment="1">
      <alignment horizontal="left"/>
    </xf>
    <xf numFmtId="0" fontId="121" fillId="0" borderId="12" xfId="0" applyFont="1" applyFill="1" applyBorder="1" applyAlignment="1">
      <alignment horizontal="left"/>
    </xf>
    <xf numFmtId="0" fontId="0" fillId="0" borderId="2" xfId="0" applyBorder="1" applyAlignment="1">
      <alignment horizontal="center" vertical="center"/>
    </xf>
    <xf numFmtId="49" fontId="21" fillId="3" borderId="2" xfId="1" applyNumberFormat="1" applyFont="1" applyFill="1" applyBorder="1" applyAlignment="1">
      <alignment horizontal="left" vertical="center" wrapText="1"/>
    </xf>
    <xf numFmtId="0" fontId="105" fillId="11" borderId="2" xfId="0" applyFont="1" applyFill="1" applyBorder="1" applyAlignment="1">
      <alignment horizontal="center" vertical="center"/>
    </xf>
    <xf numFmtId="0" fontId="105" fillId="4" borderId="2" xfId="0" applyFont="1" applyFill="1" applyBorder="1" applyAlignment="1">
      <alignment horizontal="center" vertical="center"/>
    </xf>
    <xf numFmtId="0" fontId="50" fillId="3" borderId="10" xfId="0" applyFont="1" applyFill="1" applyBorder="1" applyAlignment="1">
      <alignment horizontal="center" vertical="center" wrapText="1"/>
    </xf>
    <xf numFmtId="0" fontId="50" fillId="3" borderId="12" xfId="0" applyFont="1" applyFill="1" applyBorder="1" applyAlignment="1">
      <alignment horizontal="center" vertical="center" wrapText="1"/>
    </xf>
    <xf numFmtId="49" fontId="22" fillId="3" borderId="10" xfId="1" applyNumberFormat="1" applyFont="1" applyFill="1" applyBorder="1" applyAlignment="1">
      <alignment horizontal="center" vertical="center" wrapText="1"/>
    </xf>
    <xf numFmtId="49" fontId="22" fillId="3" borderId="12" xfId="1" applyNumberFormat="1" applyFont="1" applyFill="1" applyBorder="1" applyAlignment="1">
      <alignment horizontal="center" vertical="center" wrapText="1"/>
    </xf>
    <xf numFmtId="0" fontId="100" fillId="0" borderId="0" xfId="0" applyFont="1" applyFill="1" applyAlignment="1">
      <alignment horizontal="left" vertical="center" wrapText="1"/>
    </xf>
    <xf numFmtId="49" fontId="36" fillId="3" borderId="10" xfId="1" applyNumberFormat="1" applyFont="1" applyFill="1" applyBorder="1" applyAlignment="1">
      <alignment horizontal="center" vertical="center" wrapText="1"/>
    </xf>
    <xf numFmtId="49" fontId="36" fillId="3" borderId="13" xfId="1" applyNumberFormat="1" applyFont="1" applyFill="1" applyBorder="1" applyAlignment="1">
      <alignment horizontal="center" vertical="center" wrapText="1"/>
    </xf>
    <xf numFmtId="49" fontId="36" fillId="3" borderId="12" xfId="1" applyNumberFormat="1" applyFont="1" applyFill="1" applyBorder="1" applyAlignment="1">
      <alignment horizontal="center" vertical="center" wrapText="1"/>
    </xf>
    <xf numFmtId="0" fontId="50" fillId="3" borderId="10" xfId="0" applyFont="1" applyFill="1" applyBorder="1" applyAlignment="1">
      <alignment horizontal="center" vertical="center"/>
    </xf>
    <xf numFmtId="0" fontId="50" fillId="3" borderId="13" xfId="0" applyFont="1" applyFill="1" applyBorder="1" applyAlignment="1">
      <alignment horizontal="center" vertical="center"/>
    </xf>
    <xf numFmtId="0" fontId="50" fillId="3" borderId="12" xfId="0" applyFont="1" applyFill="1" applyBorder="1" applyAlignment="1">
      <alignment horizontal="center" vertical="center"/>
    </xf>
    <xf numFmtId="0" fontId="105" fillId="5" borderId="10" xfId="0" applyFont="1" applyFill="1" applyBorder="1" applyAlignment="1">
      <alignment horizontal="center" vertical="center"/>
    </xf>
    <xf numFmtId="0" fontId="105" fillId="5" borderId="13" xfId="0" applyFont="1" applyFill="1" applyBorder="1" applyAlignment="1">
      <alignment horizontal="center" vertical="center"/>
    </xf>
    <xf numFmtId="0" fontId="105" fillId="5" borderId="12" xfId="0" applyFont="1" applyFill="1" applyBorder="1" applyAlignment="1">
      <alignment horizontal="center" vertical="center"/>
    </xf>
    <xf numFmtId="0" fontId="62" fillId="5" borderId="10" xfId="0" applyFont="1" applyFill="1" applyBorder="1" applyAlignment="1">
      <alignment horizontal="center" vertical="center"/>
    </xf>
    <xf numFmtId="0" fontId="62" fillId="5" borderId="13" xfId="0" applyFont="1" applyFill="1" applyBorder="1" applyAlignment="1">
      <alignment horizontal="center" vertical="center"/>
    </xf>
    <xf numFmtId="0" fontId="62" fillId="5" borderId="12" xfId="0" applyFont="1" applyFill="1" applyBorder="1" applyAlignment="1">
      <alignment horizontal="center" vertical="center"/>
    </xf>
    <xf numFmtId="0" fontId="100" fillId="0" borderId="0" xfId="0" applyFont="1" applyFill="1" applyBorder="1" applyAlignment="1">
      <alignment horizontal="left" vertical="center" wrapText="1"/>
    </xf>
    <xf numFmtId="0" fontId="37" fillId="0" borderId="0" xfId="0" applyFont="1" applyFill="1" applyBorder="1" applyAlignment="1">
      <alignment horizontal="left" vertical="center" wrapText="1"/>
    </xf>
    <xf numFmtId="0" fontId="62" fillId="5" borderId="10" xfId="0" applyFont="1" applyFill="1" applyBorder="1" applyAlignment="1">
      <alignment horizontal="center"/>
    </xf>
    <xf numFmtId="0" fontId="62" fillId="5" borderId="13" xfId="0" applyFont="1" applyFill="1" applyBorder="1" applyAlignment="1">
      <alignment horizontal="center"/>
    </xf>
    <xf numFmtId="0" fontId="62" fillId="5" borderId="12" xfId="0" applyFont="1" applyFill="1" applyBorder="1" applyAlignment="1">
      <alignment horizontal="center"/>
    </xf>
    <xf numFmtId="0" fontId="66" fillId="0" borderId="10" xfId="0" applyFont="1" applyFill="1" applyBorder="1" applyAlignment="1">
      <alignment horizontal="center" vertical="center"/>
    </xf>
    <xf numFmtId="0" fontId="66" fillId="0" borderId="13" xfId="0" applyFont="1" applyFill="1" applyBorder="1" applyAlignment="1">
      <alignment horizontal="center" vertical="center"/>
    </xf>
    <xf numFmtId="0" fontId="66" fillId="0" borderId="12" xfId="0" applyFont="1" applyFill="1" applyBorder="1" applyAlignment="1">
      <alignment horizontal="center" vertical="center"/>
    </xf>
    <xf numFmtId="0" fontId="66" fillId="0" borderId="10" xfId="0" applyFont="1" applyFill="1" applyBorder="1" applyAlignment="1">
      <alignment horizontal="center" vertical="center" wrapText="1"/>
    </xf>
    <xf numFmtId="0" fontId="66" fillId="0" borderId="13" xfId="0" applyFont="1" applyFill="1" applyBorder="1" applyAlignment="1">
      <alignment horizontal="center" vertical="center" wrapText="1"/>
    </xf>
    <xf numFmtId="0" fontId="66" fillId="0" borderId="12" xfId="0" applyFont="1" applyFill="1" applyBorder="1" applyAlignment="1">
      <alignment horizontal="center" vertical="center" wrapText="1"/>
    </xf>
    <xf numFmtId="0" fontId="62" fillId="0" borderId="2" xfId="0" applyFont="1" applyFill="1" applyBorder="1" applyAlignment="1">
      <alignment horizontal="center" vertical="center" wrapText="1"/>
    </xf>
    <xf numFmtId="0" fontId="37" fillId="0" borderId="0" xfId="0" applyFont="1" applyFill="1" applyAlignment="1">
      <alignment horizontal="left" vertical="center"/>
    </xf>
    <xf numFmtId="0" fontId="0" fillId="10" borderId="10" xfId="0" applyFill="1" applyBorder="1" applyAlignment="1">
      <alignment horizontal="left" vertical="center"/>
    </xf>
    <xf numFmtId="0" fontId="0" fillId="10" borderId="12" xfId="0" applyFill="1" applyBorder="1" applyAlignment="1">
      <alignment horizontal="left" vertical="center"/>
    </xf>
    <xf numFmtId="0" fontId="57" fillId="19" borderId="2" xfId="0" applyFont="1" applyFill="1" applyBorder="1" applyAlignment="1">
      <alignment horizontal="left"/>
    </xf>
    <xf numFmtId="0" fontId="91" fillId="0" borderId="10" xfId="0" applyFont="1" applyFill="1" applyBorder="1" applyAlignment="1">
      <alignment horizontal="left" vertical="center"/>
    </xf>
    <xf numFmtId="0" fontId="91" fillId="0" borderId="13" xfId="0" applyFont="1" applyFill="1" applyBorder="1" applyAlignment="1">
      <alignment horizontal="left" vertical="center"/>
    </xf>
    <xf numFmtId="0" fontId="91" fillId="0" borderId="12" xfId="0" applyFont="1" applyFill="1" applyBorder="1" applyAlignment="1">
      <alignment horizontal="left" vertical="center"/>
    </xf>
    <xf numFmtId="0" fontId="37" fillId="19" borderId="0" xfId="0" applyFont="1" applyFill="1" applyAlignment="1">
      <alignment horizontal="left" vertical="center"/>
    </xf>
    <xf numFmtId="0" fontId="105" fillId="5" borderId="2" xfId="0" applyFont="1" applyFill="1" applyBorder="1" applyAlignment="1">
      <alignment horizontal="center" vertical="center"/>
    </xf>
    <xf numFmtId="0" fontId="105" fillId="10" borderId="2" xfId="0" applyFont="1" applyFill="1" applyBorder="1" applyAlignment="1">
      <alignment horizontal="center" vertical="center"/>
    </xf>
    <xf numFmtId="0" fontId="66" fillId="6" borderId="2" xfId="0" applyFont="1" applyFill="1" applyBorder="1" applyAlignment="1">
      <alignment horizontal="center" vertical="center"/>
    </xf>
    <xf numFmtId="0" fontId="91" fillId="0" borderId="2" xfId="0" applyFont="1" applyFill="1" applyBorder="1" applyAlignment="1">
      <alignment horizontal="left"/>
    </xf>
    <xf numFmtId="0" fontId="54" fillId="3" borderId="2" xfId="0" applyFont="1" applyFill="1" applyBorder="1" applyAlignment="1">
      <alignment horizontal="left"/>
    </xf>
    <xf numFmtId="0" fontId="62" fillId="5" borderId="2" xfId="0" applyFont="1" applyFill="1" applyBorder="1" applyAlignment="1">
      <alignment horizontal="center"/>
    </xf>
    <xf numFmtId="0" fontId="140" fillId="19" borderId="10" xfId="0" applyFont="1" applyFill="1" applyBorder="1" applyAlignment="1">
      <alignment horizontal="center"/>
    </xf>
    <xf numFmtId="0" fontId="140" fillId="19" borderId="13" xfId="0" applyFont="1" applyFill="1" applyBorder="1" applyAlignment="1">
      <alignment horizontal="center"/>
    </xf>
    <xf numFmtId="0" fontId="140" fillId="19" borderId="12" xfId="0" applyFont="1" applyFill="1" applyBorder="1" applyAlignment="1">
      <alignment horizontal="center"/>
    </xf>
    <xf numFmtId="0" fontId="140" fillId="19" borderId="10" xfId="0" applyFont="1" applyFill="1" applyBorder="1" applyAlignment="1">
      <alignment horizontal="center" wrapText="1"/>
    </xf>
    <xf numFmtId="0" fontId="140" fillId="19" borderId="13" xfId="0" applyFont="1" applyFill="1" applyBorder="1" applyAlignment="1">
      <alignment horizontal="center" wrapText="1"/>
    </xf>
    <xf numFmtId="0" fontId="140" fillId="19" borderId="12" xfId="0" applyFont="1" applyFill="1" applyBorder="1" applyAlignment="1">
      <alignment horizontal="center" wrapText="1"/>
    </xf>
    <xf numFmtId="0" fontId="91" fillId="0" borderId="10" xfId="0" applyFont="1" applyFill="1" applyBorder="1" applyAlignment="1">
      <alignment horizontal="left"/>
    </xf>
    <xf numFmtId="0" fontId="91" fillId="0" borderId="13" xfId="0" applyFont="1" applyFill="1" applyBorder="1" applyAlignment="1">
      <alignment horizontal="left"/>
    </xf>
    <xf numFmtId="0" fontId="91" fillId="0" borderId="12" xfId="0" applyFont="1" applyFill="1" applyBorder="1" applyAlignment="1">
      <alignment horizontal="left"/>
    </xf>
    <xf numFmtId="0" fontId="56" fillId="19" borderId="0" xfId="0" applyFont="1" applyFill="1" applyBorder="1" applyAlignment="1">
      <alignment horizontal="left" vertical="center" wrapText="1"/>
    </xf>
    <xf numFmtId="0" fontId="62" fillId="5" borderId="2" xfId="0" applyFont="1" applyFill="1" applyBorder="1" applyAlignment="1">
      <alignment horizontal="center" vertical="center"/>
    </xf>
    <xf numFmtId="0" fontId="62" fillId="0" borderId="2" xfId="0" applyFont="1" applyFill="1" applyBorder="1" applyAlignment="1">
      <alignment horizontal="center" vertical="center"/>
    </xf>
    <xf numFmtId="49" fontId="36" fillId="3" borderId="2" xfId="1" applyNumberFormat="1" applyFont="1" applyFill="1" applyBorder="1" applyAlignment="1">
      <alignment horizontal="center" vertical="center" wrapText="1"/>
    </xf>
    <xf numFmtId="0" fontId="62" fillId="0" borderId="12" xfId="0" applyFont="1" applyFill="1" applyBorder="1" applyAlignment="1">
      <alignment horizontal="center" vertical="center" wrapText="1"/>
    </xf>
    <xf numFmtId="0" fontId="62" fillId="19" borderId="2" xfId="0" applyFont="1" applyFill="1" applyBorder="1" applyAlignment="1">
      <alignment horizontal="center" vertical="center" wrapText="1"/>
    </xf>
    <xf numFmtId="0" fontId="50" fillId="3" borderId="2" xfId="0" applyFont="1" applyFill="1" applyBorder="1" applyAlignment="1">
      <alignment horizontal="center" vertical="center" wrapText="1"/>
    </xf>
    <xf numFmtId="0" fontId="95" fillId="10" borderId="2" xfId="0" applyFont="1" applyFill="1" applyBorder="1" applyAlignment="1">
      <alignment horizontal="center" vertical="center"/>
    </xf>
    <xf numFmtId="0" fontId="0" fillId="10" borderId="2" xfId="0" applyFill="1" applyBorder="1" applyAlignment="1">
      <alignment horizontal="center" vertical="center"/>
    </xf>
    <xf numFmtId="0" fontId="50" fillId="3" borderId="2" xfId="0" applyFont="1" applyFill="1" applyBorder="1" applyAlignment="1">
      <alignment horizontal="center" vertical="center"/>
    </xf>
    <xf numFmtId="0" fontId="100" fillId="5" borderId="2" xfId="0" applyFont="1" applyFill="1" applyBorder="1" applyAlignment="1">
      <alignment horizontal="center" vertical="center"/>
    </xf>
    <xf numFmtId="49" fontId="36" fillId="3" borderId="2" xfId="1" applyNumberFormat="1" applyFont="1" applyFill="1" applyBorder="1" applyAlignment="1">
      <alignment horizontal="center" vertical="top" wrapText="1"/>
    </xf>
    <xf numFmtId="49" fontId="36" fillId="0" borderId="2" xfId="1" applyNumberFormat="1" applyFont="1" applyFill="1" applyBorder="1" applyAlignment="1">
      <alignment horizontal="center" vertical="center" wrapText="1"/>
    </xf>
    <xf numFmtId="0" fontId="0" fillId="18" borderId="8" xfId="0" applyFill="1" applyBorder="1" applyAlignment="1">
      <alignment horizontal="center"/>
    </xf>
    <xf numFmtId="0" fontId="0" fillId="18" borderId="0" xfId="0" applyFill="1" applyAlignment="1">
      <alignment horizontal="center"/>
    </xf>
    <xf numFmtId="49" fontId="114" fillId="17" borderId="2" xfId="1" applyNumberFormat="1" applyFont="1" applyFill="1" applyBorder="1" applyAlignment="1">
      <alignment horizontal="center" vertical="top" wrapText="1"/>
    </xf>
    <xf numFmtId="49" fontId="22" fillId="3" borderId="2" xfId="1" applyNumberFormat="1" applyFont="1" applyFill="1" applyBorder="1" applyAlignment="1">
      <alignment horizontal="center" vertical="top" wrapText="1"/>
    </xf>
    <xf numFmtId="0" fontId="140" fillId="19" borderId="2" xfId="0" applyFont="1" applyFill="1" applyBorder="1" applyAlignment="1">
      <alignment horizontal="center" wrapText="1"/>
    </xf>
    <xf numFmtId="0" fontId="105" fillId="5" borderId="4" xfId="0" applyFont="1" applyFill="1" applyBorder="1" applyAlignment="1">
      <alignment horizontal="center" vertical="center"/>
    </xf>
    <xf numFmtId="0" fontId="105" fillId="5" borderId="6" xfId="0" applyFont="1" applyFill="1" applyBorder="1" applyAlignment="1">
      <alignment horizontal="center" vertical="center"/>
    </xf>
    <xf numFmtId="0" fontId="123" fillId="10" borderId="2" xfId="0" applyFont="1" applyFill="1" applyBorder="1" applyAlignment="1">
      <alignment horizontal="center" vertical="center"/>
    </xf>
    <xf numFmtId="0" fontId="37" fillId="0" borderId="14" xfId="0" applyFont="1" applyFill="1" applyBorder="1" applyAlignment="1">
      <alignment horizontal="left" vertical="center" wrapText="1"/>
    </xf>
    <xf numFmtId="0" fontId="37" fillId="0" borderId="15" xfId="0" applyFont="1" applyFill="1" applyBorder="1" applyAlignment="1">
      <alignment horizontal="left" vertical="center" wrapText="1"/>
    </xf>
    <xf numFmtId="0" fontId="62" fillId="0" borderId="2" xfId="0" applyFont="1" applyBorder="1" applyAlignment="1">
      <alignment horizontal="center" wrapText="1"/>
    </xf>
    <xf numFmtId="0" fontId="57" fillId="19" borderId="0" xfId="0" applyFont="1" applyFill="1" applyAlignment="1">
      <alignment horizontal="left"/>
    </xf>
    <xf numFmtId="0" fontId="68" fillId="3" borderId="10" xfId="0" applyFont="1" applyFill="1" applyBorder="1" applyAlignment="1">
      <alignment horizontal="center" vertical="center"/>
    </xf>
    <xf numFmtId="0" fontId="68" fillId="3" borderId="13" xfId="0" applyFont="1" applyFill="1" applyBorder="1" applyAlignment="1">
      <alignment horizontal="center" vertical="center"/>
    </xf>
    <xf numFmtId="0" fontId="68" fillId="3" borderId="12" xfId="0" applyFont="1" applyFill="1" applyBorder="1" applyAlignment="1">
      <alignment horizontal="center" vertical="center"/>
    </xf>
    <xf numFmtId="0" fontId="100" fillId="5" borderId="11" xfId="0" applyFont="1" applyFill="1" applyBorder="1" applyAlignment="1">
      <alignment horizontal="center" vertical="center"/>
    </xf>
    <xf numFmtId="0" fontId="100" fillId="5" borderId="14" xfId="0" applyFont="1" applyFill="1" applyBorder="1" applyAlignment="1">
      <alignment horizontal="center" vertical="center"/>
    </xf>
    <xf numFmtId="0" fontId="100" fillId="5" borderId="15" xfId="0" applyFont="1" applyFill="1" applyBorder="1" applyAlignment="1">
      <alignment horizontal="center" vertical="center"/>
    </xf>
    <xf numFmtId="0" fontId="62" fillId="0" borderId="10" xfId="0" applyFont="1" applyFill="1" applyBorder="1" applyAlignment="1">
      <alignment horizontal="center" vertical="center" wrapText="1"/>
    </xf>
    <xf numFmtId="0" fontId="62" fillId="0" borderId="13" xfId="0" applyFont="1" applyFill="1" applyBorder="1" applyAlignment="1">
      <alignment horizontal="center" vertical="center" wrapText="1"/>
    </xf>
    <xf numFmtId="0" fontId="25" fillId="3" borderId="2" xfId="1" applyFont="1" applyFill="1" applyBorder="1" applyAlignment="1">
      <alignment horizontal="center" vertical="center" wrapText="1"/>
    </xf>
    <xf numFmtId="0" fontId="68" fillId="3" borderId="2" xfId="0" applyFont="1" applyFill="1" applyBorder="1" applyAlignment="1">
      <alignment horizontal="center" vertical="center" wrapText="1"/>
    </xf>
    <xf numFmtId="0" fontId="68" fillId="0" borderId="0" xfId="0" applyFont="1" applyFill="1" applyBorder="1" applyAlignment="1">
      <alignment horizontal="center" vertical="center" wrapText="1"/>
    </xf>
    <xf numFmtId="0" fontId="68" fillId="3" borderId="4" xfId="0" applyFont="1" applyFill="1" applyBorder="1" applyAlignment="1">
      <alignment horizontal="center" vertical="center" wrapText="1"/>
    </xf>
    <xf numFmtId="0" fontId="68" fillId="3" borderId="5" xfId="0" applyFont="1" applyFill="1" applyBorder="1" applyAlignment="1">
      <alignment horizontal="center" vertical="center" wrapText="1"/>
    </xf>
    <xf numFmtId="0" fontId="66" fillId="0" borderId="2" xfId="0" applyFont="1" applyFill="1" applyBorder="1" applyAlignment="1">
      <alignment horizontal="center" vertical="center"/>
    </xf>
    <xf numFmtId="0" fontId="54" fillId="3" borderId="10" xfId="0" applyFont="1" applyFill="1" applyBorder="1" applyAlignment="1">
      <alignment horizontal="left"/>
    </xf>
    <xf numFmtId="0" fontId="54" fillId="3" borderId="13" xfId="0" applyFont="1" applyFill="1" applyBorder="1" applyAlignment="1">
      <alignment horizontal="left"/>
    </xf>
    <xf numFmtId="0" fontId="54" fillId="3" borderId="12" xfId="0" applyFont="1" applyFill="1" applyBorder="1" applyAlignment="1">
      <alignment horizontal="left"/>
    </xf>
    <xf numFmtId="0" fontId="62" fillId="0" borderId="0" xfId="0" applyFont="1" applyFill="1" applyBorder="1" applyAlignment="1">
      <alignment horizontal="center" vertical="center" wrapText="1"/>
    </xf>
    <xf numFmtId="0" fontId="67" fillId="0" borderId="0" xfId="0" applyFont="1" applyBorder="1" applyAlignment="1">
      <alignment horizontal="center" vertical="center" wrapText="1"/>
    </xf>
    <xf numFmtId="0" fontId="57" fillId="0" borderId="0" xfId="0" applyFont="1" applyFill="1" applyAlignment="1">
      <alignment horizontal="left" vertical="center"/>
    </xf>
    <xf numFmtId="49" fontId="22" fillId="3" borderId="2" xfId="1" applyNumberFormat="1" applyFont="1" applyFill="1" applyBorder="1" applyAlignment="1">
      <alignment horizontal="center" vertical="center" wrapText="1"/>
    </xf>
    <xf numFmtId="49" fontId="21" fillId="3" borderId="10" xfId="1" applyNumberFormat="1" applyFont="1" applyFill="1" applyBorder="1" applyAlignment="1">
      <alignment horizontal="left" vertical="center" wrapText="1"/>
    </xf>
    <xf numFmtId="49" fontId="21" fillId="3" borderId="13" xfId="1" applyNumberFormat="1" applyFont="1" applyFill="1" applyBorder="1" applyAlignment="1">
      <alignment horizontal="left" vertical="center" wrapText="1"/>
    </xf>
    <xf numFmtId="49" fontId="21" fillId="3" borderId="12" xfId="1" applyNumberFormat="1" applyFont="1" applyFill="1" applyBorder="1" applyAlignment="1">
      <alignment horizontal="left" vertical="center" wrapText="1"/>
    </xf>
    <xf numFmtId="0" fontId="54" fillId="16" borderId="2" xfId="0" applyFont="1" applyFill="1" applyBorder="1"/>
    <xf numFmtId="0" fontId="100" fillId="19" borderId="10" xfId="0" applyFont="1" applyFill="1" applyBorder="1" applyAlignment="1">
      <alignment vertical="center" wrapText="1"/>
    </xf>
    <xf numFmtId="0" fontId="100" fillId="19" borderId="13" xfId="0" applyFont="1" applyFill="1" applyBorder="1" applyAlignment="1">
      <alignment vertical="center" wrapText="1"/>
    </xf>
    <xf numFmtId="0" fontId="100" fillId="19" borderId="12" xfId="0" applyFont="1" applyFill="1" applyBorder="1" applyAlignment="1">
      <alignment vertical="center" wrapText="1"/>
    </xf>
    <xf numFmtId="0" fontId="54" fillId="3" borderId="11" xfId="0" applyFont="1" applyFill="1" applyBorder="1" applyAlignment="1">
      <alignment horizontal="left"/>
    </xf>
    <xf numFmtId="0" fontId="54" fillId="3" borderId="14" xfId="0" applyFont="1" applyFill="1" applyBorder="1" applyAlignment="1">
      <alignment horizontal="left"/>
    </xf>
    <xf numFmtId="0" fontId="54" fillId="3" borderId="15" xfId="0" applyFont="1" applyFill="1" applyBorder="1" applyAlignment="1">
      <alignment horizontal="left"/>
    </xf>
    <xf numFmtId="0" fontId="54" fillId="3" borderId="10" xfId="0" applyFont="1" applyFill="1" applyBorder="1" applyAlignment="1"/>
    <xf numFmtId="0" fontId="54" fillId="3" borderId="13" xfId="0" applyFont="1" applyFill="1" applyBorder="1" applyAlignment="1"/>
    <xf numFmtId="0" fontId="54" fillId="3" borderId="12" xfId="0" applyFont="1" applyFill="1" applyBorder="1" applyAlignment="1"/>
    <xf numFmtId="0" fontId="0" fillId="10" borderId="2" xfId="0" applyFill="1" applyBorder="1" applyAlignment="1">
      <alignment horizontal="left" vertical="center"/>
    </xf>
    <xf numFmtId="0" fontId="0" fillId="3" borderId="10" xfId="0" applyFill="1" applyBorder="1" applyAlignment="1">
      <alignment horizontal="left"/>
    </xf>
    <xf numFmtId="0" fontId="0" fillId="3" borderId="13" xfId="0" applyFill="1" applyBorder="1" applyAlignment="1">
      <alignment horizontal="left"/>
    </xf>
    <xf numFmtId="0" fontId="0" fillId="3" borderId="12" xfId="0" applyFill="1" applyBorder="1" applyAlignment="1">
      <alignment horizontal="left"/>
    </xf>
    <xf numFmtId="0" fontId="37" fillId="19" borderId="0" xfId="0" applyFont="1" applyFill="1" applyAlignment="1">
      <alignment horizontal="left" vertical="center" wrapText="1"/>
    </xf>
    <xf numFmtId="0" fontId="100" fillId="5" borderId="10" xfId="0" applyFont="1" applyFill="1" applyBorder="1" applyAlignment="1">
      <alignment horizontal="center" vertical="center"/>
    </xf>
    <xf numFmtId="0" fontId="100" fillId="5" borderId="13" xfId="0" applyFont="1" applyFill="1" applyBorder="1" applyAlignment="1">
      <alignment horizontal="center" vertical="center"/>
    </xf>
    <xf numFmtId="0" fontId="100" fillId="5" borderId="12" xfId="0" applyFont="1" applyFill="1" applyBorder="1" applyAlignment="1">
      <alignment horizontal="center" vertical="center"/>
    </xf>
    <xf numFmtId="49" fontId="22" fillId="0" borderId="10" xfId="1" applyNumberFormat="1" applyFont="1" applyFill="1" applyBorder="1" applyAlignment="1">
      <alignment horizontal="center" vertical="center" wrapText="1"/>
    </xf>
    <xf numFmtId="49" fontId="22" fillId="0" borderId="13" xfId="1" applyNumberFormat="1" applyFont="1" applyFill="1" applyBorder="1" applyAlignment="1">
      <alignment horizontal="center" vertical="center" wrapText="1"/>
    </xf>
    <xf numFmtId="49" fontId="22" fillId="0" borderId="12" xfId="1" applyNumberFormat="1" applyFont="1" applyFill="1" applyBorder="1" applyAlignment="1">
      <alignment horizontal="center" vertical="center" wrapText="1"/>
    </xf>
    <xf numFmtId="0" fontId="91" fillId="10" borderId="2" xfId="0" applyFont="1" applyFill="1" applyBorder="1" applyAlignment="1">
      <alignment horizontal="center" vertical="center"/>
    </xf>
    <xf numFmtId="0" fontId="37" fillId="19" borderId="0" xfId="0" applyFont="1" applyFill="1" applyBorder="1" applyAlignment="1">
      <alignment horizontal="left" vertical="center" wrapText="1"/>
    </xf>
    <xf numFmtId="0" fontId="57" fillId="19" borderId="0" xfId="0" applyFont="1" applyFill="1" applyAlignment="1">
      <alignment horizontal="left" vertical="center"/>
    </xf>
    <xf numFmtId="0" fontId="91" fillId="3" borderId="2" xfId="0" applyFont="1" applyFill="1" applyBorder="1" applyAlignment="1">
      <alignment horizontal="center" vertical="center"/>
    </xf>
    <xf numFmtId="0" fontId="50" fillId="19" borderId="2" xfId="0" applyFont="1" applyFill="1" applyBorder="1" applyAlignment="1">
      <alignment horizontal="center" vertical="center" wrapText="1"/>
    </xf>
    <xf numFmtId="49" fontId="22" fillId="3" borderId="10" xfId="1" applyNumberFormat="1" applyFont="1" applyFill="1" applyBorder="1" applyAlignment="1">
      <alignment horizontal="center" vertical="top" wrapText="1"/>
    </xf>
    <xf numFmtId="49" fontId="22" fillId="3" borderId="12" xfId="1" applyNumberFormat="1" applyFont="1" applyFill="1" applyBorder="1" applyAlignment="1">
      <alignment horizontal="center" vertical="top" wrapText="1"/>
    </xf>
    <xf numFmtId="0" fontId="140" fillId="19" borderId="2" xfId="0" applyFont="1" applyFill="1" applyBorder="1" applyAlignment="1">
      <alignment horizontal="center"/>
    </xf>
    <xf numFmtId="0" fontId="62" fillId="19" borderId="2" xfId="0" applyFont="1" applyFill="1" applyBorder="1" applyAlignment="1">
      <alignment horizontal="center"/>
    </xf>
    <xf numFmtId="0" fontId="62" fillId="19" borderId="2" xfId="0" applyFont="1" applyFill="1" applyBorder="1" applyAlignment="1">
      <alignment horizontal="center" wrapText="1"/>
    </xf>
    <xf numFmtId="0" fontId="62" fillId="0" borderId="2" xfId="0" applyFont="1" applyFill="1" applyBorder="1" applyAlignment="1">
      <alignment horizontal="center" wrapText="1"/>
    </xf>
    <xf numFmtId="0" fontId="62" fillId="0" borderId="10" xfId="0" applyFont="1" applyFill="1" applyBorder="1" applyAlignment="1">
      <alignment horizontal="center" wrapText="1"/>
    </xf>
    <xf numFmtId="0" fontId="57" fillId="19" borderId="10" xfId="0" applyFont="1" applyFill="1" applyBorder="1" applyAlignment="1">
      <alignment horizontal="left"/>
    </xf>
    <xf numFmtId="0" fontId="57" fillId="19" borderId="13" xfId="0" applyFont="1" applyFill="1" applyBorder="1" applyAlignment="1">
      <alignment horizontal="left"/>
    </xf>
    <xf numFmtId="0" fontId="57" fillId="19" borderId="12" xfId="0" applyFont="1" applyFill="1" applyBorder="1" applyAlignment="1">
      <alignment horizontal="left"/>
    </xf>
    <xf numFmtId="0" fontId="138" fillId="19" borderId="2" xfId="1" applyFont="1" applyFill="1" applyBorder="1" applyAlignment="1">
      <alignment horizontal="center" vertical="center" wrapText="1"/>
    </xf>
    <xf numFmtId="0" fontId="140" fillId="19" borderId="2" xfId="0" applyFont="1" applyFill="1" applyBorder="1" applyAlignment="1">
      <alignment horizontal="center" vertical="center" wrapText="1"/>
    </xf>
    <xf numFmtId="0" fontId="140" fillId="19" borderId="4" xfId="0" applyFont="1" applyFill="1" applyBorder="1" applyAlignment="1">
      <alignment horizontal="center" vertical="center" wrapText="1"/>
    </xf>
    <xf numFmtId="0" fontId="140" fillId="19" borderId="5" xfId="0" applyFont="1" applyFill="1" applyBorder="1" applyAlignment="1">
      <alignment horizontal="center" vertical="center" wrapText="1"/>
    </xf>
    <xf numFmtId="49" fontId="22" fillId="0" borderId="2" xfId="1" applyNumberFormat="1" applyFont="1" applyFill="1" applyBorder="1" applyAlignment="1">
      <alignment horizontal="center" vertical="center" wrapText="1"/>
    </xf>
    <xf numFmtId="0" fontId="62" fillId="19" borderId="12" xfId="0" applyFont="1" applyFill="1" applyBorder="1" applyAlignment="1">
      <alignment horizontal="center" vertical="center" wrapText="1"/>
    </xf>
    <xf numFmtId="49" fontId="36" fillId="0" borderId="0" xfId="1" applyNumberFormat="1" applyFont="1" applyFill="1" applyBorder="1" applyAlignment="1">
      <alignment horizontal="left" vertical="top" wrapText="1"/>
    </xf>
    <xf numFmtId="0" fontId="100" fillId="0" borderId="14" xfId="1" applyFont="1" applyFill="1" applyBorder="1" applyAlignment="1">
      <alignment horizontal="left" vertical="center" wrapText="1"/>
    </xf>
    <xf numFmtId="0" fontId="129" fillId="5" borderId="2" xfId="1" applyFont="1" applyFill="1" applyBorder="1" applyAlignment="1">
      <alignment horizontal="center" vertical="center" wrapText="1"/>
    </xf>
    <xf numFmtId="0" fontId="128" fillId="10" borderId="2" xfId="1" applyFont="1" applyFill="1" applyBorder="1" applyAlignment="1">
      <alignment horizontal="center" vertical="top"/>
    </xf>
    <xf numFmtId="0" fontId="24" fillId="19" borderId="2" xfId="1" applyFont="1" applyFill="1" applyBorder="1" applyAlignment="1">
      <alignment horizontal="left" vertical="center" wrapText="1"/>
    </xf>
    <xf numFmtId="0" fontId="20" fillId="2" borderId="2" xfId="0" applyFont="1" applyFill="1" applyBorder="1" applyAlignment="1">
      <alignment horizontal="left" vertical="top" wrapText="1"/>
    </xf>
    <xf numFmtId="0" fontId="28" fillId="10" borderId="2" xfId="1" applyFill="1" applyBorder="1" applyAlignment="1">
      <alignment horizontal="center" vertical="top"/>
    </xf>
    <xf numFmtId="0" fontId="65" fillId="3" borderId="2" xfId="1" applyFont="1" applyFill="1" applyBorder="1" applyAlignment="1">
      <alignment horizontal="center" vertical="center" wrapText="1"/>
    </xf>
    <xf numFmtId="164" fontId="120" fillId="19" borderId="2" xfId="1" applyNumberFormat="1" applyFont="1" applyFill="1" applyBorder="1" applyAlignment="1">
      <alignment horizontal="center" vertical="center" wrapText="1"/>
    </xf>
    <xf numFmtId="49" fontId="36" fillId="3" borderId="10" xfId="1" applyNumberFormat="1" applyFont="1" applyFill="1" applyBorder="1" applyAlignment="1">
      <alignment horizontal="center" vertical="top" wrapText="1"/>
    </xf>
    <xf numFmtId="49" fontId="36" fillId="3" borderId="12" xfId="1" applyNumberFormat="1" applyFont="1" applyFill="1" applyBorder="1" applyAlignment="1">
      <alignment horizontal="center" vertical="top" wrapText="1"/>
    </xf>
    <xf numFmtId="0" fontId="25" fillId="3" borderId="4" xfId="1" applyFont="1" applyFill="1" applyBorder="1" applyAlignment="1">
      <alignment horizontal="center" vertical="center" wrapText="1"/>
    </xf>
    <xf numFmtId="0" fontId="25" fillId="3" borderId="6" xfId="1" applyFont="1" applyFill="1" applyBorder="1" applyAlignment="1">
      <alignment horizontal="center" vertical="center" wrapText="1"/>
    </xf>
    <xf numFmtId="0" fontId="50" fillId="3" borderId="4" xfId="0" applyFont="1" applyFill="1" applyBorder="1" applyAlignment="1">
      <alignment horizontal="center" vertical="center" wrapText="1"/>
    </xf>
    <xf numFmtId="0" fontId="50" fillId="3" borderId="6" xfId="0" applyFont="1" applyFill="1" applyBorder="1" applyAlignment="1">
      <alignment horizontal="center" vertical="center" wrapText="1"/>
    </xf>
    <xf numFmtId="49" fontId="25" fillId="3" borderId="2" xfId="1" applyNumberFormat="1" applyFont="1" applyFill="1" applyBorder="1" applyAlignment="1">
      <alignment horizontal="center" vertical="top" wrapText="1"/>
    </xf>
    <xf numFmtId="0" fontId="50" fillId="3" borderId="11" xfId="0" applyFont="1" applyFill="1" applyBorder="1" applyAlignment="1">
      <alignment horizontal="center" vertical="center" wrapText="1"/>
    </xf>
    <xf numFmtId="0" fontId="50" fillId="3" borderId="17" xfId="0" applyFont="1" applyFill="1" applyBorder="1" applyAlignment="1">
      <alignment horizontal="center" vertical="center" wrapText="1"/>
    </xf>
    <xf numFmtId="49" fontId="25" fillId="3" borderId="10" xfId="1" applyNumberFormat="1" applyFont="1" applyFill="1" applyBorder="1" applyAlignment="1">
      <alignment horizontal="center" vertical="center" wrapText="1"/>
    </xf>
    <xf numFmtId="49" fontId="25" fillId="3" borderId="13" xfId="1" applyNumberFormat="1" applyFont="1" applyFill="1" applyBorder="1" applyAlignment="1">
      <alignment horizontal="center" vertical="center" wrapText="1"/>
    </xf>
    <xf numFmtId="0" fontId="37" fillId="0" borderId="0" xfId="0" applyFont="1" applyFill="1" applyAlignment="1">
      <alignment horizontal="left" vertical="center" wrapText="1"/>
    </xf>
    <xf numFmtId="49" fontId="37" fillId="0" borderId="0" xfId="0" applyNumberFormat="1" applyFont="1" applyFill="1" applyBorder="1" applyAlignment="1">
      <alignment horizontal="left" vertical="center"/>
    </xf>
    <xf numFmtId="0" fontId="100" fillId="0" borderId="14" xfId="0" applyFont="1" applyFill="1" applyBorder="1" applyAlignment="1">
      <alignment horizontal="left" vertical="center" wrapText="1"/>
    </xf>
    <xf numFmtId="0" fontId="100" fillId="0" borderId="15" xfId="0" applyFont="1" applyFill="1" applyBorder="1" applyAlignment="1">
      <alignment horizontal="left" vertical="center" wrapText="1"/>
    </xf>
    <xf numFmtId="0" fontId="95" fillId="10" borderId="4" xfId="0" applyFont="1" applyFill="1" applyBorder="1" applyAlignment="1">
      <alignment horizontal="center" vertical="center"/>
    </xf>
    <xf numFmtId="0" fontId="0" fillId="10" borderId="6" xfId="0" applyFill="1" applyBorder="1" applyAlignment="1">
      <alignment horizontal="center" vertical="center"/>
    </xf>
    <xf numFmtId="0" fontId="0" fillId="0" borderId="10" xfId="0" applyFont="1" applyFill="1" applyBorder="1" applyAlignment="1">
      <alignment horizontal="left" vertical="center"/>
    </xf>
    <xf numFmtId="0" fontId="0" fillId="0" borderId="13" xfId="0" applyFont="1" applyFill="1" applyBorder="1" applyAlignment="1">
      <alignment horizontal="left" vertical="center"/>
    </xf>
    <xf numFmtId="0" fontId="0" fillId="0" borderId="12" xfId="0" applyFont="1" applyFill="1" applyBorder="1" applyAlignment="1">
      <alignment horizontal="left" vertical="center"/>
    </xf>
    <xf numFmtId="0" fontId="50" fillId="3" borderId="15" xfId="0" applyFont="1" applyFill="1" applyBorder="1" applyAlignment="1">
      <alignment horizontal="center" vertical="center" wrapText="1"/>
    </xf>
    <xf numFmtId="0" fontId="50" fillId="3" borderId="16" xfId="0" applyFont="1" applyFill="1" applyBorder="1" applyAlignment="1">
      <alignment horizontal="center" vertical="center" wrapText="1"/>
    </xf>
    <xf numFmtId="0" fontId="37" fillId="19" borderId="10" xfId="0" applyFont="1" applyFill="1" applyBorder="1" applyAlignment="1">
      <alignment vertical="center" wrapText="1"/>
    </xf>
    <xf numFmtId="0" fontId="37" fillId="19" borderId="13" xfId="0" applyFont="1" applyFill="1" applyBorder="1" applyAlignment="1">
      <alignment vertical="center" wrapText="1"/>
    </xf>
    <xf numFmtId="0" fontId="37" fillId="19" borderId="12" xfId="0" applyFont="1" applyFill="1" applyBorder="1" applyAlignment="1">
      <alignment vertical="center" wrapText="1"/>
    </xf>
    <xf numFmtId="0" fontId="58" fillId="10" borderId="2" xfId="0" applyFont="1" applyFill="1" applyBorder="1" applyAlignment="1">
      <alignment horizontal="left" vertical="center"/>
    </xf>
    <xf numFmtId="0" fontId="0" fillId="3" borderId="2" xfId="0" applyFill="1" applyBorder="1" applyAlignment="1">
      <alignment horizontal="left" vertical="center"/>
    </xf>
    <xf numFmtId="49" fontId="25" fillId="3" borderId="2" xfId="1" applyNumberFormat="1" applyFont="1" applyFill="1" applyBorder="1" applyAlignment="1">
      <alignment horizontal="center" vertical="center" wrapText="1"/>
    </xf>
    <xf numFmtId="49" fontId="36" fillId="3" borderId="13" xfId="1" applyNumberFormat="1" applyFont="1" applyFill="1" applyBorder="1" applyAlignment="1">
      <alignment horizontal="center" vertical="top" wrapText="1"/>
    </xf>
    <xf numFmtId="0" fontId="123" fillId="10" borderId="4" xfId="0" applyFont="1" applyFill="1" applyBorder="1" applyAlignment="1">
      <alignment horizontal="center" vertical="center"/>
    </xf>
    <xf numFmtId="0" fontId="91" fillId="10" borderId="6" xfId="0" applyFont="1" applyFill="1" applyBorder="1" applyAlignment="1">
      <alignment horizontal="center" vertical="center"/>
    </xf>
    <xf numFmtId="49" fontId="25" fillId="3" borderId="12" xfId="1" applyNumberFormat="1" applyFont="1" applyFill="1" applyBorder="1" applyAlignment="1">
      <alignment horizontal="center" vertical="center" wrapText="1"/>
    </xf>
    <xf numFmtId="0" fontId="67" fillId="0" borderId="0" xfId="0" applyFont="1" applyFill="1" applyBorder="1" applyAlignment="1">
      <alignment horizontal="center" vertical="center" wrapText="1"/>
    </xf>
    <xf numFmtId="49" fontId="21" fillId="3" borderId="10" xfId="1" applyNumberFormat="1" applyFont="1" applyFill="1" applyBorder="1" applyAlignment="1">
      <alignment horizontal="center" vertical="top" wrapText="1"/>
    </xf>
    <xf numFmtId="49" fontId="21" fillId="3" borderId="12" xfId="1" applyNumberFormat="1" applyFont="1" applyFill="1" applyBorder="1" applyAlignment="1">
      <alignment horizontal="center" vertical="top" wrapText="1"/>
    </xf>
    <xf numFmtId="0" fontId="91" fillId="0" borderId="2" xfId="0" applyFont="1" applyFill="1" applyBorder="1" applyAlignment="1">
      <alignment horizontal="left" vertical="center"/>
    </xf>
    <xf numFmtId="0" fontId="68" fillId="5" borderId="2" xfId="0" applyFont="1" applyFill="1" applyBorder="1" applyAlignment="1">
      <alignment horizontal="center" vertical="center" wrapText="1"/>
    </xf>
    <xf numFmtId="49" fontId="25" fillId="3" borderId="10" xfId="1" applyNumberFormat="1" applyFont="1" applyFill="1" applyBorder="1" applyAlignment="1">
      <alignment horizontal="center" vertical="top" wrapText="1"/>
    </xf>
    <xf numFmtId="49" fontId="25" fillId="3" borderId="12" xfId="1" applyNumberFormat="1" applyFont="1" applyFill="1" applyBorder="1" applyAlignment="1">
      <alignment horizontal="center" vertical="top" wrapText="1"/>
    </xf>
    <xf numFmtId="0" fontId="50" fillId="3" borderId="13" xfId="0" applyFont="1" applyFill="1" applyBorder="1" applyAlignment="1">
      <alignment horizontal="center" vertical="center" wrapText="1"/>
    </xf>
    <xf numFmtId="49" fontId="36" fillId="0" borderId="0" xfId="1" applyNumberFormat="1" applyFont="1" applyFill="1" applyBorder="1" applyAlignment="1">
      <alignment horizontal="center" vertical="top" wrapText="1"/>
    </xf>
    <xf numFmtId="0" fontId="68" fillId="5" borderId="10" xfId="0" applyFont="1" applyFill="1" applyBorder="1" applyAlignment="1">
      <alignment horizontal="center" vertical="center" wrapText="1"/>
    </xf>
    <xf numFmtId="0" fontId="68" fillId="5" borderId="12" xfId="0" applyFont="1" applyFill="1" applyBorder="1" applyAlignment="1">
      <alignment horizontal="center" vertical="center" wrapText="1"/>
    </xf>
    <xf numFmtId="0" fontId="105" fillId="10" borderId="10" xfId="0" applyFont="1" applyFill="1" applyBorder="1" applyAlignment="1">
      <alignment horizontal="center" vertical="center"/>
    </xf>
    <xf numFmtId="0" fontId="105" fillId="10" borderId="12" xfId="0" applyFont="1" applyFill="1" applyBorder="1" applyAlignment="1">
      <alignment horizontal="center" vertical="center"/>
    </xf>
    <xf numFmtId="0" fontId="140" fillId="19" borderId="0" xfId="0" applyFont="1" applyFill="1" applyAlignment="1">
      <alignment horizontal="left" vertical="top" wrapText="1"/>
    </xf>
    <xf numFmtId="0" fontId="50" fillId="3" borderId="5" xfId="0" applyFont="1" applyFill="1" applyBorder="1" applyAlignment="1">
      <alignment horizontal="center" vertical="center" wrapText="1"/>
    </xf>
    <xf numFmtId="0" fontId="27" fillId="3" borderId="10" xfId="0" applyFont="1" applyFill="1" applyBorder="1" applyAlignment="1">
      <alignment horizontal="left" vertical="center"/>
    </xf>
    <xf numFmtId="0" fontId="27" fillId="3" borderId="13" xfId="0" applyFont="1" applyFill="1" applyBorder="1" applyAlignment="1">
      <alignment horizontal="left" vertical="center"/>
    </xf>
    <xf numFmtId="0" fontId="27" fillId="3" borderId="12" xfId="0" applyFont="1" applyFill="1" applyBorder="1" applyAlignment="1">
      <alignment horizontal="left" vertical="center"/>
    </xf>
    <xf numFmtId="0" fontId="27" fillId="3" borderId="10" xfId="0" applyFont="1" applyFill="1" applyBorder="1" applyAlignment="1">
      <alignment horizontal="left"/>
    </xf>
    <xf numFmtId="0" fontId="27" fillId="3" borderId="13" xfId="0" applyFont="1" applyFill="1" applyBorder="1" applyAlignment="1">
      <alignment horizontal="left"/>
    </xf>
    <xf numFmtId="0" fontId="27" fillId="3" borderId="12" xfId="0" applyFont="1" applyFill="1" applyBorder="1" applyAlignment="1">
      <alignment horizontal="left"/>
    </xf>
    <xf numFmtId="0" fontId="0" fillId="10" borderId="2" xfId="0" applyFill="1" applyBorder="1" applyAlignment="1">
      <alignment horizontal="center"/>
    </xf>
    <xf numFmtId="49" fontId="21" fillId="3" borderId="2" xfId="1" applyNumberFormat="1" applyFont="1" applyFill="1" applyBorder="1" applyAlignment="1">
      <alignment horizontal="center" vertical="center" wrapText="1"/>
    </xf>
    <xf numFmtId="0" fontId="57" fillId="19" borderId="1" xfId="0" applyFont="1" applyFill="1" applyBorder="1" applyAlignment="1">
      <alignment horizontal="left"/>
    </xf>
    <xf numFmtId="0" fontId="68" fillId="3" borderId="10" xfId="0" applyFont="1" applyFill="1" applyBorder="1" applyAlignment="1">
      <alignment horizontal="center" vertical="center" wrapText="1"/>
    </xf>
    <xf numFmtId="0" fontId="68" fillId="3" borderId="13" xfId="0" applyFont="1" applyFill="1" applyBorder="1" applyAlignment="1">
      <alignment horizontal="center" vertical="center" wrapText="1"/>
    </xf>
    <xf numFmtId="0" fontId="68" fillId="3" borderId="12" xfId="0" applyFont="1" applyFill="1" applyBorder="1" applyAlignment="1">
      <alignment horizontal="center" vertical="center" wrapText="1"/>
    </xf>
    <xf numFmtId="0" fontId="62" fillId="0" borderId="13" xfId="0" applyFont="1" applyFill="1" applyBorder="1" applyAlignment="1">
      <alignment horizontal="center" wrapText="1"/>
    </xf>
    <xf numFmtId="0" fontId="62" fillId="0" borderId="12" xfId="0" applyFont="1" applyFill="1" applyBorder="1" applyAlignment="1">
      <alignment horizontal="center" wrapText="1"/>
    </xf>
    <xf numFmtId="0" fontId="105" fillId="0" borderId="2" xfId="0" applyFont="1" applyFill="1" applyBorder="1" applyAlignment="1">
      <alignment horizontal="center" vertical="center"/>
    </xf>
    <xf numFmtId="0" fontId="62" fillId="0" borderId="2" xfId="0" applyFont="1" applyBorder="1" applyAlignment="1">
      <alignment horizontal="center" vertical="center"/>
    </xf>
    <xf numFmtId="0" fontId="68" fillId="5" borderId="2" xfId="0" applyFont="1" applyFill="1" applyBorder="1" applyAlignment="1">
      <alignment horizontal="center" vertical="center"/>
    </xf>
    <xf numFmtId="0" fontId="54" fillId="19" borderId="11" xfId="0" applyFont="1" applyFill="1" applyBorder="1" applyAlignment="1"/>
    <xf numFmtId="0" fontId="54" fillId="19" borderId="13" xfId="0" applyFont="1" applyFill="1" applyBorder="1" applyAlignment="1"/>
    <xf numFmtId="0" fontId="54" fillId="19" borderId="12" xfId="0" applyFont="1" applyFill="1" applyBorder="1" applyAlignment="1"/>
    <xf numFmtId="0" fontId="95" fillId="9" borderId="2" xfId="0" applyFont="1" applyFill="1" applyBorder="1" applyAlignment="1">
      <alignment horizontal="center"/>
    </xf>
    <xf numFmtId="0" fontId="62" fillId="0" borderId="2" xfId="0" applyFont="1" applyBorder="1" applyAlignment="1">
      <alignment horizontal="center"/>
    </xf>
    <xf numFmtId="0" fontId="0" fillId="0" borderId="2" xfId="0" applyBorder="1" applyAlignment="1">
      <alignment horizontal="center"/>
    </xf>
    <xf numFmtId="0" fontId="123" fillId="10" borderId="11" xfId="0" applyFont="1" applyFill="1" applyBorder="1" applyAlignment="1">
      <alignment horizontal="center" vertical="center"/>
    </xf>
    <xf numFmtId="0" fontId="37" fillId="19" borderId="14" xfId="0" applyFont="1" applyFill="1" applyBorder="1" applyAlignment="1">
      <alignment horizontal="left" vertical="center" wrapText="1"/>
    </xf>
    <xf numFmtId="0" fontId="37" fillId="19" borderId="15" xfId="0" applyFont="1" applyFill="1" applyBorder="1" applyAlignment="1">
      <alignment horizontal="left" vertical="center" wrapText="1"/>
    </xf>
    <xf numFmtId="0" fontId="0" fillId="0" borderId="2" xfId="0" applyFont="1" applyFill="1" applyBorder="1" applyAlignment="1">
      <alignment horizontal="left" vertical="center"/>
    </xf>
    <xf numFmtId="0" fontId="57" fillId="19" borderId="2" xfId="0" applyFont="1" applyFill="1" applyBorder="1" applyAlignment="1">
      <alignment horizontal="center" vertical="center"/>
    </xf>
    <xf numFmtId="0" fontId="0" fillId="19" borderId="10" xfId="0" applyFont="1" applyFill="1" applyBorder="1" applyAlignment="1">
      <alignment horizontal="left" vertical="center"/>
    </xf>
    <xf numFmtId="0" fontId="0" fillId="19" borderId="13" xfId="0" applyFont="1" applyFill="1" applyBorder="1" applyAlignment="1">
      <alignment horizontal="left" vertical="center"/>
    </xf>
    <xf numFmtId="0" fontId="0" fillId="19" borderId="12" xfId="0" applyFont="1" applyFill="1" applyBorder="1" applyAlignment="1">
      <alignment horizontal="left" vertical="center"/>
    </xf>
    <xf numFmtId="0" fontId="0" fillId="3" borderId="2" xfId="0" applyFill="1" applyBorder="1" applyAlignment="1">
      <alignment horizontal="left"/>
    </xf>
    <xf numFmtId="49" fontId="37" fillId="0" borderId="14" xfId="0" applyNumberFormat="1" applyFont="1" applyFill="1" applyBorder="1" applyAlignment="1">
      <alignment horizontal="left" vertical="center"/>
    </xf>
    <xf numFmtId="0" fontId="62" fillId="0" borderId="0" xfId="0" applyFont="1" applyFill="1" applyBorder="1" applyAlignment="1">
      <alignment horizontal="left" wrapText="1"/>
    </xf>
    <xf numFmtId="0" fontId="100" fillId="19" borderId="15" xfId="0" applyFont="1" applyFill="1" applyBorder="1" applyAlignment="1">
      <alignment horizontal="left" vertical="center" wrapText="1"/>
    </xf>
    <xf numFmtId="0" fontId="62" fillId="0" borderId="0" xfId="0" applyFont="1" applyFill="1" applyBorder="1" applyAlignment="1">
      <alignment horizontal="center"/>
    </xf>
    <xf numFmtId="0" fontId="100" fillId="19" borderId="0" xfId="0" applyFont="1" applyFill="1" applyAlignment="1">
      <alignment horizontal="left" vertical="center"/>
    </xf>
    <xf numFmtId="0" fontId="54" fillId="3" borderId="11" xfId="0" applyFont="1" applyFill="1" applyBorder="1" applyAlignment="1"/>
    <xf numFmtId="0" fontId="25" fillId="9" borderId="2" xfId="1" applyFont="1" applyFill="1" applyBorder="1" applyAlignment="1">
      <alignment horizontal="center" vertical="center" wrapText="1"/>
    </xf>
    <xf numFmtId="0" fontId="62" fillId="0" borderId="2" xfId="0" applyFont="1" applyFill="1" applyBorder="1" applyAlignment="1">
      <alignment horizontal="left" wrapText="1"/>
    </xf>
    <xf numFmtId="0" fontId="123" fillId="9" borderId="2" xfId="0" applyFont="1" applyFill="1" applyBorder="1" applyAlignment="1">
      <alignment horizontal="center"/>
    </xf>
    <xf numFmtId="0" fontId="140" fillId="19" borderId="10" xfId="0" applyFont="1" applyFill="1" applyBorder="1" applyAlignment="1">
      <alignment horizontal="center" vertical="center"/>
    </xf>
    <xf numFmtId="0" fontId="140" fillId="19" borderId="12" xfId="0" applyFont="1" applyFill="1" applyBorder="1" applyAlignment="1">
      <alignment horizontal="center" vertical="center"/>
    </xf>
    <xf numFmtId="0" fontId="100" fillId="19" borderId="2" xfId="0" applyFont="1" applyFill="1" applyBorder="1" applyAlignment="1">
      <alignment horizontal="left" vertical="center" wrapText="1"/>
    </xf>
    <xf numFmtId="0" fontId="54" fillId="16" borderId="2" xfId="0" applyFont="1" applyFill="1" applyBorder="1" applyAlignment="1">
      <alignment horizontal="left"/>
    </xf>
    <xf numFmtId="0" fontId="127" fillId="5" borderId="2" xfId="0" applyFont="1" applyFill="1" applyBorder="1" applyAlignment="1">
      <alignment horizontal="center" vertical="center"/>
    </xf>
    <xf numFmtId="0" fontId="62" fillId="0" borderId="10" xfId="0" applyFont="1" applyBorder="1" applyAlignment="1">
      <alignment horizontal="center" vertical="center"/>
    </xf>
    <xf numFmtId="0" fontId="62" fillId="0" borderId="12" xfId="0" applyFont="1" applyBorder="1" applyAlignment="1">
      <alignment horizontal="center" vertical="center"/>
    </xf>
    <xf numFmtId="0" fontId="66" fillId="0" borderId="10" xfId="0" applyFont="1" applyBorder="1" applyAlignment="1">
      <alignment horizontal="center" vertical="center"/>
    </xf>
    <xf numFmtId="0" fontId="66" fillId="0" borderId="12" xfId="0" applyFont="1" applyBorder="1" applyAlignment="1">
      <alignment horizontal="center" vertical="center"/>
    </xf>
    <xf numFmtId="0" fontId="25" fillId="3" borderId="10" xfId="1" applyFont="1" applyFill="1" applyBorder="1" applyAlignment="1">
      <alignment horizontal="center" vertical="center" wrapText="1"/>
    </xf>
    <xf numFmtId="0" fontId="25" fillId="3" borderId="12" xfId="1" applyFont="1" applyFill="1" applyBorder="1" applyAlignment="1">
      <alignment horizontal="center" vertical="center" wrapText="1"/>
    </xf>
    <xf numFmtId="49" fontId="158" fillId="19" borderId="10" xfId="1" applyNumberFormat="1" applyFont="1" applyFill="1" applyBorder="1" applyAlignment="1">
      <alignment horizontal="center" vertical="center" wrapText="1"/>
    </xf>
    <xf numFmtId="49" fontId="158" fillId="19" borderId="12" xfId="1" applyNumberFormat="1" applyFont="1" applyFill="1" applyBorder="1" applyAlignment="1">
      <alignment horizontal="center" vertical="center" wrapText="1"/>
    </xf>
    <xf numFmtId="0" fontId="27" fillId="3" borderId="10" xfId="0" applyFont="1" applyFill="1" applyBorder="1" applyAlignment="1">
      <alignment horizontal="center" vertical="center"/>
    </xf>
    <xf numFmtId="0" fontId="27" fillId="3" borderId="13" xfId="0" applyFont="1" applyFill="1" applyBorder="1" applyAlignment="1">
      <alignment horizontal="center" vertical="center"/>
    </xf>
    <xf numFmtId="0" fontId="27" fillId="3" borderId="12" xfId="0" applyFont="1" applyFill="1" applyBorder="1" applyAlignment="1">
      <alignment horizontal="center" vertical="center"/>
    </xf>
    <xf numFmtId="0" fontId="124" fillId="5" borderId="4" xfId="1" applyFont="1" applyFill="1" applyBorder="1" applyAlignment="1">
      <alignment horizontal="center" vertical="center" wrapText="1"/>
    </xf>
    <xf numFmtId="0" fontId="124" fillId="5" borderId="5" xfId="1" applyFont="1" applyFill="1" applyBorder="1" applyAlignment="1">
      <alignment horizontal="center" vertical="center" wrapText="1"/>
    </xf>
    <xf numFmtId="0" fontId="124" fillId="5" borderId="6" xfId="1" applyFont="1" applyFill="1" applyBorder="1" applyAlignment="1">
      <alignment horizontal="center" vertical="center" wrapText="1"/>
    </xf>
    <xf numFmtId="0" fontId="105" fillId="0" borderId="8" xfId="0" applyFont="1" applyFill="1" applyBorder="1" applyAlignment="1">
      <alignment horizontal="left" vertical="center" wrapText="1"/>
    </xf>
    <xf numFmtId="0" fontId="105" fillId="0" borderId="0" xfId="0" applyFont="1" applyFill="1" applyBorder="1" applyAlignment="1">
      <alignment horizontal="left" vertical="center" wrapText="1"/>
    </xf>
    <xf numFmtId="0" fontId="105" fillId="19" borderId="2" xfId="0" applyFont="1" applyFill="1" applyBorder="1" applyAlignment="1">
      <alignment horizontal="center" vertical="center" wrapText="1"/>
    </xf>
    <xf numFmtId="49" fontId="22" fillId="19" borderId="10" xfId="1" applyNumberFormat="1" applyFont="1" applyFill="1" applyBorder="1" applyAlignment="1">
      <alignment horizontal="center" vertical="center" wrapText="1"/>
    </xf>
    <xf numFmtId="49" fontId="22" fillId="19" borderId="13" xfId="1" applyNumberFormat="1" applyFont="1" applyFill="1" applyBorder="1" applyAlignment="1">
      <alignment horizontal="center" vertical="center" wrapText="1"/>
    </xf>
    <xf numFmtId="49" fontId="22" fillId="19" borderId="12" xfId="1" applyNumberFormat="1" applyFont="1" applyFill="1" applyBorder="1" applyAlignment="1">
      <alignment horizontal="center" vertical="center" wrapText="1"/>
    </xf>
    <xf numFmtId="0" fontId="60" fillId="19" borderId="2" xfId="0" applyFont="1" applyFill="1" applyBorder="1" applyAlignment="1">
      <alignment horizontal="center" vertical="center"/>
    </xf>
    <xf numFmtId="0" fontId="67" fillId="19" borderId="4" xfId="0" applyFont="1" applyFill="1" applyBorder="1" applyAlignment="1">
      <alignment horizontal="center" vertical="center"/>
    </xf>
    <xf numFmtId="0" fontId="67" fillId="19" borderId="5" xfId="0" applyFont="1" applyFill="1" applyBorder="1" applyAlignment="1">
      <alignment horizontal="center" vertical="center"/>
    </xf>
    <xf numFmtId="0" fontId="67" fillId="19" borderId="6" xfId="0" applyFont="1" applyFill="1" applyBorder="1" applyAlignment="1">
      <alignment horizontal="center" vertical="center"/>
    </xf>
    <xf numFmtId="0" fontId="105" fillId="19" borderId="8" xfId="0" applyFont="1" applyFill="1" applyBorder="1" applyAlignment="1">
      <alignment horizontal="left" vertical="center" wrapText="1"/>
    </xf>
    <xf numFmtId="0" fontId="105" fillId="19" borderId="0" xfId="0" applyFont="1" applyFill="1" applyBorder="1" applyAlignment="1">
      <alignment horizontal="left" vertical="center" wrapText="1"/>
    </xf>
    <xf numFmtId="0" fontId="25" fillId="19" borderId="2" xfId="1" applyFont="1" applyFill="1" applyBorder="1" applyAlignment="1">
      <alignment horizontal="center" vertical="center" wrapText="1"/>
    </xf>
    <xf numFmtId="0" fontId="68" fillId="19" borderId="2" xfId="0" applyFont="1" applyFill="1" applyBorder="1" applyAlignment="1">
      <alignment horizontal="center" vertical="center" wrapText="1"/>
    </xf>
    <xf numFmtId="0" fontId="63" fillId="3" borderId="10" xfId="1" applyFont="1" applyFill="1" applyBorder="1" applyAlignment="1">
      <alignment horizontal="left" vertical="center"/>
    </xf>
    <xf numFmtId="0" fontId="63" fillId="3" borderId="13" xfId="1" applyFont="1" applyFill="1" applyBorder="1" applyAlignment="1">
      <alignment horizontal="left" vertical="center"/>
    </xf>
    <xf numFmtId="0" fontId="63" fillId="3" borderId="12" xfId="1" applyFont="1" applyFill="1" applyBorder="1" applyAlignment="1">
      <alignment horizontal="left" vertical="center"/>
    </xf>
    <xf numFmtId="49" fontId="69" fillId="3" borderId="2" xfId="1" applyNumberFormat="1" applyFont="1" applyFill="1" applyBorder="1" applyAlignment="1">
      <alignment horizontal="right" vertical="center" wrapText="1"/>
    </xf>
    <xf numFmtId="0" fontId="124" fillId="5" borderId="2" xfId="1" applyFont="1" applyFill="1" applyBorder="1" applyAlignment="1">
      <alignment horizontal="center" vertical="center" wrapText="1"/>
    </xf>
    <xf numFmtId="0" fontId="27" fillId="3" borderId="2" xfId="0" applyFont="1" applyFill="1" applyBorder="1" applyAlignment="1">
      <alignment horizontal="center" vertical="center"/>
    </xf>
    <xf numFmtId="0" fontId="158" fillId="19" borderId="2" xfId="1" applyFont="1" applyFill="1" applyBorder="1" applyAlignment="1">
      <alignment horizontal="left" vertical="center"/>
    </xf>
    <xf numFmtId="0" fontId="63" fillId="19" borderId="2" xfId="1" applyFont="1" applyFill="1" applyBorder="1" applyAlignment="1">
      <alignment horizontal="left" vertical="center"/>
    </xf>
    <xf numFmtId="49" fontId="36" fillId="19" borderId="2" xfId="1" applyNumberFormat="1" applyFont="1" applyFill="1" applyBorder="1" applyAlignment="1">
      <alignment horizontal="center" vertical="center" wrapText="1"/>
    </xf>
    <xf numFmtId="0" fontId="46" fillId="19" borderId="10" xfId="0" applyFont="1" applyFill="1" applyBorder="1" applyAlignment="1">
      <alignment horizontal="center" vertical="center"/>
    </xf>
    <xf numFmtId="0" fontId="46" fillId="19" borderId="12" xfId="0" applyFont="1" applyFill="1" applyBorder="1" applyAlignment="1">
      <alignment horizontal="center" vertical="center"/>
    </xf>
    <xf numFmtId="49" fontId="69" fillId="19" borderId="2" xfId="1" applyNumberFormat="1" applyFont="1" applyFill="1" applyBorder="1" applyAlignment="1">
      <alignment horizontal="right" vertical="center" wrapText="1"/>
    </xf>
    <xf numFmtId="49" fontId="142" fillId="19" borderId="10" xfId="1" applyNumberFormat="1" applyFont="1" applyFill="1" applyBorder="1" applyAlignment="1">
      <alignment horizontal="right" vertical="center" wrapText="1"/>
    </xf>
    <xf numFmtId="49" fontId="142" fillId="19" borderId="12" xfId="1" applyNumberFormat="1" applyFont="1" applyFill="1" applyBorder="1" applyAlignment="1">
      <alignment horizontal="right" vertical="center" wrapText="1"/>
    </xf>
    <xf numFmtId="0" fontId="105" fillId="10" borderId="2" xfId="0" applyFont="1" applyFill="1" applyBorder="1" applyAlignment="1">
      <alignment horizontal="center" vertical="center" wrapText="1"/>
    </xf>
    <xf numFmtId="0" fontId="60" fillId="15" borderId="2" xfId="0" applyFont="1" applyFill="1" applyBorder="1" applyAlignment="1">
      <alignment horizontal="center" vertical="center"/>
    </xf>
    <xf numFmtId="0" fontId="60" fillId="14" borderId="2" xfId="0" applyFont="1" applyFill="1" applyBorder="1" applyAlignment="1">
      <alignment horizontal="center" vertical="center"/>
    </xf>
    <xf numFmtId="0" fontId="19" fillId="0" borderId="0" xfId="0" applyFont="1" applyBorder="1" applyAlignment="1">
      <alignment horizontal="left" vertical="top" wrapText="1"/>
    </xf>
    <xf numFmtId="49" fontId="69" fillId="3" borderId="2" xfId="1" applyNumberFormat="1" applyFont="1" applyFill="1" applyBorder="1" applyAlignment="1">
      <alignment horizontal="center" vertical="center" wrapText="1"/>
    </xf>
    <xf numFmtId="0" fontId="140" fillId="19" borderId="6" xfId="0" applyFont="1" applyFill="1" applyBorder="1" applyAlignment="1">
      <alignment horizontal="center" vertical="center" wrapText="1"/>
    </xf>
    <xf numFmtId="0" fontId="52" fillId="0" borderId="14" xfId="0" applyFont="1" applyFill="1" applyBorder="1" applyAlignment="1">
      <alignment horizontal="left" vertical="top" wrapText="1"/>
    </xf>
    <xf numFmtId="0" fontId="52" fillId="0" borderId="15" xfId="0" applyFont="1" applyFill="1" applyBorder="1" applyAlignment="1">
      <alignment horizontal="left" vertical="top" wrapText="1"/>
    </xf>
    <xf numFmtId="0" fontId="142" fillId="19" borderId="10" xfId="1" applyFont="1" applyFill="1" applyBorder="1" applyAlignment="1">
      <alignment horizontal="center" vertical="center" wrapText="1"/>
    </xf>
    <xf numFmtId="0" fontId="142" fillId="19" borderId="13" xfId="1" applyFont="1" applyFill="1" applyBorder="1" applyAlignment="1">
      <alignment horizontal="center" vertical="center" wrapText="1"/>
    </xf>
    <xf numFmtId="0" fontId="142" fillId="19" borderId="12" xfId="1" applyFont="1" applyFill="1" applyBorder="1" applyAlignment="1">
      <alignment horizontal="center" vertical="center" wrapText="1"/>
    </xf>
    <xf numFmtId="0" fontId="52" fillId="19" borderId="0" xfId="0" applyFont="1" applyFill="1" applyBorder="1" applyAlignment="1">
      <alignment horizontal="left" vertical="top" wrapText="1"/>
    </xf>
    <xf numFmtId="0" fontId="27" fillId="3" borderId="2" xfId="0" applyFont="1" applyFill="1" applyBorder="1" applyAlignment="1">
      <alignment horizontal="left"/>
    </xf>
    <xf numFmtId="0" fontId="19" fillId="0" borderId="14" xfId="0" applyFont="1" applyFill="1" applyBorder="1" applyAlignment="1">
      <alignment horizontal="center" vertical="center"/>
    </xf>
    <xf numFmtId="0" fontId="105" fillId="0" borderId="11" xfId="0" applyFont="1" applyFill="1" applyBorder="1" applyAlignment="1">
      <alignment horizontal="left" vertical="center" wrapText="1"/>
    </xf>
    <xf numFmtId="0" fontId="105" fillId="0" borderId="14" xfId="0" applyFont="1" applyFill="1" applyBorder="1" applyAlignment="1">
      <alignment horizontal="left" vertical="center" wrapText="1"/>
    </xf>
    <xf numFmtId="0" fontId="57" fillId="19" borderId="10" xfId="0" applyFont="1" applyFill="1" applyBorder="1" applyAlignment="1">
      <alignment horizontal="center"/>
    </xf>
    <xf numFmtId="0" fontId="57" fillId="19" borderId="12" xfId="0" applyFont="1" applyFill="1" applyBorder="1" applyAlignment="1">
      <alignment horizontal="center"/>
    </xf>
    <xf numFmtId="0" fontId="105" fillId="0" borderId="0" xfId="0" applyFont="1" applyFill="1" applyBorder="1" applyAlignment="1">
      <alignment horizontal="left" vertical="top" wrapText="1"/>
    </xf>
    <xf numFmtId="0" fontId="105" fillId="19" borderId="0" xfId="0" applyFont="1" applyFill="1" applyBorder="1" applyAlignment="1">
      <alignment horizontal="left" vertical="top" wrapText="1"/>
    </xf>
    <xf numFmtId="0" fontId="144" fillId="19" borderId="2" xfId="1" applyFont="1" applyFill="1" applyBorder="1" applyAlignment="1">
      <alignment horizontal="center" vertical="center" wrapText="1"/>
    </xf>
    <xf numFmtId="0" fontId="27" fillId="5" borderId="10" xfId="0" applyFont="1" applyFill="1" applyBorder="1" applyAlignment="1">
      <alignment horizontal="center"/>
    </xf>
    <xf numFmtId="0" fontId="27" fillId="5" borderId="12" xfId="0" applyFont="1" applyFill="1" applyBorder="1" applyAlignment="1">
      <alignment horizontal="center"/>
    </xf>
    <xf numFmtId="0" fontId="100" fillId="19" borderId="4" xfId="0" applyFont="1" applyFill="1" applyBorder="1" applyAlignment="1">
      <alignment horizontal="left" vertical="center" wrapText="1"/>
    </xf>
    <xf numFmtId="0" fontId="163" fillId="19" borderId="2" xfId="0" applyFont="1" applyFill="1" applyBorder="1" applyAlignment="1">
      <alignment horizontal="left" vertical="center"/>
    </xf>
    <xf numFmtId="0" fontId="0" fillId="3" borderId="2" xfId="0" applyFont="1" applyFill="1" applyBorder="1" applyAlignment="1">
      <alignment horizontal="left" vertical="center"/>
    </xf>
    <xf numFmtId="0" fontId="0" fillId="0" borderId="0" xfId="0" applyFill="1" applyBorder="1" applyAlignment="1">
      <alignment horizontal="center" vertical="center"/>
    </xf>
    <xf numFmtId="49" fontId="69" fillId="19" borderId="2" xfId="1" applyNumberFormat="1" applyFont="1" applyFill="1" applyBorder="1" applyAlignment="1">
      <alignment horizontal="center" vertical="center" wrapText="1"/>
    </xf>
    <xf numFmtId="0" fontId="63" fillId="16" borderId="2" xfId="1" applyFont="1" applyFill="1" applyBorder="1" applyAlignment="1">
      <alignment horizontal="left" vertical="center"/>
    </xf>
    <xf numFmtId="0" fontId="159" fillId="5" borderId="4" xfId="1" applyFont="1" applyFill="1" applyBorder="1" applyAlignment="1">
      <alignment horizontal="center" vertical="center" wrapText="1"/>
    </xf>
    <xf numFmtId="0" fontId="159" fillId="5" borderId="5" xfId="1" applyFont="1" applyFill="1" applyBorder="1" applyAlignment="1">
      <alignment horizontal="center" vertical="center" wrapText="1"/>
    </xf>
    <xf numFmtId="0" fontId="159" fillId="5" borderId="6" xfId="1" applyFont="1" applyFill="1" applyBorder="1" applyAlignment="1">
      <alignment horizontal="center" vertical="center" wrapText="1"/>
    </xf>
    <xf numFmtId="0" fontId="54" fillId="19" borderId="2" xfId="0" applyFont="1" applyFill="1" applyBorder="1" applyAlignment="1">
      <alignment horizontal="center" vertical="center"/>
    </xf>
    <xf numFmtId="0" fontId="159" fillId="5" borderId="2" xfId="1" applyFont="1" applyFill="1" applyBorder="1" applyAlignment="1">
      <alignment horizontal="center" vertical="center" wrapText="1"/>
    </xf>
    <xf numFmtId="0" fontId="105" fillId="0" borderId="14" xfId="0" applyFont="1" applyFill="1" applyBorder="1" applyAlignment="1">
      <alignment horizontal="left" vertical="top" wrapText="1"/>
    </xf>
    <xf numFmtId="0" fontId="105" fillId="0" borderId="15" xfId="0" applyFont="1" applyFill="1" applyBorder="1" applyAlignment="1">
      <alignment horizontal="left" vertical="top" wrapText="1"/>
    </xf>
    <xf numFmtId="0" fontId="0" fillId="0" borderId="0" xfId="0" applyAlignment="1">
      <alignment horizontal="center" vertical="center"/>
    </xf>
    <xf numFmtId="49" fontId="37" fillId="0" borderId="14" xfId="0" applyNumberFormat="1" applyFont="1" applyBorder="1" applyAlignment="1">
      <alignment horizontal="left" vertical="center"/>
    </xf>
    <xf numFmtId="0" fontId="105" fillId="0" borderId="0" xfId="0" applyFont="1" applyAlignment="1">
      <alignment horizontal="left" vertical="center" wrapText="1"/>
    </xf>
    <xf numFmtId="0" fontId="105" fillId="0" borderId="8" xfId="0" applyFont="1" applyBorder="1" applyAlignment="1">
      <alignment horizontal="left" vertical="center" wrapText="1"/>
    </xf>
    <xf numFmtId="49" fontId="22" fillId="0" borderId="10" xfId="1" applyNumberFormat="1" applyFont="1" applyBorder="1" applyAlignment="1">
      <alignment horizontal="center" vertical="center" wrapText="1"/>
    </xf>
    <xf numFmtId="49" fontId="22" fillId="0" borderId="13" xfId="1" applyNumberFormat="1" applyFont="1" applyBorder="1" applyAlignment="1">
      <alignment horizontal="center" vertical="center" wrapText="1"/>
    </xf>
    <xf numFmtId="49" fontId="22" fillId="0" borderId="12" xfId="1" applyNumberFormat="1" applyFont="1" applyBorder="1" applyAlignment="1">
      <alignment horizontal="center" vertical="center" wrapText="1"/>
    </xf>
    <xf numFmtId="0" fontId="105" fillId="19" borderId="0" xfId="0" applyFont="1" applyFill="1" applyAlignment="1">
      <alignment horizontal="left" vertical="center" wrapText="1"/>
    </xf>
    <xf numFmtId="0" fontId="19" fillId="0" borderId="0" xfId="0" applyFont="1" applyAlignment="1">
      <alignment horizontal="left" vertical="top" wrapText="1"/>
    </xf>
    <xf numFmtId="0" fontId="105" fillId="0" borderId="14" xfId="0" applyFont="1" applyBorder="1" applyAlignment="1">
      <alignment horizontal="left" vertical="top" wrapText="1"/>
    </xf>
    <xf numFmtId="0" fontId="105" fillId="0" borderId="15" xfId="0" applyFont="1" applyBorder="1" applyAlignment="1">
      <alignment horizontal="left" vertical="top" wrapText="1"/>
    </xf>
    <xf numFmtId="0" fontId="105" fillId="19" borderId="0" xfId="0" applyFont="1" applyFill="1" applyAlignment="1">
      <alignment horizontal="left" vertical="top" wrapText="1"/>
    </xf>
    <xf numFmtId="0" fontId="19" fillId="0" borderId="14" xfId="0" applyFont="1" applyBorder="1" applyAlignment="1">
      <alignment horizontal="center" vertical="center"/>
    </xf>
    <xf numFmtId="0" fontId="63" fillId="3" borderId="2" xfId="1" applyFont="1" applyFill="1" applyBorder="1" applyAlignment="1">
      <alignment horizontal="left" vertical="center"/>
    </xf>
    <xf numFmtId="0" fontId="105" fillId="0" borderId="11" xfId="0" applyFont="1" applyBorder="1" applyAlignment="1">
      <alignment horizontal="left" vertical="center" wrapText="1"/>
    </xf>
    <xf numFmtId="0" fontId="105" fillId="0" borderId="14" xfId="0" applyFont="1" applyBorder="1" applyAlignment="1">
      <alignment horizontal="left" vertical="center" wrapText="1"/>
    </xf>
    <xf numFmtId="0" fontId="105" fillId="0" borderId="0" xfId="0" applyFont="1" applyAlignment="1">
      <alignment horizontal="left" vertical="top" wrapText="1"/>
    </xf>
    <xf numFmtId="0" fontId="91" fillId="0" borderId="2" xfId="0" applyFont="1" applyBorder="1" applyAlignment="1">
      <alignment horizontal="left" vertical="center"/>
    </xf>
    <xf numFmtId="0" fontId="0" fillId="0" borderId="2" xfId="0" applyBorder="1" applyAlignment="1">
      <alignment horizontal="left" vertical="center"/>
    </xf>
    <xf numFmtId="0" fontId="142" fillId="19" borderId="2" xfId="1" applyFont="1" applyFill="1" applyBorder="1" applyAlignment="1">
      <alignment horizontal="center" vertical="center" wrapText="1"/>
    </xf>
    <xf numFmtId="49" fontId="158" fillId="19" borderId="2" xfId="1" applyNumberFormat="1" applyFont="1" applyFill="1" applyBorder="1" applyAlignment="1">
      <alignment horizontal="center" vertical="center" wrapText="1"/>
    </xf>
    <xf numFmtId="49" fontId="36" fillId="0" borderId="0" xfId="1" applyNumberFormat="1" applyFont="1" applyAlignment="1">
      <alignment horizontal="center" vertical="top" wrapText="1"/>
    </xf>
    <xf numFmtId="0" fontId="68" fillId="0" borderId="0" xfId="0" applyFont="1" applyAlignment="1">
      <alignment horizontal="center" vertical="center" wrapText="1"/>
    </xf>
    <xf numFmtId="0" fontId="52" fillId="0" borderId="14" xfId="0" applyFont="1" applyBorder="1" applyAlignment="1">
      <alignment horizontal="left" vertical="top" wrapText="1"/>
    </xf>
    <xf numFmtId="0" fontId="52" fillId="0" borderId="15" xfId="0" applyFont="1" applyBorder="1" applyAlignment="1">
      <alignment horizontal="left" vertical="top" wrapText="1"/>
    </xf>
    <xf numFmtId="0" fontId="52" fillId="19" borderId="0" xfId="0" applyFont="1" applyFill="1" applyAlignment="1">
      <alignment horizontal="left" vertical="top" wrapText="1"/>
    </xf>
    <xf numFmtId="0" fontId="42" fillId="19" borderId="0" xfId="1" applyFont="1" applyFill="1" applyBorder="1" applyAlignment="1">
      <alignment horizontal="left" vertical="top" wrapText="1"/>
    </xf>
    <xf numFmtId="0" fontId="100" fillId="0" borderId="0" xfId="1" applyFont="1" applyFill="1" applyBorder="1" applyAlignment="1">
      <alignment horizontal="left" vertical="top" wrapText="1"/>
    </xf>
    <xf numFmtId="0" fontId="27" fillId="19" borderId="2" xfId="1" applyFont="1" applyFill="1" applyBorder="1" applyAlignment="1">
      <alignment horizontal="center" vertical="center" wrapText="1"/>
    </xf>
    <xf numFmtId="0" fontId="60" fillId="14" borderId="11" xfId="0" applyFont="1" applyFill="1" applyBorder="1" applyAlignment="1">
      <alignment horizontal="center" vertical="center"/>
    </xf>
    <xf numFmtId="0" fontId="60" fillId="14" borderId="14" xfId="0" applyFont="1" applyFill="1" applyBorder="1" applyAlignment="1">
      <alignment horizontal="center" vertical="center"/>
    </xf>
    <xf numFmtId="0" fontId="24" fillId="19" borderId="2" xfId="1" applyFont="1" applyFill="1" applyBorder="1" applyAlignment="1">
      <alignment horizontal="left" vertical="top" wrapText="1"/>
    </xf>
    <xf numFmtId="0" fontId="28" fillId="0" borderId="2" xfId="1" applyFill="1" applyBorder="1" applyAlignment="1">
      <alignment horizontal="center" vertical="top"/>
    </xf>
    <xf numFmtId="49" fontId="21" fillId="19" borderId="2" xfId="1" applyNumberFormat="1" applyFont="1" applyFill="1" applyBorder="1" applyAlignment="1">
      <alignment horizontal="center" vertical="center" wrapText="1"/>
    </xf>
    <xf numFmtId="0" fontId="74" fillId="10" borderId="2" xfId="1" applyFont="1" applyFill="1" applyBorder="1" applyAlignment="1">
      <alignment horizontal="center" vertical="top" wrapText="1"/>
    </xf>
    <xf numFmtId="0" fontId="44" fillId="19" borderId="10" xfId="0" applyFont="1" applyFill="1" applyBorder="1" applyAlignment="1">
      <alignment horizontal="left" vertical="top" wrapText="1"/>
    </xf>
    <xf numFmtId="0" fontId="19" fillId="3" borderId="2" xfId="0" applyFont="1" applyFill="1" applyBorder="1" applyAlignment="1">
      <alignment horizontal="center" vertical="center"/>
    </xf>
    <xf numFmtId="0" fontId="57" fillId="19" borderId="8" xfId="0" applyFont="1" applyFill="1" applyBorder="1" applyAlignment="1">
      <alignment horizontal="center" vertical="center"/>
    </xf>
    <xf numFmtId="0" fontId="57" fillId="19" borderId="0" xfId="0" applyFont="1" applyFill="1" applyAlignment="1">
      <alignment horizontal="center" vertical="center"/>
    </xf>
    <xf numFmtId="0" fontId="180" fillId="20" borderId="2" xfId="0" applyFont="1" applyFill="1" applyBorder="1" applyAlignment="1">
      <alignment horizontal="left"/>
    </xf>
    <xf numFmtId="0" fontId="37" fillId="19" borderId="10" xfId="0" applyFont="1" applyFill="1" applyBorder="1" applyAlignment="1">
      <alignment horizontal="left" vertical="center" wrapText="1"/>
    </xf>
    <xf numFmtId="0" fontId="37" fillId="19" borderId="13" xfId="0" applyFont="1" applyFill="1" applyBorder="1" applyAlignment="1">
      <alignment horizontal="left" vertical="center" wrapText="1"/>
    </xf>
    <xf numFmtId="0" fontId="37" fillId="19" borderId="12" xfId="0" applyFont="1" applyFill="1" applyBorder="1" applyAlignment="1">
      <alignment horizontal="left" vertical="center" wrapText="1"/>
    </xf>
    <xf numFmtId="0" fontId="19" fillId="19" borderId="2" xfId="0" applyFont="1" applyFill="1" applyBorder="1" applyAlignment="1">
      <alignment horizontal="center" vertical="center"/>
    </xf>
    <xf numFmtId="0" fontId="19" fillId="3" borderId="10" xfId="0" applyFont="1" applyFill="1" applyBorder="1" applyAlignment="1">
      <alignment horizontal="center" vertical="center"/>
    </xf>
    <xf numFmtId="0" fontId="19" fillId="3" borderId="12" xfId="0" applyFont="1" applyFill="1" applyBorder="1" applyAlignment="1">
      <alignment horizontal="center" vertical="center"/>
    </xf>
    <xf numFmtId="0" fontId="44" fillId="19" borderId="17" xfId="0" applyFont="1" applyFill="1" applyBorder="1" applyAlignment="1">
      <alignment horizontal="left" vertical="top" wrapText="1"/>
    </xf>
    <xf numFmtId="0" fontId="44" fillId="19" borderId="1" xfId="0" applyFont="1" applyFill="1" applyBorder="1" applyAlignment="1">
      <alignment horizontal="left" vertical="top" wrapText="1"/>
    </xf>
    <xf numFmtId="0" fontId="54" fillId="19" borderId="10" xfId="15" applyFont="1" applyFill="1" applyBorder="1" applyAlignment="1">
      <alignment horizontal="left" vertical="center"/>
    </xf>
    <xf numFmtId="0" fontId="54" fillId="19" borderId="13" xfId="15" applyFont="1" applyFill="1" applyBorder="1" applyAlignment="1">
      <alignment horizontal="left" vertical="center"/>
    </xf>
    <xf numFmtId="0" fontId="54" fillId="19" borderId="12" xfId="15" applyFont="1" applyFill="1" applyBorder="1" applyAlignment="1">
      <alignment horizontal="left" vertical="center"/>
    </xf>
    <xf numFmtId="0" fontId="54" fillId="19" borderId="2" xfId="0" applyFont="1" applyFill="1" applyBorder="1" applyAlignment="1">
      <alignment horizontal="left"/>
    </xf>
  </cellXfs>
  <cellStyles count="16">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3" xfId="10" xr:uid="{00000000-0005-0000-0000-00000B000000}"/>
    <cellStyle name="Normal 6" xfId="5" xr:uid="{00000000-0005-0000-0000-00000C000000}"/>
    <cellStyle name="Normal 6 2" xfId="7" xr:uid="{00000000-0005-0000-0000-00000D000000}"/>
    <cellStyle name="Normal 6 2 2" xfId="13" xr:uid="{00000000-0005-0000-0000-00000E000000}"/>
    <cellStyle name="Normal 6 2 2 3" xfId="15" xr:uid="{D3EAFC3D-14BC-4717-A20D-60C792A0FFAA}"/>
    <cellStyle name="Normal 6 3" xfId="11" xr:uid="{00000000-0005-0000-0000-00000F000000}"/>
  </cellStyles>
  <dxfs count="0"/>
  <tableStyles count="0" defaultTableStyle="TableStyleMedium2" defaultPivotStyle="PivotStyleLight16"/>
  <colors>
    <mruColors>
      <color rgb="FFCC99FF"/>
      <color rgb="FFFA9AA8"/>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s>
</file>

<file path=xl/drawings/_rels/drawing9.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170702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170702</xdr:rowOff>
    </xdr:to>
    <xdr:pic>
      <xdr:nvPicPr>
        <xdr:cNvPr id="2" name="image1.jpeg">
          <a:extLst>
            <a:ext uri="{FF2B5EF4-FFF2-40B4-BE49-F238E27FC236}">
              <a16:creationId xmlns:a16="http://schemas.microsoft.com/office/drawing/2014/main" id="{7309ADBE-2E0C-443C-969D-547E1F729C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4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0945C711-42FF-40A2-98E6-A434C37166A0}"/>
            </a:ext>
          </a:extLst>
        </xdr:cNvPr>
        <xdr:cNvSpPr/>
      </xdr:nvSpPr>
      <xdr:spPr>
        <a:xfrm>
          <a:off x="9344025" y="222250"/>
          <a:ext cx="2838450" cy="17335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2B40F483-177D-4B80-A033-5FE312920F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4115" y="30161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59F2E93B-2E71-44DB-9301-4D39D18192B7}"/>
            </a:ext>
          </a:extLst>
        </xdr:cNvPr>
        <xdr:cNvSpPr/>
      </xdr:nvSpPr>
      <xdr:spPr>
        <a:xfrm>
          <a:off x="9401175" y="27209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205740</xdr:colOff>
      <xdr:row>4</xdr:row>
      <xdr:rowOff>38100</xdr:rowOff>
    </xdr:from>
    <xdr:to>
      <xdr:col>16</xdr:col>
      <xdr:colOff>321609</xdr:colOff>
      <xdr:row>10</xdr:row>
      <xdr:rowOff>76424</xdr:rowOff>
    </xdr:to>
    <xdr:sp macro="" textlink="">
      <xdr:nvSpPr>
        <xdr:cNvPr id="2" name="Left Arrow 5">
          <a:extLst>
            <a:ext uri="{FF2B5EF4-FFF2-40B4-BE49-F238E27FC236}">
              <a16:creationId xmlns:a16="http://schemas.microsoft.com/office/drawing/2014/main" id="{C03BFDB6-51B6-433A-937F-7782E7A7E4A2}"/>
            </a:ext>
          </a:extLst>
        </xdr:cNvPr>
        <xdr:cNvSpPr/>
      </xdr:nvSpPr>
      <xdr:spPr>
        <a:xfrm>
          <a:off x="7172325" y="762000"/>
          <a:ext cx="3163869"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438150</xdr:colOff>
      <xdr:row>3</xdr:row>
      <xdr:rowOff>91440</xdr:rowOff>
    </xdr:from>
    <xdr:to>
      <xdr:col>18</xdr:col>
      <xdr:colOff>554019</xdr:colOff>
      <xdr:row>9</xdr:row>
      <xdr:rowOff>129764</xdr:rowOff>
    </xdr:to>
    <xdr:sp macro="" textlink="">
      <xdr:nvSpPr>
        <xdr:cNvPr id="2" name="Left Arrow 5">
          <a:extLst>
            <a:ext uri="{FF2B5EF4-FFF2-40B4-BE49-F238E27FC236}">
              <a16:creationId xmlns:a16="http://schemas.microsoft.com/office/drawing/2014/main" id="{881B2478-B3DB-4D26-B10E-65605B5C4F24}"/>
            </a:ext>
          </a:extLst>
        </xdr:cNvPr>
        <xdr:cNvSpPr/>
      </xdr:nvSpPr>
      <xdr:spPr>
        <a:xfrm>
          <a:off x="8620125" y="634365"/>
          <a:ext cx="3163869"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69849</xdr:colOff>
      <xdr:row>28</xdr:row>
      <xdr:rowOff>92054</xdr:rowOff>
    </xdr:from>
    <xdr:to>
      <xdr:col>13</xdr:col>
      <xdr:colOff>2142375</xdr:colOff>
      <xdr:row>29</xdr:row>
      <xdr:rowOff>165356</xdr:rowOff>
    </xdr:to>
    <xdr:pic>
      <xdr:nvPicPr>
        <xdr:cNvPr id="2" name="Picture 1">
          <a:extLst>
            <a:ext uri="{FF2B5EF4-FFF2-40B4-BE49-F238E27FC236}">
              <a16:creationId xmlns:a16="http://schemas.microsoft.com/office/drawing/2014/main" id="{CA2CCC2E-6CB6-4434-A611-94F51D77109E}"/>
            </a:ext>
          </a:extLst>
        </xdr:cNvPr>
        <xdr:cNvPicPr>
          <a:picLocks noChangeAspect="1"/>
        </xdr:cNvPicPr>
      </xdr:nvPicPr>
      <xdr:blipFill>
        <a:blip xmlns:r="http://schemas.openxmlformats.org/officeDocument/2006/relationships" r:embed="rId1"/>
        <a:stretch>
          <a:fillRect/>
        </a:stretch>
      </xdr:blipFill>
      <xdr:spPr>
        <a:xfrm>
          <a:off x="15614649" y="7064354"/>
          <a:ext cx="4166121" cy="252372"/>
        </a:xfrm>
        <a:prstGeom prst="rect">
          <a:avLst/>
        </a:prstGeom>
      </xdr:spPr>
    </xdr:pic>
    <xdr:clientData/>
  </xdr:twoCellAnchor>
  <xdr:twoCellAnchor editAs="oneCell">
    <xdr:from>
      <xdr:col>10</xdr:col>
      <xdr:colOff>68261</xdr:colOff>
      <xdr:row>29</xdr:row>
      <xdr:rowOff>154718</xdr:rowOff>
    </xdr:from>
    <xdr:to>
      <xdr:col>13</xdr:col>
      <xdr:colOff>3182136</xdr:colOff>
      <xdr:row>36</xdr:row>
      <xdr:rowOff>56193</xdr:rowOff>
    </xdr:to>
    <xdr:pic>
      <xdr:nvPicPr>
        <xdr:cNvPr id="3" name="Picture 2">
          <a:extLst>
            <a:ext uri="{FF2B5EF4-FFF2-40B4-BE49-F238E27FC236}">
              <a16:creationId xmlns:a16="http://schemas.microsoft.com/office/drawing/2014/main" id="{56CA6B45-9171-442D-9B6C-1F54ABC82CE3}"/>
            </a:ext>
          </a:extLst>
        </xdr:cNvPr>
        <xdr:cNvPicPr>
          <a:picLocks noChangeAspect="1"/>
        </xdr:cNvPicPr>
      </xdr:nvPicPr>
      <xdr:blipFill>
        <a:blip xmlns:r="http://schemas.openxmlformats.org/officeDocument/2006/relationships" r:embed="rId2"/>
        <a:stretch>
          <a:fillRect/>
        </a:stretch>
      </xdr:blipFill>
      <xdr:spPr>
        <a:xfrm>
          <a:off x="15613061" y="7307993"/>
          <a:ext cx="5205565" cy="11721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263602</xdr:colOff>
      <xdr:row>38</xdr:row>
      <xdr:rowOff>62618</xdr:rowOff>
    </xdr:from>
    <xdr:to>
      <xdr:col>27</xdr:col>
      <xdr:colOff>567768</xdr:colOff>
      <xdr:row>58</xdr:row>
      <xdr:rowOff>101382</xdr:rowOff>
    </xdr:to>
    <xdr:pic>
      <xdr:nvPicPr>
        <xdr:cNvPr id="4" name="Picture 3">
          <a:extLst>
            <a:ext uri="{FF2B5EF4-FFF2-40B4-BE49-F238E27FC236}">
              <a16:creationId xmlns:a16="http://schemas.microsoft.com/office/drawing/2014/main" id="{4C38BCFE-95F6-4041-8CB8-3A36BED7ADA0}"/>
            </a:ext>
          </a:extLst>
        </xdr:cNvPr>
        <xdr:cNvPicPr>
          <a:picLocks noChangeAspect="1"/>
        </xdr:cNvPicPr>
      </xdr:nvPicPr>
      <xdr:blipFill>
        <a:blip xmlns:r="http://schemas.openxmlformats.org/officeDocument/2006/relationships" r:embed="rId1"/>
        <a:stretch>
          <a:fillRect/>
        </a:stretch>
      </xdr:blipFill>
      <xdr:spPr>
        <a:xfrm>
          <a:off x="23060102" y="7781396"/>
          <a:ext cx="5920388" cy="3707653"/>
        </a:xfrm>
        <a:prstGeom prst="rect">
          <a:avLst/>
        </a:prstGeom>
      </xdr:spPr>
    </xdr:pic>
    <xdr:clientData/>
  </xdr:twoCellAnchor>
  <xdr:twoCellAnchor editAs="oneCell">
    <xdr:from>
      <xdr:col>13</xdr:col>
      <xdr:colOff>547687</xdr:colOff>
      <xdr:row>20</xdr:row>
      <xdr:rowOff>179506</xdr:rowOff>
    </xdr:from>
    <xdr:to>
      <xdr:col>20</xdr:col>
      <xdr:colOff>69764</xdr:colOff>
      <xdr:row>31</xdr:row>
      <xdr:rowOff>123036</xdr:rowOff>
    </xdr:to>
    <xdr:pic>
      <xdr:nvPicPr>
        <xdr:cNvPr id="3" name="Picture 2">
          <a:extLst>
            <a:ext uri="{FF2B5EF4-FFF2-40B4-BE49-F238E27FC236}">
              <a16:creationId xmlns:a16="http://schemas.microsoft.com/office/drawing/2014/main" id="{A04A7619-AF44-4E65-96E3-799E297DF5FE}"/>
            </a:ext>
          </a:extLst>
        </xdr:cNvPr>
        <xdr:cNvPicPr>
          <a:picLocks noChangeAspect="1"/>
        </xdr:cNvPicPr>
      </xdr:nvPicPr>
      <xdr:blipFill>
        <a:blip xmlns:r="http://schemas.openxmlformats.org/officeDocument/2006/relationships" r:embed="rId2"/>
        <a:stretch>
          <a:fillRect/>
        </a:stretch>
      </xdr:blipFill>
      <xdr:spPr>
        <a:xfrm>
          <a:off x="19256375" y="4426069"/>
          <a:ext cx="4943389" cy="2332717"/>
        </a:xfrm>
        <a:prstGeom prst="rect">
          <a:avLst/>
        </a:prstGeom>
      </xdr:spPr>
    </xdr:pic>
    <xdr:clientData/>
  </xdr:twoCellAnchor>
  <xdr:twoCellAnchor editAs="oneCell">
    <xdr:from>
      <xdr:col>14</xdr:col>
      <xdr:colOff>169331</xdr:colOff>
      <xdr:row>59</xdr:row>
      <xdr:rowOff>105833</xdr:rowOff>
    </xdr:from>
    <xdr:to>
      <xdr:col>25</xdr:col>
      <xdr:colOff>587577</xdr:colOff>
      <xdr:row>70</xdr:row>
      <xdr:rowOff>21101</xdr:rowOff>
    </xdr:to>
    <xdr:pic>
      <xdr:nvPicPr>
        <xdr:cNvPr id="2" name="Picture 1">
          <a:extLst>
            <a:ext uri="{FF2B5EF4-FFF2-40B4-BE49-F238E27FC236}">
              <a16:creationId xmlns:a16="http://schemas.microsoft.com/office/drawing/2014/main" id="{4407A136-471E-4CB7-9F8E-1C1412273291}"/>
            </a:ext>
          </a:extLst>
        </xdr:cNvPr>
        <xdr:cNvPicPr>
          <a:picLocks noChangeAspect="1"/>
        </xdr:cNvPicPr>
      </xdr:nvPicPr>
      <xdr:blipFill>
        <a:blip xmlns:r="http://schemas.openxmlformats.org/officeDocument/2006/relationships" r:embed="rId3"/>
        <a:stretch>
          <a:fillRect/>
        </a:stretch>
      </xdr:blipFill>
      <xdr:spPr>
        <a:xfrm>
          <a:off x="19967220" y="11655777"/>
          <a:ext cx="7706635" cy="19825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497115</xdr:colOff>
      <xdr:row>76</xdr:row>
      <xdr:rowOff>278492</xdr:rowOff>
    </xdr:from>
    <xdr:to>
      <xdr:col>18</xdr:col>
      <xdr:colOff>516656</xdr:colOff>
      <xdr:row>79</xdr:row>
      <xdr:rowOff>134844</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7959615" y="16756742"/>
          <a:ext cx="2672571" cy="1104762"/>
        </a:xfrm>
        <a:prstGeom prst="rect">
          <a:avLst/>
        </a:prstGeom>
      </xdr:spPr>
    </xdr:pic>
    <xdr:clientData/>
  </xdr:twoCellAnchor>
  <xdr:twoCellAnchor editAs="oneCell">
    <xdr:from>
      <xdr:col>11</xdr:col>
      <xdr:colOff>0</xdr:colOff>
      <xdr:row>246</xdr:row>
      <xdr:rowOff>0</xdr:rowOff>
    </xdr:from>
    <xdr:to>
      <xdr:col>14</xdr:col>
      <xdr:colOff>626601</xdr:colOff>
      <xdr:row>248</xdr:row>
      <xdr:rowOff>130671</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15405100" y="53409850"/>
          <a:ext cx="2672571" cy="1104762"/>
        </a:xfrm>
        <a:prstGeom prst="rect">
          <a:avLst/>
        </a:prstGeom>
      </xdr:spPr>
    </xdr:pic>
    <xdr:clientData/>
  </xdr:twoCellAnchor>
  <xdr:twoCellAnchor editAs="oneCell">
    <xdr:from>
      <xdr:col>13</xdr:col>
      <xdr:colOff>0</xdr:colOff>
      <xdr:row>117</xdr:row>
      <xdr:rowOff>0</xdr:rowOff>
    </xdr:from>
    <xdr:to>
      <xdr:col>17</xdr:col>
      <xdr:colOff>17636</xdr:colOff>
      <xdr:row>122</xdr:row>
      <xdr:rowOff>37962</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16802100" y="25393650"/>
          <a:ext cx="2672571" cy="1104762"/>
        </a:xfrm>
        <a:prstGeom prst="rect">
          <a:avLst/>
        </a:prstGeom>
      </xdr:spPr>
    </xdr:pic>
    <xdr:clientData/>
  </xdr:twoCellAnchor>
  <xdr:twoCellAnchor editAs="oneCell">
    <xdr:from>
      <xdr:col>15</xdr:col>
      <xdr:colOff>266700</xdr:colOff>
      <xdr:row>18</xdr:row>
      <xdr:rowOff>76200</xdr:rowOff>
    </xdr:from>
    <xdr:to>
      <xdr:col>37</xdr:col>
      <xdr:colOff>174089</xdr:colOff>
      <xdr:row>40</xdr:row>
      <xdr:rowOff>21033</xdr:rowOff>
    </xdr:to>
    <xdr:pic>
      <xdr:nvPicPr>
        <xdr:cNvPr id="5" name="Picture 4">
          <a:extLst>
            <a:ext uri="{FF2B5EF4-FFF2-40B4-BE49-F238E27FC236}">
              <a16:creationId xmlns:a16="http://schemas.microsoft.com/office/drawing/2014/main" id="{CE66811A-513E-4C6E-9D97-47003A157A8E}"/>
            </a:ext>
          </a:extLst>
        </xdr:cNvPr>
        <xdr:cNvPicPr>
          <a:picLocks noChangeAspect="1"/>
        </xdr:cNvPicPr>
      </xdr:nvPicPr>
      <xdr:blipFill>
        <a:blip xmlns:r="http://schemas.openxmlformats.org/officeDocument/2006/relationships" r:embed="rId2"/>
        <a:stretch>
          <a:fillRect/>
        </a:stretch>
      </xdr:blipFill>
      <xdr:spPr>
        <a:xfrm>
          <a:off x="18440400" y="4508500"/>
          <a:ext cx="14447619" cy="4457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15</xdr:col>
      <xdr:colOff>246064</xdr:colOff>
      <xdr:row>55</xdr:row>
      <xdr:rowOff>66146</xdr:rowOff>
    </xdr:from>
    <xdr:to>
      <xdr:col>25</xdr:col>
      <xdr:colOff>574254</xdr:colOff>
      <xdr:row>60</xdr:row>
      <xdr:rowOff>96334</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1"/>
        <a:stretch>
          <a:fillRect/>
        </a:stretch>
      </xdr:blipFill>
      <xdr:spPr>
        <a:xfrm>
          <a:off x="19641345" y="9281584"/>
          <a:ext cx="7543378" cy="1899470"/>
        </a:xfrm>
        <a:prstGeom prst="rect">
          <a:avLst/>
        </a:prstGeom>
      </xdr:spPr>
    </xdr:pic>
    <xdr:clientData/>
  </xdr:twoCellAnchor>
  <xdr:twoCellAnchor editAs="oneCell">
    <xdr:from>
      <xdr:col>15</xdr:col>
      <xdr:colOff>219603</xdr:colOff>
      <xdr:row>63</xdr:row>
      <xdr:rowOff>142875</xdr:rowOff>
    </xdr:from>
    <xdr:to>
      <xdr:col>33</xdr:col>
      <xdr:colOff>560935</xdr:colOff>
      <xdr:row>75</xdr:row>
      <xdr:rowOff>142485</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2"/>
        <a:stretch>
          <a:fillRect/>
        </a:stretch>
      </xdr:blipFill>
      <xdr:spPr>
        <a:xfrm>
          <a:off x="19614884" y="11465719"/>
          <a:ext cx="12423795" cy="3123810"/>
        </a:xfrm>
        <a:prstGeom prst="rect">
          <a:avLst/>
        </a:prstGeom>
      </xdr:spPr>
    </xdr:pic>
    <xdr:clientData/>
  </xdr:twoCellAnchor>
  <xdr:twoCellAnchor editAs="oneCell">
    <xdr:from>
      <xdr:col>15</xdr:col>
      <xdr:colOff>24553</xdr:colOff>
      <xdr:row>9</xdr:row>
      <xdr:rowOff>190500</xdr:rowOff>
    </xdr:from>
    <xdr:to>
      <xdr:col>29</xdr:col>
      <xdr:colOff>122385</xdr:colOff>
      <xdr:row>15</xdr:row>
      <xdr:rowOff>78799</xdr:rowOff>
    </xdr:to>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3"/>
        <a:stretch>
          <a:fillRect/>
        </a:stretch>
      </xdr:blipFill>
      <xdr:spPr>
        <a:xfrm>
          <a:off x="20293753" y="2072640"/>
          <a:ext cx="10221637" cy="1633279"/>
        </a:xfrm>
        <a:prstGeom prst="rect">
          <a:avLst/>
        </a:prstGeom>
      </xdr:spPr>
    </xdr:pic>
    <xdr:clientData/>
  </xdr:twoCellAnchor>
  <xdr:twoCellAnchor>
    <xdr:from>
      <xdr:col>15</xdr:col>
      <xdr:colOff>695854</xdr:colOff>
      <xdr:row>67</xdr:row>
      <xdr:rowOff>85991</xdr:rowOff>
    </xdr:from>
    <xdr:to>
      <xdr:col>23</xdr:col>
      <xdr:colOff>25136</xdr:colOff>
      <xdr:row>74</xdr:row>
      <xdr:rowOff>11907</xdr:rowOff>
    </xdr:to>
    <xdr:sp macro="" textlink="">
      <xdr:nvSpPr>
        <xdr:cNvPr id="2" name="Rectangle 1">
          <a:extLst>
            <a:ext uri="{FF2B5EF4-FFF2-40B4-BE49-F238E27FC236}">
              <a16:creationId xmlns:a16="http://schemas.microsoft.com/office/drawing/2014/main" id="{00000000-0008-0000-0D00-000002000000}"/>
            </a:ext>
          </a:extLst>
        </xdr:cNvPr>
        <xdr:cNvSpPr/>
      </xdr:nvSpPr>
      <xdr:spPr>
        <a:xfrm>
          <a:off x="20091135" y="13004272"/>
          <a:ext cx="5330032" cy="12594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216958</xdr:colOff>
      <xdr:row>65</xdr:row>
      <xdr:rowOff>367772</xdr:rowOff>
    </xdr:from>
    <xdr:to>
      <xdr:col>26</xdr:col>
      <xdr:colOff>322792</xdr:colOff>
      <xdr:row>72</xdr:row>
      <xdr:rowOff>127001</xdr:rowOff>
    </xdr:to>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25612989" y="12428803"/>
          <a:ext cx="1927491" cy="14499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These VTF values can be used directly for VT</a:t>
          </a:r>
          <a:r>
            <a:rPr lang="en-US" sz="1100" baseline="0">
              <a:solidFill>
                <a:srgbClr val="FF0000"/>
              </a:solidFill>
            </a:rPr>
            <a:t> under the Table 110.6 Default scenario.  Under the NA6 Default scenario, the user must input the VTC and the form should use the equation to calc VT.</a:t>
          </a:r>
          <a:endParaRPr lang="en-US" sz="1100">
            <a:solidFill>
              <a:srgbClr val="FF0000"/>
            </a:solidFill>
          </a:endParaRPr>
        </a:p>
      </xdr:txBody>
    </xdr:sp>
    <xdr:clientData/>
  </xdr:twoCellAnchor>
  <xdr:twoCellAnchor>
    <xdr:from>
      <xdr:col>15</xdr:col>
      <xdr:colOff>1279260</xdr:colOff>
      <xdr:row>64</xdr:row>
      <xdr:rowOff>353219</xdr:rowOff>
    </xdr:from>
    <xdr:to>
      <xdr:col>19</xdr:col>
      <xdr:colOff>485511</xdr:colOff>
      <xdr:row>66</xdr:row>
      <xdr:rowOff>271199</xdr:rowOff>
    </xdr:to>
    <xdr:sp macro="" textlink="">
      <xdr:nvSpPr>
        <xdr:cNvPr id="10" name="TextBox 9">
          <a:extLst>
            <a:ext uri="{FF2B5EF4-FFF2-40B4-BE49-F238E27FC236}">
              <a16:creationId xmlns:a16="http://schemas.microsoft.com/office/drawing/2014/main" id="{00000000-0008-0000-0D00-00000A000000}"/>
            </a:ext>
          </a:extLst>
        </xdr:cNvPr>
        <xdr:cNvSpPr txBox="1"/>
      </xdr:nvSpPr>
      <xdr:spPr>
        <a:xfrm>
          <a:off x="20674541" y="12045157"/>
          <a:ext cx="2778126" cy="656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 equation is cut off to the right here, but it's:</a:t>
          </a:r>
        </a:p>
        <a:p>
          <a:r>
            <a:rPr lang="en-US" sz="1100">
              <a:solidFill>
                <a:srgbClr val="FF0000"/>
              </a:solidFill>
            </a:rPr>
            <a:t>VT</a:t>
          </a:r>
          <a:r>
            <a:rPr lang="en-US" sz="1100" baseline="0">
              <a:solidFill>
                <a:srgbClr val="FF0000"/>
              </a:solidFill>
            </a:rPr>
            <a:t> = VTF x VTC.  Note VTC is user input.</a:t>
          </a:r>
          <a:endParaRPr lang="en-US" sz="1100">
            <a:solidFill>
              <a:srgbClr val="FF0000"/>
            </a:solidFill>
          </a:endParaRPr>
        </a:p>
      </xdr:txBody>
    </xdr:sp>
    <xdr:clientData/>
  </xdr:twoCellAnchor>
  <xdr:twoCellAnchor editAs="oneCell">
    <xdr:from>
      <xdr:col>15</xdr:col>
      <xdr:colOff>83343</xdr:colOff>
      <xdr:row>95</xdr:row>
      <xdr:rowOff>119062</xdr:rowOff>
    </xdr:from>
    <xdr:to>
      <xdr:col>23</xdr:col>
      <xdr:colOff>592904</xdr:colOff>
      <xdr:row>116</xdr:row>
      <xdr:rowOff>218642</xdr:rowOff>
    </xdr:to>
    <xdr:pic>
      <xdr:nvPicPr>
        <xdr:cNvPr id="13" name="Picture 12">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4"/>
        <a:stretch>
          <a:fillRect/>
        </a:stretch>
      </xdr:blipFill>
      <xdr:spPr>
        <a:xfrm>
          <a:off x="19478624" y="15394781"/>
          <a:ext cx="6510311" cy="4375398"/>
        </a:xfrm>
        <a:prstGeom prst="rect">
          <a:avLst/>
        </a:prstGeom>
      </xdr:spPr>
    </xdr:pic>
    <xdr:clientData/>
  </xdr:twoCellAnchor>
  <xdr:twoCellAnchor editAs="oneCell">
    <xdr:from>
      <xdr:col>14</xdr:col>
      <xdr:colOff>137583</xdr:colOff>
      <xdr:row>117</xdr:row>
      <xdr:rowOff>211666</xdr:rowOff>
    </xdr:from>
    <xdr:to>
      <xdr:col>21</xdr:col>
      <xdr:colOff>466464</xdr:colOff>
      <xdr:row>134</xdr:row>
      <xdr:rowOff>67539</xdr:rowOff>
    </xdr:to>
    <xdr:pic>
      <xdr:nvPicPr>
        <xdr:cNvPr id="14" name="Picture 13">
          <a:extLst>
            <a:ext uri="{FF2B5EF4-FFF2-40B4-BE49-F238E27FC236}">
              <a16:creationId xmlns:a16="http://schemas.microsoft.com/office/drawing/2014/main" id="{00000000-0008-0000-0D00-00000E000000}"/>
            </a:ext>
          </a:extLst>
        </xdr:cNvPr>
        <xdr:cNvPicPr>
          <a:picLocks noChangeAspect="1"/>
        </xdr:cNvPicPr>
      </xdr:nvPicPr>
      <xdr:blipFill>
        <a:blip xmlns:r="http://schemas.openxmlformats.org/officeDocument/2006/relationships" r:embed="rId5"/>
        <a:stretch>
          <a:fillRect/>
        </a:stretch>
      </xdr:blipFill>
      <xdr:spPr>
        <a:xfrm>
          <a:off x="19532864" y="20285604"/>
          <a:ext cx="5667984" cy="3647619"/>
        </a:xfrm>
        <a:prstGeom prst="rect">
          <a:avLst/>
        </a:prstGeom>
      </xdr:spPr>
    </xdr:pic>
    <xdr:clientData/>
  </xdr:twoCellAnchor>
  <xdr:twoCellAnchor editAs="oneCell">
    <xdr:from>
      <xdr:col>15</xdr:col>
      <xdr:colOff>109483</xdr:colOff>
      <xdr:row>138</xdr:row>
      <xdr:rowOff>-1</xdr:rowOff>
    </xdr:from>
    <xdr:to>
      <xdr:col>27</xdr:col>
      <xdr:colOff>123606</xdr:colOff>
      <xdr:row>147</xdr:row>
      <xdr:rowOff>276656</xdr:rowOff>
    </xdr:to>
    <xdr:pic>
      <xdr:nvPicPr>
        <xdr:cNvPr id="4" name="Picture 3">
          <a:extLst>
            <a:ext uri="{FF2B5EF4-FFF2-40B4-BE49-F238E27FC236}">
              <a16:creationId xmlns:a16="http://schemas.microsoft.com/office/drawing/2014/main" id="{4D56B079-EF70-4120-ABC2-97137D5D4FF9}"/>
            </a:ext>
          </a:extLst>
        </xdr:cNvPr>
        <xdr:cNvPicPr>
          <a:picLocks noChangeAspect="1"/>
        </xdr:cNvPicPr>
      </xdr:nvPicPr>
      <xdr:blipFill>
        <a:blip xmlns:r="http://schemas.openxmlformats.org/officeDocument/2006/relationships" r:embed="rId6"/>
        <a:stretch>
          <a:fillRect/>
        </a:stretch>
      </xdr:blipFill>
      <xdr:spPr>
        <a:xfrm>
          <a:off x="20987845" y="28323189"/>
          <a:ext cx="9087069" cy="2857275"/>
        </a:xfrm>
        <a:prstGeom prst="rect">
          <a:avLst/>
        </a:prstGeom>
      </xdr:spPr>
    </xdr:pic>
    <xdr:clientData/>
  </xdr:twoCellAnchor>
  <xdr:twoCellAnchor editAs="oneCell">
    <xdr:from>
      <xdr:col>15</xdr:col>
      <xdr:colOff>218965</xdr:colOff>
      <xdr:row>147</xdr:row>
      <xdr:rowOff>331437</xdr:rowOff>
    </xdr:from>
    <xdr:to>
      <xdr:col>25</xdr:col>
      <xdr:colOff>580258</xdr:colOff>
      <xdr:row>162</xdr:row>
      <xdr:rowOff>163915</xdr:rowOff>
    </xdr:to>
    <xdr:pic>
      <xdr:nvPicPr>
        <xdr:cNvPr id="6" name="Picture 5">
          <a:extLst>
            <a:ext uri="{FF2B5EF4-FFF2-40B4-BE49-F238E27FC236}">
              <a16:creationId xmlns:a16="http://schemas.microsoft.com/office/drawing/2014/main" id="{B4DFFD36-823A-430C-B979-D9BA8DF88810}"/>
            </a:ext>
          </a:extLst>
        </xdr:cNvPr>
        <xdr:cNvPicPr>
          <a:picLocks noChangeAspect="1"/>
        </xdr:cNvPicPr>
      </xdr:nvPicPr>
      <xdr:blipFill>
        <a:blip xmlns:r="http://schemas.openxmlformats.org/officeDocument/2006/relationships" r:embed="rId7"/>
        <a:stretch>
          <a:fillRect/>
        </a:stretch>
      </xdr:blipFill>
      <xdr:spPr>
        <a:xfrm>
          <a:off x="21097327" y="31238420"/>
          <a:ext cx="8123621" cy="3559490"/>
        </a:xfrm>
        <a:prstGeom prst="rect">
          <a:avLst/>
        </a:prstGeom>
      </xdr:spPr>
    </xdr:pic>
    <xdr:clientData/>
  </xdr:twoCellAnchor>
  <xdr:twoCellAnchor editAs="oneCell">
    <xdr:from>
      <xdr:col>15</xdr:col>
      <xdr:colOff>198437</xdr:colOff>
      <xdr:row>164</xdr:row>
      <xdr:rowOff>134938</xdr:rowOff>
    </xdr:from>
    <xdr:to>
      <xdr:col>26</xdr:col>
      <xdr:colOff>25400</xdr:colOff>
      <xdr:row>170</xdr:row>
      <xdr:rowOff>115033</xdr:rowOff>
    </xdr:to>
    <xdr:pic>
      <xdr:nvPicPr>
        <xdr:cNvPr id="7" name="Picture 6">
          <a:extLst>
            <a:ext uri="{FF2B5EF4-FFF2-40B4-BE49-F238E27FC236}">
              <a16:creationId xmlns:a16="http://schemas.microsoft.com/office/drawing/2014/main" id="{68F5E837-451B-4A8A-A394-D4474E7A24D6}"/>
            </a:ext>
          </a:extLst>
        </xdr:cNvPr>
        <xdr:cNvPicPr>
          <a:picLocks noChangeAspect="1"/>
        </xdr:cNvPicPr>
      </xdr:nvPicPr>
      <xdr:blipFill>
        <a:blip xmlns:r="http://schemas.openxmlformats.org/officeDocument/2006/relationships" r:embed="rId8"/>
        <a:stretch>
          <a:fillRect/>
        </a:stretch>
      </xdr:blipFill>
      <xdr:spPr>
        <a:xfrm>
          <a:off x="21097875" y="35004376"/>
          <a:ext cx="8270875" cy="1075470"/>
        </a:xfrm>
        <a:prstGeom prst="rect">
          <a:avLst/>
        </a:prstGeom>
      </xdr:spPr>
    </xdr:pic>
    <xdr:clientData/>
  </xdr:twoCellAnchor>
  <xdr:twoCellAnchor editAs="oneCell">
    <xdr:from>
      <xdr:col>30</xdr:col>
      <xdr:colOff>309563</xdr:colOff>
      <xdr:row>36</xdr:row>
      <xdr:rowOff>163941</xdr:rowOff>
    </xdr:from>
    <xdr:to>
      <xdr:col>44</xdr:col>
      <xdr:colOff>152230</xdr:colOff>
      <xdr:row>39</xdr:row>
      <xdr:rowOff>161806</xdr:rowOff>
    </xdr:to>
    <xdr:pic>
      <xdr:nvPicPr>
        <xdr:cNvPr id="8" name="Picture 7">
          <a:extLst>
            <a:ext uri="{FF2B5EF4-FFF2-40B4-BE49-F238E27FC236}">
              <a16:creationId xmlns:a16="http://schemas.microsoft.com/office/drawing/2014/main" id="{AD7F0903-A364-424D-BB05-7BFD1EC3250F}"/>
            </a:ext>
          </a:extLst>
        </xdr:cNvPr>
        <xdr:cNvPicPr>
          <a:picLocks noChangeAspect="1"/>
        </xdr:cNvPicPr>
      </xdr:nvPicPr>
      <xdr:blipFill>
        <a:blip xmlns:r="http://schemas.openxmlformats.org/officeDocument/2006/relationships" r:embed="rId9"/>
        <a:stretch>
          <a:fillRect/>
        </a:stretch>
      </xdr:blipFill>
      <xdr:spPr>
        <a:xfrm>
          <a:off x="32281813" y="5085191"/>
          <a:ext cx="9066042" cy="613815"/>
        </a:xfrm>
        <a:prstGeom prst="rect">
          <a:avLst/>
        </a:prstGeom>
      </xdr:spPr>
    </xdr:pic>
    <xdr:clientData/>
  </xdr:twoCellAnchor>
  <xdr:twoCellAnchor editAs="oneCell">
    <xdr:from>
      <xdr:col>30</xdr:col>
      <xdr:colOff>357188</xdr:colOff>
      <xdr:row>39</xdr:row>
      <xdr:rowOff>114445</xdr:rowOff>
    </xdr:from>
    <xdr:to>
      <xdr:col>44</xdr:col>
      <xdr:colOff>325293</xdr:colOff>
      <xdr:row>48</xdr:row>
      <xdr:rowOff>47200</xdr:rowOff>
    </xdr:to>
    <xdr:pic>
      <xdr:nvPicPr>
        <xdr:cNvPr id="9" name="Picture 8">
          <a:extLst>
            <a:ext uri="{FF2B5EF4-FFF2-40B4-BE49-F238E27FC236}">
              <a16:creationId xmlns:a16="http://schemas.microsoft.com/office/drawing/2014/main" id="{539B17B0-23E1-4D9A-9BED-DB286EF3FE47}"/>
            </a:ext>
          </a:extLst>
        </xdr:cNvPr>
        <xdr:cNvPicPr>
          <a:picLocks noChangeAspect="1"/>
        </xdr:cNvPicPr>
      </xdr:nvPicPr>
      <xdr:blipFill>
        <a:blip xmlns:r="http://schemas.openxmlformats.org/officeDocument/2006/relationships" r:embed="rId10"/>
        <a:stretch>
          <a:fillRect/>
        </a:stretch>
      </xdr:blipFill>
      <xdr:spPr>
        <a:xfrm>
          <a:off x="32329438" y="5654820"/>
          <a:ext cx="9191480" cy="2253680"/>
        </a:xfrm>
        <a:prstGeom prst="rect">
          <a:avLst/>
        </a:prstGeom>
      </xdr:spPr>
    </xdr:pic>
    <xdr:clientData/>
  </xdr:twoCellAnchor>
  <xdr:twoCellAnchor editAs="oneCell">
    <xdr:from>
      <xdr:col>15</xdr:col>
      <xdr:colOff>182562</xdr:colOff>
      <xdr:row>35</xdr:row>
      <xdr:rowOff>92152</xdr:rowOff>
    </xdr:from>
    <xdr:to>
      <xdr:col>25</xdr:col>
      <xdr:colOff>349556</xdr:colOff>
      <xdr:row>51</xdr:row>
      <xdr:rowOff>188295</xdr:rowOff>
    </xdr:to>
    <xdr:pic>
      <xdr:nvPicPr>
        <xdr:cNvPr id="5" name="Picture 4">
          <a:extLst>
            <a:ext uri="{FF2B5EF4-FFF2-40B4-BE49-F238E27FC236}">
              <a16:creationId xmlns:a16="http://schemas.microsoft.com/office/drawing/2014/main" id="{938B6483-41ED-47E1-8F56-CA55CA26714E}"/>
            </a:ext>
          </a:extLst>
        </xdr:cNvPr>
        <xdr:cNvPicPr>
          <a:picLocks noChangeAspect="1"/>
        </xdr:cNvPicPr>
      </xdr:nvPicPr>
      <xdr:blipFill>
        <a:blip xmlns:r="http://schemas.openxmlformats.org/officeDocument/2006/relationships" r:embed="rId11"/>
        <a:stretch>
          <a:fillRect/>
        </a:stretch>
      </xdr:blipFill>
      <xdr:spPr>
        <a:xfrm>
          <a:off x="21613812" y="8029652"/>
          <a:ext cx="7945744" cy="382518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246064</xdr:colOff>
      <xdr:row>55</xdr:row>
      <xdr:rowOff>66146</xdr:rowOff>
    </xdr:from>
    <xdr:to>
      <xdr:col>25</xdr:col>
      <xdr:colOff>574254</xdr:colOff>
      <xdr:row>60</xdr:row>
      <xdr:rowOff>96334</xdr:rowOff>
    </xdr:to>
    <xdr:pic>
      <xdr:nvPicPr>
        <xdr:cNvPr id="2" name="Picture 1">
          <a:extLst>
            <a:ext uri="{FF2B5EF4-FFF2-40B4-BE49-F238E27FC236}">
              <a16:creationId xmlns:a16="http://schemas.microsoft.com/office/drawing/2014/main" id="{0236461C-EA0F-4495-BE60-9658D4279438}"/>
            </a:ext>
          </a:extLst>
        </xdr:cNvPr>
        <xdr:cNvPicPr>
          <a:picLocks noChangeAspect="1"/>
        </xdr:cNvPicPr>
      </xdr:nvPicPr>
      <xdr:blipFill>
        <a:blip xmlns:r="http://schemas.openxmlformats.org/officeDocument/2006/relationships" r:embed="rId1"/>
        <a:stretch>
          <a:fillRect/>
        </a:stretch>
      </xdr:blipFill>
      <xdr:spPr>
        <a:xfrm>
          <a:off x="21664614" y="13032846"/>
          <a:ext cx="8119640" cy="1909788"/>
        </a:xfrm>
        <a:prstGeom prst="rect">
          <a:avLst/>
        </a:prstGeom>
      </xdr:spPr>
    </xdr:pic>
    <xdr:clientData/>
  </xdr:twoCellAnchor>
  <xdr:twoCellAnchor editAs="oneCell">
    <xdr:from>
      <xdr:col>15</xdr:col>
      <xdr:colOff>219603</xdr:colOff>
      <xdr:row>63</xdr:row>
      <xdr:rowOff>142875</xdr:rowOff>
    </xdr:from>
    <xdr:to>
      <xdr:col>33</xdr:col>
      <xdr:colOff>570460</xdr:colOff>
      <xdr:row>75</xdr:row>
      <xdr:rowOff>142485</xdr:rowOff>
    </xdr:to>
    <xdr:pic>
      <xdr:nvPicPr>
        <xdr:cNvPr id="3" name="Picture 2">
          <a:extLst>
            <a:ext uri="{FF2B5EF4-FFF2-40B4-BE49-F238E27FC236}">
              <a16:creationId xmlns:a16="http://schemas.microsoft.com/office/drawing/2014/main" id="{9F1D374F-2B28-418D-B3F7-003DF971E39F}"/>
            </a:ext>
          </a:extLst>
        </xdr:cNvPr>
        <xdr:cNvPicPr>
          <a:picLocks noChangeAspect="1"/>
        </xdr:cNvPicPr>
      </xdr:nvPicPr>
      <xdr:blipFill>
        <a:blip xmlns:r="http://schemas.openxmlformats.org/officeDocument/2006/relationships" r:embed="rId2"/>
        <a:stretch>
          <a:fillRect/>
        </a:stretch>
      </xdr:blipFill>
      <xdr:spPr>
        <a:xfrm>
          <a:off x="21638153" y="16005175"/>
          <a:ext cx="13425507" cy="3069835"/>
        </a:xfrm>
        <a:prstGeom prst="rect">
          <a:avLst/>
        </a:prstGeom>
      </xdr:spPr>
    </xdr:pic>
    <xdr:clientData/>
  </xdr:twoCellAnchor>
  <xdr:twoCellAnchor editAs="oneCell">
    <xdr:from>
      <xdr:col>15</xdr:col>
      <xdr:colOff>24553</xdr:colOff>
      <xdr:row>9</xdr:row>
      <xdr:rowOff>190500</xdr:rowOff>
    </xdr:from>
    <xdr:to>
      <xdr:col>29</xdr:col>
      <xdr:colOff>122385</xdr:colOff>
      <xdr:row>15</xdr:row>
      <xdr:rowOff>78799</xdr:rowOff>
    </xdr:to>
    <xdr:pic>
      <xdr:nvPicPr>
        <xdr:cNvPr id="4" name="Picture 3">
          <a:extLst>
            <a:ext uri="{FF2B5EF4-FFF2-40B4-BE49-F238E27FC236}">
              <a16:creationId xmlns:a16="http://schemas.microsoft.com/office/drawing/2014/main" id="{C18683A0-1039-4FDC-A29A-27E49AF6D7DF}"/>
            </a:ext>
          </a:extLst>
        </xdr:cNvPr>
        <xdr:cNvPicPr>
          <a:picLocks noChangeAspect="1"/>
        </xdr:cNvPicPr>
      </xdr:nvPicPr>
      <xdr:blipFill>
        <a:blip xmlns:r="http://schemas.openxmlformats.org/officeDocument/2006/relationships" r:embed="rId3"/>
        <a:stretch>
          <a:fillRect/>
        </a:stretch>
      </xdr:blipFill>
      <xdr:spPr>
        <a:xfrm>
          <a:off x="21443103" y="2076450"/>
          <a:ext cx="10527707" cy="1640899"/>
        </a:xfrm>
        <a:prstGeom prst="rect">
          <a:avLst/>
        </a:prstGeom>
      </xdr:spPr>
    </xdr:pic>
    <xdr:clientData/>
  </xdr:twoCellAnchor>
  <xdr:twoCellAnchor>
    <xdr:from>
      <xdr:col>15</xdr:col>
      <xdr:colOff>695854</xdr:colOff>
      <xdr:row>67</xdr:row>
      <xdr:rowOff>85991</xdr:rowOff>
    </xdr:from>
    <xdr:to>
      <xdr:col>23</xdr:col>
      <xdr:colOff>25136</xdr:colOff>
      <xdr:row>74</xdr:row>
      <xdr:rowOff>11907</xdr:rowOff>
    </xdr:to>
    <xdr:sp macro="" textlink="">
      <xdr:nvSpPr>
        <xdr:cNvPr id="5" name="Rectangle 4">
          <a:extLst>
            <a:ext uri="{FF2B5EF4-FFF2-40B4-BE49-F238E27FC236}">
              <a16:creationId xmlns:a16="http://schemas.microsoft.com/office/drawing/2014/main" id="{C7D3F5A5-6C15-4CC0-9EB7-74FD29DDEFA0}"/>
            </a:ext>
          </a:extLst>
        </xdr:cNvPr>
        <xdr:cNvSpPr/>
      </xdr:nvSpPr>
      <xdr:spPr>
        <a:xfrm>
          <a:off x="22114404" y="17421491"/>
          <a:ext cx="5799932" cy="12213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216958</xdr:colOff>
      <xdr:row>65</xdr:row>
      <xdr:rowOff>367772</xdr:rowOff>
    </xdr:from>
    <xdr:to>
      <xdr:col>26</xdr:col>
      <xdr:colOff>322792</xdr:colOff>
      <xdr:row>72</xdr:row>
      <xdr:rowOff>127001</xdr:rowOff>
    </xdr:to>
    <xdr:sp macro="" textlink="">
      <xdr:nvSpPr>
        <xdr:cNvPr id="6" name="TextBox 5">
          <a:extLst>
            <a:ext uri="{FF2B5EF4-FFF2-40B4-BE49-F238E27FC236}">
              <a16:creationId xmlns:a16="http://schemas.microsoft.com/office/drawing/2014/main" id="{E9AED14D-F33D-434B-836F-628C8FBB9B13}"/>
            </a:ext>
          </a:extLst>
        </xdr:cNvPr>
        <xdr:cNvSpPr txBox="1"/>
      </xdr:nvSpPr>
      <xdr:spPr>
        <a:xfrm>
          <a:off x="28106158" y="16966672"/>
          <a:ext cx="2087034" cy="14229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These VTF values can be used directly for VT</a:t>
          </a:r>
          <a:r>
            <a:rPr lang="en-US" sz="1100" baseline="0">
              <a:solidFill>
                <a:srgbClr val="FF0000"/>
              </a:solidFill>
            </a:rPr>
            <a:t> under the Table 110.6 Default scenario.  Under the NA6 Default scenario, the user must input the VTC and the form should use the equation to calc VT.</a:t>
          </a:r>
          <a:endParaRPr lang="en-US" sz="1100">
            <a:solidFill>
              <a:srgbClr val="FF0000"/>
            </a:solidFill>
          </a:endParaRPr>
        </a:p>
      </xdr:txBody>
    </xdr:sp>
    <xdr:clientData/>
  </xdr:twoCellAnchor>
  <xdr:twoCellAnchor>
    <xdr:from>
      <xdr:col>15</xdr:col>
      <xdr:colOff>1279260</xdr:colOff>
      <xdr:row>64</xdr:row>
      <xdr:rowOff>353219</xdr:rowOff>
    </xdr:from>
    <xdr:to>
      <xdr:col>19</xdr:col>
      <xdr:colOff>485511</xdr:colOff>
      <xdr:row>66</xdr:row>
      <xdr:rowOff>271199</xdr:rowOff>
    </xdr:to>
    <xdr:sp macro="" textlink="">
      <xdr:nvSpPr>
        <xdr:cNvPr id="7" name="TextBox 6">
          <a:extLst>
            <a:ext uri="{FF2B5EF4-FFF2-40B4-BE49-F238E27FC236}">
              <a16:creationId xmlns:a16="http://schemas.microsoft.com/office/drawing/2014/main" id="{D776D363-75EA-4992-BA24-414AF494A8AB}"/>
            </a:ext>
          </a:extLst>
        </xdr:cNvPr>
        <xdr:cNvSpPr txBox="1"/>
      </xdr:nvSpPr>
      <xdr:spPr>
        <a:xfrm>
          <a:off x="22697810" y="16583819"/>
          <a:ext cx="3035301" cy="654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 equation is cut off to the right here, but it's:</a:t>
          </a:r>
        </a:p>
        <a:p>
          <a:r>
            <a:rPr lang="en-US" sz="1100">
              <a:solidFill>
                <a:srgbClr val="FF0000"/>
              </a:solidFill>
            </a:rPr>
            <a:t>VT</a:t>
          </a:r>
          <a:r>
            <a:rPr lang="en-US" sz="1100" baseline="0">
              <a:solidFill>
                <a:srgbClr val="FF0000"/>
              </a:solidFill>
            </a:rPr>
            <a:t> = VTF x VTC.  Note VTC is user input.</a:t>
          </a:r>
          <a:endParaRPr lang="en-US" sz="1100">
            <a:solidFill>
              <a:srgbClr val="FF0000"/>
            </a:solidFill>
          </a:endParaRPr>
        </a:p>
      </xdr:txBody>
    </xdr:sp>
    <xdr:clientData/>
  </xdr:twoCellAnchor>
  <xdr:twoCellAnchor editAs="oneCell">
    <xdr:from>
      <xdr:col>15</xdr:col>
      <xdr:colOff>83343</xdr:colOff>
      <xdr:row>95</xdr:row>
      <xdr:rowOff>119062</xdr:rowOff>
    </xdr:from>
    <xdr:to>
      <xdr:col>23</xdr:col>
      <xdr:colOff>592904</xdr:colOff>
      <xdr:row>115</xdr:row>
      <xdr:rowOff>484435</xdr:rowOff>
    </xdr:to>
    <xdr:pic>
      <xdr:nvPicPr>
        <xdr:cNvPr id="8" name="Picture 7">
          <a:extLst>
            <a:ext uri="{FF2B5EF4-FFF2-40B4-BE49-F238E27FC236}">
              <a16:creationId xmlns:a16="http://schemas.microsoft.com/office/drawing/2014/main" id="{9CA9AC28-33ED-491D-9109-EF8F1EC15D30}"/>
            </a:ext>
          </a:extLst>
        </xdr:cNvPr>
        <xdr:cNvPicPr>
          <a:picLocks noChangeAspect="1"/>
        </xdr:cNvPicPr>
      </xdr:nvPicPr>
      <xdr:blipFill>
        <a:blip xmlns:r="http://schemas.openxmlformats.org/officeDocument/2006/relationships" r:embed="rId4"/>
        <a:stretch>
          <a:fillRect/>
        </a:stretch>
      </xdr:blipFill>
      <xdr:spPr>
        <a:xfrm>
          <a:off x="21501893" y="23277512"/>
          <a:ext cx="6980211" cy="4276973"/>
        </a:xfrm>
        <a:prstGeom prst="rect">
          <a:avLst/>
        </a:prstGeom>
      </xdr:spPr>
    </xdr:pic>
    <xdr:clientData/>
  </xdr:twoCellAnchor>
  <xdr:twoCellAnchor editAs="oneCell">
    <xdr:from>
      <xdr:col>15</xdr:col>
      <xdr:colOff>137583</xdr:colOff>
      <xdr:row>116</xdr:row>
      <xdr:rowOff>211666</xdr:rowOff>
    </xdr:from>
    <xdr:to>
      <xdr:col>22</xdr:col>
      <xdr:colOff>408860</xdr:colOff>
      <xdr:row>133</xdr:row>
      <xdr:rowOff>67539</xdr:rowOff>
    </xdr:to>
    <xdr:pic>
      <xdr:nvPicPr>
        <xdr:cNvPr id="9" name="Picture 8">
          <a:extLst>
            <a:ext uri="{FF2B5EF4-FFF2-40B4-BE49-F238E27FC236}">
              <a16:creationId xmlns:a16="http://schemas.microsoft.com/office/drawing/2014/main" id="{C22D3037-4852-44D3-8CB9-D6C7373CA1AC}"/>
            </a:ext>
          </a:extLst>
        </xdr:cNvPr>
        <xdr:cNvPicPr>
          <a:picLocks noChangeAspect="1"/>
        </xdr:cNvPicPr>
      </xdr:nvPicPr>
      <xdr:blipFill>
        <a:blip xmlns:r="http://schemas.openxmlformats.org/officeDocument/2006/relationships" r:embed="rId5"/>
        <a:stretch>
          <a:fillRect/>
        </a:stretch>
      </xdr:blipFill>
      <xdr:spPr>
        <a:xfrm>
          <a:off x="21556133" y="27777016"/>
          <a:ext cx="6084702" cy="3602373"/>
        </a:xfrm>
        <a:prstGeom prst="rect">
          <a:avLst/>
        </a:prstGeom>
      </xdr:spPr>
    </xdr:pic>
    <xdr:clientData/>
  </xdr:twoCellAnchor>
  <xdr:twoCellAnchor editAs="oneCell">
    <xdr:from>
      <xdr:col>15</xdr:col>
      <xdr:colOff>109483</xdr:colOff>
      <xdr:row>137</xdr:row>
      <xdr:rowOff>-1</xdr:rowOff>
    </xdr:from>
    <xdr:to>
      <xdr:col>27</xdr:col>
      <xdr:colOff>123606</xdr:colOff>
      <xdr:row>146</xdr:row>
      <xdr:rowOff>283006</xdr:rowOff>
    </xdr:to>
    <xdr:pic>
      <xdr:nvPicPr>
        <xdr:cNvPr id="10" name="Picture 9">
          <a:extLst>
            <a:ext uri="{FF2B5EF4-FFF2-40B4-BE49-F238E27FC236}">
              <a16:creationId xmlns:a16="http://schemas.microsoft.com/office/drawing/2014/main" id="{3397052B-E9A7-4B46-94FE-BBDAFBCD0339}"/>
            </a:ext>
          </a:extLst>
        </xdr:cNvPr>
        <xdr:cNvPicPr>
          <a:picLocks noChangeAspect="1"/>
        </xdr:cNvPicPr>
      </xdr:nvPicPr>
      <xdr:blipFill>
        <a:blip xmlns:r="http://schemas.openxmlformats.org/officeDocument/2006/relationships" r:embed="rId6"/>
        <a:stretch>
          <a:fillRect/>
        </a:stretch>
      </xdr:blipFill>
      <xdr:spPr>
        <a:xfrm>
          <a:off x="21528033" y="32461199"/>
          <a:ext cx="9123198" cy="2851582"/>
        </a:xfrm>
        <a:prstGeom prst="rect">
          <a:avLst/>
        </a:prstGeom>
      </xdr:spPr>
    </xdr:pic>
    <xdr:clientData/>
  </xdr:twoCellAnchor>
  <xdr:twoCellAnchor editAs="oneCell">
    <xdr:from>
      <xdr:col>15</xdr:col>
      <xdr:colOff>218965</xdr:colOff>
      <xdr:row>146</xdr:row>
      <xdr:rowOff>331437</xdr:rowOff>
    </xdr:from>
    <xdr:to>
      <xdr:col>25</xdr:col>
      <xdr:colOff>580258</xdr:colOff>
      <xdr:row>161</xdr:row>
      <xdr:rowOff>160740</xdr:rowOff>
    </xdr:to>
    <xdr:pic>
      <xdr:nvPicPr>
        <xdr:cNvPr id="11" name="Picture 10">
          <a:extLst>
            <a:ext uri="{FF2B5EF4-FFF2-40B4-BE49-F238E27FC236}">
              <a16:creationId xmlns:a16="http://schemas.microsoft.com/office/drawing/2014/main" id="{3CCAFC00-EBCC-4A5C-B50F-064F2AF6F96B}"/>
            </a:ext>
          </a:extLst>
        </xdr:cNvPr>
        <xdr:cNvPicPr>
          <a:picLocks noChangeAspect="1"/>
        </xdr:cNvPicPr>
      </xdr:nvPicPr>
      <xdr:blipFill>
        <a:blip xmlns:r="http://schemas.openxmlformats.org/officeDocument/2006/relationships" r:embed="rId7"/>
        <a:stretch>
          <a:fillRect/>
        </a:stretch>
      </xdr:blipFill>
      <xdr:spPr>
        <a:xfrm>
          <a:off x="21637515" y="35370737"/>
          <a:ext cx="8152743" cy="3553578"/>
        </a:xfrm>
        <a:prstGeom prst="rect">
          <a:avLst/>
        </a:prstGeom>
      </xdr:spPr>
    </xdr:pic>
    <xdr:clientData/>
  </xdr:twoCellAnchor>
  <xdr:twoCellAnchor editAs="oneCell">
    <xdr:from>
      <xdr:col>15</xdr:col>
      <xdr:colOff>198437</xdr:colOff>
      <xdr:row>163</xdr:row>
      <xdr:rowOff>134938</xdr:rowOff>
    </xdr:from>
    <xdr:to>
      <xdr:col>26</xdr:col>
      <xdr:colOff>34925</xdr:colOff>
      <xdr:row>169</xdr:row>
      <xdr:rowOff>115033</xdr:rowOff>
    </xdr:to>
    <xdr:pic>
      <xdr:nvPicPr>
        <xdr:cNvPr id="12" name="Picture 11">
          <a:extLst>
            <a:ext uri="{FF2B5EF4-FFF2-40B4-BE49-F238E27FC236}">
              <a16:creationId xmlns:a16="http://schemas.microsoft.com/office/drawing/2014/main" id="{2E7FFA92-6B02-4544-BB1E-CF85965927A9}"/>
            </a:ext>
          </a:extLst>
        </xdr:cNvPr>
        <xdr:cNvPicPr>
          <a:picLocks noChangeAspect="1"/>
        </xdr:cNvPicPr>
      </xdr:nvPicPr>
      <xdr:blipFill>
        <a:blip xmlns:r="http://schemas.openxmlformats.org/officeDocument/2006/relationships" r:embed="rId8"/>
        <a:stretch>
          <a:fillRect/>
        </a:stretch>
      </xdr:blipFill>
      <xdr:spPr>
        <a:xfrm>
          <a:off x="21616987" y="39269988"/>
          <a:ext cx="8285163" cy="1084995"/>
        </a:xfrm>
        <a:prstGeom prst="rect">
          <a:avLst/>
        </a:prstGeom>
      </xdr:spPr>
    </xdr:pic>
    <xdr:clientData/>
  </xdr:twoCellAnchor>
  <xdr:twoCellAnchor editAs="oneCell">
    <xdr:from>
      <xdr:col>30</xdr:col>
      <xdr:colOff>309563</xdr:colOff>
      <xdr:row>36</xdr:row>
      <xdr:rowOff>163941</xdr:rowOff>
    </xdr:from>
    <xdr:to>
      <xdr:col>44</xdr:col>
      <xdr:colOff>152230</xdr:colOff>
      <xdr:row>39</xdr:row>
      <xdr:rowOff>161806</xdr:rowOff>
    </xdr:to>
    <xdr:pic>
      <xdr:nvPicPr>
        <xdr:cNvPr id="13" name="Picture 12">
          <a:extLst>
            <a:ext uri="{FF2B5EF4-FFF2-40B4-BE49-F238E27FC236}">
              <a16:creationId xmlns:a16="http://schemas.microsoft.com/office/drawing/2014/main" id="{CAFF49A7-3F6D-4E80-8B6F-8EC71255E77A}"/>
            </a:ext>
          </a:extLst>
        </xdr:cNvPr>
        <xdr:cNvPicPr>
          <a:picLocks noChangeAspect="1"/>
        </xdr:cNvPicPr>
      </xdr:nvPicPr>
      <xdr:blipFill>
        <a:blip xmlns:r="http://schemas.openxmlformats.org/officeDocument/2006/relationships" r:embed="rId9"/>
        <a:stretch>
          <a:fillRect/>
        </a:stretch>
      </xdr:blipFill>
      <xdr:spPr>
        <a:xfrm>
          <a:off x="32821563" y="8330041"/>
          <a:ext cx="9088267" cy="623340"/>
        </a:xfrm>
        <a:prstGeom prst="rect">
          <a:avLst/>
        </a:prstGeom>
      </xdr:spPr>
    </xdr:pic>
    <xdr:clientData/>
  </xdr:twoCellAnchor>
  <xdr:twoCellAnchor editAs="oneCell">
    <xdr:from>
      <xdr:col>30</xdr:col>
      <xdr:colOff>357188</xdr:colOff>
      <xdr:row>39</xdr:row>
      <xdr:rowOff>114445</xdr:rowOff>
    </xdr:from>
    <xdr:to>
      <xdr:col>44</xdr:col>
      <xdr:colOff>325293</xdr:colOff>
      <xdr:row>48</xdr:row>
      <xdr:rowOff>47200</xdr:rowOff>
    </xdr:to>
    <xdr:pic>
      <xdr:nvPicPr>
        <xdr:cNvPr id="14" name="Picture 13">
          <a:extLst>
            <a:ext uri="{FF2B5EF4-FFF2-40B4-BE49-F238E27FC236}">
              <a16:creationId xmlns:a16="http://schemas.microsoft.com/office/drawing/2014/main" id="{AA7689B7-876B-4F0A-A475-C56BE9F9CBAD}"/>
            </a:ext>
          </a:extLst>
        </xdr:cNvPr>
        <xdr:cNvPicPr>
          <a:picLocks noChangeAspect="1"/>
        </xdr:cNvPicPr>
      </xdr:nvPicPr>
      <xdr:blipFill>
        <a:blip xmlns:r="http://schemas.openxmlformats.org/officeDocument/2006/relationships" r:embed="rId10"/>
        <a:stretch>
          <a:fillRect/>
        </a:stretch>
      </xdr:blipFill>
      <xdr:spPr>
        <a:xfrm>
          <a:off x="32869188" y="8909195"/>
          <a:ext cx="9213705" cy="2253680"/>
        </a:xfrm>
        <a:prstGeom prst="rect">
          <a:avLst/>
        </a:prstGeom>
      </xdr:spPr>
    </xdr:pic>
    <xdr:clientData/>
  </xdr:twoCellAnchor>
  <xdr:twoCellAnchor editAs="oneCell">
    <xdr:from>
      <xdr:col>15</xdr:col>
      <xdr:colOff>182562</xdr:colOff>
      <xdr:row>35</xdr:row>
      <xdr:rowOff>92152</xdr:rowOff>
    </xdr:from>
    <xdr:to>
      <xdr:col>25</xdr:col>
      <xdr:colOff>359081</xdr:colOff>
      <xdr:row>51</xdr:row>
      <xdr:rowOff>188295</xdr:rowOff>
    </xdr:to>
    <xdr:pic>
      <xdr:nvPicPr>
        <xdr:cNvPr id="15" name="Picture 14">
          <a:extLst>
            <a:ext uri="{FF2B5EF4-FFF2-40B4-BE49-F238E27FC236}">
              <a16:creationId xmlns:a16="http://schemas.microsoft.com/office/drawing/2014/main" id="{00930B38-B0FE-46E0-85BA-BF61B0BE0490}"/>
            </a:ext>
          </a:extLst>
        </xdr:cNvPr>
        <xdr:cNvPicPr>
          <a:picLocks noChangeAspect="1"/>
        </xdr:cNvPicPr>
      </xdr:nvPicPr>
      <xdr:blipFill>
        <a:blip xmlns:r="http://schemas.openxmlformats.org/officeDocument/2006/relationships" r:embed="rId11"/>
        <a:stretch>
          <a:fillRect/>
        </a:stretch>
      </xdr:blipFill>
      <xdr:spPr>
        <a:xfrm>
          <a:off x="21601112" y="8074102"/>
          <a:ext cx="7958444" cy="38394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nwf12\Noresco\2017%20Jobs\17001-17100\17002-GR%202017%20PG&amp;E%20work\NRCC-LTO\Archives\Copy%20of%20NRCC-LTO%20Mock%20Ups_6.7.17_RH%20comments%206-23-17%20GR%200623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person displayName="Blair, Sally NOR" id="{D101388E-9755-4A6B-8999-E487E5D5DC17}" userId="S::sblair@noresco.com::0bd7f904-39e9-4562-92e9-8cfb348a22a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0" dT="2020-10-28T21:04:34.74" personId="{D101388E-9755-4A6B-8999-E487E5D5DC17}" id="{066E9EB0-715D-4C05-B70D-2B4E7C4A36EA}">
    <text>Updated 10.28.20
Custom dropdown when 05 is "Tubular Daylight Devices"</text>
  </threadedComment>
  <threadedComment ref="C154" dT="2020-10-28T21:06:56.39" personId="{D101388E-9755-4A6B-8999-E487E5D5DC17}" id="{C83F7F79-9313-442F-8CB1-B80F7F14756E}">
    <text>Updated 10.28.20
Custom dropdown when 05 is anything OTHER THAN "Tubular Daulight Devices"</text>
  </threadedComment>
</ThreadedComments>
</file>

<file path=xl/threadedComments/threadedComment2.xml><?xml version="1.0" encoding="utf-8"?>
<ThreadedComments xmlns="http://schemas.microsoft.com/office/spreadsheetml/2018/threadedcomments" xmlns:x="http://schemas.openxmlformats.org/spreadsheetml/2006/main">
  <threadedComment ref="C149" dT="2020-10-28T21:04:34.74" personId="{D101388E-9755-4A6B-8999-E487E5D5DC17}" id="{64992F09-5BDD-4529-B94A-20FF3017DBD4}">
    <text>Updated 10.28.20
Custom dropdown when 05 is "Tubular Daylight Devices"</text>
  </threadedComment>
  <threadedComment ref="C153" dT="2020-10-28T21:06:56.39" personId="{D101388E-9755-4A6B-8999-E487E5D5DC17}" id="{5471E3E2-4B7E-410C-B2EF-203F89AC1A6A}">
    <text>Updated 10.28.20
Custom dropdown when 05 is anything OTHER THAN "Tubular Daulight Devices"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xml"/><Relationship Id="rId1" Type="http://schemas.openxmlformats.org/officeDocument/2006/relationships/printerSettings" Target="../printerSettings/printerSettings14.bin"/><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6.xml"/><Relationship Id="rId1" Type="http://schemas.openxmlformats.org/officeDocument/2006/relationships/printerSettings" Target="../printerSettings/printerSettings15.bin"/><Relationship Id="rId4" Type="http://schemas.openxmlformats.org/officeDocument/2006/relationships/comments" Target="../comments10.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7.xml"/><Relationship Id="rId1" Type="http://schemas.openxmlformats.org/officeDocument/2006/relationships/printerSettings" Target="../printerSettings/printerSettings16.bin"/><Relationship Id="rId4"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8.xml"/><Relationship Id="rId1" Type="http://schemas.openxmlformats.org/officeDocument/2006/relationships/printerSettings" Target="../printerSettings/printerSettings19.bin"/><Relationship Id="rId5" Type="http://schemas.microsoft.com/office/2017/10/relationships/threadedComment" Target="../threadedComments/threadedComment1.xml"/><Relationship Id="rId4" Type="http://schemas.openxmlformats.org/officeDocument/2006/relationships/comments" Target="../comments14.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9.xml"/><Relationship Id="rId1" Type="http://schemas.openxmlformats.org/officeDocument/2006/relationships/printerSettings" Target="../printerSettings/printerSettings20.bin"/><Relationship Id="rId5" Type="http://schemas.microsoft.com/office/2017/10/relationships/threadedComment" Target="../threadedComments/threadedComment2.xml"/><Relationship Id="rId4" Type="http://schemas.openxmlformats.org/officeDocument/2006/relationships/comments" Target="../comments15.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zoomScaleNormal="100" workbookViewId="0">
      <selection activeCell="A21" sqref="A21"/>
    </sheetView>
  </sheetViews>
  <sheetFormatPr defaultColWidth="9.44140625" defaultRowHeight="13.8"/>
  <cols>
    <col min="1" max="1" width="17" style="15" customWidth="1"/>
    <col min="2" max="2" width="65.5546875" style="15" customWidth="1"/>
    <col min="3" max="3" width="17.44140625" style="15" customWidth="1"/>
    <col min="4" max="16384" width="9.44140625" style="15"/>
  </cols>
  <sheetData>
    <row r="1" spans="1:8">
      <c r="A1" s="14" t="s">
        <v>13</v>
      </c>
      <c r="B1" s="14" t="s">
        <v>14</v>
      </c>
      <c r="C1" s="14" t="s">
        <v>15</v>
      </c>
      <c r="D1" s="20"/>
    </row>
    <row r="2" spans="1:8">
      <c r="A2" s="15" t="s">
        <v>16</v>
      </c>
      <c r="B2" s="15" t="s">
        <v>17</v>
      </c>
      <c r="C2" s="15" t="s">
        <v>18</v>
      </c>
      <c r="D2" s="22"/>
    </row>
    <row r="3" spans="1:8">
      <c r="A3" s="15" t="s">
        <v>19</v>
      </c>
      <c r="B3" s="15" t="s">
        <v>20</v>
      </c>
      <c r="C3" s="15" t="s">
        <v>18</v>
      </c>
      <c r="D3" s="22"/>
    </row>
    <row r="4" spans="1:8">
      <c r="A4" s="15" t="s">
        <v>21</v>
      </c>
      <c r="B4" s="15" t="s">
        <v>22</v>
      </c>
      <c r="C4" s="15" t="s">
        <v>18</v>
      </c>
      <c r="D4" s="22"/>
    </row>
    <row r="5" spans="1:8">
      <c r="A5" s="15" t="s">
        <v>23</v>
      </c>
      <c r="B5" s="15" t="s">
        <v>24</v>
      </c>
      <c r="C5" s="16" t="s">
        <v>18</v>
      </c>
      <c r="D5" s="23"/>
      <c r="E5" s="16"/>
    </row>
    <row r="6" spans="1:8">
      <c r="A6" s="15" t="s">
        <v>25</v>
      </c>
      <c r="B6" s="15" t="s">
        <v>26</v>
      </c>
      <c r="C6" s="16" t="s">
        <v>18</v>
      </c>
      <c r="D6" s="23"/>
      <c r="E6" s="16"/>
      <c r="G6" s="16"/>
    </row>
    <row r="7" spans="1:8">
      <c r="A7" s="15" t="s">
        <v>27</v>
      </c>
      <c r="B7" s="299" t="s">
        <v>564</v>
      </c>
      <c r="C7" s="56" t="s">
        <v>19</v>
      </c>
      <c r="D7" s="21"/>
      <c r="E7" s="16"/>
      <c r="G7" s="16"/>
    </row>
    <row r="8" spans="1:8">
      <c r="A8" s="59" t="s">
        <v>28</v>
      </c>
      <c r="B8" s="299" t="s">
        <v>565</v>
      </c>
      <c r="C8" s="56" t="s">
        <v>19</v>
      </c>
      <c r="D8" s="77"/>
      <c r="E8" s="16"/>
      <c r="G8" s="16"/>
    </row>
    <row r="9" spans="1:8">
      <c r="A9" s="78" t="s">
        <v>29</v>
      </c>
      <c r="B9" s="299" t="s">
        <v>566</v>
      </c>
      <c r="C9" s="56" t="s">
        <v>19</v>
      </c>
      <c r="D9" s="16"/>
      <c r="E9" s="16"/>
      <c r="G9" s="16"/>
    </row>
    <row r="10" spans="1:8">
      <c r="A10" s="59" t="s">
        <v>30</v>
      </c>
      <c r="B10" s="300" t="s">
        <v>567</v>
      </c>
      <c r="C10" s="56" t="s">
        <v>19</v>
      </c>
      <c r="D10" s="23"/>
      <c r="E10" s="16"/>
      <c r="G10" s="16"/>
    </row>
    <row r="11" spans="1:8">
      <c r="A11" s="59" t="s">
        <v>31</v>
      </c>
      <c r="B11" s="299" t="s">
        <v>568</v>
      </c>
      <c r="C11" s="56" t="s">
        <v>19</v>
      </c>
      <c r="D11" s="23"/>
      <c r="E11" s="16"/>
      <c r="G11" s="16"/>
    </row>
    <row r="12" spans="1:8">
      <c r="A12" s="59" t="s">
        <v>32</v>
      </c>
      <c r="B12" s="300" t="s">
        <v>569</v>
      </c>
      <c r="C12" s="56" t="s">
        <v>19</v>
      </c>
      <c r="D12" s="23"/>
      <c r="E12" s="16"/>
      <c r="G12" s="16"/>
    </row>
    <row r="13" spans="1:8">
      <c r="A13" s="79" t="s">
        <v>83</v>
      </c>
      <c r="B13" s="361" t="s">
        <v>668</v>
      </c>
      <c r="C13" s="382" t="s">
        <v>16</v>
      </c>
      <c r="D13" s="16"/>
      <c r="E13" s="16"/>
      <c r="G13" s="16"/>
    </row>
    <row r="14" spans="1:8">
      <c r="A14" s="59" t="s">
        <v>84</v>
      </c>
      <c r="B14" s="15" t="s">
        <v>33</v>
      </c>
      <c r="C14" s="16" t="s">
        <v>18</v>
      </c>
      <c r="D14" s="77"/>
      <c r="E14" s="16"/>
      <c r="H14" s="16"/>
    </row>
    <row r="15" spans="1:8">
      <c r="A15" s="59" t="s">
        <v>85</v>
      </c>
      <c r="B15" s="15" t="s">
        <v>34</v>
      </c>
      <c r="C15" s="16" t="s">
        <v>18</v>
      </c>
      <c r="D15" s="21"/>
      <c r="E15" s="16"/>
      <c r="H15" s="16"/>
    </row>
    <row r="16" spans="1:8">
      <c r="A16" s="821" t="s">
        <v>1234</v>
      </c>
      <c r="B16" s="821" t="s">
        <v>1235</v>
      </c>
      <c r="C16" s="821" t="s">
        <v>18</v>
      </c>
      <c r="D16" s="21"/>
      <c r="E16" s="16"/>
      <c r="H16" s="16"/>
    </row>
    <row r="17" spans="1:8">
      <c r="A17" s="361" t="s">
        <v>35</v>
      </c>
      <c r="B17" s="59" t="s">
        <v>36</v>
      </c>
      <c r="C17" s="16" t="s">
        <v>18</v>
      </c>
      <c r="D17" s="16"/>
      <c r="E17" s="16"/>
      <c r="H17" s="16"/>
    </row>
    <row r="18" spans="1:8">
      <c r="A18" s="57"/>
      <c r="D18" s="16"/>
      <c r="E18" s="16"/>
      <c r="H18" s="16"/>
    </row>
    <row r="19" spans="1:8">
      <c r="A19" s="41"/>
      <c r="D19" s="16"/>
      <c r="E19" s="16"/>
      <c r="H19" s="16"/>
    </row>
    <row r="20" spans="1:8">
      <c r="A20" s="41"/>
      <c r="D20" s="16"/>
      <c r="E20" s="16"/>
      <c r="G20" s="16"/>
    </row>
    <row r="21" spans="1:8">
      <c r="A21" s="41"/>
      <c r="C21" s="16"/>
      <c r="D21" s="16"/>
      <c r="E21" s="16"/>
      <c r="G21" s="16"/>
    </row>
    <row r="22" spans="1:8">
      <c r="A22" s="41"/>
      <c r="D22" s="16"/>
      <c r="E22" s="16"/>
      <c r="G22" s="16"/>
    </row>
    <row r="23" spans="1:8">
      <c r="A23" s="17"/>
      <c r="D23" s="16"/>
      <c r="E23" s="16"/>
      <c r="G23" s="16"/>
    </row>
    <row r="24" spans="1:8">
      <c r="D24" s="16"/>
      <c r="E24" s="16"/>
      <c r="G24" s="16"/>
    </row>
    <row r="25" spans="1:8">
      <c r="D25" s="16"/>
      <c r="E25" s="16"/>
      <c r="G25" s="16"/>
    </row>
    <row r="26" spans="1:8">
      <c r="D26" s="16"/>
      <c r="E26" s="16"/>
      <c r="G26" s="16"/>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9"/>
  <sheetViews>
    <sheetView zoomScale="50" zoomScaleNormal="110" workbookViewId="0">
      <selection activeCell="H21" sqref="H21"/>
    </sheetView>
  </sheetViews>
  <sheetFormatPr defaultColWidth="9.44140625" defaultRowHeight="13.8"/>
  <cols>
    <col min="1" max="1" width="32.5546875" style="15" customWidth="1"/>
    <col min="2" max="2" width="26.5546875" style="15" customWidth="1"/>
    <col min="3" max="16384" width="9.44140625" style="15"/>
  </cols>
  <sheetData>
    <row r="1" spans="1:8">
      <c r="A1" s="55" t="s">
        <v>13</v>
      </c>
      <c r="B1" s="55" t="s">
        <v>66</v>
      </c>
      <c r="C1" s="20"/>
    </row>
    <row r="2" spans="1:8" s="16" customFormat="1">
      <c r="A2" s="480" t="s">
        <v>872</v>
      </c>
      <c r="B2" s="480" t="s">
        <v>791</v>
      </c>
      <c r="C2" s="21"/>
    </row>
    <row r="3" spans="1:8" s="20" customFormat="1">
      <c r="A3" s="438" t="s">
        <v>788</v>
      </c>
      <c r="B3" s="438" t="s">
        <v>808</v>
      </c>
    </row>
    <row r="4" spans="1:8" s="20" customFormat="1">
      <c r="A4" s="20" t="s">
        <v>789</v>
      </c>
      <c r="B4" s="438" t="s">
        <v>805</v>
      </c>
    </row>
    <row r="5" spans="1:8" s="20" customFormat="1">
      <c r="A5" s="20" t="s">
        <v>790</v>
      </c>
      <c r="B5" s="438" t="s">
        <v>827</v>
      </c>
    </row>
    <row r="6" spans="1:8" s="20" customFormat="1">
      <c r="A6" s="441" t="s">
        <v>792</v>
      </c>
      <c r="B6" s="438" t="s">
        <v>791</v>
      </c>
    </row>
    <row r="7" spans="1:8" s="20" customFormat="1">
      <c r="A7" s="441" t="s">
        <v>793</v>
      </c>
      <c r="B7" s="438" t="s">
        <v>794</v>
      </c>
    </row>
    <row r="8" spans="1:8" s="20" customFormat="1">
      <c r="A8" s="441" t="s">
        <v>795</v>
      </c>
      <c r="B8" s="438" t="s">
        <v>828</v>
      </c>
    </row>
    <row r="9" spans="1:8">
      <c r="A9" s="59" t="s">
        <v>73</v>
      </c>
      <c r="B9" s="438" t="s">
        <v>796</v>
      </c>
      <c r="C9" s="59"/>
      <c r="D9" s="59"/>
      <c r="E9" s="59"/>
      <c r="F9" s="59"/>
      <c r="G9" s="59"/>
      <c r="H9" s="59"/>
    </row>
    <row r="10" spans="1:8">
      <c r="A10" s="438" t="s">
        <v>797</v>
      </c>
      <c r="B10" s="438" t="s">
        <v>796</v>
      </c>
      <c r="C10" s="59"/>
      <c r="D10" s="59"/>
      <c r="E10" s="59"/>
      <c r="F10" s="59"/>
      <c r="G10" s="59"/>
      <c r="H10" s="59"/>
    </row>
    <row r="11" spans="1:8" s="20" customFormat="1">
      <c r="A11" s="441" t="s">
        <v>800</v>
      </c>
      <c r="B11" s="438" t="s">
        <v>798</v>
      </c>
    </row>
    <row r="12" spans="1:8" s="20" customFormat="1">
      <c r="A12" s="59" t="s">
        <v>76</v>
      </c>
      <c r="B12" s="438" t="s">
        <v>816</v>
      </c>
    </row>
    <row r="13" spans="1:8" s="20" customFormat="1">
      <c r="A13" s="438" t="s">
        <v>799</v>
      </c>
      <c r="B13" s="438" t="s">
        <v>809</v>
      </c>
    </row>
    <row r="14" spans="1:8" s="20" customFormat="1">
      <c r="A14" s="438" t="s">
        <v>801</v>
      </c>
      <c r="B14" s="438" t="s">
        <v>802</v>
      </c>
    </row>
    <row r="15" spans="1:8" s="20" customFormat="1">
      <c r="A15" s="438" t="s">
        <v>877</v>
      </c>
      <c r="B15" s="480" t="s">
        <v>802</v>
      </c>
      <c r="C15" s="481"/>
    </row>
    <row r="16" spans="1:8" s="20" customFormat="1">
      <c r="A16" s="438" t="s">
        <v>803</v>
      </c>
      <c r="B16" s="438" t="s">
        <v>807</v>
      </c>
    </row>
    <row r="17" spans="1:12" s="20" customFormat="1">
      <c r="A17" s="438" t="s">
        <v>804</v>
      </c>
      <c r="B17" s="438" t="s">
        <v>807</v>
      </c>
    </row>
    <row r="18" spans="1:12" s="20" customFormat="1">
      <c r="A18" s="438" t="s">
        <v>806</v>
      </c>
      <c r="B18" s="438" t="s">
        <v>807</v>
      </c>
    </row>
    <row r="19" spans="1:12" s="20" customFormat="1">
      <c r="A19" s="438" t="s">
        <v>810</v>
      </c>
      <c r="B19" s="438" t="s">
        <v>807</v>
      </c>
    </row>
    <row r="20" spans="1:12" s="20" customFormat="1">
      <c r="A20" s="438" t="s">
        <v>811</v>
      </c>
      <c r="B20" s="438" t="s">
        <v>807</v>
      </c>
    </row>
    <row r="21" spans="1:12" s="20" customFormat="1">
      <c r="A21" s="438" t="s">
        <v>812</v>
      </c>
      <c r="B21" s="438" t="s">
        <v>807</v>
      </c>
    </row>
    <row r="22" spans="1:12" s="20" customFormat="1">
      <c r="A22" s="438" t="s">
        <v>813</v>
      </c>
      <c r="B22" s="438" t="s">
        <v>807</v>
      </c>
    </row>
    <row r="23" spans="1:12" s="20" customFormat="1">
      <c r="A23" s="438" t="s">
        <v>814</v>
      </c>
      <c r="B23" s="438" t="s">
        <v>807</v>
      </c>
    </row>
    <row r="24" spans="1:12" s="20" customFormat="1">
      <c r="A24" s="438" t="s">
        <v>815</v>
      </c>
      <c r="B24" s="438" t="s">
        <v>807</v>
      </c>
    </row>
    <row r="25" spans="1:12" s="20" customFormat="1">
      <c r="A25" s="438" t="s">
        <v>817</v>
      </c>
      <c r="B25" s="438" t="s">
        <v>821</v>
      </c>
    </row>
    <row r="26" spans="1:12" s="20" customFormat="1">
      <c r="A26" s="438" t="s">
        <v>818</v>
      </c>
      <c r="B26" s="438" t="s">
        <v>821</v>
      </c>
    </row>
    <row r="27" spans="1:12" s="20" customFormat="1">
      <c r="A27" s="438" t="s">
        <v>819</v>
      </c>
      <c r="B27" s="438" t="s">
        <v>821</v>
      </c>
    </row>
    <row r="28" spans="1:12" s="20" customFormat="1">
      <c r="A28" s="438" t="s">
        <v>820</v>
      </c>
      <c r="B28" s="438" t="s">
        <v>821</v>
      </c>
    </row>
    <row r="29" spans="1:12" s="20" customFormat="1">
      <c r="A29" s="438" t="s">
        <v>822</v>
      </c>
      <c r="B29" s="438" t="s">
        <v>823</v>
      </c>
    </row>
    <row r="30" spans="1:12">
      <c r="A30" s="59" t="s">
        <v>72</v>
      </c>
      <c r="B30" s="438" t="s">
        <v>824</v>
      </c>
      <c r="C30" s="59"/>
      <c r="D30" s="59"/>
      <c r="E30" s="59"/>
      <c r="F30" s="59"/>
      <c r="G30" s="59"/>
      <c r="H30" s="59"/>
    </row>
    <row r="31" spans="1:12">
      <c r="A31" s="438" t="s">
        <v>786</v>
      </c>
      <c r="B31" s="438" t="s">
        <v>824</v>
      </c>
      <c r="C31" s="438"/>
      <c r="D31" s="438"/>
      <c r="E31" s="438"/>
      <c r="F31" s="438"/>
      <c r="G31" s="438"/>
      <c r="H31" s="438"/>
      <c r="I31" s="438"/>
      <c r="J31" s="438"/>
      <c r="K31" s="438"/>
      <c r="L31" s="438"/>
    </row>
    <row r="32" spans="1:12" ht="14.1" customHeight="1">
      <c r="A32" s="438" t="s">
        <v>787</v>
      </c>
      <c r="B32" s="438" t="s">
        <v>824</v>
      </c>
      <c r="C32" s="59"/>
      <c r="D32" s="59"/>
      <c r="E32" s="59"/>
      <c r="F32" s="59"/>
      <c r="G32" s="59"/>
      <c r="H32" s="59"/>
    </row>
    <row r="33" spans="1:8" ht="14.1" customHeight="1">
      <c r="A33" s="438" t="s">
        <v>825</v>
      </c>
      <c r="B33" s="438" t="s">
        <v>824</v>
      </c>
      <c r="C33" s="59"/>
      <c r="D33" s="59"/>
      <c r="E33" s="59"/>
      <c r="F33" s="59"/>
      <c r="G33" s="59"/>
      <c r="H33" s="59"/>
    </row>
    <row r="34" spans="1:8" ht="14.1" customHeight="1">
      <c r="A34" s="438" t="s">
        <v>826</v>
      </c>
      <c r="B34" s="438" t="s">
        <v>824</v>
      </c>
      <c r="C34" s="59"/>
      <c r="D34" s="59"/>
      <c r="E34" s="59"/>
      <c r="F34" s="59"/>
      <c r="G34" s="59"/>
      <c r="H34" s="59"/>
    </row>
    <row r="35" spans="1:8" ht="14.1" customHeight="1">
      <c r="A35" s="59" t="s">
        <v>772</v>
      </c>
      <c r="B35" s="438" t="s">
        <v>824</v>
      </c>
      <c r="C35" s="59"/>
      <c r="D35" s="59"/>
      <c r="E35" s="59"/>
      <c r="F35" s="59"/>
      <c r="G35" s="59"/>
      <c r="H35" s="59"/>
    </row>
    <row r="36" spans="1:8" ht="14.1" customHeight="1">
      <c r="A36" s="59" t="s">
        <v>77</v>
      </c>
      <c r="B36" s="438" t="s">
        <v>824</v>
      </c>
      <c r="C36" s="59"/>
      <c r="D36" s="59"/>
      <c r="E36" s="59"/>
      <c r="F36" s="59"/>
      <c r="G36" s="59"/>
      <c r="H36" s="59"/>
    </row>
    <row r="37" spans="1:8" ht="14.1" customHeight="1">
      <c r="A37" s="438" t="s">
        <v>830</v>
      </c>
      <c r="B37" s="438" t="s">
        <v>829</v>
      </c>
      <c r="C37" s="59"/>
      <c r="D37" s="59"/>
      <c r="E37" s="59"/>
      <c r="F37" s="59"/>
      <c r="G37" s="59"/>
      <c r="H37" s="59"/>
    </row>
    <row r="38" spans="1:8">
      <c r="A38" s="438" t="s">
        <v>831</v>
      </c>
      <c r="B38" s="438" t="s">
        <v>833</v>
      </c>
      <c r="C38" s="59"/>
      <c r="D38" s="59"/>
      <c r="E38" s="59"/>
      <c r="F38" s="59"/>
      <c r="G38" s="59"/>
      <c r="H38" s="59"/>
    </row>
    <row r="39" spans="1:8">
      <c r="A39" s="438" t="s">
        <v>832</v>
      </c>
      <c r="B39" s="438" t="s">
        <v>833</v>
      </c>
      <c r="C39" s="59"/>
      <c r="D39" s="59"/>
      <c r="E39" s="59"/>
      <c r="F39" s="59"/>
      <c r="G39" s="59"/>
      <c r="H39" s="59"/>
    </row>
    <row r="40" spans="1:8">
      <c r="A40" s="438" t="s">
        <v>926</v>
      </c>
      <c r="B40" s="438" t="s">
        <v>807</v>
      </c>
      <c r="C40" s="59"/>
      <c r="D40" s="59"/>
      <c r="E40" s="59"/>
      <c r="F40" s="59"/>
      <c r="G40" s="59"/>
      <c r="H40" s="59"/>
    </row>
    <row r="41" spans="1:8">
      <c r="A41" s="41"/>
      <c r="B41" s="41"/>
      <c r="C41" s="16"/>
      <c r="D41" s="16"/>
      <c r="G41" s="16"/>
    </row>
    <row r="42" spans="1:8">
      <c r="A42" s="41"/>
      <c r="B42" s="40"/>
      <c r="C42" s="16"/>
      <c r="D42" s="16"/>
      <c r="G42" s="16"/>
    </row>
    <row r="43" spans="1:8">
      <c r="A43" s="41"/>
      <c r="B43" s="16"/>
      <c r="C43" s="16"/>
      <c r="D43" s="16"/>
      <c r="F43" s="16"/>
    </row>
    <row r="44" spans="1:8">
      <c r="A44" s="41"/>
      <c r="B44" s="16"/>
      <c r="C44" s="16"/>
      <c r="D44" s="16"/>
      <c r="F44" s="16"/>
    </row>
    <row r="45" spans="1:8">
      <c r="A45" s="41"/>
      <c r="B45" s="16"/>
      <c r="C45" s="16"/>
      <c r="D45" s="16"/>
      <c r="F45" s="16"/>
    </row>
    <row r="46" spans="1:8">
      <c r="A46" s="17"/>
      <c r="B46" s="16"/>
      <c r="C46" s="16"/>
      <c r="D46" s="16"/>
      <c r="F46" s="16"/>
    </row>
    <row r="47" spans="1:8">
      <c r="C47" s="16"/>
      <c r="D47" s="16"/>
      <c r="F47" s="16"/>
    </row>
    <row r="48" spans="1:8">
      <c r="C48" s="16"/>
      <c r="D48" s="16"/>
      <c r="F48" s="16"/>
    </row>
    <row r="49" spans="2:6">
      <c r="B49" s="16"/>
      <c r="C49" s="16"/>
      <c r="D49" s="16"/>
      <c r="F49" s="16"/>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zoomScale="63" zoomScaleNormal="100" workbookViewId="0">
      <selection activeCell="F27" sqref="F27"/>
    </sheetView>
  </sheetViews>
  <sheetFormatPr defaultRowHeight="14.4"/>
  <cols>
    <col min="1" max="1" width="4.5546875" customWidth="1"/>
    <col min="2" max="4" width="10.5546875" customWidth="1"/>
    <col min="5" max="6" width="12.5546875" customWidth="1"/>
    <col min="7" max="7" width="4.5546875" customWidth="1"/>
    <col min="8" max="8" width="3.5546875" customWidth="1"/>
    <col min="9" max="9" width="25.5546875" customWidth="1"/>
    <col min="10" max="10" width="3.5546875" customWidth="1"/>
    <col min="11" max="11" width="24.5546875" customWidth="1"/>
  </cols>
  <sheetData>
    <row r="1" spans="1:13" s="25" customFormat="1">
      <c r="A1" s="27"/>
      <c r="B1" s="25" t="s">
        <v>50</v>
      </c>
      <c r="C1" s="28"/>
      <c r="D1" s="25" t="s">
        <v>51</v>
      </c>
      <c r="F1" s="992"/>
      <c r="G1" s="992"/>
      <c r="H1" s="25" t="s">
        <v>52</v>
      </c>
      <c r="J1" s="29"/>
      <c r="K1" s="25" t="s">
        <v>53</v>
      </c>
    </row>
    <row r="2" spans="1:13" s="24" customFormat="1">
      <c r="A2" s="26" t="s">
        <v>0</v>
      </c>
      <c r="B2" s="26"/>
      <c r="C2" s="26"/>
      <c r="F2" s="31"/>
      <c r="G2" s="31"/>
    </row>
    <row r="3" spans="1:13" ht="15.6">
      <c r="A3" s="3" t="s">
        <v>69</v>
      </c>
      <c r="B3" s="4"/>
      <c r="C3" s="4"/>
      <c r="D3" s="2"/>
      <c r="E3" s="1"/>
      <c r="F3" s="1"/>
      <c r="G3" s="1"/>
      <c r="H3" s="2"/>
      <c r="I3" s="2"/>
      <c r="J3" s="2"/>
      <c r="K3" s="2"/>
    </row>
    <row r="4" spans="1:13" ht="15.6">
      <c r="A4" s="990" t="s">
        <v>1236</v>
      </c>
      <c r="B4" s="990"/>
      <c r="C4" s="990"/>
      <c r="D4" s="2"/>
      <c r="E4" s="4"/>
      <c r="F4" s="4"/>
      <c r="G4" s="4"/>
      <c r="H4" s="2"/>
      <c r="I4" s="991" t="s">
        <v>6</v>
      </c>
      <c r="J4" s="991"/>
      <c r="K4" s="991"/>
    </row>
    <row r="5" spans="1:13" s="34" customFormat="1">
      <c r="A5" s="39" t="s">
        <v>54</v>
      </c>
      <c r="B5" s="35"/>
      <c r="C5" s="35"/>
      <c r="D5" s="36"/>
      <c r="E5" s="35"/>
      <c r="F5" s="35"/>
      <c r="G5" s="35"/>
      <c r="H5" s="36"/>
      <c r="I5" s="37"/>
      <c r="J5" s="37"/>
      <c r="K5" s="38" t="s">
        <v>70</v>
      </c>
    </row>
    <row r="6" spans="1:13" ht="56.1" customHeight="1">
      <c r="A6" s="993" t="s">
        <v>1196</v>
      </c>
      <c r="B6" s="994"/>
      <c r="C6" s="994"/>
      <c r="D6" s="994"/>
      <c r="E6" s="994"/>
      <c r="F6" s="994"/>
      <c r="G6" s="994"/>
      <c r="H6" s="994"/>
      <c r="I6" s="994"/>
      <c r="J6" s="994"/>
      <c r="K6" s="995"/>
    </row>
    <row r="7" spans="1:13">
      <c r="A7" s="998" t="s">
        <v>1</v>
      </c>
      <c r="B7" s="999"/>
      <c r="C7" s="996"/>
      <c r="D7" s="997"/>
      <c r="E7" s="997"/>
      <c r="F7" s="997"/>
      <c r="G7" s="32"/>
      <c r="H7" s="33"/>
      <c r="I7" s="988" t="s">
        <v>5</v>
      </c>
      <c r="J7" s="989"/>
      <c r="K7" s="30" t="s">
        <v>2</v>
      </c>
    </row>
    <row r="8" spans="1:13">
      <c r="A8" s="998" t="s">
        <v>3</v>
      </c>
      <c r="B8" s="999"/>
      <c r="C8" s="996"/>
      <c r="D8" s="997"/>
      <c r="E8" s="997"/>
      <c r="F8" s="997"/>
      <c r="G8" s="32"/>
      <c r="H8" s="33"/>
      <c r="I8" s="988" t="s">
        <v>4</v>
      </c>
      <c r="J8" s="989"/>
      <c r="K8" s="641"/>
    </row>
    <row r="9" spans="1:13">
      <c r="A9" s="18"/>
      <c r="B9" s="18"/>
      <c r="C9" s="18"/>
      <c r="D9" s="18"/>
      <c r="E9" s="18"/>
      <c r="F9" s="18"/>
      <c r="G9" s="18"/>
      <c r="H9" s="18"/>
      <c r="I9" s="19"/>
      <c r="J9" s="19"/>
      <c r="K9" s="18"/>
      <c r="M9" s="46"/>
    </row>
    <row r="10" spans="1:13">
      <c r="A10" s="18"/>
      <c r="B10" s="639" t="s">
        <v>55</v>
      </c>
      <c r="C10" s="639"/>
      <c r="D10" s="639"/>
      <c r="E10" s="639"/>
      <c r="F10" s="639"/>
      <c r="G10" s="639"/>
      <c r="H10" s="639"/>
      <c r="I10" s="640"/>
      <c r="J10" s="640"/>
      <c r="K10" s="639"/>
      <c r="L10" s="532"/>
    </row>
    <row r="11" spans="1:13">
      <c r="A11" s="18"/>
      <c r="B11" s="639"/>
      <c r="C11" s="639"/>
      <c r="D11" s="639"/>
      <c r="E11" s="639"/>
      <c r="F11" s="639"/>
      <c r="G11" s="639"/>
      <c r="H11" s="639"/>
      <c r="I11" s="640"/>
      <c r="J11" s="640"/>
      <c r="K11" s="639"/>
      <c r="L11" s="532"/>
    </row>
    <row r="12" spans="1:13">
      <c r="A12" s="18"/>
      <c r="B12" s="18"/>
      <c r="C12" s="18"/>
      <c r="D12" s="18"/>
      <c r="E12" s="18"/>
      <c r="F12" s="18"/>
      <c r="G12" s="18"/>
      <c r="H12" s="18"/>
      <c r="I12" s="19"/>
      <c r="J12" s="19"/>
      <c r="K12" s="18"/>
    </row>
    <row r="13" spans="1:13">
      <c r="A13" s="26" t="s">
        <v>0</v>
      </c>
      <c r="B13" s="26"/>
      <c r="C13" s="26"/>
      <c r="D13" s="24"/>
      <c r="E13" s="24"/>
      <c r="F13" s="31"/>
      <c r="G13" s="31"/>
      <c r="H13" s="24"/>
      <c r="I13" s="24"/>
      <c r="J13" s="24"/>
      <c r="K13" s="24"/>
    </row>
    <row r="14" spans="1:13" ht="15.6">
      <c r="A14" s="3" t="s">
        <v>69</v>
      </c>
      <c r="B14" s="4"/>
      <c r="C14" s="4"/>
      <c r="D14" s="2"/>
      <c r="E14" s="26"/>
      <c r="F14" s="26"/>
      <c r="G14" s="26"/>
      <c r="H14" s="2"/>
      <c r="I14" s="2"/>
      <c r="J14" s="2"/>
      <c r="K14" s="2"/>
    </row>
    <row r="15" spans="1:13" ht="15.6">
      <c r="A15" s="990" t="s">
        <v>1236</v>
      </c>
      <c r="B15" s="990"/>
      <c r="C15" s="990"/>
      <c r="D15" s="2"/>
      <c r="E15" s="4"/>
      <c r="F15" s="4"/>
      <c r="G15" s="4"/>
      <c r="H15" s="2"/>
      <c r="I15" s="991" t="s">
        <v>6</v>
      </c>
      <c r="J15" s="991"/>
      <c r="K15" s="991"/>
    </row>
    <row r="16" spans="1:13">
      <c r="A16" s="39" t="s">
        <v>54</v>
      </c>
      <c r="B16" s="35"/>
      <c r="C16" s="35"/>
      <c r="D16" s="36"/>
      <c r="E16" s="35"/>
      <c r="F16" s="35"/>
      <c r="G16" s="35"/>
      <c r="H16" s="36"/>
      <c r="I16" s="37"/>
      <c r="J16" s="37"/>
      <c r="K16" s="38" t="s">
        <v>70</v>
      </c>
    </row>
    <row r="17" spans="1:11">
      <c r="A17" s="984" t="s">
        <v>1</v>
      </c>
      <c r="B17" s="985"/>
      <c r="C17" s="986" t="s">
        <v>985</v>
      </c>
      <c r="D17" s="987"/>
      <c r="E17" s="987"/>
      <c r="F17" s="987"/>
      <c r="G17" s="642"/>
      <c r="H17" s="643"/>
      <c r="I17" s="988" t="s">
        <v>5</v>
      </c>
      <c r="J17" s="989"/>
      <c r="K17" s="30" t="s">
        <v>2</v>
      </c>
    </row>
    <row r="18" spans="1:11">
      <c r="A18" s="984" t="s">
        <v>3</v>
      </c>
      <c r="B18" s="985"/>
      <c r="C18" s="986" t="s">
        <v>985</v>
      </c>
      <c r="D18" s="987"/>
      <c r="E18" s="987"/>
      <c r="F18" s="987"/>
      <c r="G18" s="642"/>
      <c r="H18" s="643"/>
      <c r="I18" s="988" t="s">
        <v>4</v>
      </c>
      <c r="J18" s="989"/>
      <c r="K18" s="641"/>
    </row>
    <row r="19" spans="1:11">
      <c r="A19" s="13"/>
      <c r="B19" s="7"/>
      <c r="C19" s="7"/>
      <c r="D19" s="7"/>
      <c r="E19" s="7"/>
      <c r="F19" s="7"/>
      <c r="G19" s="13"/>
      <c r="H19" s="12"/>
      <c r="I19" s="12"/>
      <c r="J19" s="9"/>
      <c r="K19" s="9"/>
    </row>
    <row r="20" spans="1:11">
      <c r="A20" s="13"/>
      <c r="B20" s="7"/>
      <c r="C20" s="7"/>
      <c r="D20" s="7"/>
      <c r="E20" s="7"/>
      <c r="F20" s="7"/>
      <c r="G20" s="13"/>
      <c r="H20" s="12"/>
      <c r="I20" s="12"/>
      <c r="J20" s="9"/>
      <c r="K20" s="9"/>
    </row>
    <row r="21" spans="1:11">
      <c r="A21" s="13"/>
      <c r="B21" s="7"/>
      <c r="C21" s="7"/>
      <c r="D21" s="7"/>
      <c r="E21" s="7"/>
      <c r="F21" s="7"/>
      <c r="G21" s="13"/>
      <c r="H21" s="12"/>
      <c r="I21" s="12"/>
      <c r="J21" s="9"/>
      <c r="K21" s="9"/>
    </row>
    <row r="22" spans="1:11">
      <c r="A22" s="13"/>
    </row>
    <row r="23" spans="1:11" ht="15" customHeight="1">
      <c r="A23" s="6"/>
      <c r="B23" s="5"/>
      <c r="C23" s="5"/>
      <c r="D23" s="5"/>
      <c r="E23" s="5"/>
      <c r="F23" s="5"/>
      <c r="G23" s="5"/>
      <c r="H23" s="5"/>
      <c r="I23" s="5"/>
      <c r="J23" s="5"/>
      <c r="K23" s="5"/>
    </row>
    <row r="24" spans="1:11">
      <c r="A24" s="5"/>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row r="27" spans="1:11">
      <c r="A27" s="5"/>
      <c r="B27" s="5"/>
      <c r="C27" s="5"/>
      <c r="D27" s="5"/>
      <c r="E27" s="5"/>
      <c r="F27" s="5"/>
      <c r="G27" s="5"/>
      <c r="H27" s="5"/>
      <c r="I27" s="5"/>
      <c r="J27" s="5"/>
      <c r="K27" s="5"/>
    </row>
    <row r="28" spans="1:11">
      <c r="A28" s="5"/>
      <c r="B28" s="5"/>
      <c r="C28" s="5"/>
      <c r="D28" s="5"/>
      <c r="E28" s="5"/>
      <c r="F28" s="5"/>
      <c r="G28" s="5"/>
      <c r="H28" s="5"/>
      <c r="I28" s="5"/>
      <c r="J28" s="5"/>
      <c r="K28" s="5"/>
    </row>
    <row r="29" spans="1:11">
      <c r="A29" s="5"/>
      <c r="B29" s="5"/>
      <c r="C29" s="5"/>
      <c r="D29" s="5"/>
      <c r="E29" s="5"/>
      <c r="F29" s="5"/>
      <c r="G29" s="5"/>
      <c r="H29" s="5"/>
      <c r="I29" s="5"/>
      <c r="J29" s="5"/>
      <c r="K29" s="5"/>
    </row>
  </sheetData>
  <mergeCells count="18">
    <mergeCell ref="F1:G1"/>
    <mergeCell ref="A6:K6"/>
    <mergeCell ref="I4:K4"/>
    <mergeCell ref="I7:J7"/>
    <mergeCell ref="I8:J8"/>
    <mergeCell ref="C7:F7"/>
    <mergeCell ref="C8:F8"/>
    <mergeCell ref="A7:B7"/>
    <mergeCell ref="A8:B8"/>
    <mergeCell ref="A4:C4"/>
    <mergeCell ref="A18:B18"/>
    <mergeCell ref="C18:F18"/>
    <mergeCell ref="I18:J18"/>
    <mergeCell ref="A15:C15"/>
    <mergeCell ref="I15:K15"/>
    <mergeCell ref="A17:B17"/>
    <mergeCell ref="C17:F17"/>
    <mergeCell ref="I17:J17"/>
  </mergeCells>
  <pageMargins left="0.5" right="0.5"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5F424-3EA2-4A44-B03B-2F806E96C60E}">
  <dimension ref="A1:L29"/>
  <sheetViews>
    <sheetView zoomScale="76" zoomScaleNormal="100" workbookViewId="0">
      <selection activeCell="E31" sqref="E31"/>
    </sheetView>
  </sheetViews>
  <sheetFormatPr defaultColWidth="8.77734375" defaultRowHeight="14.4"/>
  <cols>
    <col min="1" max="1" width="4.5546875" style="43" customWidth="1"/>
    <col min="2" max="4" width="10.5546875" style="43" customWidth="1"/>
    <col min="5" max="6" width="12.5546875" style="43" customWidth="1"/>
    <col min="7" max="7" width="4.5546875" style="43" customWidth="1"/>
    <col min="8" max="8" width="3.5546875" style="43" customWidth="1"/>
    <col min="9" max="9" width="25.5546875" style="43" customWidth="1"/>
    <col min="10" max="10" width="3.5546875" style="43" customWidth="1"/>
    <col min="11" max="11" width="24.5546875" style="43" customWidth="1"/>
    <col min="12" max="16384" width="8.77734375" style="43"/>
  </cols>
  <sheetData>
    <row r="1" spans="1:12">
      <c r="A1" s="47"/>
      <c r="B1" s="43" t="s">
        <v>50</v>
      </c>
      <c r="C1" s="48"/>
      <c r="D1" s="43" t="s">
        <v>51</v>
      </c>
      <c r="F1" s="992"/>
      <c r="G1" s="992"/>
      <c r="H1" s="43" t="s">
        <v>52</v>
      </c>
      <c r="J1" s="49"/>
      <c r="K1" s="43" t="s">
        <v>53</v>
      </c>
    </row>
    <row r="2" spans="1:12">
      <c r="A2" s="872" t="s">
        <v>0</v>
      </c>
      <c r="B2" s="872"/>
      <c r="C2" s="872"/>
      <c r="F2" s="467"/>
      <c r="G2" s="467"/>
    </row>
    <row r="3" spans="1:12" ht="15.6">
      <c r="A3" s="873" t="s">
        <v>69</v>
      </c>
      <c r="B3" s="874"/>
      <c r="C3" s="874"/>
      <c r="D3" s="836"/>
      <c r="E3" s="872"/>
      <c r="F3" s="872"/>
      <c r="G3" s="872"/>
      <c r="H3" s="836"/>
      <c r="I3" s="836"/>
      <c r="J3" s="836"/>
      <c r="K3" s="836"/>
    </row>
    <row r="4" spans="1:12" ht="15.6">
      <c r="A4" s="1000" t="s">
        <v>1334</v>
      </c>
      <c r="B4" s="1000"/>
      <c r="C4" s="1000"/>
      <c r="D4" s="836"/>
      <c r="E4" s="874"/>
      <c r="F4" s="874"/>
      <c r="G4" s="874"/>
      <c r="H4" s="836"/>
      <c r="I4" s="1001" t="s">
        <v>6</v>
      </c>
      <c r="J4" s="1001"/>
      <c r="K4" s="1001"/>
    </row>
    <row r="5" spans="1:12">
      <c r="A5" s="875" t="s">
        <v>54</v>
      </c>
      <c r="B5" s="876"/>
      <c r="C5" s="876"/>
      <c r="D5" s="877"/>
      <c r="E5" s="876"/>
      <c r="F5" s="876"/>
      <c r="G5" s="876"/>
      <c r="H5" s="877"/>
      <c r="I5" s="878"/>
      <c r="J5" s="878"/>
      <c r="K5" s="879" t="s">
        <v>1335</v>
      </c>
    </row>
    <row r="6" spans="1:12" ht="56.1" customHeight="1">
      <c r="A6" s="1002" t="s">
        <v>1260</v>
      </c>
      <c r="B6" s="1003"/>
      <c r="C6" s="1003"/>
      <c r="D6" s="1003"/>
      <c r="E6" s="1003"/>
      <c r="F6" s="1003"/>
      <c r="G6" s="1003"/>
      <c r="H6" s="1003"/>
      <c r="I6" s="1003"/>
      <c r="J6" s="1003"/>
      <c r="K6" s="1004"/>
    </row>
    <row r="7" spans="1:12">
      <c r="A7" s="998" t="s">
        <v>1</v>
      </c>
      <c r="B7" s="999"/>
      <c r="C7" s="996"/>
      <c r="D7" s="997"/>
      <c r="E7" s="997"/>
      <c r="F7" s="997"/>
      <c r="G7" s="833"/>
      <c r="H7" s="33"/>
      <c r="I7" s="988" t="s">
        <v>5</v>
      </c>
      <c r="J7" s="989"/>
      <c r="K7" s="30" t="s">
        <v>2</v>
      </c>
    </row>
    <row r="8" spans="1:12">
      <c r="A8" s="998" t="s">
        <v>3</v>
      </c>
      <c r="B8" s="999"/>
      <c r="C8" s="996"/>
      <c r="D8" s="997"/>
      <c r="E8" s="997"/>
      <c r="F8" s="997"/>
      <c r="G8" s="833"/>
      <c r="H8" s="33"/>
      <c r="I8" s="988" t="s">
        <v>4</v>
      </c>
      <c r="J8" s="989"/>
      <c r="K8" s="641"/>
    </row>
    <row r="9" spans="1:12">
      <c r="A9" s="241"/>
      <c r="B9" s="241"/>
      <c r="C9" s="241"/>
      <c r="D9" s="241"/>
      <c r="E9" s="241"/>
      <c r="F9" s="241"/>
      <c r="G9" s="241"/>
      <c r="H9" s="241"/>
      <c r="I9" s="880"/>
      <c r="J9" s="880"/>
      <c r="K9" s="241"/>
    </row>
    <row r="10" spans="1:12">
      <c r="A10" s="241"/>
      <c r="B10" s="632" t="s">
        <v>55</v>
      </c>
      <c r="C10" s="632"/>
      <c r="D10" s="632"/>
      <c r="E10" s="632"/>
      <c r="F10" s="632"/>
      <c r="G10" s="632"/>
      <c r="H10" s="632"/>
      <c r="I10" s="881"/>
      <c r="J10" s="881"/>
      <c r="K10" s="632"/>
      <c r="L10" s="532"/>
    </row>
    <row r="11" spans="1:12">
      <c r="A11" s="241"/>
      <c r="B11" s="632"/>
      <c r="C11" s="632"/>
      <c r="D11" s="632"/>
      <c r="E11" s="632"/>
      <c r="F11" s="632"/>
      <c r="G11" s="632"/>
      <c r="H11" s="632"/>
      <c r="I11" s="881"/>
      <c r="J11" s="881"/>
      <c r="K11" s="632"/>
      <c r="L11" s="532"/>
    </row>
    <row r="12" spans="1:12">
      <c r="A12" s="241"/>
      <c r="B12" s="241"/>
      <c r="C12" s="241"/>
      <c r="D12" s="241"/>
      <c r="E12" s="241"/>
      <c r="F12" s="241"/>
      <c r="G12" s="241"/>
      <c r="H12" s="241"/>
      <c r="I12" s="880"/>
      <c r="J12" s="880"/>
      <c r="K12" s="241"/>
    </row>
    <row r="13" spans="1:12">
      <c r="A13" s="872" t="s">
        <v>0</v>
      </c>
      <c r="B13" s="872"/>
      <c r="C13" s="872"/>
      <c r="F13" s="467"/>
      <c r="G13" s="467"/>
    </row>
    <row r="14" spans="1:12" ht="15.6">
      <c r="A14" s="873" t="s">
        <v>69</v>
      </c>
      <c r="B14" s="874"/>
      <c r="C14" s="874"/>
      <c r="D14" s="836"/>
      <c r="E14" s="872"/>
      <c r="F14" s="872"/>
      <c r="G14" s="872"/>
      <c r="H14" s="836"/>
      <c r="I14" s="836"/>
      <c r="J14" s="836"/>
      <c r="K14" s="836"/>
    </row>
    <row r="15" spans="1:12" ht="15.6">
      <c r="A15" s="1000" t="s">
        <v>1334</v>
      </c>
      <c r="B15" s="1000"/>
      <c r="C15" s="1000"/>
      <c r="D15" s="836"/>
      <c r="E15" s="874"/>
      <c r="F15" s="874"/>
      <c r="G15" s="874"/>
      <c r="H15" s="836"/>
      <c r="I15" s="1001" t="s">
        <v>6</v>
      </c>
      <c r="J15" s="1001"/>
      <c r="K15" s="1001"/>
    </row>
    <row r="16" spans="1:12">
      <c r="A16" s="875" t="s">
        <v>54</v>
      </c>
      <c r="B16" s="876"/>
      <c r="C16" s="876"/>
      <c r="D16" s="877"/>
      <c r="E16" s="876"/>
      <c r="F16" s="876"/>
      <c r="G16" s="876"/>
      <c r="H16" s="877"/>
      <c r="I16" s="878"/>
      <c r="J16" s="878"/>
      <c r="K16" s="879" t="s">
        <v>1335</v>
      </c>
    </row>
    <row r="17" spans="1:11">
      <c r="A17" s="984" t="s">
        <v>1</v>
      </c>
      <c r="B17" s="985"/>
      <c r="C17" s="986" t="s">
        <v>985</v>
      </c>
      <c r="D17" s="987"/>
      <c r="E17" s="987"/>
      <c r="F17" s="987"/>
      <c r="G17" s="834"/>
      <c r="H17" s="643"/>
      <c r="I17" s="988" t="s">
        <v>5</v>
      </c>
      <c r="J17" s="989"/>
      <c r="K17" s="30" t="s">
        <v>2</v>
      </c>
    </row>
    <row r="18" spans="1:11">
      <c r="A18" s="984" t="s">
        <v>3</v>
      </c>
      <c r="B18" s="985"/>
      <c r="C18" s="986" t="s">
        <v>985</v>
      </c>
      <c r="D18" s="987"/>
      <c r="E18" s="987"/>
      <c r="F18" s="987"/>
      <c r="G18" s="834"/>
      <c r="H18" s="643"/>
      <c r="I18" s="988" t="s">
        <v>4</v>
      </c>
      <c r="J18" s="989"/>
      <c r="K18" s="641"/>
    </row>
    <row r="19" spans="1:11">
      <c r="A19" s="882"/>
      <c r="B19" s="241"/>
      <c r="C19" s="241"/>
      <c r="D19" s="241"/>
      <c r="E19" s="241"/>
      <c r="F19" s="241"/>
      <c r="G19" s="882"/>
      <c r="H19" s="241"/>
      <c r="I19" s="241"/>
      <c r="J19" s="883"/>
      <c r="K19" s="883"/>
    </row>
    <row r="20" spans="1:11">
      <c r="A20" s="882"/>
      <c r="B20" s="241"/>
      <c r="C20" s="241"/>
      <c r="D20" s="241"/>
      <c r="E20" s="241"/>
      <c r="F20" s="241"/>
      <c r="G20" s="882"/>
      <c r="H20" s="241"/>
      <c r="I20" s="241"/>
      <c r="J20" s="883"/>
      <c r="K20" s="883"/>
    </row>
    <row r="21" spans="1:11">
      <c r="A21" s="882"/>
      <c r="B21" s="241"/>
      <c r="C21" s="241"/>
      <c r="D21" s="241"/>
      <c r="E21" s="241"/>
      <c r="F21" s="241"/>
      <c r="G21" s="882"/>
      <c r="H21" s="241"/>
      <c r="I21" s="241"/>
      <c r="J21" s="883"/>
      <c r="K21" s="883"/>
    </row>
    <row r="22" spans="1:11">
      <c r="A22" s="882"/>
    </row>
    <row r="23" spans="1:11" ht="15" customHeight="1">
      <c r="A23" s="6"/>
      <c r="B23" s="241"/>
      <c r="C23" s="241"/>
      <c r="D23" s="241"/>
      <c r="E23" s="241"/>
      <c r="F23" s="241"/>
      <c r="G23" s="241"/>
      <c r="H23" s="241"/>
      <c r="I23" s="241"/>
      <c r="J23" s="241"/>
      <c r="K23" s="241"/>
    </row>
    <row r="24" spans="1:11">
      <c r="A24" s="241"/>
      <c r="B24" s="241"/>
      <c r="C24" s="241"/>
      <c r="D24" s="241"/>
      <c r="E24" s="241"/>
      <c r="F24" s="241"/>
      <c r="G24" s="241"/>
      <c r="H24" s="241"/>
      <c r="I24" s="241"/>
      <c r="J24" s="241"/>
      <c r="K24" s="241"/>
    </row>
    <row r="25" spans="1:11">
      <c r="A25" s="241"/>
      <c r="B25" s="241"/>
      <c r="C25" s="241"/>
      <c r="D25" s="241"/>
      <c r="E25" s="241"/>
      <c r="F25" s="241"/>
      <c r="G25" s="241"/>
      <c r="H25" s="241"/>
      <c r="I25" s="241"/>
      <c r="J25" s="241"/>
      <c r="K25" s="241"/>
    </row>
    <row r="26" spans="1:11">
      <c r="A26" s="241"/>
      <c r="B26" s="241"/>
      <c r="C26" s="241"/>
      <c r="D26" s="241"/>
      <c r="E26" s="241"/>
      <c r="F26" s="241"/>
      <c r="G26" s="241"/>
      <c r="H26" s="241"/>
      <c r="I26" s="241"/>
      <c r="J26" s="241"/>
      <c r="K26" s="241"/>
    </row>
    <row r="27" spans="1:11">
      <c r="A27" s="241"/>
      <c r="B27" s="241"/>
      <c r="C27" s="241"/>
      <c r="D27" s="241"/>
      <c r="E27" s="241"/>
      <c r="F27" s="241"/>
      <c r="G27" s="241"/>
      <c r="H27" s="241"/>
      <c r="I27" s="241"/>
      <c r="J27" s="241"/>
      <c r="K27" s="241"/>
    </row>
    <row r="28" spans="1:11">
      <c r="A28" s="241"/>
      <c r="B28" s="241"/>
      <c r="C28" s="241"/>
      <c r="D28" s="241"/>
      <c r="E28" s="241"/>
      <c r="F28" s="241"/>
      <c r="G28" s="241"/>
      <c r="H28" s="241"/>
      <c r="I28" s="241"/>
      <c r="J28" s="241"/>
      <c r="K28" s="241"/>
    </row>
    <row r="29" spans="1:11">
      <c r="A29" s="241"/>
      <c r="B29" s="241"/>
      <c r="C29" s="241"/>
      <c r="D29" s="241"/>
      <c r="E29" s="241"/>
      <c r="F29" s="241"/>
      <c r="G29" s="241"/>
      <c r="H29" s="241"/>
      <c r="I29" s="241"/>
      <c r="J29" s="241"/>
      <c r="K29" s="241"/>
    </row>
  </sheetData>
  <mergeCells count="18">
    <mergeCell ref="A18:B18"/>
    <mergeCell ref="C18:F18"/>
    <mergeCell ref="I18:J18"/>
    <mergeCell ref="A8:B8"/>
    <mergeCell ref="C8:F8"/>
    <mergeCell ref="I8:J8"/>
    <mergeCell ref="A15:C15"/>
    <mergeCell ref="I15:K15"/>
    <mergeCell ref="A17:B17"/>
    <mergeCell ref="C17:F17"/>
    <mergeCell ref="I17:J17"/>
    <mergeCell ref="F1:G1"/>
    <mergeCell ref="A4:C4"/>
    <mergeCell ref="I4:K4"/>
    <mergeCell ref="A6:K6"/>
    <mergeCell ref="A7:B7"/>
    <mergeCell ref="C7:F7"/>
    <mergeCell ref="I7:J7"/>
  </mergeCells>
  <pageMargins left="0.5" right="0.5" top="0.75" bottom="0.75" header="0.3" footer="0.3"/>
  <pageSetup orientation="landscape"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F4E1-EB67-4731-B8B4-81F936393F9D}">
  <dimension ref="A1:L9"/>
  <sheetViews>
    <sheetView zoomScale="94" zoomScaleNormal="130" workbookViewId="0">
      <selection activeCell="J24" sqref="J24"/>
    </sheetView>
  </sheetViews>
  <sheetFormatPr defaultRowHeight="14.4"/>
  <cols>
    <col min="1" max="1" width="8.88671875" style="43"/>
    <col min="2" max="2" width="10.33203125" style="43" customWidth="1"/>
    <col min="3" max="4" width="8.88671875" style="43"/>
    <col min="5" max="5" width="7.77734375" style="43" customWidth="1"/>
    <col min="6" max="6" width="10.109375" style="43" customWidth="1"/>
    <col min="7" max="7" width="8.88671875" style="43"/>
    <col min="8" max="8" width="9.5546875" style="43" customWidth="1"/>
    <col min="9" max="10" width="8.88671875" style="43"/>
    <col min="11" max="11" width="10.44140625" style="43" customWidth="1"/>
    <col min="12" max="16384" width="8.88671875" style="43"/>
  </cols>
  <sheetData>
    <row r="1" spans="1:12">
      <c r="A1" s="47"/>
      <c r="B1" s="43" t="s">
        <v>50</v>
      </c>
      <c r="C1" s="48"/>
      <c r="D1" s="43" t="s">
        <v>51</v>
      </c>
      <c r="F1" s="978"/>
      <c r="G1" s="43" t="s">
        <v>52</v>
      </c>
      <c r="I1" s="49"/>
      <c r="J1" s="43" t="s">
        <v>53</v>
      </c>
    </row>
    <row r="4" spans="1:12">
      <c r="A4" s="632" t="s">
        <v>1341</v>
      </c>
      <c r="B4" s="241"/>
      <c r="C4" s="241"/>
      <c r="D4" s="241"/>
      <c r="E4" s="241"/>
      <c r="F4" s="882"/>
      <c r="G4" s="241"/>
      <c r="H4" s="241"/>
      <c r="I4" s="883"/>
      <c r="J4" s="883"/>
    </row>
    <row r="5" spans="1:12">
      <c r="A5" s="632"/>
      <c r="B5" s="241"/>
      <c r="C5" s="241"/>
      <c r="D5" s="241"/>
      <c r="E5" s="241"/>
      <c r="F5" s="882"/>
      <c r="G5" s="241"/>
      <c r="H5" s="241"/>
      <c r="I5" s="883"/>
      <c r="J5" s="883"/>
    </row>
    <row r="6" spans="1:12">
      <c r="A6" s="1005" t="s">
        <v>1342</v>
      </c>
      <c r="B6" s="1005"/>
      <c r="C6" s="48"/>
      <c r="E6" s="1006" t="s">
        <v>1343</v>
      </c>
      <c r="F6" s="1006"/>
      <c r="G6" s="48"/>
      <c r="I6" s="1005" t="s">
        <v>1344</v>
      </c>
      <c r="J6" s="1005"/>
      <c r="K6" s="48"/>
    </row>
    <row r="7" spans="1:12">
      <c r="A7" s="632"/>
      <c r="B7" s="241"/>
      <c r="E7" s="1005" t="s">
        <v>1345</v>
      </c>
      <c r="F7" s="1005"/>
      <c r="G7" s="48"/>
      <c r="I7" s="1005" t="s">
        <v>1346</v>
      </c>
      <c r="J7" s="1005"/>
      <c r="K7" s="48"/>
    </row>
    <row r="8" spans="1:12">
      <c r="A8" s="632"/>
      <c r="B8" s="241"/>
      <c r="C8" s="241"/>
      <c r="D8" s="241"/>
      <c r="E8" s="1007" t="s">
        <v>1347</v>
      </c>
      <c r="F8" s="1007"/>
      <c r="G8" s="48"/>
      <c r="H8" s="241"/>
      <c r="I8" s="1007" t="s">
        <v>1348</v>
      </c>
      <c r="J8" s="1007"/>
      <c r="K8" s="48"/>
    </row>
    <row r="9" spans="1:12">
      <c r="A9" s="979" t="s">
        <v>986</v>
      </c>
      <c r="B9" s="979"/>
      <c r="C9" s="979"/>
      <c r="D9" s="979"/>
      <c r="E9" s="979"/>
      <c r="F9" s="979"/>
      <c r="G9" s="979"/>
      <c r="H9" s="979"/>
      <c r="I9" s="979"/>
      <c r="J9" s="979"/>
      <c r="K9" s="979"/>
      <c r="L9" s="241"/>
    </row>
  </sheetData>
  <mergeCells count="7">
    <mergeCell ref="E8:F8"/>
    <mergeCell ref="I8:J8"/>
    <mergeCell ref="A6:B6"/>
    <mergeCell ref="E6:F6"/>
    <mergeCell ref="I6:J6"/>
    <mergeCell ref="E7:F7"/>
    <mergeCell ref="I7:J7"/>
  </mergeCell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6F4-0959-402F-9258-39B711EC8C52}">
  <dimension ref="A1:N9"/>
  <sheetViews>
    <sheetView zoomScaleNormal="100" workbookViewId="0">
      <selection activeCell="C13" sqref="C13"/>
    </sheetView>
  </sheetViews>
  <sheetFormatPr defaultRowHeight="14.4"/>
  <cols>
    <col min="1" max="1" width="8.88671875" style="43"/>
    <col min="2" max="2" width="10.33203125" style="43" customWidth="1"/>
    <col min="3" max="4" width="8.88671875" style="43"/>
    <col min="5" max="5" width="7.77734375" style="43" customWidth="1"/>
    <col min="6" max="6" width="10.109375" style="43" customWidth="1"/>
    <col min="7" max="7" width="8.88671875" style="43"/>
    <col min="8" max="8" width="9.5546875" style="43" customWidth="1"/>
    <col min="9" max="10" width="8.88671875" style="43"/>
    <col min="11" max="11" width="10.44140625" style="43" customWidth="1"/>
    <col min="12" max="16384" width="8.88671875" style="43"/>
  </cols>
  <sheetData>
    <row r="1" spans="1:14">
      <c r="A1" s="47"/>
      <c r="B1" s="43" t="s">
        <v>50</v>
      </c>
      <c r="C1" s="48"/>
      <c r="D1" s="43" t="s">
        <v>51</v>
      </c>
      <c r="F1" s="978"/>
      <c r="G1" s="43" t="s">
        <v>52</v>
      </c>
      <c r="I1" s="49"/>
      <c r="J1" s="43" t="s">
        <v>53</v>
      </c>
    </row>
    <row r="4" spans="1:14">
      <c r="A4" s="632" t="s">
        <v>1341</v>
      </c>
      <c r="B4" s="241"/>
      <c r="C4" s="241"/>
      <c r="D4" s="241"/>
      <c r="E4" s="241"/>
      <c r="F4" s="882"/>
      <c r="G4" s="241"/>
      <c r="H4" s="241"/>
      <c r="I4" s="883"/>
      <c r="J4" s="883"/>
    </row>
    <row r="5" spans="1:14">
      <c r="A5" s="632"/>
      <c r="B5" s="241"/>
      <c r="C5" s="241"/>
      <c r="D5" s="241"/>
      <c r="E5" s="241"/>
      <c r="F5" s="882"/>
      <c r="G5" s="241"/>
      <c r="H5" s="241"/>
      <c r="I5" s="883"/>
      <c r="J5" s="883"/>
    </row>
    <row r="6" spans="1:14">
      <c r="A6" s="1005" t="s">
        <v>1342</v>
      </c>
      <c r="B6" s="1005"/>
      <c r="C6" s="48"/>
      <c r="E6" s="1006" t="s">
        <v>1343</v>
      </c>
      <c r="F6" s="1006"/>
      <c r="G6" s="48"/>
      <c r="I6" s="1005" t="s">
        <v>1344</v>
      </c>
      <c r="J6" s="1005"/>
      <c r="K6" s="48"/>
    </row>
    <row r="7" spans="1:14">
      <c r="A7" s="632"/>
      <c r="B7" s="241"/>
      <c r="E7" s="1005" t="s">
        <v>1345</v>
      </c>
      <c r="F7" s="1005"/>
      <c r="G7" s="48"/>
      <c r="I7" s="1005" t="s">
        <v>1346</v>
      </c>
      <c r="J7" s="1005"/>
      <c r="K7" s="48"/>
    </row>
    <row r="8" spans="1:14">
      <c r="A8" s="632"/>
      <c r="B8" s="241"/>
      <c r="C8" s="241"/>
      <c r="D8" s="241"/>
      <c r="E8" s="1007" t="s">
        <v>1347</v>
      </c>
      <c r="F8" s="1007"/>
      <c r="G8" s="48"/>
      <c r="H8" s="241"/>
      <c r="I8" s="1007" t="s">
        <v>1348</v>
      </c>
      <c r="J8" s="1007"/>
      <c r="K8" s="48"/>
    </row>
    <row r="9" spans="1:14">
      <c r="A9" s="980" t="s">
        <v>1261</v>
      </c>
      <c r="B9" s="980"/>
      <c r="C9" s="980"/>
      <c r="D9" s="980"/>
      <c r="E9" s="980"/>
      <c r="F9" s="980"/>
      <c r="G9" s="980"/>
      <c r="H9" s="980"/>
      <c r="I9" s="980"/>
      <c r="J9" s="980"/>
      <c r="K9" s="981"/>
      <c r="L9" s="982"/>
      <c r="M9" s="983"/>
      <c r="N9" s="980"/>
    </row>
  </sheetData>
  <mergeCells count="7">
    <mergeCell ref="E8:F8"/>
    <mergeCell ref="I8:J8"/>
    <mergeCell ref="A6:B6"/>
    <mergeCell ref="E6:F6"/>
    <mergeCell ref="I6:J6"/>
    <mergeCell ref="E7:F7"/>
    <mergeCell ref="I7:J7"/>
  </mergeCell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22"/>
  <sheetViews>
    <sheetView topLeftCell="A4" zoomScale="90" zoomScaleNormal="90" workbookViewId="0">
      <selection activeCell="L12" sqref="L12"/>
    </sheetView>
  </sheetViews>
  <sheetFormatPr defaultColWidth="9.44140625" defaultRowHeight="14.4"/>
  <cols>
    <col min="1" max="1" width="4.5546875" style="43" customWidth="1"/>
    <col min="2" max="2" width="20.5546875" style="43" customWidth="1"/>
    <col min="3" max="3" width="4.5546875" style="43" customWidth="1"/>
    <col min="4" max="4" width="5.44140625" style="43" customWidth="1"/>
    <col min="5" max="5" width="22.5546875" style="43" customWidth="1"/>
    <col min="6" max="6" width="5" style="43" customWidth="1"/>
    <col min="7" max="7" width="23.5546875" style="43" customWidth="1"/>
    <col min="8" max="9" width="4.5546875" style="43" customWidth="1"/>
    <col min="10" max="10" width="25.21875" style="43" customWidth="1"/>
    <col min="11" max="11" width="3.5546875" style="43" customWidth="1"/>
    <col min="12" max="12" width="25.21875" style="43" customWidth="1"/>
    <col min="13" max="13" width="3.5546875" style="43" customWidth="1"/>
    <col min="14" max="14" width="29.44140625" style="43" customWidth="1"/>
    <col min="15" max="16384" width="9.44140625" style="43"/>
  </cols>
  <sheetData>
    <row r="1" spans="1:25">
      <c r="A1" s="47"/>
      <c r="B1" s="43" t="s">
        <v>50</v>
      </c>
      <c r="E1" s="48"/>
      <c r="F1" s="43" t="s">
        <v>51</v>
      </c>
      <c r="J1" s="31"/>
      <c r="K1" s="31"/>
      <c r="L1" s="117"/>
      <c r="M1" s="43" t="s">
        <v>52</v>
      </c>
      <c r="O1" s="49"/>
      <c r="P1" s="43" t="s">
        <v>53</v>
      </c>
    </row>
    <row r="2" spans="1:25" s="60" customFormat="1" ht="13.2"/>
    <row r="3" spans="1:25">
      <c r="A3" s="44"/>
      <c r="B3" s="44"/>
      <c r="C3" s="44"/>
      <c r="D3" s="44"/>
      <c r="E3" s="44"/>
      <c r="F3" s="44"/>
      <c r="G3" s="44"/>
      <c r="H3" s="44"/>
      <c r="I3" s="44"/>
      <c r="J3" s="44"/>
      <c r="K3" s="44"/>
      <c r="L3" s="44"/>
      <c r="M3" s="44"/>
      <c r="N3" s="44"/>
    </row>
    <row r="5" spans="1:25" ht="15" customHeight="1">
      <c r="A5" s="1008" t="s">
        <v>9</v>
      </c>
      <c r="B5" s="1009"/>
      <c r="C5" s="1009"/>
      <c r="D5" s="1009"/>
      <c r="E5" s="1009"/>
      <c r="F5" s="1009"/>
      <c r="G5" s="1009"/>
      <c r="H5" s="1009"/>
      <c r="I5" s="1009"/>
      <c r="J5" s="1009"/>
      <c r="K5" s="1009"/>
      <c r="L5" s="1009"/>
      <c r="M5" s="1009"/>
      <c r="N5" s="1010"/>
      <c r="O5" s="111"/>
      <c r="P5" s="112"/>
      <c r="Q5" s="112"/>
      <c r="R5" s="112"/>
    </row>
    <row r="6" spans="1:25" ht="15" customHeight="1">
      <c r="A6" s="58" t="s">
        <v>37</v>
      </c>
      <c r="B6" s="1011" t="s">
        <v>298</v>
      </c>
      <c r="C6" s="1011"/>
      <c r="D6" s="1011"/>
      <c r="E6" s="1024"/>
      <c r="F6" s="1024"/>
      <c r="G6" s="1024"/>
      <c r="H6" s="75" t="s">
        <v>41</v>
      </c>
      <c r="I6" s="1018" t="s">
        <v>68</v>
      </c>
      <c r="J6" s="1019"/>
      <c r="K6" s="1019"/>
      <c r="L6" s="1020"/>
      <c r="M6" s="153"/>
      <c r="N6" s="154"/>
      <c r="O6" s="302"/>
      <c r="P6" s="303"/>
      <c r="Q6" s="303"/>
      <c r="R6" s="303"/>
      <c r="S6" s="303"/>
      <c r="T6" s="303"/>
      <c r="U6" s="303"/>
    </row>
    <row r="7" spans="1:25" ht="15" customHeight="1">
      <c r="A7" s="58" t="s">
        <v>38</v>
      </c>
      <c r="B7" s="1023" t="s">
        <v>299</v>
      </c>
      <c r="C7" s="1023"/>
      <c r="D7" s="1023"/>
      <c r="E7" s="1024"/>
      <c r="F7" s="1024"/>
      <c r="G7" s="1024"/>
      <c r="H7" s="75" t="s">
        <v>46</v>
      </c>
      <c r="I7" s="1018" t="s">
        <v>297</v>
      </c>
      <c r="J7" s="1019"/>
      <c r="K7" s="1019"/>
      <c r="L7" s="1020"/>
      <c r="M7" s="1021"/>
      <c r="N7" s="1022"/>
      <c r="O7" s="302"/>
      <c r="P7" s="303"/>
      <c r="Q7" s="303"/>
      <c r="R7" s="303"/>
      <c r="S7" s="303"/>
      <c r="T7" s="303"/>
      <c r="U7" s="303"/>
      <c r="V7" s="113"/>
      <c r="W7" s="113"/>
      <c r="X7" s="113"/>
      <c r="Y7" s="113"/>
    </row>
    <row r="8" spans="1:25" ht="15" customHeight="1">
      <c r="A8" s="109" t="s">
        <v>39</v>
      </c>
      <c r="B8" s="1012" t="s">
        <v>67</v>
      </c>
      <c r="C8" s="1013"/>
      <c r="D8" s="1014"/>
      <c r="E8" s="1015" t="s">
        <v>82</v>
      </c>
      <c r="F8" s="1016"/>
      <c r="G8" s="1017"/>
      <c r="H8" s="75" t="s">
        <v>47</v>
      </c>
      <c r="I8" s="1018" t="s">
        <v>683</v>
      </c>
      <c r="J8" s="1019"/>
      <c r="K8" s="1019"/>
      <c r="L8" s="1020"/>
      <c r="M8" s="1021"/>
      <c r="N8" s="1022"/>
      <c r="O8" s="301"/>
      <c r="P8" s="301"/>
      <c r="Q8" s="301"/>
      <c r="R8" s="301"/>
      <c r="S8" s="301"/>
      <c r="T8" s="301"/>
      <c r="U8" s="301"/>
      <c r="V8" s="113"/>
      <c r="W8" s="113"/>
      <c r="X8" s="113"/>
      <c r="Y8" s="113"/>
    </row>
    <row r="9" spans="1:25" ht="38.25" customHeight="1">
      <c r="A9" s="58" t="s">
        <v>40</v>
      </c>
      <c r="B9" s="1033" t="s">
        <v>987</v>
      </c>
      <c r="C9" s="1034"/>
      <c r="D9" s="1034"/>
      <c r="E9" s="1034"/>
      <c r="F9" s="1034"/>
      <c r="G9" s="1034"/>
      <c r="H9" s="58" t="s">
        <v>48</v>
      </c>
      <c r="I9" s="381" t="s">
        <v>7</v>
      </c>
      <c r="J9" s="1030" t="s">
        <v>688</v>
      </c>
      <c r="K9" s="1031"/>
      <c r="L9" s="1031"/>
      <c r="M9" s="1031"/>
      <c r="N9" s="1032"/>
      <c r="O9" s="301"/>
      <c r="P9" s="301"/>
      <c r="Q9" s="301"/>
      <c r="R9" s="301"/>
      <c r="S9" s="301"/>
      <c r="T9" s="301"/>
      <c r="U9" s="301"/>
      <c r="V9" s="113"/>
      <c r="W9" s="113"/>
      <c r="X9" s="113"/>
      <c r="Y9" s="113"/>
    </row>
    <row r="10" spans="1:25" s="106" customFormat="1" ht="27.6">
      <c r="A10" s="885" t="s">
        <v>7</v>
      </c>
      <c r="B10" s="1026" t="s">
        <v>1282</v>
      </c>
      <c r="C10" s="1027"/>
      <c r="D10" s="1027"/>
      <c r="E10" s="1028"/>
      <c r="F10" s="885" t="s">
        <v>7</v>
      </c>
      <c r="G10" s="1026" t="s">
        <v>665</v>
      </c>
      <c r="H10" s="1027"/>
      <c r="I10" s="885" t="s">
        <v>7</v>
      </c>
      <c r="J10" s="886" t="s">
        <v>1284</v>
      </c>
      <c r="K10" s="885" t="s">
        <v>7</v>
      </c>
      <c r="L10" s="887" t="s">
        <v>1283</v>
      </c>
      <c r="O10" s="301"/>
      <c r="P10" s="301"/>
      <c r="Q10" s="301"/>
      <c r="R10" s="301"/>
      <c r="S10" s="301"/>
      <c r="T10" s="301"/>
      <c r="U10" s="301"/>
      <c r="V10" s="113"/>
      <c r="W10" s="113"/>
      <c r="X10" s="113"/>
      <c r="Y10" s="113"/>
    </row>
    <row r="11" spans="1:25">
      <c r="A11" s="884" t="s">
        <v>7</v>
      </c>
      <c r="B11" s="1035" t="s">
        <v>1262</v>
      </c>
      <c r="C11" s="1035"/>
      <c r="D11" s="884" t="s">
        <v>7</v>
      </c>
      <c r="E11" s="643" t="s">
        <v>1263</v>
      </c>
      <c r="F11" s="884" t="s">
        <v>7</v>
      </c>
      <c r="G11" s="888" t="s">
        <v>1285</v>
      </c>
      <c r="H11" s="889"/>
      <c r="I11" s="884" t="s">
        <v>7</v>
      </c>
      <c r="J11" s="643" t="s">
        <v>1264</v>
      </c>
    </row>
    <row r="12" spans="1:25">
      <c r="A12" s="884" t="s">
        <v>7</v>
      </c>
      <c r="B12" s="1035" t="s">
        <v>1265</v>
      </c>
      <c r="C12" s="1035"/>
      <c r="D12" s="884" t="s">
        <v>7</v>
      </c>
      <c r="E12" s="643" t="s">
        <v>1286</v>
      </c>
      <c r="F12" s="884" t="s">
        <v>7</v>
      </c>
      <c r="G12" s="888" t="s">
        <v>1266</v>
      </c>
      <c r="H12" s="889"/>
      <c r="I12" s="884" t="s">
        <v>7</v>
      </c>
      <c r="J12" s="643" t="s">
        <v>1267</v>
      </c>
    </row>
    <row r="13" spans="1:25">
      <c r="A13" s="884" t="s">
        <v>7</v>
      </c>
      <c r="B13" s="1035" t="s">
        <v>1268</v>
      </c>
      <c r="C13" s="1035"/>
      <c r="D13" s="884" t="s">
        <v>7</v>
      </c>
      <c r="E13" s="643" t="s">
        <v>1287</v>
      </c>
      <c r="F13" s="884" t="s">
        <v>7</v>
      </c>
      <c r="G13" s="888" t="s">
        <v>1288</v>
      </c>
      <c r="H13" s="889"/>
      <c r="I13" s="884" t="s">
        <v>7</v>
      </c>
      <c r="J13" s="643" t="s">
        <v>1269</v>
      </c>
    </row>
    <row r="14" spans="1:25">
      <c r="A14" s="884" t="s">
        <v>7</v>
      </c>
      <c r="B14" s="1035" t="s">
        <v>1270</v>
      </c>
      <c r="C14" s="1035"/>
      <c r="D14" s="884" t="s">
        <v>7</v>
      </c>
      <c r="E14" s="643" t="s">
        <v>1271</v>
      </c>
      <c r="F14" s="884" t="s">
        <v>7</v>
      </c>
      <c r="G14" s="888" t="s">
        <v>1272</v>
      </c>
      <c r="H14" s="889"/>
      <c r="I14" s="884" t="s">
        <v>7</v>
      </c>
      <c r="J14" s="643" t="s">
        <v>1273</v>
      </c>
    </row>
    <row r="15" spans="1:25">
      <c r="A15" s="884" t="s">
        <v>7</v>
      </c>
      <c r="B15" s="1035" t="s">
        <v>1274</v>
      </c>
      <c r="C15" s="1035"/>
      <c r="D15" s="884" t="s">
        <v>7</v>
      </c>
      <c r="E15" s="643" t="s">
        <v>1275</v>
      </c>
      <c r="F15" s="884" t="s">
        <v>7</v>
      </c>
      <c r="G15" s="888" t="s">
        <v>1276</v>
      </c>
      <c r="H15" s="889"/>
      <c r="I15" s="884" t="s">
        <v>7</v>
      </c>
      <c r="J15" s="643" t="s">
        <v>1277</v>
      </c>
    </row>
    <row r="16" spans="1:25">
      <c r="A16" s="884" t="s">
        <v>7</v>
      </c>
      <c r="B16" s="1035" t="s">
        <v>1278</v>
      </c>
      <c r="C16" s="1035"/>
      <c r="D16" s="884" t="s">
        <v>7</v>
      </c>
      <c r="E16" s="643" t="s">
        <v>1279</v>
      </c>
      <c r="F16" s="884" t="s">
        <v>7</v>
      </c>
      <c r="G16" s="888" t="s">
        <v>1280</v>
      </c>
      <c r="H16" s="889"/>
      <c r="I16" s="884" t="s">
        <v>7</v>
      </c>
      <c r="J16" s="643" t="s">
        <v>1281</v>
      </c>
    </row>
    <row r="17" spans="1:27" ht="37.5" customHeight="1">
      <c r="A17" s="1025" t="s">
        <v>1197</v>
      </c>
      <c r="B17" s="1025"/>
      <c r="C17" s="1025"/>
      <c r="D17" s="1025"/>
      <c r="E17" s="1025"/>
      <c r="F17" s="1025"/>
      <c r="G17" s="1025"/>
      <c r="H17" s="1025"/>
      <c r="I17" s="1025"/>
      <c r="J17" s="1025"/>
      <c r="K17" s="1025"/>
      <c r="L17" s="1025"/>
      <c r="M17" s="1025"/>
      <c r="N17" s="1025"/>
      <c r="O17" s="301"/>
      <c r="P17" s="301"/>
      <c r="Q17" s="301"/>
      <c r="R17" s="301"/>
      <c r="S17" s="301"/>
      <c r="T17" s="301"/>
      <c r="U17" s="301"/>
    </row>
    <row r="18" spans="1:27">
      <c r="B18" s="1029"/>
      <c r="C18" s="1029"/>
      <c r="D18" s="1029"/>
      <c r="E18" s="1029"/>
      <c r="F18" s="1029"/>
      <c r="G18" s="1029"/>
      <c r="H18" s="1029"/>
      <c r="I18" s="1029"/>
      <c r="J18" s="1029"/>
      <c r="K18" s="1029"/>
      <c r="L18" s="1029"/>
      <c r="M18" s="1029"/>
      <c r="N18" s="1029"/>
      <c r="O18" s="301"/>
      <c r="P18" s="301"/>
      <c r="Q18" s="301"/>
      <c r="R18" s="301"/>
      <c r="S18" s="301"/>
      <c r="T18" s="301"/>
      <c r="U18" s="301"/>
    </row>
    <row r="19" spans="1:27">
      <c r="B19" s="1029"/>
      <c r="C19" s="1029"/>
      <c r="D19" s="1029"/>
      <c r="E19" s="1029"/>
      <c r="F19" s="1029"/>
      <c r="G19" s="1029"/>
      <c r="H19" s="1029"/>
      <c r="I19" s="1029"/>
      <c r="J19" s="1029"/>
      <c r="K19" s="1029"/>
      <c r="L19" s="1029"/>
      <c r="M19" s="1029"/>
      <c r="N19" s="1029"/>
      <c r="O19" s="301"/>
      <c r="P19" s="301"/>
      <c r="Q19" s="301"/>
      <c r="R19" s="301"/>
      <c r="S19" s="301"/>
      <c r="T19" s="301"/>
      <c r="U19" s="301"/>
    </row>
    <row r="20" spans="1:27" ht="15" customHeight="1">
      <c r="O20" s="107"/>
      <c r="P20" s="107"/>
      <c r="Q20" s="107"/>
      <c r="R20" s="107"/>
      <c r="T20" s="69"/>
      <c r="U20" s="69"/>
      <c r="V20" s="69"/>
      <c r="W20" s="69"/>
      <c r="X20" s="69"/>
      <c r="Y20" s="69"/>
      <c r="Z20" s="69"/>
      <c r="AA20" s="69"/>
    </row>
    <row r="21" spans="1:27">
      <c r="O21" s="107"/>
      <c r="P21" s="107"/>
      <c r="Q21" s="107"/>
      <c r="R21" s="107"/>
      <c r="T21" s="69"/>
      <c r="U21" s="110"/>
      <c r="V21" s="110"/>
      <c r="W21" s="110"/>
      <c r="X21" s="110"/>
      <c r="Y21" s="110"/>
      <c r="Z21" s="110"/>
      <c r="AA21" s="69"/>
    </row>
    <row r="22" spans="1:27">
      <c r="B22" s="107"/>
      <c r="C22" s="107"/>
      <c r="D22" s="107"/>
      <c r="E22" s="107"/>
      <c r="F22" s="107"/>
      <c r="G22" s="107"/>
      <c r="H22" s="107"/>
      <c r="I22" s="107"/>
      <c r="J22" s="107"/>
      <c r="K22" s="107"/>
      <c r="L22" s="107"/>
      <c r="M22" s="107"/>
      <c r="N22" s="107"/>
      <c r="O22" s="107"/>
      <c r="P22" s="107"/>
      <c r="Q22" s="107"/>
      <c r="R22" s="107"/>
      <c r="T22" s="69"/>
      <c r="U22" s="69"/>
      <c r="V22" s="69"/>
      <c r="W22" s="69"/>
      <c r="X22" s="69"/>
      <c r="Y22" s="69"/>
      <c r="Z22" s="69"/>
      <c r="AA22" s="69"/>
    </row>
  </sheetData>
  <mergeCells count="24">
    <mergeCell ref="A17:N17"/>
    <mergeCell ref="B10:E10"/>
    <mergeCell ref="B18:N19"/>
    <mergeCell ref="J9:N9"/>
    <mergeCell ref="B9:G9"/>
    <mergeCell ref="G10:H10"/>
    <mergeCell ref="B14:C14"/>
    <mergeCell ref="B15:C15"/>
    <mergeCell ref="B16:C16"/>
    <mergeCell ref="B11:C11"/>
    <mergeCell ref="B12:C12"/>
    <mergeCell ref="B13:C13"/>
    <mergeCell ref="A5:N5"/>
    <mergeCell ref="B6:D6"/>
    <mergeCell ref="B8:D8"/>
    <mergeCell ref="E8:G8"/>
    <mergeCell ref="I7:L7"/>
    <mergeCell ref="M7:N7"/>
    <mergeCell ref="I6:L6"/>
    <mergeCell ref="B7:D7"/>
    <mergeCell ref="E6:G6"/>
    <mergeCell ref="E7:G7"/>
    <mergeCell ref="I8:L8"/>
    <mergeCell ref="M8:N8"/>
  </mergeCells>
  <pageMargins left="0.5" right="0.5" top="0.75" bottom="0.75" header="0.3" footer="0.3"/>
  <pageSetup paperSize="3" scale="90" fitToHeight="0" orientation="landscape" r:id="rId1"/>
  <colBreaks count="1" manualBreakCount="1">
    <brk id="23" min="3" max="37"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60D27-C2A1-4436-B144-05BEEE1AA1A2}">
  <sheetPr>
    <pageSetUpPr fitToPage="1"/>
  </sheetPr>
  <dimension ref="A1:AA22"/>
  <sheetViews>
    <sheetView zoomScale="90" zoomScaleNormal="90" workbookViewId="0">
      <selection activeCell="E20" sqref="E20"/>
    </sheetView>
  </sheetViews>
  <sheetFormatPr defaultColWidth="9.44140625" defaultRowHeight="14.4"/>
  <cols>
    <col min="1" max="1" width="4.5546875" style="43" customWidth="1"/>
    <col min="2" max="2" width="20.5546875" style="43" customWidth="1"/>
    <col min="3" max="3" width="4.5546875" style="43" customWidth="1"/>
    <col min="4" max="4" width="5.44140625" style="43" customWidth="1"/>
    <col min="5" max="5" width="22.5546875" style="43" customWidth="1"/>
    <col min="6" max="6" width="5" style="43" customWidth="1"/>
    <col min="7" max="7" width="23.5546875" style="43" customWidth="1"/>
    <col min="8" max="9" width="4.5546875" style="43" customWidth="1"/>
    <col min="10" max="10" width="25.21875" style="43" customWidth="1"/>
    <col min="11" max="11" width="3.5546875" style="43" customWidth="1"/>
    <col min="12" max="12" width="25.21875" style="43" customWidth="1"/>
    <col min="13" max="13" width="3.5546875" style="43" customWidth="1"/>
    <col min="14" max="14" width="29.44140625" style="43" customWidth="1"/>
    <col min="15" max="16384" width="9.44140625" style="43"/>
  </cols>
  <sheetData>
    <row r="1" spans="1:25">
      <c r="A1" s="47"/>
      <c r="B1" s="43" t="s">
        <v>50</v>
      </c>
      <c r="E1" s="48"/>
      <c r="F1" s="43" t="s">
        <v>51</v>
      </c>
      <c r="J1" s="31"/>
      <c r="K1" s="31"/>
      <c r="L1" s="832"/>
      <c r="M1" s="43" t="s">
        <v>52</v>
      </c>
      <c r="O1" s="49"/>
      <c r="P1" s="43" t="s">
        <v>53</v>
      </c>
    </row>
    <row r="2" spans="1:25" s="60" customFormat="1" ht="13.2"/>
    <row r="3" spans="1:25">
      <c r="A3" s="241"/>
      <c r="B3" s="241"/>
      <c r="C3" s="241"/>
      <c r="D3" s="241"/>
      <c r="E3" s="241"/>
      <c r="F3" s="241"/>
      <c r="G3" s="241"/>
      <c r="H3" s="241"/>
      <c r="I3" s="241"/>
      <c r="J3" s="241"/>
      <c r="K3" s="241"/>
      <c r="L3" s="241"/>
      <c r="M3" s="241"/>
      <c r="N3" s="241"/>
    </row>
    <row r="5" spans="1:25" ht="15" customHeight="1">
      <c r="A5" s="1008" t="s">
        <v>9</v>
      </c>
      <c r="B5" s="1009"/>
      <c r="C5" s="1009"/>
      <c r="D5" s="1009"/>
      <c r="E5" s="1009"/>
      <c r="F5" s="1009"/>
      <c r="G5" s="1009"/>
      <c r="H5" s="1009"/>
      <c r="I5" s="1009"/>
      <c r="J5" s="1009"/>
      <c r="K5" s="1009"/>
      <c r="L5" s="1009"/>
      <c r="M5" s="1009"/>
      <c r="N5" s="1010"/>
      <c r="O5" s="111"/>
      <c r="P5" s="112"/>
      <c r="Q5" s="112"/>
      <c r="R5" s="112"/>
    </row>
    <row r="6" spans="1:25" ht="15" customHeight="1">
      <c r="A6" s="58" t="s">
        <v>37</v>
      </c>
      <c r="B6" s="1011" t="s">
        <v>298</v>
      </c>
      <c r="C6" s="1011"/>
      <c r="D6" s="1011"/>
      <c r="E6" s="1024"/>
      <c r="F6" s="1024"/>
      <c r="G6" s="1024"/>
      <c r="H6" s="75" t="s">
        <v>41</v>
      </c>
      <c r="I6" s="1018" t="s">
        <v>68</v>
      </c>
      <c r="J6" s="1019"/>
      <c r="K6" s="1019"/>
      <c r="L6" s="1020"/>
      <c r="M6" s="153"/>
      <c r="N6" s="154"/>
      <c r="O6" s="302"/>
      <c r="P6" s="303"/>
      <c r="Q6" s="303"/>
      <c r="R6" s="303"/>
      <c r="S6" s="303"/>
      <c r="T6" s="303"/>
      <c r="U6" s="303"/>
    </row>
    <row r="7" spans="1:25" ht="15" customHeight="1">
      <c r="A7" s="58" t="s">
        <v>38</v>
      </c>
      <c r="B7" s="1023" t="s">
        <v>299</v>
      </c>
      <c r="C7" s="1023"/>
      <c r="D7" s="1023"/>
      <c r="E7" s="1024"/>
      <c r="F7" s="1024"/>
      <c r="G7" s="1024"/>
      <c r="H7" s="75" t="s">
        <v>46</v>
      </c>
      <c r="I7" s="1018" t="s">
        <v>297</v>
      </c>
      <c r="J7" s="1019"/>
      <c r="K7" s="1019"/>
      <c r="L7" s="1020"/>
      <c r="M7" s="1021"/>
      <c r="N7" s="1022"/>
      <c r="O7" s="302"/>
      <c r="P7" s="303"/>
      <c r="Q7" s="303"/>
      <c r="R7" s="303"/>
      <c r="S7" s="303"/>
      <c r="T7" s="303"/>
      <c r="U7" s="303"/>
      <c r="V7" s="113"/>
      <c r="W7" s="113"/>
      <c r="X7" s="113"/>
      <c r="Y7" s="113"/>
    </row>
    <row r="8" spans="1:25" ht="15" customHeight="1">
      <c r="A8" s="109" t="s">
        <v>39</v>
      </c>
      <c r="B8" s="1012" t="s">
        <v>67</v>
      </c>
      <c r="C8" s="1013"/>
      <c r="D8" s="1014"/>
      <c r="E8" s="1015" t="s">
        <v>82</v>
      </c>
      <c r="F8" s="1016"/>
      <c r="G8" s="1017"/>
      <c r="H8" s="75" t="s">
        <v>47</v>
      </c>
      <c r="I8" s="1018" t="s">
        <v>683</v>
      </c>
      <c r="J8" s="1019"/>
      <c r="K8" s="1019"/>
      <c r="L8" s="1020"/>
      <c r="M8" s="1021"/>
      <c r="N8" s="1022"/>
      <c r="O8" s="301"/>
      <c r="P8" s="301"/>
      <c r="Q8" s="301"/>
      <c r="R8" s="301"/>
      <c r="S8" s="301"/>
      <c r="T8" s="301"/>
      <c r="U8" s="301"/>
      <c r="V8" s="113"/>
      <c r="W8" s="113"/>
      <c r="X8" s="113"/>
      <c r="Y8" s="113"/>
    </row>
    <row r="9" spans="1:25" ht="38.25" customHeight="1">
      <c r="A9" s="58" t="s">
        <v>40</v>
      </c>
      <c r="B9" s="1033" t="s">
        <v>987</v>
      </c>
      <c r="C9" s="1034"/>
      <c r="D9" s="1034"/>
      <c r="E9" s="1034"/>
      <c r="F9" s="1034"/>
      <c r="G9" s="1034"/>
      <c r="H9" s="58" t="s">
        <v>48</v>
      </c>
      <c r="I9" s="381" t="s">
        <v>7</v>
      </c>
      <c r="J9" s="1030" t="s">
        <v>688</v>
      </c>
      <c r="K9" s="1031"/>
      <c r="L9" s="1031"/>
      <c r="M9" s="1031"/>
      <c r="N9" s="1032"/>
      <c r="O9" s="301"/>
      <c r="P9" s="301"/>
      <c r="Q9" s="301"/>
      <c r="R9" s="301"/>
      <c r="S9" s="301"/>
      <c r="T9" s="301"/>
      <c r="U9" s="301"/>
      <c r="V9" s="113"/>
      <c r="W9" s="113"/>
      <c r="X9" s="113"/>
      <c r="Y9" s="113"/>
    </row>
    <row r="10" spans="1:25" s="106" customFormat="1" ht="27.6">
      <c r="A10" s="885" t="s">
        <v>7</v>
      </c>
      <c r="B10" s="1026" t="s">
        <v>1282</v>
      </c>
      <c r="C10" s="1027"/>
      <c r="D10" s="1027"/>
      <c r="E10" s="1028"/>
      <c r="F10" s="885" t="s">
        <v>7</v>
      </c>
      <c r="G10" s="1026" t="s">
        <v>665</v>
      </c>
      <c r="H10" s="1027"/>
      <c r="I10" s="885" t="s">
        <v>7</v>
      </c>
      <c r="J10" s="886" t="s">
        <v>1284</v>
      </c>
      <c r="K10" s="885" t="s">
        <v>7</v>
      </c>
      <c r="L10" s="887" t="s">
        <v>1283</v>
      </c>
      <c r="O10" s="301"/>
      <c r="P10" s="301"/>
      <c r="Q10" s="301"/>
      <c r="R10" s="301"/>
      <c r="S10" s="301"/>
      <c r="T10" s="301"/>
      <c r="U10" s="301"/>
      <c r="V10" s="113"/>
      <c r="W10" s="113"/>
      <c r="X10" s="113"/>
      <c r="Y10" s="113"/>
    </row>
    <row r="11" spans="1:25">
      <c r="A11" s="884" t="s">
        <v>7</v>
      </c>
      <c r="B11" s="1035" t="s">
        <v>1262</v>
      </c>
      <c r="C11" s="1035"/>
      <c r="D11" s="884" t="s">
        <v>7</v>
      </c>
      <c r="E11" s="643" t="s">
        <v>1263</v>
      </c>
      <c r="F11" s="884" t="s">
        <v>7</v>
      </c>
      <c r="G11" s="888" t="s">
        <v>1285</v>
      </c>
      <c r="H11" s="889"/>
      <c r="I11" s="884" t="s">
        <v>7</v>
      </c>
      <c r="J11" s="643" t="s">
        <v>1264</v>
      </c>
    </row>
    <row r="12" spans="1:25">
      <c r="A12" s="884" t="s">
        <v>7</v>
      </c>
      <c r="B12" s="1035" t="s">
        <v>1265</v>
      </c>
      <c r="C12" s="1035"/>
      <c r="D12" s="884" t="s">
        <v>7</v>
      </c>
      <c r="E12" s="643" t="s">
        <v>1286</v>
      </c>
      <c r="F12" s="884" t="s">
        <v>7</v>
      </c>
      <c r="G12" s="888" t="s">
        <v>1266</v>
      </c>
      <c r="H12" s="889"/>
      <c r="I12" s="884" t="s">
        <v>7</v>
      </c>
      <c r="J12" s="643" t="s">
        <v>1267</v>
      </c>
    </row>
    <row r="13" spans="1:25">
      <c r="A13" s="884" t="s">
        <v>7</v>
      </c>
      <c r="B13" s="1036" t="s">
        <v>1289</v>
      </c>
      <c r="C13" s="1036"/>
      <c r="D13" s="884" t="s">
        <v>7</v>
      </c>
      <c r="E13" s="643" t="s">
        <v>1287</v>
      </c>
      <c r="F13" s="884" t="s">
        <v>7</v>
      </c>
      <c r="G13" s="888" t="s">
        <v>1288</v>
      </c>
      <c r="H13" s="889"/>
      <c r="I13" s="884" t="s">
        <v>7</v>
      </c>
      <c r="J13" s="643" t="s">
        <v>1269</v>
      </c>
    </row>
    <row r="14" spans="1:25">
      <c r="A14" s="884" t="s">
        <v>7</v>
      </c>
      <c r="B14" s="1035" t="s">
        <v>1270</v>
      </c>
      <c r="C14" s="1035"/>
      <c r="D14" s="884" t="s">
        <v>7</v>
      </c>
      <c r="E14" s="643" t="s">
        <v>1271</v>
      </c>
      <c r="F14" s="884" t="s">
        <v>7</v>
      </c>
      <c r="G14" s="888" t="s">
        <v>1272</v>
      </c>
      <c r="H14" s="889"/>
      <c r="I14" s="884" t="s">
        <v>7</v>
      </c>
      <c r="J14" s="643" t="s">
        <v>1273</v>
      </c>
    </row>
    <row r="15" spans="1:25">
      <c r="A15" s="884" t="s">
        <v>7</v>
      </c>
      <c r="B15" s="1035" t="s">
        <v>1274</v>
      </c>
      <c r="C15" s="1035"/>
      <c r="D15" s="884" t="s">
        <v>7</v>
      </c>
      <c r="E15" s="643" t="s">
        <v>1275</v>
      </c>
      <c r="F15" s="884" t="s">
        <v>7</v>
      </c>
      <c r="G15" s="888" t="s">
        <v>1276</v>
      </c>
      <c r="H15" s="889"/>
      <c r="I15" s="884" t="s">
        <v>7</v>
      </c>
      <c r="J15" s="643" t="s">
        <v>1277</v>
      </c>
    </row>
    <row r="16" spans="1:25">
      <c r="A16" s="884" t="s">
        <v>7</v>
      </c>
      <c r="B16" s="1035" t="s">
        <v>1278</v>
      </c>
      <c r="C16" s="1035"/>
      <c r="D16" s="884" t="s">
        <v>7</v>
      </c>
      <c r="E16" s="643" t="s">
        <v>1279</v>
      </c>
      <c r="F16" s="884" t="s">
        <v>7</v>
      </c>
      <c r="G16" s="888" t="s">
        <v>1280</v>
      </c>
      <c r="H16" s="889"/>
      <c r="I16" s="884" t="s">
        <v>7</v>
      </c>
      <c r="J16" s="643" t="s">
        <v>1281</v>
      </c>
    </row>
    <row r="17" spans="1:27" ht="37.5" customHeight="1">
      <c r="A17" s="1025" t="s">
        <v>1197</v>
      </c>
      <c r="B17" s="1025"/>
      <c r="C17" s="1025"/>
      <c r="D17" s="1025"/>
      <c r="E17" s="1025"/>
      <c r="F17" s="1025"/>
      <c r="G17" s="1025"/>
      <c r="H17" s="1025"/>
      <c r="I17" s="1025"/>
      <c r="J17" s="1025"/>
      <c r="K17" s="1025"/>
      <c r="L17" s="1025"/>
      <c r="M17" s="1025"/>
      <c r="N17" s="1025"/>
      <c r="O17" s="301"/>
      <c r="P17" s="301"/>
      <c r="Q17" s="301"/>
      <c r="R17" s="301"/>
      <c r="S17" s="301"/>
      <c r="T17" s="301"/>
      <c r="U17" s="301"/>
    </row>
    <row r="18" spans="1:27">
      <c r="B18" s="1029"/>
      <c r="C18" s="1029"/>
      <c r="D18" s="1029"/>
      <c r="E18" s="1029"/>
      <c r="F18" s="1029"/>
      <c r="G18" s="1029"/>
      <c r="H18" s="1029"/>
      <c r="I18" s="1029"/>
      <c r="J18" s="1029"/>
      <c r="K18" s="1029"/>
      <c r="L18" s="1029"/>
      <c r="M18" s="1029"/>
      <c r="N18" s="1029"/>
      <c r="O18" s="301"/>
      <c r="P18" s="301"/>
      <c r="Q18" s="301"/>
      <c r="R18" s="301"/>
      <c r="S18" s="301"/>
      <c r="T18" s="301"/>
      <c r="U18" s="301"/>
    </row>
    <row r="19" spans="1:27">
      <c r="B19" s="1029"/>
      <c r="C19" s="1029"/>
      <c r="D19" s="1029"/>
      <c r="E19" s="1029"/>
      <c r="F19" s="1029"/>
      <c r="G19" s="1029"/>
      <c r="H19" s="1029"/>
      <c r="I19" s="1029"/>
      <c r="J19" s="1029"/>
      <c r="K19" s="1029"/>
      <c r="L19" s="1029"/>
      <c r="M19" s="1029"/>
      <c r="N19" s="1029"/>
      <c r="O19" s="301"/>
      <c r="P19" s="301"/>
      <c r="Q19" s="301"/>
      <c r="R19" s="301"/>
      <c r="S19" s="301"/>
      <c r="T19" s="301"/>
      <c r="U19" s="301"/>
    </row>
    <row r="20" spans="1:27" ht="15" customHeight="1">
      <c r="O20" s="107"/>
      <c r="P20" s="107"/>
      <c r="Q20" s="107"/>
      <c r="R20" s="107"/>
      <c r="T20" s="69"/>
      <c r="U20" s="69"/>
      <c r="V20" s="69"/>
      <c r="W20" s="69"/>
      <c r="X20" s="69"/>
      <c r="Y20" s="69"/>
      <c r="Z20" s="69"/>
      <c r="AA20" s="69"/>
    </row>
    <row r="21" spans="1:27">
      <c r="O21" s="107"/>
      <c r="P21" s="107"/>
      <c r="Q21" s="107"/>
      <c r="R21" s="107"/>
      <c r="T21" s="69"/>
      <c r="U21" s="110"/>
      <c r="V21" s="110"/>
      <c r="W21" s="110"/>
      <c r="X21" s="110"/>
      <c r="Y21" s="110"/>
      <c r="Z21" s="110"/>
      <c r="AA21" s="69"/>
    </row>
    <row r="22" spans="1:27">
      <c r="B22" s="107"/>
      <c r="C22" s="107"/>
      <c r="D22" s="107"/>
      <c r="E22" s="107"/>
      <c r="F22" s="107"/>
      <c r="G22" s="107"/>
      <c r="H22" s="107"/>
      <c r="I22" s="107"/>
      <c r="J22" s="107"/>
      <c r="K22" s="107"/>
      <c r="L22" s="107"/>
      <c r="M22" s="107"/>
      <c r="N22" s="107"/>
      <c r="O22" s="107"/>
      <c r="P22" s="107"/>
      <c r="Q22" s="107"/>
      <c r="R22" s="107"/>
      <c r="T22" s="69"/>
      <c r="U22" s="69"/>
      <c r="V22" s="69"/>
      <c r="W22" s="69"/>
      <c r="X22" s="69"/>
      <c r="Y22" s="69"/>
      <c r="Z22" s="69"/>
      <c r="AA22" s="69"/>
    </row>
  </sheetData>
  <mergeCells count="24">
    <mergeCell ref="B15:C15"/>
    <mergeCell ref="B16:C16"/>
    <mergeCell ref="A17:N17"/>
    <mergeCell ref="B18:N19"/>
    <mergeCell ref="B10:E10"/>
    <mergeCell ref="G10:H10"/>
    <mergeCell ref="B11:C11"/>
    <mergeCell ref="B12:C12"/>
    <mergeCell ref="B13:C13"/>
    <mergeCell ref="B14:C14"/>
    <mergeCell ref="B8:D8"/>
    <mergeCell ref="E8:G8"/>
    <mergeCell ref="I8:L8"/>
    <mergeCell ref="M8:N8"/>
    <mergeCell ref="B9:G9"/>
    <mergeCell ref="J9:N9"/>
    <mergeCell ref="A5:N5"/>
    <mergeCell ref="B6:D6"/>
    <mergeCell ref="E6:G6"/>
    <mergeCell ref="I6:L6"/>
    <mergeCell ref="B7:D7"/>
    <mergeCell ref="E7:G7"/>
    <mergeCell ref="I7:L7"/>
    <mergeCell ref="M7:N7"/>
  </mergeCells>
  <pageMargins left="0.5" right="0.5" top="0.75" bottom="0.75" header="0.3" footer="0.3"/>
  <pageSetup paperSize="3" scale="90" fitToHeight="0" orientation="landscape" r:id="rId1"/>
  <colBreaks count="1" manualBreakCount="1">
    <brk id="23" min="3" max="37"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7A5B-1892-4837-B5AA-2075A3337777}">
  <dimension ref="A1:T35"/>
  <sheetViews>
    <sheetView topLeftCell="D4" zoomScaleNormal="100" workbookViewId="0">
      <selection activeCell="A14" sqref="A14"/>
    </sheetView>
  </sheetViews>
  <sheetFormatPr defaultColWidth="9.44140625" defaultRowHeight="14.4"/>
  <cols>
    <col min="1" max="2" width="4.5546875" style="43" customWidth="1"/>
    <col min="3" max="3" width="11.5546875" style="43" customWidth="1"/>
    <col min="4" max="4" width="63.5546875" style="43" customWidth="1"/>
    <col min="5" max="5" width="7.5546875" style="43" customWidth="1"/>
    <col min="6" max="6" width="12.5546875" style="43" customWidth="1"/>
    <col min="7" max="7" width="18.44140625" style="43" customWidth="1"/>
    <col min="8" max="8" width="28.44140625" style="43" customWidth="1"/>
    <col min="9" max="9" width="5" style="43" customWidth="1"/>
    <col min="10" max="10" width="20.5546875" style="43" customWidth="1"/>
    <col min="11" max="11" width="10.5546875" style="43" customWidth="1"/>
    <col min="12" max="16384" width="9.44140625" style="43"/>
  </cols>
  <sheetData>
    <row r="1" spans="1:20">
      <c r="A1" s="47"/>
      <c r="B1" s="47"/>
      <c r="C1" s="43" t="s">
        <v>50</v>
      </c>
      <c r="E1" s="48"/>
      <c r="F1" s="48"/>
      <c r="H1" s="43" t="s">
        <v>51</v>
      </c>
      <c r="K1" s="832"/>
      <c r="M1" s="49"/>
      <c r="N1" s="43" t="s">
        <v>53</v>
      </c>
    </row>
    <row r="2" spans="1:20" s="10" customFormat="1" ht="13.2">
      <c r="A2" s="11"/>
      <c r="B2" s="11"/>
      <c r="C2" s="11"/>
      <c r="D2" s="11"/>
      <c r="E2" s="11"/>
      <c r="F2" s="11"/>
      <c r="H2" s="11"/>
      <c r="J2" s="11"/>
      <c r="K2" s="11"/>
      <c r="L2" s="11"/>
      <c r="M2" s="11"/>
      <c r="N2" s="11"/>
    </row>
    <row r="3" spans="1:20">
      <c r="A3" s="241"/>
      <c r="B3" s="241"/>
      <c r="C3" s="241"/>
      <c r="D3" s="241"/>
      <c r="E3" s="241"/>
      <c r="F3" s="241"/>
      <c r="H3" s="241"/>
      <c r="J3" s="241"/>
      <c r="K3" s="241"/>
    </row>
    <row r="4" spans="1:20">
      <c r="C4" s="73"/>
      <c r="E4" s="68"/>
      <c r="F4" s="68"/>
      <c r="G4" s="68"/>
      <c r="H4" s="68"/>
      <c r="K4" s="46"/>
    </row>
    <row r="5" spans="1:20">
      <c r="E5" s="68"/>
      <c r="F5" s="68"/>
      <c r="G5" s="68"/>
      <c r="H5" s="68"/>
    </row>
    <row r="6" spans="1:20" ht="15" customHeight="1">
      <c r="A6" s="1037" t="s">
        <v>12</v>
      </c>
      <c r="B6" s="1038"/>
      <c r="C6" s="1038"/>
      <c r="D6" s="1038"/>
      <c r="E6" s="1038"/>
      <c r="F6" s="1038"/>
      <c r="G6" s="1038"/>
      <c r="H6" s="1039"/>
      <c r="I6" s="51"/>
      <c r="J6" s="51"/>
      <c r="K6" s="51"/>
    </row>
    <row r="7" spans="1:20" ht="37.049999999999997" customHeight="1">
      <c r="A7" s="993" t="s">
        <v>1195</v>
      </c>
      <c r="B7" s="994"/>
      <c r="C7" s="994"/>
      <c r="D7" s="994"/>
      <c r="E7" s="994"/>
      <c r="F7" s="994"/>
      <c r="G7" s="994"/>
      <c r="H7" s="995"/>
      <c r="I7" s="50"/>
      <c r="J7" s="50"/>
      <c r="K7" s="50"/>
    </row>
    <row r="8" spans="1:20" ht="15" customHeight="1">
      <c r="A8" s="1040" t="s">
        <v>86</v>
      </c>
      <c r="B8" s="1041"/>
      <c r="C8" s="1041"/>
      <c r="D8" s="1042"/>
      <c r="E8" s="1040" t="s">
        <v>74</v>
      </c>
      <c r="F8" s="1041"/>
      <c r="G8" s="1041"/>
      <c r="H8" s="1042"/>
      <c r="J8" s="70"/>
      <c r="K8" s="70"/>
      <c r="Q8" s="46"/>
    </row>
    <row r="9" spans="1:20" ht="16.5" customHeight="1">
      <c r="A9" s="1043"/>
      <c r="B9" s="1044"/>
      <c r="C9" s="1044"/>
      <c r="D9" s="1045"/>
      <c r="E9" s="1043"/>
      <c r="F9" s="1044"/>
      <c r="G9" s="1044"/>
      <c r="H9" s="1045"/>
      <c r="J9" s="71"/>
      <c r="K9" s="71"/>
    </row>
    <row r="10" spans="1:20" ht="18" customHeight="1">
      <c r="A10" s="1046" t="s">
        <v>37</v>
      </c>
      <c r="B10" s="1046"/>
      <c r="C10" s="1046"/>
      <c r="D10" s="1046"/>
      <c r="E10" s="1047" t="s">
        <v>38</v>
      </c>
      <c r="F10" s="1047"/>
      <c r="G10" s="1047"/>
      <c r="H10" s="1047"/>
      <c r="J10" s="72"/>
      <c r="K10" s="72"/>
    </row>
    <row r="11" spans="1:20" ht="15" customHeight="1">
      <c r="A11" s="815" t="s">
        <v>7</v>
      </c>
      <c r="B11" s="1048" t="s">
        <v>300</v>
      </c>
      <c r="C11" s="1048"/>
      <c r="D11" s="1048"/>
      <c r="E11" s="1049" t="s">
        <v>692</v>
      </c>
      <c r="F11" s="1050"/>
      <c r="G11" s="165" t="s">
        <v>301</v>
      </c>
      <c r="H11" s="826" t="s">
        <v>1239</v>
      </c>
      <c r="I11" s="1059"/>
      <c r="J11" s="1059"/>
      <c r="K11" s="1059"/>
      <c r="L11" s="1059"/>
      <c r="M11" s="1059"/>
      <c r="N11" s="1059"/>
      <c r="O11" s="1059"/>
      <c r="P11" s="1059"/>
      <c r="Q11" s="1059"/>
      <c r="R11" s="1059"/>
      <c r="S11" s="1059"/>
    </row>
    <row r="12" spans="1:20" ht="15">
      <c r="A12" s="163"/>
      <c r="B12" s="54" t="s">
        <v>7</v>
      </c>
      <c r="C12" s="1011" t="s">
        <v>303</v>
      </c>
      <c r="D12" s="1011"/>
      <c r="E12" s="1053"/>
      <c r="F12" s="1054"/>
      <c r="G12" s="166" t="s">
        <v>302</v>
      </c>
      <c r="H12" s="839" t="s">
        <v>562</v>
      </c>
      <c r="I12" s="1059"/>
      <c r="J12" s="1059"/>
      <c r="K12" s="1059"/>
      <c r="L12" s="1059"/>
      <c r="M12" s="1059"/>
      <c r="N12" s="1059"/>
      <c r="O12" s="1059"/>
      <c r="P12" s="1059"/>
      <c r="Q12" s="1059"/>
      <c r="R12" s="1059"/>
      <c r="S12" s="1059"/>
      <c r="T12" s="45"/>
    </row>
    <row r="13" spans="1:20" s="170" customFormat="1" ht="8.25" customHeight="1">
      <c r="A13" s="1062"/>
      <c r="B13" s="1063"/>
      <c r="C13" s="1063"/>
      <c r="D13" s="1063"/>
      <c r="E13" s="1063"/>
      <c r="F13" s="1063"/>
      <c r="G13" s="1063"/>
      <c r="H13" s="1064"/>
      <c r="I13" s="169"/>
      <c r="J13" s="169"/>
      <c r="K13" s="169"/>
      <c r="L13" s="169"/>
      <c r="M13" s="169"/>
      <c r="N13" s="169"/>
      <c r="O13" s="169"/>
      <c r="P13" s="169"/>
      <c r="Q13" s="169"/>
      <c r="R13" s="169"/>
      <c r="S13" s="169"/>
      <c r="T13" s="169"/>
    </row>
    <row r="14" spans="1:20">
      <c r="A14" s="54" t="s">
        <v>7</v>
      </c>
      <c r="B14" s="1048" t="s">
        <v>689</v>
      </c>
      <c r="C14" s="1048"/>
      <c r="D14" s="1048"/>
      <c r="E14" s="1049" t="s">
        <v>692</v>
      </c>
      <c r="F14" s="1050"/>
      <c r="G14" s="1055" t="s">
        <v>301</v>
      </c>
      <c r="H14" s="1057" t="s">
        <v>1239</v>
      </c>
      <c r="I14" s="1059"/>
      <c r="J14" s="1060"/>
      <c r="K14" s="1060"/>
      <c r="L14" s="1060"/>
      <c r="M14" s="1060"/>
      <c r="N14" s="1060"/>
      <c r="O14" s="1060"/>
      <c r="P14" s="1060"/>
      <c r="Q14" s="1060"/>
    </row>
    <row r="15" spans="1:20" ht="15">
      <c r="A15" s="814"/>
      <c r="B15" s="815" t="s">
        <v>7</v>
      </c>
      <c r="C15" s="1067" t="s">
        <v>1225</v>
      </c>
      <c r="D15" s="1068"/>
      <c r="E15" s="1051"/>
      <c r="F15" s="1052"/>
      <c r="G15" s="1056"/>
      <c r="H15" s="1058"/>
      <c r="I15" s="1059"/>
      <c r="J15" s="1060"/>
      <c r="K15" s="1060"/>
      <c r="L15" s="1060"/>
      <c r="M15" s="1060"/>
      <c r="N15" s="1060"/>
      <c r="O15" s="1060"/>
      <c r="P15" s="1060"/>
      <c r="Q15" s="1060"/>
    </row>
    <row r="16" spans="1:20" ht="15" customHeight="1">
      <c r="A16" s="814"/>
      <c r="B16" s="815" t="s">
        <v>7</v>
      </c>
      <c r="C16" s="1067" t="s">
        <v>1226</v>
      </c>
      <c r="D16" s="1068"/>
      <c r="E16" s="1051"/>
      <c r="F16" s="1052"/>
      <c r="G16" s="1055" t="s">
        <v>302</v>
      </c>
      <c r="H16" s="1055" t="s">
        <v>562</v>
      </c>
      <c r="I16" s="1059"/>
      <c r="J16" s="1060"/>
      <c r="K16" s="1060"/>
      <c r="L16" s="1060"/>
      <c r="M16" s="1060"/>
      <c r="N16" s="1060"/>
      <c r="O16" s="1060"/>
      <c r="P16" s="1060"/>
      <c r="Q16" s="1060"/>
    </row>
    <row r="17" spans="1:20">
      <c r="A17" s="163"/>
      <c r="B17" s="54" t="s">
        <v>7</v>
      </c>
      <c r="C17" s="1011" t="s">
        <v>303</v>
      </c>
      <c r="D17" s="1011"/>
      <c r="E17" s="1053"/>
      <c r="F17" s="1054"/>
      <c r="G17" s="1056"/>
      <c r="H17" s="1056"/>
      <c r="I17" s="1061"/>
      <c r="J17" s="1060"/>
      <c r="K17" s="1060"/>
      <c r="L17" s="1060"/>
      <c r="M17" s="1060"/>
      <c r="N17" s="1060"/>
      <c r="O17" s="1060"/>
      <c r="P17" s="1060"/>
      <c r="Q17" s="1060"/>
      <c r="R17" s="45"/>
      <c r="S17" s="45"/>
      <c r="T17" s="45"/>
    </row>
    <row r="18" spans="1:20" s="170" customFormat="1" ht="6" customHeight="1">
      <c r="A18" s="1062"/>
      <c r="B18" s="1063"/>
      <c r="C18" s="1063"/>
      <c r="D18" s="1063"/>
      <c r="E18" s="1063"/>
      <c r="F18" s="1063"/>
      <c r="G18" s="1063"/>
      <c r="H18" s="1064"/>
      <c r="I18" s="169"/>
      <c r="J18" s="169"/>
      <c r="K18" s="169"/>
      <c r="L18" s="169"/>
      <c r="M18" s="169"/>
      <c r="N18" s="169"/>
      <c r="O18" s="169"/>
      <c r="P18" s="169"/>
      <c r="Q18" s="169"/>
      <c r="R18" s="169"/>
      <c r="S18" s="169"/>
      <c r="T18" s="169"/>
    </row>
    <row r="19" spans="1:20">
      <c r="A19" s="387" t="s">
        <v>7</v>
      </c>
      <c r="B19" s="1048" t="s">
        <v>690</v>
      </c>
      <c r="C19" s="1048"/>
      <c r="D19" s="1048"/>
      <c r="E19" s="1069" t="s">
        <v>691</v>
      </c>
      <c r="F19" s="1070"/>
      <c r="G19" s="165" t="s">
        <v>301</v>
      </c>
      <c r="H19" s="827" t="s">
        <v>1240</v>
      </c>
      <c r="I19" s="45"/>
      <c r="J19" s="61"/>
      <c r="K19" s="12"/>
      <c r="L19" s="45"/>
      <c r="M19" s="45"/>
      <c r="N19" s="45"/>
      <c r="O19" s="45"/>
      <c r="P19" s="45"/>
      <c r="Q19" s="45"/>
      <c r="R19" s="45"/>
      <c r="S19" s="45"/>
      <c r="T19" s="45"/>
    </row>
    <row r="20" spans="1:20" ht="30.75" customHeight="1">
      <c r="A20" s="388"/>
      <c r="B20" s="389" t="s">
        <v>7</v>
      </c>
      <c r="C20" s="1071" t="s">
        <v>699</v>
      </c>
      <c r="D20" s="1072"/>
      <c r="E20" s="1073" t="s">
        <v>1242</v>
      </c>
      <c r="F20" s="1074"/>
      <c r="G20" s="390" t="s">
        <v>302</v>
      </c>
      <c r="H20" s="386" t="s">
        <v>928</v>
      </c>
      <c r="I20" s="45"/>
      <c r="J20" s="1075"/>
      <c r="K20" s="1075"/>
      <c r="L20" s="45"/>
      <c r="M20" s="45"/>
      <c r="N20" s="8"/>
      <c r="O20" s="45"/>
      <c r="P20" s="45"/>
      <c r="Q20" s="45"/>
      <c r="R20" s="45"/>
      <c r="S20" s="45"/>
      <c r="T20" s="45"/>
    </row>
    <row r="21" spans="1:20" ht="15">
      <c r="A21" s="511" t="s">
        <v>927</v>
      </c>
      <c r="B21" s="45"/>
      <c r="C21" s="45"/>
      <c r="D21" s="45"/>
      <c r="E21" s="46"/>
      <c r="F21" s="46"/>
    </row>
    <row r="22" spans="1:20" ht="33" customHeight="1">
      <c r="A22" s="1065" t="s">
        <v>1243</v>
      </c>
      <c r="B22" s="1065"/>
      <c r="C22" s="1065"/>
      <c r="D22" s="1065"/>
      <c r="E22" s="1065"/>
      <c r="F22" s="1065"/>
      <c r="G22" s="1065"/>
      <c r="H22" s="1065"/>
      <c r="I22" s="1066"/>
      <c r="J22" s="1066"/>
      <c r="K22" s="1066"/>
      <c r="L22" s="1066"/>
      <c r="M22" s="1066"/>
      <c r="N22" s="1066"/>
      <c r="O22" s="1066"/>
      <c r="P22" s="1066"/>
      <c r="Q22" s="1066"/>
      <c r="R22" s="45"/>
      <c r="S22" s="45"/>
      <c r="T22" s="45"/>
    </row>
    <row r="23" spans="1:20" ht="15" customHeight="1">
      <c r="A23" s="61"/>
      <c r="B23" s="828"/>
      <c r="C23" s="828"/>
      <c r="D23" s="828"/>
      <c r="E23" s="829"/>
      <c r="F23" s="829"/>
      <c r="G23" s="829"/>
      <c r="H23" s="829"/>
      <c r="I23" s="1078"/>
      <c r="J23" s="1078"/>
      <c r="K23" s="1078"/>
      <c r="L23" s="1078"/>
      <c r="M23" s="1078"/>
      <c r="N23" s="1078"/>
      <c r="O23" s="1078"/>
      <c r="P23" s="1078"/>
      <c r="Q23" s="1078"/>
      <c r="R23" s="1078"/>
      <c r="S23" s="1078"/>
      <c r="T23" s="45"/>
    </row>
    <row r="24" spans="1:20">
      <c r="A24" s="62"/>
      <c r="B24" s="62"/>
      <c r="C24" s="62"/>
      <c r="D24" s="12"/>
      <c r="E24" s="1076"/>
      <c r="F24" s="1076"/>
      <c r="G24" s="1076"/>
      <c r="H24" s="1076"/>
      <c r="I24" s="1077"/>
      <c r="J24" s="1077"/>
      <c r="K24" s="1077"/>
      <c r="L24" s="1077"/>
      <c r="M24" s="1077"/>
      <c r="N24" s="1077"/>
      <c r="O24" s="1077"/>
      <c r="P24" s="1077"/>
      <c r="Q24" s="1077"/>
      <c r="R24" s="1077"/>
      <c r="S24" s="1077"/>
      <c r="T24" s="45"/>
    </row>
    <row r="25" spans="1:20">
      <c r="A25" s="62"/>
      <c r="B25" s="62"/>
      <c r="C25" s="62"/>
      <c r="D25" s="12"/>
      <c r="E25" s="1076"/>
      <c r="F25" s="1076"/>
      <c r="G25" s="1076"/>
      <c r="H25" s="1076"/>
      <c r="I25" s="168"/>
      <c r="J25" s="168"/>
      <c r="K25" s="168"/>
      <c r="L25" s="168"/>
      <c r="M25" s="168"/>
      <c r="N25" s="168"/>
      <c r="O25" s="168"/>
      <c r="P25" s="168"/>
      <c r="Q25" s="168"/>
      <c r="R25" s="168"/>
      <c r="S25" s="168"/>
      <c r="T25" s="45"/>
    </row>
    <row r="26" spans="1:20">
      <c r="A26" s="62"/>
      <c r="B26" s="62"/>
      <c r="C26" s="62"/>
      <c r="D26" s="12"/>
      <c r="E26" s="1076"/>
      <c r="F26" s="1076"/>
      <c r="G26" s="1076"/>
      <c r="H26" s="1076"/>
      <c r="I26" s="1077"/>
      <c r="J26" s="1077"/>
      <c r="K26" s="1077"/>
      <c r="L26" s="1077"/>
      <c r="M26" s="1077"/>
      <c r="N26" s="1077"/>
      <c r="O26" s="1077"/>
      <c r="P26" s="1077"/>
      <c r="Q26" s="1077"/>
      <c r="R26" s="1077"/>
      <c r="S26" s="1077"/>
      <c r="T26" s="45"/>
    </row>
    <row r="27" spans="1:20">
      <c r="A27" s="62"/>
      <c r="B27" s="62"/>
      <c r="C27" s="62"/>
      <c r="D27" s="12"/>
      <c r="E27" s="1076"/>
      <c r="F27" s="1076"/>
      <c r="G27" s="1076"/>
      <c r="H27" s="1076"/>
      <c r="I27" s="168"/>
      <c r="J27" s="168"/>
      <c r="K27" s="168"/>
      <c r="L27" s="168"/>
      <c r="M27" s="168"/>
      <c r="N27" s="168"/>
      <c r="O27" s="168"/>
      <c r="P27" s="168"/>
      <c r="Q27" s="168"/>
      <c r="R27" s="168"/>
      <c r="S27" s="168"/>
      <c r="T27" s="45"/>
    </row>
    <row r="28" spans="1:20">
      <c r="A28" s="62"/>
      <c r="B28" s="62"/>
      <c r="C28" s="62"/>
      <c r="D28" s="12"/>
      <c r="E28" s="1076"/>
      <c r="F28" s="1076"/>
      <c r="G28" s="1076"/>
      <c r="H28" s="1076"/>
      <c r="I28" s="1077"/>
      <c r="J28" s="1077"/>
      <c r="K28" s="1077"/>
      <c r="L28" s="1077"/>
      <c r="M28" s="1077"/>
      <c r="N28" s="1077"/>
      <c r="O28" s="1077"/>
      <c r="P28" s="1077"/>
      <c r="Q28" s="1077"/>
      <c r="R28" s="1077"/>
      <c r="S28" s="1077"/>
      <c r="T28" s="45"/>
    </row>
    <row r="29" spans="1:20">
      <c r="A29" s="62"/>
      <c r="B29" s="62"/>
      <c r="C29" s="62"/>
      <c r="D29" s="12"/>
      <c r="E29" s="1076"/>
      <c r="F29" s="1076"/>
      <c r="G29" s="1076"/>
      <c r="H29" s="1076"/>
      <c r="I29" s="1077"/>
      <c r="J29" s="1077"/>
      <c r="K29" s="1077"/>
      <c r="L29" s="1077"/>
      <c r="M29" s="1077"/>
      <c r="N29" s="1077"/>
      <c r="O29" s="1077"/>
      <c r="P29" s="1077"/>
      <c r="Q29" s="1077"/>
      <c r="R29" s="1077"/>
      <c r="S29" s="1077"/>
      <c r="T29" s="45"/>
    </row>
    <row r="30" spans="1:20" ht="15" customHeight="1">
      <c r="A30" s="63"/>
      <c r="B30" s="72"/>
      <c r="C30" s="8"/>
      <c r="D30" s="12"/>
      <c r="E30" s="1076"/>
      <c r="F30" s="1076"/>
      <c r="G30" s="1076"/>
      <c r="H30" s="1076"/>
      <c r="I30" s="1077"/>
      <c r="J30" s="1077"/>
      <c r="K30" s="1077"/>
      <c r="L30" s="1077"/>
      <c r="M30" s="1077"/>
      <c r="N30" s="1077"/>
      <c r="O30" s="1077"/>
      <c r="P30" s="1077"/>
      <c r="Q30" s="1077"/>
      <c r="R30" s="1077"/>
      <c r="S30" s="1077"/>
      <c r="T30" s="45"/>
    </row>
    <row r="31" spans="1:20">
      <c r="A31" s="835"/>
      <c r="B31" s="835"/>
      <c r="C31" s="65"/>
      <c r="D31" s="45"/>
      <c r="E31" s="68"/>
      <c r="F31" s="68"/>
      <c r="G31" s="45"/>
      <c r="H31" s="68"/>
      <c r="I31" s="45"/>
      <c r="J31" s="69"/>
      <c r="K31" s="69"/>
      <c r="L31" s="45"/>
      <c r="M31" s="45"/>
      <c r="N31" s="45"/>
      <c r="O31" s="45"/>
      <c r="P31" s="45"/>
      <c r="Q31" s="45"/>
      <c r="R31" s="45"/>
      <c r="S31" s="45"/>
      <c r="T31" s="45"/>
    </row>
    <row r="32" spans="1:20" ht="15" customHeight="1">
      <c r="A32" s="64"/>
      <c r="B32" s="64"/>
      <c r="C32" s="66"/>
      <c r="E32" s="167"/>
      <c r="F32" s="167"/>
      <c r="G32" s="167"/>
      <c r="H32" s="167"/>
      <c r="I32" s="45"/>
      <c r="J32" s="69"/>
      <c r="K32" s="69"/>
      <c r="L32" s="45"/>
      <c r="M32" s="45"/>
      <c r="N32" s="45"/>
      <c r="O32" s="45"/>
      <c r="P32" s="45"/>
      <c r="Q32" s="45"/>
      <c r="R32" s="45"/>
      <c r="S32" s="45"/>
      <c r="T32" s="45"/>
    </row>
    <row r="33" spans="1:11">
      <c r="A33" s="66"/>
      <c r="B33" s="66"/>
      <c r="E33" s="167"/>
      <c r="F33" s="167"/>
      <c r="G33" s="167"/>
      <c r="H33" s="167"/>
      <c r="J33" s="69"/>
      <c r="K33" s="69"/>
    </row>
    <row r="34" spans="1:11">
      <c r="A34" s="66"/>
      <c r="B34" s="66"/>
      <c r="E34" s="167"/>
      <c r="F34" s="167"/>
      <c r="G34" s="167"/>
      <c r="H34" s="167"/>
      <c r="J34" s="69"/>
      <c r="K34" s="66"/>
    </row>
    <row r="35" spans="1:11">
      <c r="A35" s="8"/>
      <c r="B35" s="8"/>
      <c r="E35" s="167"/>
      <c r="F35" s="167"/>
      <c r="G35" s="167"/>
      <c r="H35" s="167"/>
      <c r="J35" s="67"/>
      <c r="K35" s="67"/>
    </row>
  </sheetData>
  <mergeCells count="42">
    <mergeCell ref="E30:H30"/>
    <mergeCell ref="I30:S30"/>
    <mergeCell ref="I23:S23"/>
    <mergeCell ref="E24:H24"/>
    <mergeCell ref="I24:S24"/>
    <mergeCell ref="E25:H25"/>
    <mergeCell ref="E26:H26"/>
    <mergeCell ref="I26:S26"/>
    <mergeCell ref="E27:H27"/>
    <mergeCell ref="E28:H28"/>
    <mergeCell ref="I28:S28"/>
    <mergeCell ref="E29:H29"/>
    <mergeCell ref="I29:S29"/>
    <mergeCell ref="A22:H22"/>
    <mergeCell ref="I22:Q22"/>
    <mergeCell ref="C15:D15"/>
    <mergeCell ref="C16:D16"/>
    <mergeCell ref="G16:G17"/>
    <mergeCell ref="H16:H17"/>
    <mergeCell ref="C17:D17"/>
    <mergeCell ref="A18:H18"/>
    <mergeCell ref="B19:D19"/>
    <mergeCell ref="E19:F19"/>
    <mergeCell ref="C20:D20"/>
    <mergeCell ref="E20:F20"/>
    <mergeCell ref="J20:K20"/>
    <mergeCell ref="B11:D11"/>
    <mergeCell ref="E11:F12"/>
    <mergeCell ref="I11:S12"/>
    <mergeCell ref="C12:D12"/>
    <mergeCell ref="A13:H13"/>
    <mergeCell ref="B14:D14"/>
    <mergeCell ref="E14:F17"/>
    <mergeCell ref="G14:G15"/>
    <mergeCell ref="H14:H15"/>
    <mergeCell ref="I14:Q17"/>
    <mergeCell ref="A6:H6"/>
    <mergeCell ref="A7:H7"/>
    <mergeCell ref="A8:D9"/>
    <mergeCell ref="E8:H9"/>
    <mergeCell ref="A10:D10"/>
    <mergeCell ref="E10:H10"/>
  </mergeCells>
  <pageMargins left="0.25" right="0.25" top="0.75" bottom="0.75" header="0.3" footer="0.3"/>
  <pageSetup paperSize="3" scale="92" fitToHeight="0" orientation="landscape" cellComments="asDisplayed"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5"/>
  <sheetViews>
    <sheetView zoomScaleNormal="100" workbookViewId="0">
      <selection activeCell="C16" sqref="C16:D16"/>
    </sheetView>
  </sheetViews>
  <sheetFormatPr defaultColWidth="9.44140625" defaultRowHeight="14.4"/>
  <cols>
    <col min="1" max="2" width="4.5546875" style="43" customWidth="1"/>
    <col min="3" max="3" width="11.5546875" style="43" customWidth="1"/>
    <col min="4" max="4" width="63.5546875" style="43" customWidth="1"/>
    <col min="5" max="5" width="7.5546875" style="43" customWidth="1"/>
    <col min="6" max="6" width="12.5546875" style="43" customWidth="1"/>
    <col min="7" max="7" width="18.44140625" style="43" customWidth="1"/>
    <col min="8" max="8" width="28.44140625" style="43" customWidth="1"/>
    <col min="9" max="9" width="5" style="43" customWidth="1"/>
    <col min="10" max="10" width="20.5546875" style="43" customWidth="1"/>
    <col min="11" max="11" width="10.5546875" style="43" customWidth="1"/>
    <col min="12" max="16384" width="9.44140625" style="43"/>
  </cols>
  <sheetData>
    <row r="1" spans="1:20">
      <c r="A1" s="47"/>
      <c r="B1" s="47"/>
      <c r="C1" s="43" t="s">
        <v>50</v>
      </c>
      <c r="E1" s="48"/>
      <c r="F1" s="48"/>
      <c r="H1" s="43" t="s">
        <v>51</v>
      </c>
      <c r="K1" s="123"/>
      <c r="M1" s="49"/>
      <c r="N1" s="43" t="s">
        <v>53</v>
      </c>
    </row>
    <row r="2" spans="1:20" s="10" customFormat="1" ht="13.2">
      <c r="A2" s="11"/>
      <c r="B2" s="11"/>
      <c r="C2" s="11"/>
      <c r="D2" s="11"/>
      <c r="E2" s="11"/>
      <c r="F2" s="11"/>
      <c r="H2" s="11"/>
      <c r="J2" s="11"/>
      <c r="K2" s="11"/>
      <c r="L2" s="11"/>
      <c r="M2" s="11"/>
      <c r="N2" s="11"/>
    </row>
    <row r="3" spans="1:20">
      <c r="A3" s="44"/>
      <c r="B3" s="44"/>
      <c r="C3" s="44"/>
      <c r="D3" s="44"/>
      <c r="E3" s="44"/>
      <c r="F3" s="44"/>
      <c r="H3" s="44"/>
      <c r="J3" s="44"/>
      <c r="K3" s="44"/>
    </row>
    <row r="4" spans="1:20">
      <c r="C4" s="73"/>
      <c r="E4" s="68"/>
      <c r="F4" s="68"/>
      <c r="G4" s="68"/>
      <c r="H4" s="68"/>
      <c r="K4" s="46"/>
    </row>
    <row r="5" spans="1:20">
      <c r="E5" s="68"/>
      <c r="F5" s="68"/>
      <c r="G5" s="68"/>
      <c r="H5" s="68"/>
    </row>
    <row r="6" spans="1:20" ht="15" customHeight="1">
      <c r="A6" s="1037" t="s">
        <v>12</v>
      </c>
      <c r="B6" s="1038"/>
      <c r="C6" s="1038"/>
      <c r="D6" s="1038"/>
      <c r="E6" s="1038"/>
      <c r="F6" s="1038"/>
      <c r="G6" s="1038"/>
      <c r="H6" s="1039"/>
      <c r="I6" s="51"/>
      <c r="J6" s="51"/>
      <c r="K6" s="51"/>
    </row>
    <row r="7" spans="1:20" ht="37.049999999999997" customHeight="1">
      <c r="A7" s="993" t="s">
        <v>1195</v>
      </c>
      <c r="B7" s="994"/>
      <c r="C7" s="994"/>
      <c r="D7" s="994"/>
      <c r="E7" s="994"/>
      <c r="F7" s="994"/>
      <c r="G7" s="994"/>
      <c r="H7" s="995"/>
      <c r="I7" s="50"/>
      <c r="J7" s="50"/>
      <c r="K7" s="50"/>
    </row>
    <row r="8" spans="1:20" ht="15" customHeight="1">
      <c r="A8" s="1040" t="s">
        <v>86</v>
      </c>
      <c r="B8" s="1041"/>
      <c r="C8" s="1041"/>
      <c r="D8" s="1042"/>
      <c r="E8" s="1040" t="s">
        <v>74</v>
      </c>
      <c r="F8" s="1041"/>
      <c r="G8" s="1041"/>
      <c r="H8" s="1042"/>
      <c r="J8" s="70"/>
      <c r="K8" s="70"/>
      <c r="Q8" s="46"/>
    </row>
    <row r="9" spans="1:20" ht="16.5" customHeight="1">
      <c r="A9" s="1043"/>
      <c r="B9" s="1044"/>
      <c r="C9" s="1044"/>
      <c r="D9" s="1045"/>
      <c r="E9" s="1043"/>
      <c r="F9" s="1044"/>
      <c r="G9" s="1044"/>
      <c r="H9" s="1045"/>
      <c r="J9" s="71"/>
      <c r="K9" s="71"/>
    </row>
    <row r="10" spans="1:20" ht="18" customHeight="1">
      <c r="A10" s="1046" t="s">
        <v>37</v>
      </c>
      <c r="B10" s="1046"/>
      <c r="C10" s="1046"/>
      <c r="D10" s="1046"/>
      <c r="E10" s="1047" t="s">
        <v>38</v>
      </c>
      <c r="F10" s="1047"/>
      <c r="G10" s="1047"/>
      <c r="H10" s="1047"/>
      <c r="J10" s="72"/>
      <c r="K10" s="72"/>
    </row>
    <row r="11" spans="1:20" ht="15" customHeight="1">
      <c r="A11" s="815" t="s">
        <v>7</v>
      </c>
      <c r="B11" s="1048" t="s">
        <v>300</v>
      </c>
      <c r="C11" s="1048"/>
      <c r="D11" s="1048"/>
      <c r="E11" s="1049" t="s">
        <v>692</v>
      </c>
      <c r="F11" s="1050"/>
      <c r="G11" s="165" t="s">
        <v>301</v>
      </c>
      <c r="H11" s="826" t="s">
        <v>1239</v>
      </c>
      <c r="I11" s="1059"/>
      <c r="J11" s="1059"/>
      <c r="K11" s="1059"/>
      <c r="L11" s="1059"/>
      <c r="M11" s="1059"/>
      <c r="N11" s="1059"/>
      <c r="O11" s="1059"/>
      <c r="P11" s="1059"/>
      <c r="Q11" s="1059"/>
      <c r="R11" s="1059"/>
      <c r="S11" s="1059"/>
    </row>
    <row r="12" spans="1:20" ht="15">
      <c r="A12" s="163"/>
      <c r="B12" s="54" t="s">
        <v>7</v>
      </c>
      <c r="C12" s="1011" t="s">
        <v>303</v>
      </c>
      <c r="D12" s="1011"/>
      <c r="E12" s="1053"/>
      <c r="F12" s="1054"/>
      <c r="G12" s="166" t="s">
        <v>302</v>
      </c>
      <c r="H12" s="164" t="s">
        <v>562</v>
      </c>
      <c r="I12" s="1059"/>
      <c r="J12" s="1059"/>
      <c r="K12" s="1059"/>
      <c r="L12" s="1059"/>
      <c r="M12" s="1059"/>
      <c r="N12" s="1059"/>
      <c r="O12" s="1059"/>
      <c r="P12" s="1059"/>
      <c r="Q12" s="1059"/>
      <c r="R12" s="1059"/>
      <c r="S12" s="1059"/>
      <c r="T12" s="45"/>
    </row>
    <row r="13" spans="1:20" s="170" customFormat="1" ht="8.25" customHeight="1">
      <c r="A13" s="1062"/>
      <c r="B13" s="1063"/>
      <c r="C13" s="1063"/>
      <c r="D13" s="1063"/>
      <c r="E13" s="1063"/>
      <c r="F13" s="1063"/>
      <c r="G13" s="1063"/>
      <c r="H13" s="1064"/>
      <c r="I13" s="169"/>
      <c r="J13" s="169"/>
      <c r="K13" s="169"/>
      <c r="L13" s="169"/>
      <c r="M13" s="169"/>
      <c r="N13" s="169"/>
      <c r="O13" s="169"/>
      <c r="P13" s="169"/>
      <c r="Q13" s="169"/>
      <c r="R13" s="169"/>
      <c r="S13" s="169"/>
      <c r="T13" s="169"/>
    </row>
    <row r="14" spans="1:20">
      <c r="A14" s="54" t="s">
        <v>7</v>
      </c>
      <c r="B14" s="1048" t="s">
        <v>689</v>
      </c>
      <c r="C14" s="1048"/>
      <c r="D14" s="1048"/>
      <c r="E14" s="1049" t="s">
        <v>692</v>
      </c>
      <c r="F14" s="1050"/>
      <c r="G14" s="1055" t="s">
        <v>301</v>
      </c>
      <c r="H14" s="1057" t="s">
        <v>1239</v>
      </c>
      <c r="I14" s="1059"/>
      <c r="J14" s="1060"/>
      <c r="K14" s="1060"/>
      <c r="L14" s="1060"/>
      <c r="M14" s="1060"/>
      <c r="N14" s="1060"/>
      <c r="O14" s="1060"/>
      <c r="P14" s="1060"/>
      <c r="Q14" s="1060"/>
    </row>
    <row r="15" spans="1:20" ht="15">
      <c r="A15" s="814"/>
      <c r="B15" s="815" t="s">
        <v>7</v>
      </c>
      <c r="C15" s="1067" t="s">
        <v>1225</v>
      </c>
      <c r="D15" s="1068"/>
      <c r="E15" s="1051"/>
      <c r="F15" s="1052"/>
      <c r="G15" s="1056"/>
      <c r="H15" s="1058"/>
      <c r="I15" s="1059"/>
      <c r="J15" s="1060"/>
      <c r="K15" s="1060"/>
      <c r="L15" s="1060"/>
      <c r="M15" s="1060"/>
      <c r="N15" s="1060"/>
      <c r="O15" s="1060"/>
      <c r="P15" s="1060"/>
      <c r="Q15" s="1060"/>
    </row>
    <row r="16" spans="1:20" ht="15" customHeight="1">
      <c r="A16" s="814"/>
      <c r="B16" s="815" t="s">
        <v>7</v>
      </c>
      <c r="C16" s="1067" t="s">
        <v>1226</v>
      </c>
      <c r="D16" s="1068"/>
      <c r="E16" s="1051"/>
      <c r="F16" s="1052"/>
      <c r="G16" s="1055" t="s">
        <v>302</v>
      </c>
      <c r="H16" s="1055" t="s">
        <v>562</v>
      </c>
      <c r="I16" s="1059"/>
      <c r="J16" s="1060"/>
      <c r="K16" s="1060"/>
      <c r="L16" s="1060"/>
      <c r="M16" s="1060"/>
      <c r="N16" s="1060"/>
      <c r="O16" s="1060"/>
      <c r="P16" s="1060"/>
      <c r="Q16" s="1060"/>
    </row>
    <row r="17" spans="1:20">
      <c r="A17" s="163"/>
      <c r="B17" s="54" t="s">
        <v>7</v>
      </c>
      <c r="C17" s="1011" t="s">
        <v>303</v>
      </c>
      <c r="D17" s="1011"/>
      <c r="E17" s="1053"/>
      <c r="F17" s="1054"/>
      <c r="G17" s="1056"/>
      <c r="H17" s="1056"/>
      <c r="I17" s="1061"/>
      <c r="J17" s="1060"/>
      <c r="K17" s="1060"/>
      <c r="L17" s="1060"/>
      <c r="M17" s="1060"/>
      <c r="N17" s="1060"/>
      <c r="O17" s="1060"/>
      <c r="P17" s="1060"/>
      <c r="Q17" s="1060"/>
      <c r="R17" s="45"/>
      <c r="S17" s="45"/>
      <c r="T17" s="45"/>
    </row>
    <row r="18" spans="1:20" s="170" customFormat="1" ht="6" customHeight="1">
      <c r="A18" s="1062"/>
      <c r="B18" s="1063"/>
      <c r="C18" s="1063"/>
      <c r="D18" s="1063"/>
      <c r="E18" s="1063"/>
      <c r="F18" s="1063"/>
      <c r="G18" s="1063"/>
      <c r="H18" s="1064"/>
      <c r="I18" s="169"/>
      <c r="J18" s="169"/>
      <c r="K18" s="169"/>
      <c r="L18" s="169"/>
      <c r="M18" s="169"/>
      <c r="N18" s="169"/>
      <c r="O18" s="169"/>
      <c r="P18" s="169"/>
      <c r="Q18" s="169"/>
      <c r="R18" s="169"/>
      <c r="S18" s="169"/>
      <c r="T18" s="169"/>
    </row>
    <row r="19" spans="1:20">
      <c r="A19" s="387" t="s">
        <v>7</v>
      </c>
      <c r="B19" s="1048" t="s">
        <v>690</v>
      </c>
      <c r="C19" s="1048"/>
      <c r="D19" s="1048"/>
      <c r="E19" s="1069" t="s">
        <v>691</v>
      </c>
      <c r="F19" s="1070"/>
      <c r="G19" s="165" t="s">
        <v>301</v>
      </c>
      <c r="H19" s="827" t="s">
        <v>1240</v>
      </c>
      <c r="I19" s="45"/>
      <c r="J19" s="61"/>
      <c r="K19" s="12"/>
      <c r="L19" s="45"/>
      <c r="M19" s="45"/>
      <c r="N19" s="45"/>
      <c r="O19" s="45"/>
      <c r="P19" s="45"/>
      <c r="Q19" s="45"/>
      <c r="R19" s="45"/>
      <c r="S19" s="45"/>
      <c r="T19" s="45"/>
    </row>
    <row r="20" spans="1:20" ht="30.75" customHeight="1">
      <c r="A20" s="388"/>
      <c r="B20" s="389" t="s">
        <v>7</v>
      </c>
      <c r="C20" s="1071" t="s">
        <v>699</v>
      </c>
      <c r="D20" s="1072"/>
      <c r="E20" s="1073" t="s">
        <v>1242</v>
      </c>
      <c r="F20" s="1074"/>
      <c r="G20" s="390" t="s">
        <v>302</v>
      </c>
      <c r="H20" s="386" t="s">
        <v>928</v>
      </c>
      <c r="I20" s="45"/>
      <c r="J20" s="1075"/>
      <c r="K20" s="1075"/>
      <c r="L20" s="45"/>
      <c r="M20" s="45"/>
      <c r="N20" s="8"/>
      <c r="O20" s="45"/>
      <c r="P20" s="45"/>
      <c r="Q20" s="45"/>
      <c r="R20" s="45"/>
      <c r="S20" s="45"/>
      <c r="T20" s="45"/>
    </row>
    <row r="21" spans="1:20" ht="15">
      <c r="A21" s="511" t="s">
        <v>927</v>
      </c>
      <c r="B21" s="45"/>
      <c r="C21" s="45"/>
      <c r="D21" s="45"/>
      <c r="E21" s="46"/>
      <c r="F21" s="46"/>
    </row>
    <row r="22" spans="1:20" ht="33" customHeight="1">
      <c r="A22" s="1065" t="s">
        <v>1243</v>
      </c>
      <c r="B22" s="1065"/>
      <c r="C22" s="1065"/>
      <c r="D22" s="1065"/>
      <c r="E22" s="1065"/>
      <c r="F22" s="1065"/>
      <c r="G22" s="1065"/>
      <c r="H22" s="1065"/>
      <c r="I22" s="1066"/>
      <c r="J22" s="1066"/>
      <c r="K22" s="1066"/>
      <c r="L22" s="1066"/>
      <c r="M22" s="1066"/>
      <c r="N22" s="1066"/>
      <c r="O22" s="1066"/>
      <c r="P22" s="1066"/>
      <c r="Q22" s="1066"/>
      <c r="R22" s="45"/>
      <c r="S22" s="45"/>
      <c r="T22" s="45"/>
    </row>
    <row r="23" spans="1:20" ht="15" customHeight="1">
      <c r="A23" s="61"/>
      <c r="B23" s="828"/>
      <c r="C23" s="828"/>
      <c r="D23" s="828"/>
      <c r="E23" s="829"/>
      <c r="F23" s="829"/>
      <c r="G23" s="829"/>
      <c r="H23" s="829"/>
      <c r="I23" s="1078"/>
      <c r="J23" s="1078"/>
      <c r="K23" s="1078"/>
      <c r="L23" s="1078"/>
      <c r="M23" s="1078"/>
      <c r="N23" s="1078"/>
      <c r="O23" s="1078"/>
      <c r="P23" s="1078"/>
      <c r="Q23" s="1078"/>
      <c r="R23" s="1078"/>
      <c r="S23" s="1078"/>
      <c r="T23" s="45"/>
    </row>
    <row r="24" spans="1:20">
      <c r="A24" s="62"/>
      <c r="B24" s="62"/>
      <c r="C24" s="62"/>
      <c r="D24" s="12"/>
      <c r="E24" s="1076"/>
      <c r="F24" s="1076"/>
      <c r="G24" s="1076"/>
      <c r="H24" s="1076"/>
      <c r="I24" s="1077"/>
      <c r="J24" s="1077"/>
      <c r="K24" s="1077"/>
      <c r="L24" s="1077"/>
      <c r="M24" s="1077"/>
      <c r="N24" s="1077"/>
      <c r="O24" s="1077"/>
      <c r="P24" s="1077"/>
      <c r="Q24" s="1077"/>
      <c r="R24" s="1077"/>
      <c r="S24" s="1077"/>
      <c r="T24" s="45"/>
    </row>
    <row r="25" spans="1:20">
      <c r="A25" s="62"/>
      <c r="B25" s="62"/>
      <c r="C25" s="62"/>
      <c r="D25" s="12"/>
      <c r="E25" s="1076"/>
      <c r="F25" s="1076"/>
      <c r="G25" s="1076"/>
      <c r="H25" s="1076"/>
      <c r="I25" s="168"/>
      <c r="J25" s="168"/>
      <c r="K25" s="168"/>
      <c r="L25" s="168"/>
      <c r="M25" s="168"/>
      <c r="N25" s="168"/>
      <c r="O25" s="168"/>
      <c r="P25" s="168"/>
      <c r="Q25" s="168"/>
      <c r="R25" s="168"/>
      <c r="S25" s="168"/>
      <c r="T25" s="45"/>
    </row>
    <row r="26" spans="1:20">
      <c r="A26" s="62"/>
      <c r="B26" s="62"/>
      <c r="C26" s="62"/>
      <c r="D26" s="12"/>
      <c r="E26" s="1076"/>
      <c r="F26" s="1076"/>
      <c r="G26" s="1076"/>
      <c r="H26" s="1076"/>
      <c r="I26" s="1077"/>
      <c r="J26" s="1077"/>
      <c r="K26" s="1077"/>
      <c r="L26" s="1077"/>
      <c r="M26" s="1077"/>
      <c r="N26" s="1077"/>
      <c r="O26" s="1077"/>
      <c r="P26" s="1077"/>
      <c r="Q26" s="1077"/>
      <c r="R26" s="1077"/>
      <c r="S26" s="1077"/>
      <c r="T26" s="45"/>
    </row>
    <row r="27" spans="1:20">
      <c r="A27" s="62"/>
      <c r="B27" s="62"/>
      <c r="C27" s="62"/>
      <c r="D27" s="12"/>
      <c r="E27" s="1076"/>
      <c r="F27" s="1076"/>
      <c r="G27" s="1076"/>
      <c r="H27" s="1076"/>
      <c r="I27" s="168"/>
      <c r="J27" s="168"/>
      <c r="K27" s="168"/>
      <c r="L27" s="168"/>
      <c r="M27" s="168"/>
      <c r="N27" s="168"/>
      <c r="O27" s="168"/>
      <c r="P27" s="168"/>
      <c r="Q27" s="168"/>
      <c r="R27" s="168"/>
      <c r="S27" s="168"/>
      <c r="T27" s="45"/>
    </row>
    <row r="28" spans="1:20">
      <c r="A28" s="62"/>
      <c r="B28" s="62"/>
      <c r="C28" s="62"/>
      <c r="D28" s="12"/>
      <c r="E28" s="1076"/>
      <c r="F28" s="1076"/>
      <c r="G28" s="1076"/>
      <c r="H28" s="1076"/>
      <c r="I28" s="1077"/>
      <c r="J28" s="1077"/>
      <c r="K28" s="1077"/>
      <c r="L28" s="1077"/>
      <c r="M28" s="1077"/>
      <c r="N28" s="1077"/>
      <c r="O28" s="1077"/>
      <c r="P28" s="1077"/>
      <c r="Q28" s="1077"/>
      <c r="R28" s="1077"/>
      <c r="S28" s="1077"/>
      <c r="T28" s="45"/>
    </row>
    <row r="29" spans="1:20">
      <c r="A29" s="62"/>
      <c r="B29" s="62"/>
      <c r="C29" s="62"/>
      <c r="D29" s="12"/>
      <c r="E29" s="1076"/>
      <c r="F29" s="1076"/>
      <c r="G29" s="1076"/>
      <c r="H29" s="1076"/>
      <c r="I29" s="1077"/>
      <c r="J29" s="1077"/>
      <c r="K29" s="1077"/>
      <c r="L29" s="1077"/>
      <c r="M29" s="1077"/>
      <c r="N29" s="1077"/>
      <c r="O29" s="1077"/>
      <c r="P29" s="1077"/>
      <c r="Q29" s="1077"/>
      <c r="R29" s="1077"/>
      <c r="S29" s="1077"/>
      <c r="T29" s="45"/>
    </row>
    <row r="30" spans="1:20" ht="15" customHeight="1">
      <c r="A30" s="63"/>
      <c r="B30" s="72"/>
      <c r="C30" s="8"/>
      <c r="D30" s="12"/>
      <c r="E30" s="1076"/>
      <c r="F30" s="1076"/>
      <c r="G30" s="1076"/>
      <c r="H30" s="1076"/>
      <c r="I30" s="1077"/>
      <c r="J30" s="1077"/>
      <c r="K30" s="1077"/>
      <c r="L30" s="1077"/>
      <c r="M30" s="1077"/>
      <c r="N30" s="1077"/>
      <c r="O30" s="1077"/>
      <c r="P30" s="1077"/>
      <c r="Q30" s="1077"/>
      <c r="R30" s="1077"/>
      <c r="S30" s="1077"/>
      <c r="T30" s="45"/>
    </row>
    <row r="31" spans="1:20">
      <c r="A31" s="80"/>
      <c r="B31" s="80"/>
      <c r="C31" s="65"/>
      <c r="D31" s="45"/>
      <c r="E31" s="68"/>
      <c r="F31" s="68"/>
      <c r="G31" s="45"/>
      <c r="H31" s="68"/>
      <c r="I31" s="45"/>
      <c r="J31" s="69"/>
      <c r="K31" s="69"/>
      <c r="L31" s="45"/>
      <c r="M31" s="45"/>
      <c r="N31" s="45"/>
      <c r="O31" s="45"/>
      <c r="P31" s="45"/>
      <c r="Q31" s="45"/>
      <c r="R31" s="45"/>
      <c r="S31" s="45"/>
      <c r="T31" s="45"/>
    </row>
    <row r="32" spans="1:20" ht="15" customHeight="1">
      <c r="A32" s="64"/>
      <c r="B32" s="64"/>
      <c r="C32" s="66"/>
      <c r="E32" s="167"/>
      <c r="F32" s="167"/>
      <c r="G32" s="167"/>
      <c r="H32" s="167"/>
      <c r="I32" s="45"/>
      <c r="J32" s="69"/>
      <c r="K32" s="69"/>
      <c r="L32" s="45"/>
      <c r="M32" s="45"/>
      <c r="N32" s="45"/>
      <c r="O32" s="45"/>
      <c r="P32" s="45"/>
      <c r="Q32" s="45"/>
      <c r="R32" s="45"/>
      <c r="S32" s="45"/>
      <c r="T32" s="45"/>
    </row>
    <row r="33" spans="1:11">
      <c r="A33" s="66"/>
      <c r="B33" s="66"/>
      <c r="E33" s="167"/>
      <c r="F33" s="167"/>
      <c r="G33" s="167"/>
      <c r="H33" s="167"/>
      <c r="J33" s="69"/>
      <c r="K33" s="69"/>
    </row>
    <row r="34" spans="1:11">
      <c r="A34" s="66"/>
      <c r="B34" s="66"/>
      <c r="E34" s="167"/>
      <c r="F34" s="167"/>
      <c r="G34" s="167"/>
      <c r="H34" s="167"/>
      <c r="J34" s="69"/>
      <c r="K34" s="66"/>
    </row>
    <row r="35" spans="1:11">
      <c r="A35" s="8"/>
      <c r="B35" s="8"/>
      <c r="E35" s="167"/>
      <c r="F35" s="167"/>
      <c r="G35" s="167"/>
      <c r="H35" s="167"/>
      <c r="J35" s="67"/>
      <c r="K35" s="67"/>
    </row>
  </sheetData>
  <mergeCells count="42">
    <mergeCell ref="E28:H28"/>
    <mergeCell ref="I28:S28"/>
    <mergeCell ref="E29:H29"/>
    <mergeCell ref="I29:S29"/>
    <mergeCell ref="E30:H30"/>
    <mergeCell ref="I30:S30"/>
    <mergeCell ref="E27:H27"/>
    <mergeCell ref="I22:Q22"/>
    <mergeCell ref="I23:S23"/>
    <mergeCell ref="E24:H24"/>
    <mergeCell ref="I24:S24"/>
    <mergeCell ref="E25:H25"/>
    <mergeCell ref="E26:H26"/>
    <mergeCell ref="I26:S26"/>
    <mergeCell ref="A22:H22"/>
    <mergeCell ref="E11:F12"/>
    <mergeCell ref="J20:K20"/>
    <mergeCell ref="A6:H6"/>
    <mergeCell ref="A7:H7"/>
    <mergeCell ref="A8:D9"/>
    <mergeCell ref="E8:H9"/>
    <mergeCell ref="A10:D10"/>
    <mergeCell ref="E10:H10"/>
    <mergeCell ref="E20:F20"/>
    <mergeCell ref="B14:D14"/>
    <mergeCell ref="I14:Q17"/>
    <mergeCell ref="C17:D17"/>
    <mergeCell ref="B11:D11"/>
    <mergeCell ref="I11:S12"/>
    <mergeCell ref="C12:D12"/>
    <mergeCell ref="C20:D20"/>
    <mergeCell ref="E19:F19"/>
    <mergeCell ref="A13:H13"/>
    <mergeCell ref="A18:H18"/>
    <mergeCell ref="E14:F17"/>
    <mergeCell ref="B19:D19"/>
    <mergeCell ref="C15:D15"/>
    <mergeCell ref="C16:D16"/>
    <mergeCell ref="G14:G15"/>
    <mergeCell ref="H14:H15"/>
    <mergeCell ref="H16:H17"/>
    <mergeCell ref="G16:G17"/>
  </mergeCells>
  <pageMargins left="0.25" right="0.25" top="0.75" bottom="0.75" header="0.3" footer="0.3"/>
  <pageSetup paperSize="3" scale="92" fitToHeight="0" orientation="landscape" cellComments="asDisplayed"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11"/>
  <sheetViews>
    <sheetView zoomScale="85" zoomScaleNormal="85" workbookViewId="0">
      <selection activeCell="J19" sqref="J19"/>
    </sheetView>
  </sheetViews>
  <sheetFormatPr defaultColWidth="9.44140625" defaultRowHeight="13.2"/>
  <cols>
    <col min="1" max="2" width="9.5546875" style="60" customWidth="1"/>
    <col min="3" max="3" width="16.5546875" style="60" customWidth="1"/>
    <col min="4" max="4" width="17.44140625" style="60" customWidth="1"/>
    <col min="5" max="8" width="12.5546875" style="60" customWidth="1"/>
    <col min="9" max="9" width="15.5546875" style="60" customWidth="1"/>
    <col min="10" max="10" width="19.44140625" style="60" customWidth="1"/>
    <col min="11" max="16384" width="9.44140625" style="60"/>
  </cols>
  <sheetData>
    <row r="1" spans="1:11" s="43" customFormat="1" ht="14.4">
      <c r="A1" s="47"/>
      <c r="B1" s="43" t="s">
        <v>50</v>
      </c>
      <c r="C1" s="48"/>
      <c r="D1" s="43" t="s">
        <v>51</v>
      </c>
      <c r="E1" s="440"/>
      <c r="F1" s="43" t="s">
        <v>52</v>
      </c>
      <c r="J1" s="49"/>
      <c r="K1" s="43" t="s">
        <v>53</v>
      </c>
    </row>
    <row r="2" spans="1:11" s="43" customFormat="1" ht="14.4">
      <c r="A2" s="46"/>
      <c r="B2" s="46"/>
      <c r="F2" s="46"/>
      <c r="G2" s="46"/>
      <c r="H2" s="46"/>
      <c r="I2" s="46"/>
      <c r="J2" s="46"/>
    </row>
    <row r="3" spans="1:11">
      <c r="C3" s="442"/>
      <c r="D3" s="442"/>
      <c r="E3" s="442"/>
      <c r="F3" s="442"/>
      <c r="G3" s="442"/>
      <c r="H3" s="442"/>
      <c r="I3" s="442"/>
      <c r="J3" s="443"/>
    </row>
    <row r="4" spans="1:11" s="444" customFormat="1" ht="15" customHeight="1">
      <c r="C4" s="1082" t="s">
        <v>8</v>
      </c>
      <c r="D4" s="1083"/>
      <c r="E4" s="1083"/>
      <c r="F4" s="1083"/>
      <c r="G4" s="1083"/>
      <c r="H4" s="1083"/>
      <c r="I4" s="1083"/>
      <c r="J4" s="1084"/>
    </row>
    <row r="5" spans="1:11" ht="43.8" customHeight="1">
      <c r="C5" s="1085" t="s">
        <v>988</v>
      </c>
      <c r="D5" s="1085"/>
      <c r="E5" s="1085"/>
      <c r="F5" s="1085"/>
      <c r="G5" s="1085"/>
      <c r="H5" s="1086"/>
      <c r="I5" s="1086"/>
      <c r="J5" s="1085"/>
    </row>
    <row r="6" spans="1:11" ht="16.5" customHeight="1">
      <c r="A6" s="637"/>
      <c r="B6" s="637"/>
      <c r="C6" s="1087" t="s">
        <v>259</v>
      </c>
      <c r="D6" s="1088"/>
      <c r="E6" s="1088"/>
      <c r="F6" s="1088"/>
      <c r="G6" s="1088"/>
      <c r="H6" s="1089" t="s">
        <v>75</v>
      </c>
      <c r="I6" s="1091" t="s">
        <v>693</v>
      </c>
      <c r="J6" s="1093" t="s">
        <v>22</v>
      </c>
    </row>
    <row r="7" spans="1:11" ht="16.5" customHeight="1">
      <c r="A7" s="637"/>
      <c r="B7" s="637"/>
      <c r="C7" s="445" t="s">
        <v>684</v>
      </c>
      <c r="D7" s="445" t="s">
        <v>260</v>
      </c>
      <c r="E7" s="445" t="s">
        <v>87</v>
      </c>
      <c r="F7" s="445" t="s">
        <v>257</v>
      </c>
      <c r="G7" s="445" t="s">
        <v>256</v>
      </c>
      <c r="H7" s="1090"/>
      <c r="I7" s="1092"/>
      <c r="J7" s="1093"/>
    </row>
    <row r="8" spans="1:11" ht="14.4">
      <c r="A8" s="637"/>
      <c r="B8" s="637"/>
      <c r="C8" s="446" t="s">
        <v>37</v>
      </c>
      <c r="D8" s="446" t="s">
        <v>38</v>
      </c>
      <c r="E8" s="446" t="s">
        <v>39</v>
      </c>
      <c r="F8" s="446" t="s">
        <v>40</v>
      </c>
      <c r="G8" s="446" t="s">
        <v>41</v>
      </c>
      <c r="H8" s="446" t="s">
        <v>46</v>
      </c>
      <c r="I8" s="447" t="s">
        <v>47</v>
      </c>
      <c r="J8" s="446" t="s">
        <v>48</v>
      </c>
    </row>
    <row r="9" spans="1:11" ht="16.5" customHeight="1">
      <c r="A9" s="637"/>
      <c r="B9" s="637"/>
      <c r="C9" s="448" t="s">
        <v>685</v>
      </c>
      <c r="D9" s="448" t="s">
        <v>686</v>
      </c>
      <c r="E9" s="448" t="s">
        <v>687</v>
      </c>
      <c r="F9" s="448" t="s">
        <v>45</v>
      </c>
      <c r="G9" s="448" t="s">
        <v>261</v>
      </c>
      <c r="H9" s="448" t="s">
        <v>294</v>
      </c>
      <c r="I9" s="449" t="s">
        <v>700</v>
      </c>
      <c r="J9" s="1079" t="s">
        <v>1206</v>
      </c>
    </row>
    <row r="10" spans="1:11" ht="57.75" customHeight="1">
      <c r="A10" s="1080" t="s">
        <v>834</v>
      </c>
      <c r="B10" s="1081"/>
      <c r="C10" s="638" t="s">
        <v>835</v>
      </c>
      <c r="D10" s="638" t="s">
        <v>835</v>
      </c>
      <c r="E10" s="638" t="s">
        <v>835</v>
      </c>
      <c r="F10" s="638" t="s">
        <v>835</v>
      </c>
      <c r="G10" s="638" t="s">
        <v>835</v>
      </c>
      <c r="H10" s="638" t="s">
        <v>835</v>
      </c>
      <c r="I10" s="638" t="s">
        <v>835</v>
      </c>
      <c r="J10" s="1079"/>
    </row>
    <row r="11" spans="1:11" ht="16.5" customHeight="1">
      <c r="C11" s="450"/>
      <c r="D11" s="450"/>
      <c r="E11" s="450"/>
      <c r="F11" s="450"/>
      <c r="G11" s="450"/>
      <c r="H11" s="450"/>
      <c r="I11" s="450"/>
      <c r="J11" s="450"/>
    </row>
    <row r="12" spans="1:11" ht="16.5" customHeight="1">
      <c r="C12" s="451"/>
    </row>
    <row r="13" spans="1:11">
      <c r="D13" s="452"/>
      <c r="E13" s="452"/>
      <c r="F13" s="452"/>
      <c r="G13" s="452"/>
      <c r="J13" s="453"/>
    </row>
    <row r="16" spans="1:11" ht="13.8">
      <c r="C16" s="454"/>
      <c r="D16" s="454"/>
      <c r="E16" s="454"/>
      <c r="F16" s="450"/>
      <c r="G16" s="450"/>
      <c r="H16" s="450"/>
      <c r="I16" s="450"/>
      <c r="J16" s="450"/>
    </row>
    <row r="17" spans="3:10" ht="13.8">
      <c r="C17" s="455" t="s">
        <v>65</v>
      </c>
      <c r="D17" s="450"/>
      <c r="E17" s="450"/>
      <c r="F17" s="450"/>
      <c r="G17" s="450"/>
      <c r="H17" s="450"/>
      <c r="I17" s="450"/>
      <c r="J17" s="450"/>
    </row>
    <row r="110" spans="1:10" ht="13.8">
      <c r="A110" s="793"/>
      <c r="B110" s="793"/>
      <c r="C110" s="793"/>
      <c r="D110" s="793"/>
      <c r="E110" s="793"/>
      <c r="F110" s="793"/>
      <c r="G110" s="793"/>
      <c r="H110" s="793"/>
      <c r="I110" s="793"/>
      <c r="J110" s="793"/>
    </row>
    <row r="111" spans="1:10" ht="13.8">
      <c r="A111" s="793"/>
      <c r="B111" s="793"/>
      <c r="C111" s="793"/>
      <c r="D111" s="793"/>
      <c r="E111" s="793"/>
      <c r="F111" s="793"/>
      <c r="G111" s="793"/>
      <c r="H111" s="793"/>
      <c r="I111" s="793"/>
      <c r="J111" s="793"/>
    </row>
  </sheetData>
  <mergeCells count="8">
    <mergeCell ref="J9:J10"/>
    <mergeCell ref="A10:B10"/>
    <mergeCell ref="C4:J4"/>
    <mergeCell ref="C5:J5"/>
    <mergeCell ref="C6:G6"/>
    <mergeCell ref="H6:H7"/>
    <mergeCell ref="I6:I7"/>
    <mergeCell ref="J6:J7"/>
  </mergeCells>
  <pageMargins left="0.25" right="0.25" top="0.75" bottom="0.75" header="0.3" footer="0.3"/>
  <pageSetup paperSize="3" fitToHeight="0" orientation="landscape" cellComments="asDisplayed"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2"/>
  <sheetViews>
    <sheetView zoomScaleNormal="100" workbookViewId="0">
      <selection activeCell="B21" sqref="B21:U21"/>
    </sheetView>
  </sheetViews>
  <sheetFormatPr defaultRowHeight="14.4"/>
  <cols>
    <col min="1" max="1" width="4.5546875" customWidth="1"/>
    <col min="2" max="4" width="10.5546875" customWidth="1"/>
    <col min="5" max="6" width="12.5546875" customWidth="1"/>
    <col min="7" max="7" width="4.5546875" customWidth="1"/>
    <col min="8" max="8" width="3.5546875" customWidth="1"/>
    <col min="9" max="9" width="25.5546875" customWidth="1"/>
    <col min="10" max="10" width="3.5546875" customWidth="1"/>
    <col min="11" max="11" width="24.5546875" customWidth="1"/>
  </cols>
  <sheetData>
    <row r="1" spans="1:18" s="25" customFormat="1">
      <c r="A1" s="27"/>
      <c r="B1" s="25" t="s">
        <v>50</v>
      </c>
      <c r="D1" s="28"/>
      <c r="E1" s="25" t="s">
        <v>51</v>
      </c>
      <c r="G1" s="992"/>
      <c r="H1" s="992"/>
      <c r="I1" s="25" t="s">
        <v>52</v>
      </c>
      <c r="L1" s="29"/>
      <c r="M1" s="25" t="s">
        <v>53</v>
      </c>
    </row>
    <row r="2" spans="1:18">
      <c r="A2" s="5"/>
      <c r="B2" s="5"/>
      <c r="C2" s="5"/>
      <c r="D2" s="5"/>
      <c r="E2" s="5"/>
      <c r="F2" s="5"/>
      <c r="G2" s="5"/>
      <c r="H2" s="5"/>
      <c r="I2" s="5"/>
      <c r="J2" s="5"/>
      <c r="K2" s="5"/>
    </row>
    <row r="3" spans="1:18" ht="15" customHeight="1">
      <c r="A3" s="1037" t="s">
        <v>10</v>
      </c>
      <c r="B3" s="1038"/>
      <c r="C3" s="1038"/>
      <c r="D3" s="1038"/>
      <c r="E3" s="1038"/>
      <c r="F3" s="1038"/>
      <c r="G3" s="1038"/>
      <c r="H3" s="1038"/>
      <c r="I3" s="1038"/>
      <c r="J3" s="1038"/>
      <c r="K3" s="1039"/>
    </row>
    <row r="4" spans="1:18" ht="15" customHeight="1">
      <c r="A4" s="1101" t="s">
        <v>44</v>
      </c>
      <c r="B4" s="1102"/>
      <c r="C4" s="1102"/>
      <c r="D4" s="1102"/>
      <c r="E4" s="1102"/>
      <c r="F4" s="1102"/>
      <c r="G4" s="1102"/>
      <c r="H4" s="1102"/>
      <c r="I4" s="1102"/>
      <c r="J4" s="1102"/>
      <c r="K4" s="1103"/>
    </row>
    <row r="5" spans="1:18" ht="15" customHeight="1">
      <c r="A5" s="1095"/>
      <c r="B5" s="1096"/>
      <c r="C5" s="1096"/>
      <c r="D5" s="1096"/>
      <c r="E5" s="1096"/>
      <c r="F5" s="1096"/>
      <c r="G5" s="1096"/>
      <c r="H5" s="1096"/>
      <c r="I5" s="1096"/>
      <c r="J5" s="1096"/>
      <c r="K5" s="1097"/>
    </row>
    <row r="6" spans="1:18">
      <c r="A6" s="1098"/>
      <c r="B6" s="1099"/>
      <c r="C6" s="1099"/>
      <c r="D6" s="1099"/>
      <c r="E6" s="1099"/>
      <c r="F6" s="1099"/>
      <c r="G6" s="1099"/>
      <c r="H6" s="1099"/>
      <c r="I6" s="1099"/>
      <c r="J6" s="1099"/>
      <c r="K6" s="1100"/>
    </row>
    <row r="7" spans="1:18">
      <c r="A7" s="5"/>
      <c r="B7" s="5"/>
      <c r="C7" s="5"/>
      <c r="D7" s="5"/>
      <c r="E7" s="5"/>
      <c r="F7" s="5"/>
      <c r="G7" s="5"/>
      <c r="H7" s="5"/>
      <c r="I7" s="5"/>
      <c r="J7" s="5"/>
      <c r="K7" s="5"/>
    </row>
    <row r="8" spans="1:18">
      <c r="A8" s="5"/>
      <c r="B8" s="5"/>
      <c r="C8" s="5"/>
      <c r="D8" s="5"/>
      <c r="E8" s="5"/>
      <c r="F8" s="5"/>
      <c r="G8" s="5"/>
      <c r="H8" s="5"/>
      <c r="I8" s="5"/>
      <c r="J8" s="5"/>
      <c r="K8" s="5"/>
    </row>
    <row r="9" spans="1:18">
      <c r="A9" s="5"/>
      <c r="B9" s="5" t="s">
        <v>43</v>
      </c>
      <c r="C9" s="5"/>
      <c r="D9" s="5"/>
      <c r="E9" s="5"/>
      <c r="F9" s="5"/>
      <c r="G9" s="5"/>
      <c r="H9" s="5"/>
      <c r="I9" s="5"/>
      <c r="J9" s="5"/>
      <c r="K9" s="5"/>
    </row>
    <row r="10" spans="1:18">
      <c r="A10" s="5"/>
      <c r="B10" s="631"/>
      <c r="C10" s="632"/>
      <c r="D10" s="632"/>
      <c r="E10" s="632"/>
      <c r="F10" s="632"/>
      <c r="G10" s="632"/>
      <c r="H10" s="632"/>
      <c r="I10" s="632"/>
      <c r="J10" s="632"/>
      <c r="K10" s="632"/>
      <c r="L10" s="532"/>
      <c r="M10" s="532"/>
      <c r="N10" s="532"/>
      <c r="O10" s="532"/>
      <c r="P10" s="532"/>
      <c r="Q10" s="532"/>
      <c r="R10" s="532"/>
    </row>
    <row r="11" spans="1:18">
      <c r="A11" s="5"/>
      <c r="B11" s="1105" t="s">
        <v>1290</v>
      </c>
      <c r="C11" s="1105"/>
      <c r="D11" s="1105"/>
      <c r="E11" s="1105"/>
      <c r="F11" s="1105"/>
      <c r="G11" s="1105"/>
      <c r="H11" s="1105"/>
      <c r="I11" s="1105"/>
      <c r="J11" s="1105"/>
      <c r="K11" s="1105"/>
      <c r="L11" s="1105"/>
      <c r="M11" s="1105"/>
      <c r="N11" s="1105"/>
      <c r="O11" s="1105"/>
      <c r="P11" s="532"/>
      <c r="Q11" s="532"/>
      <c r="R11" s="532"/>
    </row>
    <row r="12" spans="1:18">
      <c r="A12" s="5"/>
      <c r="B12" s="1104" t="s">
        <v>1198</v>
      </c>
      <c r="C12" s="1104"/>
      <c r="D12" s="1104"/>
      <c r="E12" s="1104"/>
      <c r="F12" s="1104"/>
      <c r="G12" s="1104"/>
      <c r="H12" s="1104"/>
      <c r="I12" s="1104"/>
      <c r="J12" s="1104"/>
      <c r="K12" s="1104"/>
      <c r="L12" s="1104"/>
      <c r="M12" s="532"/>
      <c r="N12" s="532"/>
      <c r="O12" s="532"/>
      <c r="P12" s="532"/>
      <c r="Q12" s="532"/>
      <c r="R12" s="532"/>
    </row>
    <row r="13" spans="1:18" s="43" customFormat="1" ht="15">
      <c r="A13" s="241"/>
      <c r="B13" s="645" t="s">
        <v>989</v>
      </c>
      <c r="C13" s="645"/>
      <c r="D13" s="645"/>
      <c r="E13" s="645"/>
      <c r="F13" s="645"/>
      <c r="G13" s="645"/>
      <c r="H13" s="645"/>
      <c r="I13" s="645"/>
      <c r="J13" s="645"/>
      <c r="K13" s="645"/>
      <c r="L13" s="646"/>
      <c r="M13" s="646"/>
      <c r="N13" s="646"/>
      <c r="O13" s="646"/>
      <c r="P13" s="646"/>
      <c r="Q13" s="646"/>
      <c r="R13" s="647"/>
    </row>
    <row r="14" spans="1:18" s="43" customFormat="1" ht="15">
      <c r="A14" s="241"/>
      <c r="B14" s="645" t="s">
        <v>1100</v>
      </c>
      <c r="C14" s="645"/>
      <c r="D14" s="645"/>
      <c r="E14" s="645"/>
      <c r="F14" s="645"/>
      <c r="G14" s="645"/>
      <c r="H14" s="645"/>
      <c r="I14" s="645"/>
      <c r="J14" s="645"/>
      <c r="K14" s="645"/>
      <c r="L14" s="646"/>
      <c r="M14" s="646"/>
      <c r="N14" s="646"/>
      <c r="O14" s="646"/>
      <c r="P14" s="647"/>
      <c r="Q14" s="633"/>
      <c r="R14" s="532"/>
    </row>
    <row r="15" spans="1:18" s="43" customFormat="1">
      <c r="A15" s="241"/>
      <c r="B15" s="634"/>
      <c r="C15" s="634"/>
      <c r="D15" s="634"/>
      <c r="E15" s="634"/>
      <c r="F15" s="634"/>
      <c r="G15" s="634"/>
      <c r="H15" s="634"/>
      <c r="I15" s="634"/>
      <c r="J15" s="634"/>
      <c r="K15" s="634"/>
      <c r="L15" s="635"/>
      <c r="M15" s="635"/>
      <c r="N15" s="635"/>
      <c r="O15" s="635"/>
      <c r="P15" s="635"/>
      <c r="Q15" s="635"/>
      <c r="R15" s="532"/>
    </row>
    <row r="16" spans="1:18">
      <c r="A16" s="5"/>
      <c r="B16" s="636" t="s">
        <v>777</v>
      </c>
      <c r="C16" s="636"/>
      <c r="D16" s="636"/>
      <c r="E16" s="636"/>
      <c r="F16" s="632"/>
      <c r="G16" s="632"/>
      <c r="H16" s="632"/>
      <c r="I16" s="632"/>
      <c r="J16" s="632"/>
      <c r="K16" s="632"/>
      <c r="L16" s="532"/>
      <c r="M16" s="532"/>
      <c r="N16" s="532"/>
      <c r="O16" s="532"/>
      <c r="P16" s="532"/>
      <c r="Q16" s="532"/>
      <c r="R16" s="532"/>
    </row>
    <row r="17" spans="1:21" s="43" customFormat="1">
      <c r="A17" s="241"/>
      <c r="B17" s="636" t="s">
        <v>778</v>
      </c>
      <c r="C17" s="636"/>
      <c r="D17" s="636"/>
      <c r="E17" s="636"/>
      <c r="F17" s="632"/>
      <c r="G17" s="632"/>
      <c r="H17" s="632"/>
      <c r="I17" s="632"/>
      <c r="J17" s="632"/>
      <c r="K17" s="632"/>
      <c r="L17" s="532"/>
      <c r="M17" s="532"/>
      <c r="N17" s="532"/>
      <c r="O17" s="532"/>
      <c r="P17" s="532"/>
      <c r="Q17" s="532"/>
      <c r="R17" s="532"/>
    </row>
    <row r="18" spans="1:21">
      <c r="A18" s="5"/>
      <c r="B18" s="636" t="s">
        <v>779</v>
      </c>
      <c r="C18" s="632"/>
      <c r="D18" s="632"/>
      <c r="E18" s="632"/>
      <c r="F18" s="632"/>
      <c r="G18" s="632"/>
      <c r="H18" s="632"/>
      <c r="I18" s="632"/>
      <c r="J18" s="632"/>
      <c r="K18" s="632"/>
      <c r="L18" s="532"/>
      <c r="M18" s="532"/>
      <c r="N18" s="532"/>
      <c r="O18" s="532"/>
      <c r="P18" s="532"/>
      <c r="Q18" s="532"/>
      <c r="R18" s="532"/>
    </row>
    <row r="19" spans="1:21" s="43" customFormat="1">
      <c r="A19" s="241"/>
      <c r="B19" s="636" t="s">
        <v>780</v>
      </c>
      <c r="C19" s="632"/>
      <c r="D19" s="632"/>
      <c r="E19" s="632"/>
      <c r="F19" s="632"/>
      <c r="G19" s="632"/>
      <c r="H19" s="632"/>
      <c r="I19" s="632"/>
      <c r="J19" s="632"/>
      <c r="K19" s="632"/>
      <c r="L19" s="532"/>
      <c r="M19" s="532"/>
      <c r="N19" s="532"/>
      <c r="O19" s="532"/>
      <c r="P19" s="532"/>
      <c r="Q19" s="532"/>
      <c r="R19" s="532"/>
    </row>
    <row r="20" spans="1:21" s="43" customFormat="1">
      <c r="A20" s="241"/>
      <c r="B20" s="636" t="s">
        <v>781</v>
      </c>
      <c r="C20" s="632"/>
      <c r="D20" s="632"/>
      <c r="E20" s="632"/>
      <c r="F20" s="632"/>
      <c r="G20" s="632"/>
      <c r="H20" s="632"/>
      <c r="I20" s="632"/>
      <c r="J20" s="632"/>
      <c r="K20" s="632"/>
      <c r="L20" s="532"/>
      <c r="M20" s="532"/>
      <c r="N20" s="532"/>
      <c r="O20" s="532"/>
      <c r="P20" s="532"/>
      <c r="Q20" s="532"/>
      <c r="R20" s="532"/>
    </row>
    <row r="21" spans="1:21" ht="31.05" customHeight="1">
      <c r="B21" s="1094" t="s">
        <v>1311</v>
      </c>
      <c r="C21" s="1094"/>
      <c r="D21" s="1094"/>
      <c r="E21" s="1094"/>
      <c r="F21" s="1094"/>
      <c r="G21" s="1094"/>
      <c r="H21" s="1094"/>
      <c r="I21" s="1094"/>
      <c r="J21" s="1094"/>
      <c r="K21" s="1094"/>
      <c r="L21" s="1094"/>
      <c r="M21" s="1094"/>
      <c r="N21" s="1094"/>
      <c r="O21" s="1094"/>
      <c r="P21" s="1094"/>
      <c r="Q21" s="1094"/>
      <c r="R21" s="1094"/>
      <c r="S21" s="1094"/>
      <c r="T21" s="1094"/>
      <c r="U21" s="1094"/>
    </row>
    <row r="22" spans="1:21">
      <c r="B22" s="24"/>
      <c r="C22" s="24"/>
      <c r="D22" s="24"/>
      <c r="E22" s="24"/>
      <c r="F22" s="24"/>
      <c r="G22" s="24"/>
      <c r="H22" s="24"/>
      <c r="I22" s="24"/>
      <c r="J22" s="24"/>
      <c r="K22" s="24"/>
      <c r="L22" s="24"/>
      <c r="M22" s="24"/>
      <c r="N22" s="24"/>
      <c r="O22" s="24"/>
      <c r="P22" s="24"/>
      <c r="Q22" s="24"/>
    </row>
  </sheetData>
  <mergeCells count="7">
    <mergeCell ref="B21:U21"/>
    <mergeCell ref="A3:K3"/>
    <mergeCell ref="A5:K6"/>
    <mergeCell ref="A4:K4"/>
    <mergeCell ref="G1:H1"/>
    <mergeCell ref="B12:L12"/>
    <mergeCell ref="B11:O11"/>
  </mergeCells>
  <pageMargins left="0.5" right="0.5" top="0.75" bottom="0.75" header="0.3" footer="0.3"/>
  <pageSetup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2"/>
  <sheetViews>
    <sheetView zoomScale="67" zoomScaleNormal="100" workbookViewId="0">
      <selection activeCell="E16" sqref="E16"/>
    </sheetView>
  </sheetViews>
  <sheetFormatPr defaultRowHeight="14.4"/>
  <cols>
    <col min="1" max="1" width="4.5546875" customWidth="1"/>
    <col min="2" max="4" width="10.5546875" customWidth="1"/>
    <col min="5" max="6" width="12.5546875" customWidth="1"/>
    <col min="7" max="7" width="4.5546875" customWidth="1"/>
    <col min="8" max="8" width="3.5546875" customWidth="1"/>
    <col min="9" max="9" width="25.5546875" customWidth="1"/>
    <col min="10" max="10" width="3.5546875" customWidth="1"/>
    <col min="11" max="11" width="24.5546875" customWidth="1"/>
  </cols>
  <sheetData>
    <row r="1" spans="1:13" s="25" customFormat="1">
      <c r="A1" s="27"/>
      <c r="B1" s="25" t="s">
        <v>50</v>
      </c>
      <c r="D1" s="28"/>
      <c r="E1" s="25" t="s">
        <v>51</v>
      </c>
      <c r="G1" s="992"/>
      <c r="H1" s="992"/>
      <c r="I1" s="25" t="s">
        <v>52</v>
      </c>
      <c r="L1" s="29"/>
      <c r="M1" s="25" t="s">
        <v>53</v>
      </c>
    </row>
    <row r="2" spans="1:13">
      <c r="A2" s="5"/>
      <c r="B2" s="5"/>
      <c r="C2" s="5"/>
      <c r="D2" s="5"/>
      <c r="E2" s="5"/>
      <c r="F2" s="5"/>
      <c r="G2" s="5"/>
      <c r="H2" s="5"/>
      <c r="I2" s="5"/>
      <c r="J2" s="5"/>
      <c r="K2" s="5"/>
    </row>
    <row r="3" spans="1:13">
      <c r="A3" s="5"/>
      <c r="B3" s="5"/>
      <c r="C3" s="5"/>
      <c r="D3" s="5"/>
      <c r="E3" s="5"/>
      <c r="F3" s="5"/>
      <c r="G3" s="5"/>
      <c r="H3" s="5"/>
      <c r="I3" s="5"/>
      <c r="J3" s="5"/>
      <c r="K3" s="5"/>
    </row>
    <row r="4" spans="1:13" ht="15" customHeight="1">
      <c r="A4" s="1037" t="s">
        <v>11</v>
      </c>
      <c r="B4" s="1038"/>
      <c r="C4" s="1038"/>
      <c r="D4" s="1038"/>
      <c r="E4" s="1038"/>
      <c r="F4" s="1038"/>
      <c r="G4" s="1038"/>
      <c r="H4" s="1038"/>
      <c r="I4" s="1038"/>
      <c r="J4" s="1038"/>
      <c r="K4" s="1039"/>
    </row>
    <row r="5" spans="1:13" ht="15" customHeight="1">
      <c r="A5" s="1101" t="s">
        <v>42</v>
      </c>
      <c r="B5" s="1102"/>
      <c r="C5" s="1102"/>
      <c r="D5" s="1102"/>
      <c r="E5" s="1102"/>
      <c r="F5" s="1102"/>
      <c r="G5" s="1102"/>
      <c r="H5" s="1102"/>
      <c r="I5" s="1102"/>
      <c r="J5" s="1102"/>
      <c r="K5" s="1103"/>
    </row>
    <row r="6" spans="1:13" ht="15" customHeight="1">
      <c r="A6" s="1106"/>
      <c r="B6" s="1107"/>
      <c r="C6" s="1107"/>
      <c r="D6" s="1107"/>
      <c r="E6" s="1107"/>
      <c r="F6" s="1107"/>
      <c r="G6" s="1107"/>
      <c r="H6" s="1107"/>
      <c r="I6" s="1107"/>
      <c r="J6" s="1107"/>
      <c r="K6" s="1108"/>
    </row>
    <row r="7" spans="1:13">
      <c r="A7" s="1109"/>
      <c r="B7" s="1110"/>
      <c r="C7" s="1110"/>
      <c r="D7" s="1110"/>
      <c r="E7" s="1110"/>
      <c r="F7" s="1110"/>
      <c r="G7" s="1110"/>
      <c r="H7" s="1110"/>
      <c r="I7" s="1110"/>
      <c r="J7" s="1110"/>
      <c r="K7" s="1111"/>
    </row>
    <row r="8" spans="1:13">
      <c r="A8" s="5"/>
      <c r="B8" s="5"/>
      <c r="C8" s="5"/>
      <c r="D8" s="5"/>
      <c r="E8" s="5"/>
      <c r="F8" s="5"/>
      <c r="G8" s="5"/>
      <c r="H8" s="5"/>
      <c r="I8" s="5"/>
      <c r="J8" s="5"/>
      <c r="K8" s="5"/>
    </row>
    <row r="9" spans="1:13">
      <c r="A9" s="5"/>
      <c r="B9" s="5"/>
      <c r="C9" s="5"/>
      <c r="D9" s="5"/>
      <c r="E9" s="5"/>
      <c r="F9" s="5"/>
      <c r="G9" s="5"/>
      <c r="H9" s="5"/>
      <c r="I9" s="5"/>
      <c r="J9" s="5"/>
      <c r="K9" s="5"/>
    </row>
    <row r="10" spans="1:13">
      <c r="A10" s="5"/>
      <c r="B10" s="5"/>
      <c r="C10" s="5"/>
      <c r="D10" s="5"/>
      <c r="E10" s="5"/>
      <c r="F10" s="5"/>
      <c r="G10" s="5"/>
      <c r="H10" s="5"/>
      <c r="I10" s="5"/>
      <c r="J10" s="5"/>
      <c r="K10" s="5"/>
    </row>
    <row r="11" spans="1:13">
      <c r="A11" s="5"/>
      <c r="B11" s="5"/>
      <c r="C11" s="5"/>
      <c r="D11" s="5"/>
      <c r="E11" s="5"/>
      <c r="F11" s="5"/>
      <c r="G11" s="5"/>
      <c r="H11" s="5"/>
      <c r="I11" s="5"/>
      <c r="J11" s="5"/>
      <c r="K11" s="5"/>
    </row>
    <row r="12" spans="1:13">
      <c r="A12" s="5"/>
      <c r="B12" s="5"/>
      <c r="C12" s="5"/>
      <c r="D12" s="5"/>
      <c r="E12" s="5"/>
      <c r="F12" s="5"/>
      <c r="G12" s="5"/>
      <c r="H12" s="5"/>
      <c r="I12" s="5"/>
      <c r="J12" s="5"/>
      <c r="K12" s="5"/>
    </row>
  </sheetData>
  <mergeCells count="4">
    <mergeCell ref="A4:K4"/>
    <mergeCell ref="A6:K7"/>
    <mergeCell ref="A5:K5"/>
    <mergeCell ref="G1:H1"/>
  </mergeCells>
  <pageMargins left="0.5" right="0.5" top="0.75" bottom="0.75" header="0.3" footer="0.3"/>
  <pageSetup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26"/>
  <sheetViews>
    <sheetView tabSelected="1" topLeftCell="A160" zoomScaleNormal="100" workbookViewId="0">
      <selection activeCell="A244" sqref="A244"/>
    </sheetView>
  </sheetViews>
  <sheetFormatPr defaultColWidth="9.44140625" defaultRowHeight="14.4"/>
  <cols>
    <col min="1" max="1" width="27.5546875" style="43" customWidth="1"/>
    <col min="2" max="2" width="20.5546875" style="43" customWidth="1"/>
    <col min="3" max="3" width="19" style="43" customWidth="1"/>
    <col min="4" max="4" width="22.5546875" style="43" customWidth="1"/>
    <col min="5" max="5" width="29.5546875" style="43" customWidth="1"/>
    <col min="6" max="6" width="25.77734375" style="43" customWidth="1"/>
    <col min="7" max="7" width="18" style="43" customWidth="1"/>
    <col min="8" max="8" width="22.44140625" style="43" customWidth="1"/>
    <col min="9" max="9" width="22" style="43" customWidth="1"/>
    <col min="10" max="10" width="21.44140625" style="43" customWidth="1"/>
    <col min="11" max="12" width="10.5546875" style="43" customWidth="1"/>
    <col min="13" max="13" width="9.44140625" style="43"/>
    <col min="14" max="14" width="83.5546875" style="43" customWidth="1"/>
    <col min="15" max="16384" width="9.44140625" style="43"/>
  </cols>
  <sheetData>
    <row r="1" spans="1:21">
      <c r="A1" s="47"/>
      <c r="B1" s="43" t="s">
        <v>50</v>
      </c>
      <c r="C1" s="48"/>
      <c r="D1" s="43" t="s">
        <v>51</v>
      </c>
      <c r="F1" s="74"/>
      <c r="G1" s="43" t="s">
        <v>52</v>
      </c>
      <c r="K1" s="49"/>
      <c r="L1" s="43" t="s">
        <v>53</v>
      </c>
    </row>
    <row r="2" spans="1:21">
      <c r="A2" s="46"/>
      <c r="B2" s="46"/>
      <c r="C2" s="46"/>
      <c r="F2" s="74"/>
      <c r="K2" s="49"/>
      <c r="N2" s="392"/>
    </row>
    <row r="3" spans="1:21" ht="15" customHeight="1">
      <c r="A3" s="1223" t="s">
        <v>330</v>
      </c>
      <c r="B3" s="1223"/>
      <c r="C3" s="1223"/>
      <c r="D3" s="1223"/>
      <c r="E3" s="1223"/>
      <c r="F3" s="1223"/>
      <c r="G3" s="1223"/>
      <c r="H3" s="1223"/>
      <c r="I3" s="1223"/>
      <c r="J3" s="1223"/>
      <c r="K3" s="1223"/>
      <c r="L3" s="1223"/>
      <c r="N3" s="136"/>
      <c r="O3" s="136"/>
      <c r="P3" s="136"/>
      <c r="Q3" s="136"/>
      <c r="R3" s="136"/>
      <c r="S3" s="136"/>
    </row>
    <row r="4" spans="1:21" s="106" customFormat="1" ht="26.55" customHeight="1">
      <c r="A4" s="1224" t="s">
        <v>1199</v>
      </c>
      <c r="B4" s="1225"/>
      <c r="C4" s="1225"/>
      <c r="D4" s="1225"/>
      <c r="E4" s="1225"/>
      <c r="F4" s="1225"/>
      <c r="G4" s="1225"/>
      <c r="H4" s="1225"/>
      <c r="I4" s="1225"/>
      <c r="J4" s="1225"/>
      <c r="K4" s="1225"/>
      <c r="L4" s="1226"/>
      <c r="N4" s="136"/>
      <c r="O4" s="136"/>
      <c r="P4" s="136"/>
      <c r="Q4" s="136"/>
      <c r="R4" s="136"/>
      <c r="S4" s="136"/>
    </row>
    <row r="5" spans="1:21">
      <c r="A5" s="162" t="s">
        <v>37</v>
      </c>
      <c r="B5" s="1234" t="s">
        <v>255</v>
      </c>
      <c r="C5" s="1235"/>
      <c r="D5" s="1236"/>
      <c r="E5" s="212" t="s">
        <v>328</v>
      </c>
      <c r="F5" s="769" t="s">
        <v>1144</v>
      </c>
      <c r="G5" s="680" t="s">
        <v>327</v>
      </c>
      <c r="H5" s="1152" t="s">
        <v>324</v>
      </c>
      <c r="I5" s="1153"/>
      <c r="J5" s="696" t="s">
        <v>325</v>
      </c>
      <c r="K5" s="1233" t="s">
        <v>326</v>
      </c>
      <c r="L5" s="1233"/>
      <c r="N5" s="136"/>
      <c r="O5" s="136"/>
      <c r="P5" s="136"/>
      <c r="Q5" s="136"/>
      <c r="R5" s="136"/>
      <c r="S5" s="136"/>
    </row>
    <row r="6" spans="1:21">
      <c r="A6" s="208"/>
      <c r="B6" s="209"/>
      <c r="C6" s="209"/>
      <c r="D6" s="209"/>
      <c r="E6" s="210"/>
      <c r="F6" s="210"/>
      <c r="G6" s="89"/>
      <c r="H6" s="89"/>
      <c r="I6" s="89"/>
      <c r="J6" s="89"/>
      <c r="K6" s="89"/>
      <c r="L6" s="138"/>
      <c r="N6" s="136"/>
      <c r="O6" s="136"/>
      <c r="P6" s="136"/>
      <c r="Q6" s="136"/>
      <c r="R6" s="136"/>
      <c r="S6" s="136"/>
    </row>
    <row r="7" spans="1:21">
      <c r="A7" s="1227" t="s">
        <v>702</v>
      </c>
      <c r="B7" s="1228"/>
      <c r="C7" s="1228"/>
      <c r="D7" s="1228"/>
      <c r="E7" s="1228"/>
      <c r="F7" s="1228"/>
      <c r="G7" s="1228"/>
      <c r="H7" s="1228"/>
      <c r="I7" s="1228"/>
      <c r="J7" s="1228"/>
      <c r="K7" s="1228"/>
      <c r="L7" s="1229"/>
      <c r="N7" s="136"/>
      <c r="O7" s="136"/>
      <c r="P7" s="136"/>
      <c r="Q7" s="136"/>
      <c r="R7" s="136"/>
      <c r="S7" s="136"/>
    </row>
    <row r="8" spans="1:21" ht="16.2">
      <c r="A8" s="179" t="s">
        <v>37</v>
      </c>
      <c r="B8" s="184" t="s">
        <v>7</v>
      </c>
      <c r="C8" s="1155" t="s">
        <v>709</v>
      </c>
      <c r="D8" s="1156"/>
      <c r="E8" s="1156"/>
      <c r="F8" s="1156"/>
      <c r="G8" s="1156"/>
      <c r="H8" s="1156"/>
      <c r="I8" s="1156"/>
      <c r="J8" s="1156"/>
      <c r="K8" s="1156"/>
      <c r="L8" s="1157"/>
      <c r="N8" s="136"/>
      <c r="O8" s="136"/>
      <c r="P8" s="136"/>
      <c r="Q8" s="136"/>
      <c r="R8" s="136"/>
      <c r="S8" s="136"/>
    </row>
    <row r="9" spans="1:21" ht="18.75" customHeight="1">
      <c r="A9" s="187" t="s">
        <v>38</v>
      </c>
      <c r="B9" s="384" t="s">
        <v>39</v>
      </c>
      <c r="C9" s="384" t="s">
        <v>40</v>
      </c>
      <c r="D9" s="1127" t="s">
        <v>41</v>
      </c>
      <c r="E9" s="1128"/>
      <c r="F9" s="1128"/>
      <c r="G9" s="1128"/>
      <c r="H9" s="1128"/>
      <c r="I9" s="1129"/>
      <c r="J9" s="1127" t="s">
        <v>46</v>
      </c>
      <c r="K9" s="1128"/>
      <c r="L9" s="1129"/>
      <c r="N9" s="136"/>
      <c r="O9" s="136"/>
      <c r="P9" s="136"/>
      <c r="Q9" s="136"/>
      <c r="R9" s="136"/>
      <c r="S9" s="136"/>
    </row>
    <row r="10" spans="1:21" ht="32.25" customHeight="1">
      <c r="A10" s="383" t="s">
        <v>78</v>
      </c>
      <c r="B10" s="181" t="s">
        <v>97</v>
      </c>
      <c r="C10" s="181" t="s">
        <v>701</v>
      </c>
      <c r="D10" s="1199" t="s">
        <v>707</v>
      </c>
      <c r="E10" s="1200"/>
      <c r="F10" s="1200"/>
      <c r="G10" s="1200"/>
      <c r="H10" s="1200"/>
      <c r="I10" s="1200"/>
      <c r="J10" s="1183" t="s">
        <v>444</v>
      </c>
      <c r="K10" s="1183"/>
      <c r="L10" s="1183"/>
      <c r="N10" s="136"/>
      <c r="O10" s="136"/>
      <c r="P10" s="136"/>
      <c r="Q10" s="136"/>
      <c r="R10" s="136"/>
      <c r="S10" s="136"/>
    </row>
    <row r="11" spans="1:21" ht="32.25" customHeight="1">
      <c r="A11" s="625"/>
      <c r="B11" s="626"/>
      <c r="C11" s="627" t="s">
        <v>95</v>
      </c>
      <c r="D11" s="1184" t="s">
        <v>95</v>
      </c>
      <c r="E11" s="1184"/>
      <c r="F11" s="1184"/>
      <c r="G11" s="1184"/>
      <c r="H11" s="1184"/>
      <c r="I11" s="1184"/>
      <c r="J11" s="1238" t="s">
        <v>95</v>
      </c>
      <c r="K11" s="1239"/>
      <c r="L11" s="1240"/>
      <c r="N11" s="136"/>
      <c r="O11" s="136"/>
      <c r="P11" s="136"/>
      <c r="Q11" s="136"/>
      <c r="R11" s="136"/>
      <c r="S11" s="136"/>
    </row>
    <row r="12" spans="1:21" ht="15" customHeight="1">
      <c r="A12" s="1241"/>
      <c r="B12" s="1242"/>
      <c r="C12" s="1242"/>
      <c r="D12" s="1242"/>
      <c r="E12" s="1242"/>
      <c r="F12" s="1242"/>
      <c r="G12" s="1242"/>
      <c r="H12" s="1242"/>
      <c r="I12" s="1243"/>
      <c r="J12" s="530" t="s">
        <v>81</v>
      </c>
      <c r="K12" s="577" t="s">
        <v>79</v>
      </c>
      <c r="L12" s="578" t="s">
        <v>80</v>
      </c>
      <c r="N12" s="136"/>
      <c r="O12" s="136"/>
      <c r="P12" s="136"/>
      <c r="Q12" s="136"/>
      <c r="R12" s="136"/>
      <c r="S12" s="136"/>
    </row>
    <row r="13" spans="1:21" ht="15" customHeight="1">
      <c r="A13" s="594" t="s">
        <v>47</v>
      </c>
      <c r="B13" s="594" t="s">
        <v>48</v>
      </c>
      <c r="C13" s="595" t="s">
        <v>49</v>
      </c>
      <c r="D13" s="594" t="s">
        <v>137</v>
      </c>
      <c r="E13" s="595" t="s">
        <v>176</v>
      </c>
      <c r="F13" s="596" t="s">
        <v>209</v>
      </c>
      <c r="G13" s="572" t="s">
        <v>262</v>
      </c>
      <c r="H13" s="572" t="s">
        <v>263</v>
      </c>
      <c r="I13" s="1249" t="s">
        <v>264</v>
      </c>
      <c r="J13" s="1250"/>
      <c r="K13" s="1219" t="s">
        <v>269</v>
      </c>
      <c r="L13" s="1219"/>
      <c r="N13" s="136"/>
      <c r="O13" s="136"/>
      <c r="P13" s="136"/>
      <c r="Q13" s="136"/>
      <c r="R13" s="136"/>
      <c r="S13" s="136"/>
      <c r="T13" s="136"/>
      <c r="U13" s="136"/>
    </row>
    <row r="14" spans="1:21" s="102" customFormat="1" ht="25.8">
      <c r="A14" s="505" t="s">
        <v>78</v>
      </c>
      <c r="B14" s="555" t="s">
        <v>434</v>
      </c>
      <c r="C14" s="555" t="s">
        <v>316</v>
      </c>
      <c r="D14" s="555" t="s">
        <v>304</v>
      </c>
      <c r="E14" s="666" t="s">
        <v>1026</v>
      </c>
      <c r="F14" s="667" t="s">
        <v>1036</v>
      </c>
      <c r="G14" s="593" t="s">
        <v>305</v>
      </c>
      <c r="H14" s="666" t="s">
        <v>1029</v>
      </c>
      <c r="I14" s="1122" t="s">
        <v>323</v>
      </c>
      <c r="J14" s="1123"/>
      <c r="K14" s="1248" t="s">
        <v>1030</v>
      </c>
      <c r="L14" s="1248"/>
      <c r="N14" s="136"/>
      <c r="O14" s="136"/>
      <c r="P14" s="136"/>
      <c r="Q14" s="136"/>
      <c r="R14" s="136"/>
      <c r="S14" s="136"/>
      <c r="T14" s="136"/>
      <c r="U14" s="136"/>
    </row>
    <row r="15" spans="1:21">
      <c r="A15" s="1120" t="s">
        <v>710</v>
      </c>
      <c r="B15" s="1192" t="s">
        <v>95</v>
      </c>
      <c r="C15" s="628" t="s">
        <v>95</v>
      </c>
      <c r="D15" s="528" t="s">
        <v>95</v>
      </c>
      <c r="E15" s="528" t="s">
        <v>95</v>
      </c>
      <c r="F15" s="528" t="s">
        <v>95</v>
      </c>
      <c r="G15" s="1159" t="s">
        <v>95</v>
      </c>
      <c r="H15" s="1192" t="s">
        <v>113</v>
      </c>
      <c r="I15" s="183" t="s">
        <v>321</v>
      </c>
      <c r="J15" s="528" t="s">
        <v>113</v>
      </c>
      <c r="K15" s="1194"/>
      <c r="L15" s="1194"/>
      <c r="N15" s="136"/>
      <c r="O15" s="136"/>
      <c r="P15" s="136"/>
      <c r="Q15" s="136"/>
      <c r="R15" s="136"/>
      <c r="S15" s="136"/>
      <c r="T15" s="136"/>
      <c r="U15" s="136"/>
    </row>
    <row r="16" spans="1:21">
      <c r="A16" s="1120"/>
      <c r="B16" s="1193"/>
      <c r="C16" s="581"/>
      <c r="D16" s="581"/>
      <c r="E16" s="582"/>
      <c r="F16" s="581"/>
      <c r="G16" s="1159"/>
      <c r="H16" s="1193"/>
      <c r="I16" s="183" t="s">
        <v>734</v>
      </c>
      <c r="J16" s="583"/>
      <c r="K16" s="1194"/>
      <c r="L16" s="1194"/>
      <c r="N16" s="136"/>
      <c r="O16" s="136"/>
      <c r="P16" s="136"/>
      <c r="Q16" s="136"/>
      <c r="R16" s="136"/>
      <c r="S16" s="136"/>
      <c r="T16" s="136"/>
      <c r="U16" s="136"/>
    </row>
    <row r="17" spans="1:21" ht="30.75" customHeight="1">
      <c r="A17" s="1195" t="s">
        <v>708</v>
      </c>
      <c r="B17" s="1195"/>
      <c r="C17" s="1195"/>
      <c r="D17" s="1195"/>
      <c r="E17" s="1195"/>
      <c r="F17" s="1195"/>
      <c r="G17" s="1195"/>
      <c r="H17" s="1195"/>
      <c r="I17" s="1196"/>
      <c r="N17" s="136"/>
      <c r="O17" s="136"/>
      <c r="P17" s="136"/>
      <c r="Q17" s="136"/>
      <c r="R17" s="136"/>
      <c r="S17" s="136"/>
      <c r="T17" s="136"/>
      <c r="U17" s="136"/>
    </row>
    <row r="18" spans="1:21" ht="21" customHeight="1">
      <c r="A18" s="1174" t="s">
        <v>1065</v>
      </c>
      <c r="B18" s="1245"/>
      <c r="C18" s="1245"/>
      <c r="D18" s="1245"/>
      <c r="E18" s="1245"/>
      <c r="F18" s="1245"/>
      <c r="G18" s="1245"/>
      <c r="H18" s="1245"/>
      <c r="I18" s="1245"/>
      <c r="N18" s="136"/>
      <c r="O18" s="136"/>
      <c r="P18" s="136"/>
      <c r="Q18" s="136"/>
      <c r="R18" s="136"/>
      <c r="S18" s="136"/>
      <c r="T18" s="136"/>
      <c r="U18" s="136"/>
    </row>
    <row r="19" spans="1:21" ht="31.5" customHeight="1">
      <c r="A19" s="1237" t="s">
        <v>1027</v>
      </c>
      <c r="B19" s="1237"/>
      <c r="C19" s="1237"/>
      <c r="D19" s="1237"/>
      <c r="E19" s="1237"/>
      <c r="F19" s="1237"/>
      <c r="G19" s="1237"/>
      <c r="H19" s="1237"/>
      <c r="I19" s="1237"/>
      <c r="K19" s="90"/>
      <c r="N19" s="136"/>
      <c r="O19" s="136"/>
      <c r="P19" s="136"/>
      <c r="Q19" s="136"/>
      <c r="R19" s="136"/>
      <c r="S19" s="136"/>
      <c r="T19" s="136"/>
      <c r="U19" s="136"/>
    </row>
    <row r="20" spans="1:21" ht="16.5" customHeight="1">
      <c r="A20" s="1158" t="s">
        <v>1028</v>
      </c>
      <c r="B20" s="1158"/>
      <c r="C20" s="1158"/>
      <c r="D20" s="1158"/>
      <c r="E20" s="1158"/>
      <c r="F20" s="1158"/>
      <c r="G20" s="1158"/>
      <c r="H20" s="1158"/>
      <c r="I20" s="1158"/>
      <c r="N20" s="136"/>
      <c r="O20" s="136"/>
      <c r="P20" s="136"/>
      <c r="Q20" s="136"/>
      <c r="R20" s="136"/>
      <c r="S20" s="136"/>
      <c r="T20" s="136"/>
      <c r="U20" s="136"/>
    </row>
    <row r="21" spans="1:21" ht="16.5" customHeight="1">
      <c r="A21" s="175"/>
      <c r="B21" s="90"/>
      <c r="C21" s="243" t="s">
        <v>711</v>
      </c>
      <c r="D21" s="1164" t="s">
        <v>332</v>
      </c>
      <c r="E21" s="1164"/>
      <c r="F21" s="1164"/>
      <c r="G21" s="1164"/>
      <c r="H21" s="1164"/>
      <c r="I21" s="1164"/>
      <c r="J21" s="1175" t="s">
        <v>713</v>
      </c>
      <c r="K21" s="1175"/>
      <c r="L21" s="1175"/>
      <c r="N21" s="136"/>
      <c r="O21" s="136"/>
      <c r="P21" s="136"/>
      <c r="Q21" s="136"/>
      <c r="R21" s="136"/>
      <c r="S21" s="136"/>
      <c r="T21" s="136"/>
      <c r="U21" s="136"/>
    </row>
    <row r="22" spans="1:21" ht="16.5" customHeight="1">
      <c r="A22" s="175"/>
      <c r="B22" s="90"/>
      <c r="C22" s="326" t="s">
        <v>367</v>
      </c>
      <c r="D22" s="1251" t="s">
        <v>1023</v>
      </c>
      <c r="E22" s="1252"/>
      <c r="F22" s="1252"/>
      <c r="G22" s="1252"/>
      <c r="H22" s="1252"/>
      <c r="I22" s="1252"/>
      <c r="J22" s="1176" t="s">
        <v>667</v>
      </c>
      <c r="K22" s="1176"/>
      <c r="L22" s="1176"/>
      <c r="N22" s="136"/>
      <c r="O22" s="136"/>
      <c r="P22" s="136"/>
      <c r="Q22" s="136"/>
      <c r="R22" s="136"/>
      <c r="S22" s="136"/>
      <c r="T22" s="136"/>
      <c r="U22" s="136"/>
    </row>
    <row r="23" spans="1:21" ht="27" customHeight="1">
      <c r="A23" s="175"/>
      <c r="B23" s="90"/>
      <c r="C23" s="326" t="s">
        <v>368</v>
      </c>
      <c r="D23" s="1191" t="s">
        <v>1024</v>
      </c>
      <c r="E23" s="1253"/>
      <c r="F23" s="1253"/>
      <c r="G23" s="1253"/>
      <c r="H23" s="1253"/>
      <c r="I23" s="1253"/>
      <c r="J23" s="1179" t="s">
        <v>1170</v>
      </c>
      <c r="K23" s="1179"/>
      <c r="L23" s="1179"/>
      <c r="N23" s="136"/>
      <c r="O23" s="136"/>
      <c r="P23" s="136"/>
      <c r="Q23" s="136"/>
      <c r="R23" s="136"/>
      <c r="S23" s="136"/>
      <c r="T23" s="136"/>
      <c r="U23" s="136"/>
    </row>
    <row r="24" spans="1:21" ht="26.25" customHeight="1">
      <c r="A24" s="175"/>
      <c r="B24" s="90"/>
      <c r="D24" s="1191" t="s">
        <v>1025</v>
      </c>
      <c r="E24" s="1253"/>
      <c r="F24" s="1253"/>
      <c r="G24" s="1253"/>
      <c r="H24" s="1253"/>
      <c r="I24" s="1253"/>
      <c r="J24" s="1150" t="s">
        <v>666</v>
      </c>
      <c r="K24" s="1150"/>
      <c r="L24" s="1150"/>
      <c r="N24" s="136"/>
      <c r="O24" s="136"/>
      <c r="P24" s="136"/>
      <c r="Q24" s="136"/>
      <c r="R24" s="136"/>
      <c r="S24" s="136"/>
      <c r="T24" s="136"/>
      <c r="U24" s="136"/>
    </row>
    <row r="25" spans="1:21" ht="17.25" customHeight="1">
      <c r="A25" s="175"/>
      <c r="B25" s="90"/>
      <c r="D25" s="1254" t="s">
        <v>712</v>
      </c>
      <c r="E25" s="1254"/>
      <c r="F25" s="1254"/>
      <c r="G25" s="1254"/>
      <c r="H25" s="1254"/>
      <c r="I25" s="1255"/>
      <c r="J25" s="693"/>
      <c r="K25" s="693"/>
      <c r="L25" s="693"/>
      <c r="N25" s="136"/>
      <c r="O25" s="136"/>
      <c r="P25" s="136"/>
      <c r="Q25" s="136"/>
      <c r="R25" s="136"/>
      <c r="S25" s="136"/>
      <c r="T25" s="136"/>
      <c r="U25" s="136"/>
    </row>
    <row r="26" spans="1:21" ht="16.5" customHeight="1">
      <c r="A26" s="175"/>
      <c r="B26" s="90"/>
      <c r="N26" s="136"/>
      <c r="O26" s="136"/>
      <c r="P26" s="136"/>
      <c r="Q26" s="136"/>
      <c r="R26" s="136"/>
      <c r="S26" s="136"/>
      <c r="T26" s="136"/>
      <c r="U26" s="136"/>
    </row>
    <row r="27" spans="1:21" ht="21.75" customHeight="1">
      <c r="B27" s="96" t="s">
        <v>716</v>
      </c>
      <c r="C27" s="96" t="s">
        <v>715</v>
      </c>
      <c r="D27" s="393" t="s">
        <v>714</v>
      </c>
      <c r="E27" s="96" t="s">
        <v>308</v>
      </c>
      <c r="F27" s="393" t="s">
        <v>307</v>
      </c>
      <c r="G27" s="96" t="s">
        <v>717</v>
      </c>
      <c r="J27" s="1217"/>
      <c r="K27" s="188"/>
      <c r="N27" s="136"/>
      <c r="O27" s="136"/>
      <c r="P27" s="136"/>
      <c r="Q27" s="136"/>
      <c r="R27" s="136"/>
      <c r="S27" s="136"/>
      <c r="T27" s="136"/>
      <c r="U27" s="136"/>
    </row>
    <row r="28" spans="1:21">
      <c r="B28" s="125" t="s">
        <v>695</v>
      </c>
      <c r="C28" s="125" t="s">
        <v>317</v>
      </c>
      <c r="D28" s="96" t="s">
        <v>254</v>
      </c>
      <c r="E28" s="96" t="s">
        <v>273</v>
      </c>
      <c r="F28" s="96" t="s">
        <v>431</v>
      </c>
      <c r="G28" s="152" t="s">
        <v>268</v>
      </c>
      <c r="J28" s="1217"/>
      <c r="K28" s="1246" t="s">
        <v>1031</v>
      </c>
      <c r="L28" s="1246"/>
      <c r="M28" s="1246"/>
      <c r="N28" s="136"/>
      <c r="O28" s="136"/>
      <c r="P28" s="136"/>
      <c r="Q28" s="136"/>
      <c r="R28" s="136"/>
      <c r="S28" s="136"/>
      <c r="T28" s="136"/>
      <c r="U28" s="136"/>
    </row>
    <row r="29" spans="1:21">
      <c r="B29" s="396" t="s">
        <v>108</v>
      </c>
      <c r="C29" s="125" t="s">
        <v>318</v>
      </c>
      <c r="D29" s="155" t="s">
        <v>222</v>
      </c>
      <c r="E29" s="125" t="s">
        <v>109</v>
      </c>
      <c r="F29" s="385" t="s">
        <v>109</v>
      </c>
      <c r="G29" s="152" t="s">
        <v>306</v>
      </c>
      <c r="J29" s="1217"/>
      <c r="K29" s="188"/>
      <c r="N29" s="136"/>
      <c r="O29" s="136"/>
      <c r="P29" s="136"/>
      <c r="Q29" s="136"/>
      <c r="R29" s="136"/>
      <c r="S29" s="136"/>
      <c r="T29" s="136"/>
      <c r="U29" s="136"/>
    </row>
    <row r="30" spans="1:21">
      <c r="B30" s="396" t="s">
        <v>694</v>
      </c>
      <c r="C30" s="155" t="s">
        <v>319</v>
      </c>
      <c r="D30" s="155" t="s">
        <v>221</v>
      </c>
      <c r="E30" s="125" t="s">
        <v>148</v>
      </c>
      <c r="F30" s="385" t="s">
        <v>121</v>
      </c>
      <c r="J30" s="1217"/>
      <c r="K30" s="188"/>
      <c r="N30" s="136"/>
      <c r="O30" s="136"/>
      <c r="P30" s="136"/>
      <c r="Q30" s="136"/>
      <c r="R30" s="136"/>
      <c r="S30" s="136"/>
      <c r="T30" s="136"/>
      <c r="U30" s="136"/>
    </row>
    <row r="31" spans="1:21">
      <c r="C31" s="155" t="s">
        <v>320</v>
      </c>
      <c r="D31" s="96" t="s">
        <v>250</v>
      </c>
      <c r="E31" s="126" t="s">
        <v>146</v>
      </c>
      <c r="F31" s="385" t="s">
        <v>119</v>
      </c>
      <c r="J31" s="1217"/>
      <c r="K31" s="188"/>
    </row>
    <row r="32" spans="1:21">
      <c r="D32" s="156" t="s">
        <v>222</v>
      </c>
      <c r="E32" s="126" t="s">
        <v>144</v>
      </c>
      <c r="F32" s="385" t="s">
        <v>118</v>
      </c>
      <c r="J32" s="1217"/>
      <c r="K32" s="188"/>
    </row>
    <row r="33" spans="4:11">
      <c r="D33" s="156" t="s">
        <v>151</v>
      </c>
      <c r="E33" s="126" t="s">
        <v>210</v>
      </c>
      <c r="F33" s="385" t="s">
        <v>125</v>
      </c>
      <c r="J33" s="1217"/>
      <c r="K33" s="188"/>
    </row>
    <row r="34" spans="4:11">
      <c r="D34" s="156" t="s">
        <v>149</v>
      </c>
      <c r="E34" s="126" t="s">
        <v>133</v>
      </c>
      <c r="F34" s="385" t="s">
        <v>117</v>
      </c>
      <c r="J34" s="1217"/>
    </row>
    <row r="35" spans="4:11">
      <c r="D35" s="156" t="s">
        <v>147</v>
      </c>
      <c r="E35" s="126" t="s">
        <v>99</v>
      </c>
      <c r="F35" s="385" t="s">
        <v>102</v>
      </c>
      <c r="H35" s="99"/>
      <c r="J35" s="1217"/>
    </row>
    <row r="36" spans="4:11">
      <c r="D36" s="156" t="s">
        <v>145</v>
      </c>
      <c r="E36" s="126" t="s">
        <v>98</v>
      </c>
      <c r="F36" s="385" t="s">
        <v>138</v>
      </c>
      <c r="G36" s="91"/>
      <c r="H36" s="99"/>
      <c r="J36" s="1217"/>
    </row>
    <row r="37" spans="4:11">
      <c r="D37" s="156" t="s">
        <v>253</v>
      </c>
      <c r="E37" s="126" t="s">
        <v>139</v>
      </c>
      <c r="F37" s="491"/>
      <c r="G37" s="46"/>
      <c r="H37" s="99"/>
      <c r="J37" s="1217"/>
    </row>
    <row r="38" spans="4:11">
      <c r="D38" s="156" t="s">
        <v>221</v>
      </c>
      <c r="E38" s="126" t="s">
        <v>195</v>
      </c>
      <c r="F38" s="670" t="s">
        <v>307</v>
      </c>
      <c r="J38" s="1217"/>
    </row>
    <row r="39" spans="4:11">
      <c r="D39" s="156" t="s">
        <v>143</v>
      </c>
      <c r="E39" s="126" t="s">
        <v>252</v>
      </c>
      <c r="F39" s="664" t="s">
        <v>431</v>
      </c>
      <c r="J39" s="1217"/>
    </row>
    <row r="40" spans="4:11">
      <c r="D40" s="156" t="s">
        <v>142</v>
      </c>
      <c r="E40" s="126" t="s">
        <v>251</v>
      </c>
      <c r="F40" s="664" t="s">
        <v>109</v>
      </c>
    </row>
    <row r="41" spans="4:11">
      <c r="D41" s="156" t="s">
        <v>141</v>
      </c>
      <c r="E41" s="96" t="s">
        <v>425</v>
      </c>
      <c r="F41" s="664" t="s">
        <v>121</v>
      </c>
    </row>
    <row r="42" spans="4:11">
      <c r="D42" s="156" t="s">
        <v>140</v>
      </c>
      <c r="E42" s="125" t="s">
        <v>109</v>
      </c>
      <c r="F42" s="664" t="s">
        <v>119</v>
      </c>
    </row>
    <row r="43" spans="4:11">
      <c r="D43" s="156" t="s">
        <v>249</v>
      </c>
      <c r="E43" s="125" t="s">
        <v>148</v>
      </c>
      <c r="F43" s="664" t="s">
        <v>118</v>
      </c>
    </row>
    <row r="44" spans="4:11">
      <c r="E44" s="125" t="s">
        <v>146</v>
      </c>
      <c r="F44" s="664" t="s">
        <v>125</v>
      </c>
    </row>
    <row r="45" spans="4:11">
      <c r="E45" s="125" t="s">
        <v>101</v>
      </c>
      <c r="F45" s="664" t="s">
        <v>117</v>
      </c>
    </row>
    <row r="46" spans="4:11">
      <c r="E46" s="125" t="s">
        <v>423</v>
      </c>
      <c r="F46" s="664" t="s">
        <v>102</v>
      </c>
    </row>
    <row r="47" spans="4:11">
      <c r="E47" s="125" t="s">
        <v>424</v>
      </c>
      <c r="F47" s="664" t="s">
        <v>138</v>
      </c>
    </row>
    <row r="48" spans="4:11">
      <c r="E48" s="96" t="s">
        <v>426</v>
      </c>
      <c r="F48" s="664" t="s">
        <v>212</v>
      </c>
    </row>
    <row r="49" spans="5:6">
      <c r="E49" s="216" t="s">
        <v>109</v>
      </c>
      <c r="F49" s="664" t="s">
        <v>100</v>
      </c>
    </row>
    <row r="50" spans="5:6">
      <c r="E50" s="216" t="s">
        <v>148</v>
      </c>
      <c r="F50" s="664" t="s">
        <v>220</v>
      </c>
    </row>
    <row r="51" spans="5:6">
      <c r="E51" s="216" t="s">
        <v>146</v>
      </c>
    </row>
    <row r="52" spans="5:6">
      <c r="E52" s="216" t="s">
        <v>101</v>
      </c>
    </row>
    <row r="53" spans="5:6">
      <c r="E53" s="216" t="s">
        <v>144</v>
      </c>
    </row>
    <row r="54" spans="5:6">
      <c r="E54" s="216" t="s">
        <v>210</v>
      </c>
    </row>
    <row r="55" spans="5:6">
      <c r="E55" s="96" t="s">
        <v>427</v>
      </c>
    </row>
    <row r="56" spans="5:6">
      <c r="E56" s="216" t="s">
        <v>109</v>
      </c>
    </row>
    <row r="57" spans="5:6">
      <c r="E57" s="216" t="s">
        <v>144</v>
      </c>
    </row>
    <row r="58" spans="5:6">
      <c r="E58" s="216" t="s">
        <v>210</v>
      </c>
    </row>
    <row r="59" spans="5:6">
      <c r="E59" s="96" t="s">
        <v>428</v>
      </c>
    </row>
    <row r="60" spans="5:6">
      <c r="E60" s="216" t="s">
        <v>109</v>
      </c>
    </row>
    <row r="61" spans="5:6">
      <c r="E61" s="216" t="s">
        <v>133</v>
      </c>
    </row>
    <row r="62" spans="5:6">
      <c r="E62" s="216" t="s">
        <v>99</v>
      </c>
    </row>
    <row r="63" spans="5:6">
      <c r="E63" s="216" t="s">
        <v>98</v>
      </c>
    </row>
    <row r="64" spans="5:6">
      <c r="E64" s="96" t="s">
        <v>429</v>
      </c>
    </row>
    <row r="65" spans="1:19">
      <c r="E65" s="216" t="s">
        <v>109</v>
      </c>
    </row>
    <row r="66" spans="1:19">
      <c r="E66" s="216" t="s">
        <v>98</v>
      </c>
    </row>
    <row r="67" spans="1:19">
      <c r="E67" s="216" t="s">
        <v>139</v>
      </c>
    </row>
    <row r="68" spans="1:19">
      <c r="E68" s="96" t="s">
        <v>430</v>
      </c>
    </row>
    <row r="69" spans="1:19">
      <c r="E69" s="216" t="s">
        <v>109</v>
      </c>
    </row>
    <row r="70" spans="1:19">
      <c r="E70" s="216" t="s">
        <v>139</v>
      </c>
      <c r="F70" s="223"/>
    </row>
    <row r="71" spans="1:19">
      <c r="A71" s="1230" t="s">
        <v>703</v>
      </c>
      <c r="B71" s="1231"/>
      <c r="C71" s="1231"/>
      <c r="D71" s="1231"/>
      <c r="E71" s="1231"/>
      <c r="F71" s="1231"/>
      <c r="G71" s="1231"/>
      <c r="H71" s="1231"/>
      <c r="I71" s="1231"/>
      <c r="J71" s="1231"/>
      <c r="K71" s="1231"/>
      <c r="L71" s="1232"/>
      <c r="N71" s="136"/>
      <c r="O71" s="136"/>
      <c r="P71" s="136"/>
      <c r="Q71" s="136"/>
      <c r="R71" s="136"/>
      <c r="S71" s="136"/>
    </row>
    <row r="72" spans="1:19" ht="16.2">
      <c r="A72" s="179" t="s">
        <v>37</v>
      </c>
      <c r="B72" s="184" t="s">
        <v>7</v>
      </c>
      <c r="C72" s="1171" t="s">
        <v>718</v>
      </c>
      <c r="D72" s="1172"/>
      <c r="E72" s="1172"/>
      <c r="F72" s="1172"/>
      <c r="G72" s="1172"/>
      <c r="H72" s="1172"/>
      <c r="I72" s="1172"/>
      <c r="J72" s="1172"/>
      <c r="K72" s="1172"/>
      <c r="L72" s="1173"/>
      <c r="N72" s="136"/>
      <c r="O72" s="136"/>
      <c r="P72" s="136"/>
      <c r="Q72" s="136"/>
      <c r="R72" s="136"/>
      <c r="S72" s="136"/>
    </row>
    <row r="73" spans="1:19" ht="18.75" customHeight="1">
      <c r="A73" s="384" t="s">
        <v>38</v>
      </c>
      <c r="B73" s="384" t="s">
        <v>39</v>
      </c>
      <c r="C73" s="384" t="s">
        <v>40</v>
      </c>
      <c r="D73" s="1127" t="s">
        <v>41</v>
      </c>
      <c r="E73" s="1128"/>
      <c r="F73" s="1128"/>
      <c r="G73" s="1128"/>
      <c r="H73" s="1128"/>
      <c r="I73" s="1129"/>
      <c r="J73" s="1127" t="s">
        <v>46</v>
      </c>
      <c r="K73" s="1128"/>
      <c r="L73" s="1129"/>
      <c r="N73" s="136"/>
      <c r="O73" s="136"/>
      <c r="P73" s="136"/>
      <c r="Q73" s="136"/>
      <c r="R73" s="136"/>
      <c r="S73" s="136"/>
    </row>
    <row r="74" spans="1:19" ht="32.25" customHeight="1">
      <c r="A74" s="505" t="s">
        <v>78</v>
      </c>
      <c r="B74" s="507" t="s">
        <v>97</v>
      </c>
      <c r="C74" s="507" t="s">
        <v>701</v>
      </c>
      <c r="D74" s="1130" t="s">
        <v>707</v>
      </c>
      <c r="E74" s="1131"/>
      <c r="F74" s="1131"/>
      <c r="G74" s="1131"/>
      <c r="H74" s="1131"/>
      <c r="I74" s="1131"/>
      <c r="J74" s="1183" t="s">
        <v>444</v>
      </c>
      <c r="K74" s="1183"/>
      <c r="L74" s="1183"/>
      <c r="N74" s="136"/>
      <c r="O74" s="136"/>
      <c r="P74" s="136"/>
      <c r="Q74" s="136"/>
      <c r="R74" s="136"/>
      <c r="S74" s="136"/>
    </row>
    <row r="75" spans="1:19" ht="32.25" customHeight="1">
      <c r="A75" s="625"/>
      <c r="B75" s="626"/>
      <c r="C75" s="627" t="s">
        <v>95</v>
      </c>
      <c r="D75" s="1184" t="s">
        <v>95</v>
      </c>
      <c r="E75" s="1184"/>
      <c r="F75" s="1184"/>
      <c r="G75" s="1184"/>
      <c r="H75" s="1184"/>
      <c r="I75" s="1184"/>
      <c r="J75" s="1238" t="s">
        <v>95</v>
      </c>
      <c r="K75" s="1239"/>
      <c r="L75" s="1240"/>
      <c r="N75" s="136"/>
      <c r="O75" s="136"/>
      <c r="P75" s="136"/>
      <c r="Q75" s="136"/>
      <c r="R75" s="136"/>
      <c r="S75" s="136"/>
    </row>
    <row r="76" spans="1:19" ht="15" customHeight="1">
      <c r="A76" s="1241"/>
      <c r="B76" s="1242"/>
      <c r="C76" s="1242"/>
      <c r="D76" s="1242"/>
      <c r="E76" s="1242"/>
      <c r="F76" s="1242"/>
      <c r="G76" s="1242"/>
      <c r="H76" s="1242"/>
      <c r="I76" s="1243"/>
      <c r="J76" s="530" t="s">
        <v>81</v>
      </c>
      <c r="K76" s="577" t="s">
        <v>79</v>
      </c>
      <c r="L76" s="578" t="s">
        <v>80</v>
      </c>
      <c r="N76" s="136"/>
      <c r="O76" s="136"/>
      <c r="P76" s="136"/>
      <c r="Q76" s="136"/>
      <c r="R76" s="136"/>
      <c r="S76" s="136"/>
    </row>
    <row r="77" spans="1:19">
      <c r="A77" s="594" t="s">
        <v>47</v>
      </c>
      <c r="B77" s="594" t="s">
        <v>48</v>
      </c>
      <c r="C77" s="595" t="s">
        <v>49</v>
      </c>
      <c r="D77" s="594" t="s">
        <v>137</v>
      </c>
      <c r="E77" s="595" t="s">
        <v>176</v>
      </c>
      <c r="F77" s="596" t="s">
        <v>209</v>
      </c>
      <c r="G77" s="572" t="s">
        <v>262</v>
      </c>
      <c r="H77" s="572" t="s">
        <v>263</v>
      </c>
      <c r="I77" s="1219" t="s">
        <v>264</v>
      </c>
      <c r="J77" s="1219"/>
      <c r="K77" s="1247">
        <v>16</v>
      </c>
      <c r="L77" s="1247"/>
      <c r="N77" s="136"/>
      <c r="O77" s="136"/>
      <c r="P77" s="136"/>
      <c r="Q77" s="136"/>
      <c r="R77" s="136"/>
      <c r="S77" s="136"/>
    </row>
    <row r="78" spans="1:19" ht="48" customHeight="1">
      <c r="A78" s="509" t="s">
        <v>78</v>
      </c>
      <c r="B78" s="599" t="s">
        <v>434</v>
      </c>
      <c r="C78" s="555" t="s">
        <v>136</v>
      </c>
      <c r="D78" s="599" t="s">
        <v>274</v>
      </c>
      <c r="E78" s="668" t="s">
        <v>1032</v>
      </c>
      <c r="F78" s="599" t="s">
        <v>307</v>
      </c>
      <c r="G78" s="593" t="s">
        <v>305</v>
      </c>
      <c r="H78" s="666" t="s">
        <v>1033</v>
      </c>
      <c r="I78" s="1180" t="s">
        <v>735</v>
      </c>
      <c r="J78" s="1180"/>
      <c r="K78" s="1248" t="s">
        <v>1030</v>
      </c>
      <c r="L78" s="1248"/>
      <c r="N78" s="136"/>
      <c r="O78" s="136"/>
      <c r="P78" s="136"/>
      <c r="Q78" s="136"/>
      <c r="R78" s="136"/>
      <c r="S78" s="136"/>
    </row>
    <row r="79" spans="1:19">
      <c r="A79" s="1120" t="s">
        <v>710</v>
      </c>
      <c r="B79" s="1192" t="s">
        <v>95</v>
      </c>
      <c r="C79" s="528" t="s">
        <v>95</v>
      </c>
      <c r="D79" s="528" t="s">
        <v>95</v>
      </c>
      <c r="E79" s="528" t="s">
        <v>95</v>
      </c>
      <c r="F79" s="528" t="s">
        <v>95</v>
      </c>
      <c r="G79" s="1159" t="s">
        <v>95</v>
      </c>
      <c r="H79" s="1192" t="s">
        <v>113</v>
      </c>
      <c r="I79" s="183" t="s">
        <v>321</v>
      </c>
      <c r="J79" s="528" t="s">
        <v>113</v>
      </c>
      <c r="K79" s="1194"/>
      <c r="L79" s="1194"/>
      <c r="N79" s="136"/>
      <c r="O79" s="136"/>
      <c r="P79" s="136"/>
      <c r="Q79" s="136"/>
      <c r="R79" s="136"/>
      <c r="S79" s="136"/>
    </row>
    <row r="80" spans="1:19">
      <c r="A80" s="1120"/>
      <c r="B80" s="1193"/>
      <c r="C80" s="581"/>
      <c r="D80" s="582"/>
      <c r="E80" s="581"/>
      <c r="F80" s="581"/>
      <c r="G80" s="1159"/>
      <c r="H80" s="1193"/>
      <c r="I80" s="183" t="s">
        <v>734</v>
      </c>
      <c r="J80" s="583"/>
      <c r="K80" s="1194"/>
      <c r="L80" s="1194"/>
      <c r="N80" s="136"/>
      <c r="O80" s="136"/>
      <c r="P80" s="136"/>
      <c r="Q80" s="136"/>
      <c r="R80" s="136"/>
      <c r="S80" s="136"/>
    </row>
    <row r="81" spans="1:21" ht="30.75" customHeight="1">
      <c r="A81" s="1195" t="s">
        <v>719</v>
      </c>
      <c r="B81" s="1195"/>
      <c r="C81" s="1195"/>
      <c r="D81" s="1195"/>
      <c r="E81" s="1195"/>
      <c r="F81" s="1195"/>
      <c r="G81" s="1195"/>
      <c r="H81" s="1195"/>
      <c r="I81" s="1195"/>
      <c r="J81" s="72"/>
      <c r="K81" s="72"/>
      <c r="L81" s="72"/>
      <c r="N81" s="136"/>
      <c r="O81" s="136"/>
      <c r="P81" s="136"/>
      <c r="Q81" s="136"/>
      <c r="R81" s="136"/>
      <c r="S81" s="136"/>
      <c r="T81" s="136"/>
      <c r="U81" s="136"/>
    </row>
    <row r="82" spans="1:21" ht="30.75" customHeight="1">
      <c r="A82" s="1174" t="s">
        <v>1065</v>
      </c>
      <c r="B82" s="1245"/>
      <c r="C82" s="1245"/>
      <c r="D82" s="1245"/>
      <c r="E82" s="1245"/>
      <c r="F82" s="1245"/>
      <c r="G82" s="1245"/>
      <c r="H82" s="1245"/>
      <c r="I82" s="1245"/>
      <c r="J82" s="72"/>
      <c r="K82" s="72"/>
      <c r="L82" s="72"/>
      <c r="N82" s="136"/>
      <c r="O82" s="136"/>
      <c r="P82" s="136"/>
      <c r="Q82" s="136"/>
      <c r="R82" s="136"/>
      <c r="S82" s="136"/>
      <c r="T82" s="136"/>
      <c r="U82" s="136"/>
    </row>
    <row r="83" spans="1:21" ht="33.75" customHeight="1">
      <c r="A83" s="1237" t="s">
        <v>1027</v>
      </c>
      <c r="B83" s="1237"/>
      <c r="C83" s="1237"/>
      <c r="D83" s="1237"/>
      <c r="E83" s="1237"/>
      <c r="F83" s="1237"/>
      <c r="G83" s="1237"/>
      <c r="H83" s="1237"/>
      <c r="I83" s="1237"/>
      <c r="K83" s="90"/>
      <c r="N83" s="136"/>
      <c r="O83" s="136"/>
      <c r="P83" s="136"/>
      <c r="Q83" s="136"/>
      <c r="R83" s="136"/>
      <c r="S83" s="136"/>
      <c r="T83" s="136"/>
      <c r="U83" s="136"/>
    </row>
    <row r="84" spans="1:21" ht="16.5" customHeight="1">
      <c r="A84" s="1158" t="s">
        <v>1028</v>
      </c>
      <c r="B84" s="1158"/>
      <c r="C84" s="1158"/>
      <c r="D84" s="1158"/>
      <c r="E84" s="1158"/>
      <c r="F84" s="1158"/>
      <c r="G84" s="1158"/>
      <c r="H84" s="1158"/>
      <c r="I84" s="1158"/>
      <c r="K84" s="90"/>
      <c r="N84" s="136"/>
      <c r="O84" s="136"/>
      <c r="P84" s="136"/>
      <c r="Q84" s="136"/>
      <c r="R84" s="136"/>
      <c r="S84" s="136"/>
      <c r="T84" s="136"/>
      <c r="U84" s="136"/>
    </row>
    <row r="85" spans="1:21" ht="16.5" customHeight="1">
      <c r="A85" s="175"/>
      <c r="B85" s="90"/>
      <c r="C85" s="243" t="s">
        <v>711</v>
      </c>
      <c r="D85" s="1164" t="s">
        <v>332</v>
      </c>
      <c r="E85" s="1164"/>
      <c r="F85" s="1164"/>
      <c r="G85" s="1164"/>
      <c r="H85" s="1164"/>
      <c r="I85" s="1164"/>
      <c r="J85" s="1138" t="s">
        <v>713</v>
      </c>
      <c r="K85" s="1175"/>
      <c r="L85" s="1175"/>
      <c r="N85" s="136"/>
      <c r="O85" s="136"/>
      <c r="P85" s="136"/>
      <c r="Q85" s="136"/>
      <c r="R85" s="136"/>
      <c r="S85" s="136"/>
      <c r="T85" s="136"/>
      <c r="U85" s="136"/>
    </row>
    <row r="86" spans="1:21" ht="16.5" customHeight="1">
      <c r="A86" s="175"/>
      <c r="B86" s="90"/>
      <c r="C86" s="326" t="s">
        <v>367</v>
      </c>
      <c r="D86" s="1251" t="s">
        <v>1023</v>
      </c>
      <c r="E86" s="1252"/>
      <c r="F86" s="1252"/>
      <c r="G86" s="1252"/>
      <c r="H86" s="1252"/>
      <c r="I86" s="1252"/>
      <c r="J86" s="1114" t="s">
        <v>667</v>
      </c>
      <c r="K86" s="1176"/>
      <c r="L86" s="1176"/>
      <c r="N86" s="136"/>
      <c r="O86" s="136"/>
      <c r="P86" s="136"/>
      <c r="Q86" s="136"/>
      <c r="R86" s="136"/>
      <c r="S86" s="136"/>
      <c r="T86" s="136"/>
      <c r="U86" s="136"/>
    </row>
    <row r="87" spans="1:21" ht="27" customHeight="1">
      <c r="A87" s="175"/>
      <c r="B87" s="90"/>
      <c r="C87" s="326" t="s">
        <v>368</v>
      </c>
      <c r="D87" s="1191" t="s">
        <v>1024</v>
      </c>
      <c r="E87" s="1253"/>
      <c r="F87" s="1253"/>
      <c r="G87" s="1253"/>
      <c r="H87" s="1253"/>
      <c r="I87" s="1253"/>
      <c r="J87" s="1179" t="s">
        <v>1170</v>
      </c>
      <c r="K87" s="1179"/>
      <c r="L87" s="1179"/>
      <c r="N87" s="136"/>
      <c r="O87" s="136"/>
      <c r="P87" s="136"/>
      <c r="Q87" s="136"/>
      <c r="R87" s="136"/>
      <c r="S87" s="136"/>
      <c r="T87" s="136"/>
      <c r="U87" s="136"/>
    </row>
    <row r="88" spans="1:21" ht="26.25" customHeight="1">
      <c r="A88" s="175"/>
      <c r="B88" s="90"/>
      <c r="D88" s="1191" t="s">
        <v>1025</v>
      </c>
      <c r="E88" s="1253"/>
      <c r="F88" s="1253"/>
      <c r="G88" s="1253"/>
      <c r="H88" s="1253"/>
      <c r="I88" s="1253"/>
      <c r="J88" s="1150" t="s">
        <v>666</v>
      </c>
      <c r="K88" s="1150"/>
      <c r="L88" s="1150"/>
      <c r="N88" s="136"/>
      <c r="O88" s="136"/>
      <c r="P88" s="136"/>
      <c r="Q88" s="136"/>
      <c r="R88" s="136"/>
      <c r="S88" s="136"/>
      <c r="T88" s="136"/>
      <c r="U88" s="136"/>
    </row>
    <row r="89" spans="1:21" ht="17.25" customHeight="1">
      <c r="A89" s="175"/>
      <c r="B89" s="90"/>
      <c r="D89" s="1197" t="s">
        <v>333</v>
      </c>
      <c r="E89" s="1197"/>
      <c r="F89" s="1197"/>
      <c r="G89" s="1197"/>
      <c r="H89" s="1197"/>
      <c r="I89" s="1197"/>
      <c r="J89" s="1191" t="s">
        <v>995</v>
      </c>
      <c r="K89" s="1191"/>
      <c r="L89" s="1191"/>
      <c r="N89" s="136"/>
      <c r="O89" s="136"/>
      <c r="P89" s="136"/>
      <c r="Q89" s="136"/>
      <c r="R89" s="136"/>
      <c r="S89" s="136"/>
      <c r="T89" s="136"/>
      <c r="U89" s="136"/>
    </row>
    <row r="90" spans="1:21" ht="16.5" customHeight="1">
      <c r="A90" s="175"/>
      <c r="B90" s="395" t="s">
        <v>716</v>
      </c>
      <c r="C90" s="395" t="s">
        <v>723</v>
      </c>
      <c r="D90" s="395" t="s">
        <v>722</v>
      </c>
      <c r="E90" s="395" t="s">
        <v>334</v>
      </c>
      <c r="F90" s="395" t="s">
        <v>721</v>
      </c>
      <c r="G90" s="395" t="s">
        <v>720</v>
      </c>
      <c r="K90" s="90"/>
      <c r="N90" s="136"/>
      <c r="O90" s="136"/>
      <c r="P90" s="136"/>
      <c r="Q90" s="136"/>
      <c r="R90" s="136"/>
      <c r="S90" s="136"/>
      <c r="T90" s="136"/>
      <c r="U90" s="136"/>
    </row>
    <row r="91" spans="1:21" s="45" customFormat="1">
      <c r="B91" s="125" t="s">
        <v>112</v>
      </c>
      <c r="C91" s="127" t="s">
        <v>198</v>
      </c>
      <c r="D91" s="127" t="s">
        <v>134</v>
      </c>
      <c r="E91" s="155" t="s">
        <v>335</v>
      </c>
      <c r="F91" s="125" t="s">
        <v>109</v>
      </c>
      <c r="G91" s="156" t="s">
        <v>268</v>
      </c>
      <c r="I91" s="188"/>
      <c r="J91" s="188"/>
    </row>
    <row r="92" spans="1:21">
      <c r="A92" s="91"/>
      <c r="B92" s="396" t="s">
        <v>108</v>
      </c>
      <c r="C92" s="127" t="s">
        <v>135</v>
      </c>
      <c r="D92" s="160" t="s">
        <v>131</v>
      </c>
      <c r="E92" s="150"/>
      <c r="F92" s="155" t="s">
        <v>309</v>
      </c>
      <c r="G92" s="156" t="s">
        <v>306</v>
      </c>
      <c r="I92" s="188"/>
      <c r="J92" s="188"/>
    </row>
    <row r="93" spans="1:21">
      <c r="A93" s="45"/>
      <c r="B93" s="396" t="s">
        <v>694</v>
      </c>
      <c r="C93" s="127" t="s">
        <v>132</v>
      </c>
      <c r="D93" s="127" t="s">
        <v>128</v>
      </c>
      <c r="F93" s="125" t="s">
        <v>310</v>
      </c>
      <c r="I93" s="188"/>
      <c r="J93" s="188"/>
    </row>
    <row r="94" spans="1:21">
      <c r="A94" s="45"/>
      <c r="C94" s="127" t="s">
        <v>129</v>
      </c>
      <c r="D94" s="127" t="s">
        <v>197</v>
      </c>
      <c r="F94" s="499" t="s">
        <v>776</v>
      </c>
      <c r="I94" s="188"/>
      <c r="J94" s="188"/>
    </row>
    <row r="95" spans="1:21">
      <c r="A95" s="91"/>
      <c r="C95" s="127" t="s">
        <v>196</v>
      </c>
      <c r="F95" s="125" t="s">
        <v>312</v>
      </c>
      <c r="I95" s="188"/>
      <c r="J95" s="188"/>
    </row>
    <row r="96" spans="1:21">
      <c r="A96" s="91"/>
      <c r="F96" s="125" t="s">
        <v>313</v>
      </c>
      <c r="I96" s="188"/>
      <c r="J96" s="188"/>
    </row>
    <row r="97" spans="1:19">
      <c r="A97" s="91"/>
      <c r="D97" s="484" t="s">
        <v>903</v>
      </c>
      <c r="I97" s="188"/>
      <c r="J97" s="188"/>
    </row>
    <row r="98" spans="1:19">
      <c r="A98" s="91"/>
      <c r="D98" s="127" t="s">
        <v>103</v>
      </c>
    </row>
    <row r="99" spans="1:19">
      <c r="A99" s="91"/>
    </row>
    <row r="100" spans="1:19">
      <c r="A100" s="91"/>
    </row>
    <row r="101" spans="1:19">
      <c r="A101" s="91"/>
    </row>
    <row r="102" spans="1:19">
      <c r="A102" s="91"/>
    </row>
    <row r="103" spans="1:19">
      <c r="A103" s="91"/>
    </row>
    <row r="104" spans="1:19">
      <c r="A104" s="1213" t="s">
        <v>704</v>
      </c>
      <c r="B104" s="1214"/>
      <c r="C104" s="1214"/>
      <c r="D104" s="1214"/>
      <c r="E104" s="1214"/>
      <c r="F104" s="1214"/>
      <c r="G104" s="1214"/>
      <c r="H104" s="1214"/>
      <c r="I104" s="1214"/>
      <c r="J104" s="1214"/>
      <c r="K104" s="191"/>
      <c r="L104" s="191"/>
    </row>
    <row r="105" spans="1:19" ht="16.2">
      <c r="A105" s="397" t="s">
        <v>37</v>
      </c>
      <c r="B105" s="184" t="s">
        <v>7</v>
      </c>
      <c r="C105" s="1162" t="s">
        <v>724</v>
      </c>
      <c r="D105" s="1162"/>
      <c r="E105" s="1162"/>
      <c r="F105" s="1162"/>
      <c r="G105" s="1162"/>
      <c r="H105" s="1162"/>
      <c r="I105" s="1162"/>
      <c r="J105" s="1162"/>
      <c r="K105" s="282"/>
      <c r="L105" s="282"/>
      <c r="N105" s="136"/>
      <c r="O105" s="136"/>
      <c r="P105" s="136"/>
      <c r="Q105" s="136"/>
      <c r="R105" s="136"/>
      <c r="S105" s="136"/>
    </row>
    <row r="106" spans="1:19" ht="18.75" customHeight="1">
      <c r="A106" s="394" t="s">
        <v>38</v>
      </c>
      <c r="B106" s="394" t="s">
        <v>39</v>
      </c>
      <c r="C106" s="394" t="s">
        <v>40</v>
      </c>
      <c r="D106" s="1177" t="s">
        <v>41</v>
      </c>
      <c r="E106" s="1177"/>
      <c r="F106" s="1177"/>
      <c r="G106" s="1177"/>
      <c r="H106" s="1177"/>
      <c r="I106" s="1177" t="s">
        <v>46</v>
      </c>
      <c r="J106" s="1177"/>
      <c r="K106" s="219"/>
      <c r="L106" s="219"/>
      <c r="N106" s="136"/>
      <c r="O106" s="136"/>
      <c r="P106" s="136"/>
      <c r="Q106" s="136"/>
      <c r="R106" s="136"/>
      <c r="S106" s="136"/>
    </row>
    <row r="107" spans="1:19" ht="32.25" customHeight="1">
      <c r="A107" s="505" t="s">
        <v>78</v>
      </c>
      <c r="B107" s="507" t="s">
        <v>97</v>
      </c>
      <c r="C107" s="507" t="s">
        <v>701</v>
      </c>
      <c r="D107" s="1183" t="s">
        <v>707</v>
      </c>
      <c r="E107" s="1183"/>
      <c r="F107" s="1183"/>
      <c r="G107" s="1183"/>
      <c r="H107" s="1183"/>
      <c r="I107" s="1183" t="s">
        <v>444</v>
      </c>
      <c r="J107" s="1183"/>
      <c r="K107" s="414"/>
      <c r="L107" s="414"/>
      <c r="N107" s="136"/>
      <c r="O107" s="136"/>
      <c r="P107" s="136"/>
      <c r="Q107" s="136"/>
      <c r="R107" s="136"/>
      <c r="S107" s="136"/>
    </row>
    <row r="108" spans="1:19" ht="32.25" customHeight="1">
      <c r="A108" s="625"/>
      <c r="B108" s="626"/>
      <c r="C108" s="627" t="s">
        <v>95</v>
      </c>
      <c r="D108" s="1184" t="s">
        <v>95</v>
      </c>
      <c r="E108" s="1184"/>
      <c r="F108" s="1184"/>
      <c r="G108" s="1184"/>
      <c r="H108" s="1184"/>
      <c r="I108" s="1184" t="s">
        <v>95</v>
      </c>
      <c r="J108" s="1184"/>
      <c r="K108" s="192"/>
      <c r="L108" s="192"/>
      <c r="N108" s="136"/>
      <c r="O108" s="136"/>
      <c r="P108" s="136"/>
      <c r="Q108" s="136"/>
      <c r="R108" s="136"/>
      <c r="S108" s="136"/>
    </row>
    <row r="109" spans="1:19" ht="15" customHeight="1">
      <c r="A109" s="1241"/>
      <c r="B109" s="1242"/>
      <c r="C109" s="1242"/>
      <c r="D109" s="1242"/>
      <c r="E109" s="1242"/>
      <c r="F109" s="1242"/>
      <c r="G109" s="1243"/>
      <c r="H109" s="530" t="s">
        <v>81</v>
      </c>
      <c r="I109" s="577" t="s">
        <v>79</v>
      </c>
      <c r="J109" s="525" t="s">
        <v>80</v>
      </c>
      <c r="K109" s="45"/>
      <c r="L109" s="45"/>
      <c r="N109" s="136"/>
      <c r="O109" s="136"/>
      <c r="P109" s="136"/>
      <c r="Q109" s="136"/>
      <c r="R109" s="136"/>
      <c r="S109" s="136"/>
    </row>
    <row r="110" spans="1:19">
      <c r="A110" s="572" t="s">
        <v>47</v>
      </c>
      <c r="B110" s="572" t="s">
        <v>48</v>
      </c>
      <c r="C110" s="572" t="s">
        <v>49</v>
      </c>
      <c r="D110" s="572" t="s">
        <v>137</v>
      </c>
      <c r="E110" s="534" t="s">
        <v>176</v>
      </c>
      <c r="F110" s="572" t="s">
        <v>209</v>
      </c>
      <c r="G110" s="572" t="s">
        <v>262</v>
      </c>
      <c r="H110" s="1190" t="s">
        <v>263</v>
      </c>
      <c r="I110" s="1190"/>
      <c r="J110" s="534" t="s">
        <v>264</v>
      </c>
      <c r="K110" s="403"/>
      <c r="L110" s="401"/>
    </row>
    <row r="111" spans="1:19" ht="36" customHeight="1">
      <c r="A111" s="509" t="s">
        <v>78</v>
      </c>
      <c r="B111" s="555" t="s">
        <v>434</v>
      </c>
      <c r="C111" s="555" t="s">
        <v>275</v>
      </c>
      <c r="D111" s="555" t="s">
        <v>336</v>
      </c>
      <c r="E111" s="667" t="s">
        <v>1036</v>
      </c>
      <c r="F111" s="555" t="s">
        <v>305</v>
      </c>
      <c r="G111" s="667" t="s">
        <v>1033</v>
      </c>
      <c r="H111" s="1180" t="s">
        <v>323</v>
      </c>
      <c r="I111" s="1180"/>
      <c r="J111" s="667" t="s">
        <v>1030</v>
      </c>
      <c r="K111" s="137"/>
      <c r="L111" s="45"/>
    </row>
    <row r="112" spans="1:19">
      <c r="A112" s="1120" t="s">
        <v>710</v>
      </c>
      <c r="B112" s="1159" t="s">
        <v>95</v>
      </c>
      <c r="C112" s="528" t="s">
        <v>95</v>
      </c>
      <c r="D112" s="528" t="s">
        <v>95</v>
      </c>
      <c r="E112" s="528" t="s">
        <v>95</v>
      </c>
      <c r="F112" s="1159" t="s">
        <v>95</v>
      </c>
      <c r="G112" s="1159" t="s">
        <v>113</v>
      </c>
      <c r="H112" s="183" t="s">
        <v>321</v>
      </c>
      <c r="I112" s="528" t="s">
        <v>113</v>
      </c>
      <c r="J112" s="1194"/>
    </row>
    <row r="113" spans="1:21">
      <c r="A113" s="1120"/>
      <c r="B113" s="1159"/>
      <c r="C113" s="581"/>
      <c r="D113" s="581"/>
      <c r="E113" s="581"/>
      <c r="F113" s="1159"/>
      <c r="G113" s="1159"/>
      <c r="H113" s="183" t="s">
        <v>734</v>
      </c>
      <c r="I113" s="583"/>
      <c r="J113" s="1244"/>
    </row>
    <row r="114" spans="1:21" ht="30.75" customHeight="1">
      <c r="A114" s="1140" t="s">
        <v>843</v>
      </c>
      <c r="B114" s="1140"/>
      <c r="C114" s="1140"/>
      <c r="D114" s="1140"/>
      <c r="E114" s="1140"/>
      <c r="F114" s="1140"/>
      <c r="G114" s="1140"/>
      <c r="H114" s="1140"/>
      <c r="I114" s="72"/>
      <c r="J114" s="72"/>
      <c r="K114" s="72"/>
      <c r="N114" s="136"/>
      <c r="O114" s="136"/>
      <c r="P114" s="136"/>
      <c r="Q114" s="136"/>
      <c r="R114" s="136"/>
      <c r="S114" s="136"/>
      <c r="T114" s="136"/>
      <c r="U114" s="136"/>
    </row>
    <row r="115" spans="1:21" ht="30.75" customHeight="1">
      <c r="A115" s="1174" t="s">
        <v>1066</v>
      </c>
      <c r="B115" s="1174"/>
      <c r="C115" s="1174"/>
      <c r="D115" s="1174"/>
      <c r="E115" s="1174"/>
      <c r="F115" s="1174"/>
      <c r="G115" s="1174"/>
      <c r="H115" s="1174"/>
      <c r="I115" s="72"/>
      <c r="J115" s="72"/>
      <c r="K115" s="72"/>
      <c r="N115" s="136"/>
      <c r="O115" s="136"/>
      <c r="P115" s="136"/>
      <c r="Q115" s="136"/>
      <c r="R115" s="136"/>
      <c r="S115" s="136"/>
      <c r="T115" s="136"/>
      <c r="U115" s="136"/>
    </row>
    <row r="116" spans="1:21" ht="30.75" customHeight="1">
      <c r="A116" s="1158" t="s">
        <v>1037</v>
      </c>
      <c r="B116" s="1158"/>
      <c r="C116" s="1158"/>
      <c r="D116" s="1158"/>
      <c r="E116" s="1158"/>
      <c r="F116" s="665"/>
      <c r="G116" s="665"/>
      <c r="H116" s="665"/>
      <c r="I116" s="72"/>
      <c r="J116" s="72"/>
      <c r="K116" s="72"/>
      <c r="N116" s="136"/>
      <c r="O116" s="136"/>
      <c r="P116" s="136"/>
      <c r="Q116" s="136"/>
      <c r="R116" s="136"/>
      <c r="S116" s="136"/>
      <c r="T116" s="136"/>
      <c r="U116" s="136"/>
    </row>
    <row r="117" spans="1:21" ht="16.5" customHeight="1">
      <c r="A117" s="1158" t="s">
        <v>1038</v>
      </c>
      <c r="B117" s="1158"/>
      <c r="K117" s="90"/>
      <c r="N117" s="136"/>
      <c r="O117" s="136"/>
      <c r="P117" s="136"/>
      <c r="Q117" s="136"/>
      <c r="R117" s="136"/>
      <c r="S117" s="136"/>
      <c r="T117" s="136"/>
      <c r="U117" s="136"/>
    </row>
    <row r="118" spans="1:21" ht="16.5" customHeight="1">
      <c r="A118" s="175"/>
      <c r="B118" s="90"/>
      <c r="C118" s="243" t="s">
        <v>711</v>
      </c>
      <c r="D118" s="1164" t="s">
        <v>332</v>
      </c>
      <c r="E118" s="1164"/>
      <c r="F118" s="1164"/>
      <c r="G118" s="1164"/>
      <c r="H118" s="1164"/>
      <c r="I118" s="1175" t="s">
        <v>713</v>
      </c>
      <c r="J118" s="1175"/>
      <c r="K118" s="101"/>
      <c r="L118" s="194"/>
      <c r="N118" s="136"/>
      <c r="O118" s="136"/>
      <c r="P118" s="136"/>
      <c r="Q118" s="136"/>
      <c r="R118" s="136"/>
      <c r="S118" s="136"/>
      <c r="T118" s="136"/>
      <c r="U118" s="136"/>
    </row>
    <row r="119" spans="1:21" ht="16.5" customHeight="1">
      <c r="A119" s="175"/>
      <c r="B119" s="90"/>
      <c r="C119" s="326" t="s">
        <v>367</v>
      </c>
      <c r="D119" s="1165" t="s">
        <v>1023</v>
      </c>
      <c r="E119" s="1166"/>
      <c r="F119" s="1166"/>
      <c r="G119" s="1166"/>
      <c r="H119" s="1167"/>
      <c r="I119" s="1176" t="s">
        <v>667</v>
      </c>
      <c r="J119" s="1176"/>
      <c r="K119" s="101"/>
      <c r="L119" s="194"/>
      <c r="N119" s="136"/>
      <c r="O119" s="136"/>
      <c r="P119" s="136"/>
      <c r="Q119" s="136"/>
      <c r="R119" s="136"/>
      <c r="S119" s="136"/>
      <c r="T119" s="136"/>
      <c r="U119" s="136"/>
    </row>
    <row r="120" spans="1:21" ht="27" customHeight="1">
      <c r="A120" s="175"/>
      <c r="B120" s="90"/>
      <c r="C120" s="326" t="s">
        <v>368</v>
      </c>
      <c r="D120" s="1168" t="s">
        <v>1035</v>
      </c>
      <c r="E120" s="1169"/>
      <c r="F120" s="1169"/>
      <c r="G120" s="1169"/>
      <c r="H120" s="1170"/>
      <c r="I120" s="1179" t="s">
        <v>1171</v>
      </c>
      <c r="J120" s="1179"/>
      <c r="K120" s="416"/>
      <c r="L120" s="195"/>
      <c r="N120" s="136"/>
      <c r="O120" s="136"/>
      <c r="P120" s="136"/>
      <c r="Q120" s="136"/>
      <c r="R120" s="136"/>
      <c r="S120" s="136"/>
      <c r="T120" s="136"/>
      <c r="U120" s="136"/>
    </row>
    <row r="121" spans="1:21" ht="26.25" customHeight="1">
      <c r="A121" s="175"/>
      <c r="B121" s="90"/>
      <c r="D121" s="1168" t="s">
        <v>1025</v>
      </c>
      <c r="E121" s="1169"/>
      <c r="F121" s="1169"/>
      <c r="G121" s="1169"/>
      <c r="H121" s="1170"/>
      <c r="I121" s="1150" t="s">
        <v>666</v>
      </c>
      <c r="J121" s="1150"/>
      <c r="K121" s="416"/>
      <c r="L121" s="195"/>
      <c r="N121" s="136"/>
      <c r="O121" s="136"/>
      <c r="P121" s="136"/>
      <c r="Q121" s="136"/>
      <c r="R121" s="136"/>
      <c r="S121" s="136"/>
      <c r="T121" s="136"/>
      <c r="U121" s="136"/>
    </row>
    <row r="122" spans="1:21" ht="17.25" customHeight="1">
      <c r="A122" s="175"/>
      <c r="B122" s="90"/>
      <c r="D122" s="1197" t="s">
        <v>333</v>
      </c>
      <c r="E122" s="1197"/>
      <c r="F122" s="1197"/>
      <c r="G122" s="1197"/>
      <c r="H122" s="1197"/>
      <c r="I122" s="1191" t="s">
        <v>995</v>
      </c>
      <c r="J122" s="1191"/>
      <c r="K122" s="195"/>
      <c r="L122" s="195"/>
      <c r="N122" s="136"/>
      <c r="O122" s="136"/>
      <c r="P122" s="136"/>
      <c r="Q122" s="136"/>
      <c r="R122" s="136"/>
      <c r="S122" s="136"/>
      <c r="T122" s="136"/>
      <c r="U122" s="136"/>
    </row>
    <row r="123" spans="1:21" ht="16.5" customHeight="1">
      <c r="A123" s="175"/>
      <c r="B123" s="90"/>
      <c r="I123" s="45"/>
      <c r="J123" s="45"/>
      <c r="K123" s="403"/>
      <c r="L123" s="45"/>
      <c r="N123" s="136"/>
      <c r="O123" s="136"/>
      <c r="P123" s="136"/>
      <c r="Q123" s="136"/>
      <c r="R123" s="136"/>
      <c r="S123" s="136"/>
      <c r="T123" s="136"/>
      <c r="U123" s="136"/>
    </row>
    <row r="124" spans="1:21">
      <c r="A124" s="93"/>
      <c r="B124" s="395" t="s">
        <v>716</v>
      </c>
      <c r="C124" s="395" t="s">
        <v>275</v>
      </c>
      <c r="D124" s="395" t="s">
        <v>725</v>
      </c>
      <c r="E124" s="395" t="s">
        <v>726</v>
      </c>
      <c r="F124" s="395" t="s">
        <v>720</v>
      </c>
      <c r="G124" s="161"/>
      <c r="I124" s="92"/>
      <c r="J124" s="45"/>
    </row>
    <row r="125" spans="1:21">
      <c r="A125" s="93"/>
      <c r="B125" s="402" t="s">
        <v>112</v>
      </c>
      <c r="C125" s="160" t="s">
        <v>111</v>
      </c>
      <c r="D125" s="160" t="s">
        <v>109</v>
      </c>
      <c r="E125" s="155" t="s">
        <v>109</v>
      </c>
      <c r="F125" s="396" t="s">
        <v>268</v>
      </c>
      <c r="G125" s="150"/>
      <c r="I125" s="1217"/>
      <c r="J125" s="1217"/>
    </row>
    <row r="126" spans="1:21">
      <c r="B126" s="396" t="s">
        <v>108</v>
      </c>
      <c r="C126" s="160" t="s">
        <v>107</v>
      </c>
      <c r="D126" s="157" t="s">
        <v>182</v>
      </c>
      <c r="E126" s="155" t="s">
        <v>310</v>
      </c>
      <c r="F126" s="396" t="s">
        <v>306</v>
      </c>
      <c r="G126" s="150"/>
      <c r="I126" s="1217"/>
      <c r="J126" s="1217"/>
    </row>
    <row r="127" spans="1:21">
      <c r="B127" s="396" t="s">
        <v>694</v>
      </c>
      <c r="C127" s="158"/>
      <c r="D127" s="157" t="s">
        <v>172</v>
      </c>
      <c r="E127" s="155" t="s">
        <v>311</v>
      </c>
      <c r="G127" s="150"/>
      <c r="I127" s="1217"/>
      <c r="J127" s="1217"/>
    </row>
    <row r="128" spans="1:21">
      <c r="C128" s="159"/>
      <c r="D128" s="157" t="s">
        <v>168</v>
      </c>
      <c r="E128" s="155" t="s">
        <v>313</v>
      </c>
      <c r="G128" s="150"/>
      <c r="I128" s="1217"/>
      <c r="J128" s="1217"/>
    </row>
    <row r="129" spans="1:19">
      <c r="C129" s="92"/>
      <c r="D129" s="92"/>
      <c r="E129" s="155" t="s">
        <v>314</v>
      </c>
      <c r="G129" s="150"/>
      <c r="I129" s="1217"/>
      <c r="J129" s="1217"/>
    </row>
    <row r="130" spans="1:19">
      <c r="C130" s="92"/>
      <c r="D130" s="92"/>
      <c r="E130" s="155" t="s">
        <v>337</v>
      </c>
      <c r="G130" s="150"/>
      <c r="I130" s="1217"/>
      <c r="J130" s="1217"/>
    </row>
    <row r="131" spans="1:19">
      <c r="C131" s="92"/>
      <c r="D131" s="92"/>
      <c r="E131" s="155" t="s">
        <v>338</v>
      </c>
      <c r="G131" s="150"/>
      <c r="I131" s="1217"/>
      <c r="J131" s="1217"/>
    </row>
    <row r="132" spans="1:19">
      <c r="C132" s="92"/>
      <c r="D132" s="92"/>
      <c r="E132" s="155" t="s">
        <v>339</v>
      </c>
      <c r="G132" s="150"/>
    </row>
    <row r="133" spans="1:19">
      <c r="C133" s="92"/>
      <c r="D133" s="92"/>
      <c r="E133" s="155" t="s">
        <v>340</v>
      </c>
      <c r="G133" s="150"/>
    </row>
    <row r="134" spans="1:19">
      <c r="D134" s="92"/>
      <c r="E134" s="155" t="s">
        <v>341</v>
      </c>
      <c r="G134" s="150"/>
    </row>
    <row r="135" spans="1:19">
      <c r="A135" s="1163" t="s">
        <v>705</v>
      </c>
      <c r="B135" s="1163"/>
      <c r="C135" s="1163"/>
      <c r="D135" s="1163"/>
      <c r="E135" s="1163"/>
      <c r="F135" s="1163"/>
      <c r="G135" s="1163"/>
      <c r="H135" s="1163"/>
      <c r="I135" s="191"/>
      <c r="J135" s="191"/>
      <c r="K135" s="191"/>
      <c r="L135" s="191"/>
    </row>
    <row r="136" spans="1:19" ht="16.2">
      <c r="A136" s="397" t="s">
        <v>37</v>
      </c>
      <c r="B136" s="184" t="s">
        <v>7</v>
      </c>
      <c r="C136" s="1171" t="s">
        <v>727</v>
      </c>
      <c r="D136" s="1172"/>
      <c r="E136" s="1172"/>
      <c r="F136" s="1172"/>
      <c r="G136" s="1172"/>
      <c r="H136" s="1173"/>
      <c r="I136" s="282"/>
      <c r="J136" s="282"/>
      <c r="K136" s="282"/>
      <c r="L136" s="282"/>
      <c r="N136" s="136"/>
      <c r="O136" s="136"/>
      <c r="P136" s="136"/>
      <c r="Q136" s="136"/>
      <c r="R136" s="136"/>
      <c r="S136" s="136"/>
    </row>
    <row r="137" spans="1:19" ht="18.75" customHeight="1">
      <c r="A137" s="394" t="s">
        <v>38</v>
      </c>
      <c r="B137" s="394" t="s">
        <v>39</v>
      </c>
      <c r="C137" s="394" t="s">
        <v>40</v>
      </c>
      <c r="D137" s="1177" t="s">
        <v>41</v>
      </c>
      <c r="E137" s="1177"/>
      <c r="F137" s="1177"/>
      <c r="G137" s="1177"/>
      <c r="H137" s="394" t="s">
        <v>46</v>
      </c>
      <c r="I137" s="45"/>
      <c r="J137" s="219"/>
      <c r="K137" s="219"/>
      <c r="L137" s="219"/>
      <c r="N137" s="136"/>
      <c r="O137" s="136"/>
      <c r="P137" s="136"/>
      <c r="Q137" s="136"/>
      <c r="R137" s="136"/>
      <c r="S137" s="136"/>
    </row>
    <row r="138" spans="1:19" ht="32.25" customHeight="1">
      <c r="A138" s="505" t="s">
        <v>78</v>
      </c>
      <c r="B138" s="507" t="s">
        <v>97</v>
      </c>
      <c r="C138" s="507" t="s">
        <v>701</v>
      </c>
      <c r="D138" s="1183" t="s">
        <v>707</v>
      </c>
      <c r="E138" s="1183"/>
      <c r="F138" s="1183"/>
      <c r="G138" s="1183"/>
      <c r="H138" s="507" t="s">
        <v>444</v>
      </c>
      <c r="I138" s="45"/>
      <c r="J138" s="414"/>
      <c r="K138" s="414"/>
      <c r="L138" s="414"/>
      <c r="N138" s="136"/>
      <c r="O138" s="136"/>
      <c r="P138" s="136"/>
      <c r="Q138" s="136"/>
      <c r="R138" s="136"/>
      <c r="S138" s="136"/>
    </row>
    <row r="139" spans="1:19" ht="32.25" customHeight="1">
      <c r="A139" s="625"/>
      <c r="B139" s="626"/>
      <c r="C139" s="627" t="s">
        <v>95</v>
      </c>
      <c r="D139" s="1184" t="s">
        <v>95</v>
      </c>
      <c r="E139" s="1184"/>
      <c r="F139" s="1184"/>
      <c r="G139" s="1184"/>
      <c r="H139" s="627" t="s">
        <v>95</v>
      </c>
      <c r="I139" s="45"/>
      <c r="J139" s="192"/>
      <c r="K139" s="192"/>
      <c r="L139" s="192"/>
      <c r="N139" s="136"/>
      <c r="O139" s="136"/>
      <c r="P139" s="136"/>
      <c r="Q139" s="136"/>
      <c r="R139" s="136"/>
      <c r="S139" s="136"/>
    </row>
    <row r="140" spans="1:19" ht="15" customHeight="1">
      <c r="A140" s="1263"/>
      <c r="B140" s="1263"/>
      <c r="C140" s="1263"/>
      <c r="D140" s="1263"/>
      <c r="E140" s="1263"/>
      <c r="F140" s="530" t="s">
        <v>81</v>
      </c>
      <c r="G140" s="577" t="s">
        <v>79</v>
      </c>
      <c r="H140" s="578" t="s">
        <v>80</v>
      </c>
      <c r="I140" s="45"/>
      <c r="J140" s="45"/>
      <c r="K140" s="45"/>
      <c r="L140" s="45"/>
      <c r="N140" s="136"/>
      <c r="O140" s="136"/>
      <c r="P140" s="136"/>
      <c r="Q140" s="136"/>
      <c r="R140" s="136"/>
      <c r="S140" s="136"/>
    </row>
    <row r="141" spans="1:19">
      <c r="A141" s="572" t="s">
        <v>47</v>
      </c>
      <c r="B141" s="572" t="s">
        <v>48</v>
      </c>
      <c r="C141" s="572" t="s">
        <v>49</v>
      </c>
      <c r="D141" s="572" t="s">
        <v>137</v>
      </c>
      <c r="E141" s="534" t="s">
        <v>176</v>
      </c>
      <c r="F141" s="1190" t="s">
        <v>209</v>
      </c>
      <c r="G141" s="1190"/>
      <c r="H141" s="572" t="s">
        <v>262</v>
      </c>
      <c r="J141" s="132"/>
      <c r="K141" s="93"/>
      <c r="L141" s="213"/>
    </row>
    <row r="142" spans="1:19" ht="27.6">
      <c r="A142" s="505" t="s">
        <v>78</v>
      </c>
      <c r="B142" s="555" t="s">
        <v>434</v>
      </c>
      <c r="C142" s="555" t="s">
        <v>276</v>
      </c>
      <c r="D142" s="555" t="s">
        <v>305</v>
      </c>
      <c r="E142" s="555" t="s">
        <v>481</v>
      </c>
      <c r="F142" s="1180" t="s">
        <v>323</v>
      </c>
      <c r="G142" s="1180"/>
      <c r="H142" s="555" t="s">
        <v>983</v>
      </c>
    </row>
    <row r="143" spans="1:19">
      <c r="A143" s="1120" t="s">
        <v>710</v>
      </c>
      <c r="B143" s="1159" t="s">
        <v>95</v>
      </c>
      <c r="C143" s="528" t="s">
        <v>95</v>
      </c>
      <c r="D143" s="1161" t="s">
        <v>268</v>
      </c>
      <c r="E143" s="1159" t="s">
        <v>113</v>
      </c>
      <c r="F143" s="183" t="s">
        <v>321</v>
      </c>
      <c r="G143" s="528" t="s">
        <v>113</v>
      </c>
      <c r="H143" s="1194"/>
    </row>
    <row r="144" spans="1:19">
      <c r="A144" s="1120"/>
      <c r="B144" s="1159"/>
      <c r="C144" s="581"/>
      <c r="D144" s="1161"/>
      <c r="E144" s="1159"/>
      <c r="F144" s="183" t="s">
        <v>734</v>
      </c>
      <c r="G144" s="583"/>
      <c r="H144" s="1244"/>
    </row>
    <row r="145" spans="1:21" ht="30.75" customHeight="1">
      <c r="A145" s="1140" t="s">
        <v>843</v>
      </c>
      <c r="B145" s="1140"/>
      <c r="C145" s="1140"/>
      <c r="D145" s="1140"/>
      <c r="E145" s="1140"/>
      <c r="F145" s="1140"/>
      <c r="G145" s="72"/>
      <c r="H145" s="72"/>
      <c r="I145" s="72"/>
      <c r="N145" s="136"/>
      <c r="O145" s="136"/>
      <c r="P145" s="136"/>
      <c r="Q145" s="136"/>
      <c r="R145" s="136"/>
      <c r="S145" s="136"/>
      <c r="T145" s="136"/>
      <c r="U145" s="136"/>
    </row>
    <row r="146" spans="1:21" ht="30.75" customHeight="1">
      <c r="A146" s="1151" t="s">
        <v>845</v>
      </c>
      <c r="B146" s="1151"/>
      <c r="C146" s="398"/>
      <c r="D146" s="398"/>
      <c r="E146" s="398"/>
      <c r="F146" s="398"/>
      <c r="G146" s="292"/>
      <c r="H146" s="292"/>
      <c r="I146" s="72"/>
      <c r="J146" s="72"/>
      <c r="K146" s="72"/>
      <c r="N146" s="136"/>
      <c r="O146" s="136"/>
      <c r="P146" s="136"/>
      <c r="Q146" s="136"/>
      <c r="R146" s="136"/>
      <c r="S146" s="136"/>
      <c r="T146" s="136"/>
      <c r="U146" s="136"/>
    </row>
    <row r="147" spans="1:21" ht="16.5" customHeight="1">
      <c r="B147" s="90"/>
      <c r="K147" s="90"/>
      <c r="N147" s="136"/>
      <c r="O147" s="136"/>
      <c r="P147" s="136"/>
      <c r="Q147" s="136"/>
      <c r="R147" s="136"/>
      <c r="S147" s="136"/>
      <c r="T147" s="136"/>
      <c r="U147" s="136"/>
    </row>
    <row r="148" spans="1:21" ht="16.5" customHeight="1">
      <c r="A148" s="175"/>
      <c r="B148" s="90"/>
      <c r="C148" s="243" t="s">
        <v>711</v>
      </c>
      <c r="D148" s="1164" t="s">
        <v>332</v>
      </c>
      <c r="E148" s="1164"/>
      <c r="F148" s="1164"/>
      <c r="G148" s="1164"/>
      <c r="H148" s="1138" t="s">
        <v>713</v>
      </c>
      <c r="I148" s="1175"/>
      <c r="J148" s="194"/>
      <c r="K148" s="194"/>
      <c r="L148" s="194"/>
      <c r="N148" s="136"/>
      <c r="O148" s="136"/>
      <c r="P148" s="136"/>
      <c r="Q148" s="136"/>
      <c r="R148" s="136"/>
      <c r="S148" s="136"/>
      <c r="T148" s="136"/>
      <c r="U148" s="136"/>
    </row>
    <row r="149" spans="1:21" ht="16.5" customHeight="1">
      <c r="A149" s="175"/>
      <c r="B149" s="90"/>
      <c r="C149" s="326" t="s">
        <v>367</v>
      </c>
      <c r="D149" s="1165" t="s">
        <v>1023</v>
      </c>
      <c r="E149" s="1166"/>
      <c r="F149" s="1166"/>
      <c r="G149" s="1167"/>
      <c r="H149" s="1114" t="s">
        <v>667</v>
      </c>
      <c r="I149" s="1176"/>
      <c r="J149" s="194"/>
      <c r="K149" s="194"/>
      <c r="L149" s="194"/>
      <c r="N149" s="136"/>
      <c r="O149" s="136"/>
      <c r="P149" s="136"/>
      <c r="Q149" s="136"/>
      <c r="R149" s="136"/>
      <c r="S149" s="136"/>
      <c r="T149" s="136"/>
      <c r="U149" s="136"/>
    </row>
    <row r="150" spans="1:21" ht="27" customHeight="1">
      <c r="A150" s="175"/>
      <c r="B150" s="90"/>
      <c r="C150" s="326" t="s">
        <v>368</v>
      </c>
      <c r="D150" s="1168" t="s">
        <v>1035</v>
      </c>
      <c r="E150" s="1169"/>
      <c r="F150" s="1169"/>
      <c r="G150" s="1170"/>
      <c r="H150" s="1264" t="s">
        <v>1171</v>
      </c>
      <c r="I150" s="1179"/>
      <c r="J150" s="195"/>
      <c r="K150" s="195"/>
      <c r="L150" s="195"/>
      <c r="N150" s="136"/>
      <c r="O150" s="136"/>
      <c r="P150" s="136"/>
      <c r="Q150" s="136"/>
      <c r="R150" s="136"/>
      <c r="S150" s="136"/>
      <c r="T150" s="136"/>
      <c r="U150" s="136"/>
    </row>
    <row r="151" spans="1:21" ht="26.25" customHeight="1">
      <c r="A151" s="175"/>
      <c r="B151" s="90"/>
      <c r="D151" s="1168" t="s">
        <v>1025</v>
      </c>
      <c r="E151" s="1169"/>
      <c r="F151" s="1169"/>
      <c r="G151" s="1170"/>
      <c r="H151" s="1178" t="s">
        <v>666</v>
      </c>
      <c r="I151" s="1150"/>
      <c r="J151" s="195"/>
      <c r="K151" s="195"/>
      <c r="L151" s="195"/>
      <c r="N151" s="136"/>
      <c r="O151" s="136"/>
      <c r="P151" s="136"/>
      <c r="Q151" s="136"/>
      <c r="R151" s="136"/>
      <c r="S151" s="136"/>
      <c r="T151" s="136"/>
      <c r="U151" s="136"/>
    </row>
    <row r="152" spans="1:21" ht="17.25" customHeight="1">
      <c r="A152" s="175"/>
      <c r="B152" s="90"/>
      <c r="D152" s="1197" t="s">
        <v>333</v>
      </c>
      <c r="E152" s="1197"/>
      <c r="F152" s="1197"/>
      <c r="G152" s="1197"/>
      <c r="H152" s="1191" t="s">
        <v>995</v>
      </c>
      <c r="I152" s="1191"/>
      <c r="J152" s="195"/>
      <c r="K152" s="195"/>
      <c r="L152" s="195"/>
      <c r="N152" s="136"/>
      <c r="O152" s="136"/>
      <c r="P152" s="136"/>
      <c r="Q152" s="136"/>
      <c r="R152" s="136"/>
      <c r="S152" s="136"/>
      <c r="T152" s="136"/>
      <c r="U152" s="136"/>
    </row>
    <row r="153" spans="1:21" ht="16.5" customHeight="1">
      <c r="A153" s="93"/>
      <c r="B153" s="395" t="s">
        <v>716</v>
      </c>
      <c r="C153" s="395" t="s">
        <v>722</v>
      </c>
      <c r="D153" s="91"/>
      <c r="E153" s="94"/>
      <c r="F153" s="94"/>
      <c r="G153" s="94"/>
      <c r="H153" s="94"/>
      <c r="I153" s="188"/>
      <c r="J153" s="188"/>
    </row>
    <row r="154" spans="1:21" ht="16.5" customHeight="1">
      <c r="A154" s="93"/>
      <c r="B154" s="125" t="s">
        <v>112</v>
      </c>
      <c r="C154" s="400" t="s">
        <v>182</v>
      </c>
      <c r="D154" s="91"/>
      <c r="F154" s="217"/>
      <c r="G154" s="217"/>
      <c r="H154" s="217"/>
      <c r="I154" s="188"/>
      <c r="J154" s="188"/>
    </row>
    <row r="155" spans="1:21" ht="16.5" customHeight="1">
      <c r="A155" s="93"/>
      <c r="B155" s="125" t="s">
        <v>108</v>
      </c>
      <c r="C155" s="400" t="s">
        <v>181</v>
      </c>
      <c r="D155" s="91"/>
      <c r="F155" s="217"/>
      <c r="G155" s="217"/>
      <c r="H155" s="217"/>
      <c r="I155" s="188"/>
      <c r="J155" s="188"/>
    </row>
    <row r="156" spans="1:21" ht="16.5" customHeight="1">
      <c r="A156" s="93"/>
      <c r="B156" s="396" t="s">
        <v>694</v>
      </c>
      <c r="C156" s="400" t="s">
        <v>180</v>
      </c>
      <c r="D156" s="217"/>
      <c r="F156" s="217"/>
      <c r="G156" s="217"/>
      <c r="H156" s="217"/>
      <c r="I156" s="188"/>
      <c r="J156" s="188"/>
    </row>
    <row r="157" spans="1:21" ht="16.5" customHeight="1">
      <c r="A157" s="93"/>
      <c r="C157" s="214" t="s">
        <v>172</v>
      </c>
      <c r="D157" s="217"/>
      <c r="F157" s="217"/>
      <c r="G157" s="217"/>
      <c r="H157" s="217"/>
      <c r="I157" s="188"/>
      <c r="J157" s="188"/>
    </row>
    <row r="158" spans="1:21" ht="16.5" customHeight="1">
      <c r="A158" s="93"/>
      <c r="C158" s="214" t="s">
        <v>179</v>
      </c>
      <c r="D158" s="217"/>
      <c r="F158" s="217"/>
      <c r="G158" s="217"/>
      <c r="H158" s="217"/>
      <c r="I158" s="188"/>
      <c r="J158" s="188"/>
    </row>
    <row r="159" spans="1:21" ht="16.5" customHeight="1">
      <c r="A159" s="93"/>
      <c r="B159" s="94"/>
      <c r="C159" s="214" t="s">
        <v>168</v>
      </c>
      <c r="D159" s="217"/>
      <c r="F159" s="217"/>
      <c r="G159" s="217"/>
      <c r="H159" s="217"/>
      <c r="I159" s="188"/>
      <c r="J159" s="188"/>
    </row>
    <row r="160" spans="1:21">
      <c r="A160" s="93"/>
      <c r="B160" s="93"/>
      <c r="C160" s="217"/>
      <c r="D160" s="92"/>
      <c r="E160" s="217"/>
      <c r="F160" s="217"/>
      <c r="G160" s="217"/>
      <c r="H160" s="217"/>
      <c r="I160" s="188"/>
      <c r="J160" s="188"/>
    </row>
    <row r="161" spans="1:21">
      <c r="A161" s="1163" t="s">
        <v>706</v>
      </c>
      <c r="B161" s="1163"/>
      <c r="C161" s="1163"/>
      <c r="D161" s="1163"/>
      <c r="E161" s="1163"/>
      <c r="F161" s="1163"/>
      <c r="G161" s="1163"/>
      <c r="H161" s="1163"/>
      <c r="I161" s="1163"/>
      <c r="J161" s="1163"/>
      <c r="K161" s="1163"/>
      <c r="L161" s="191"/>
    </row>
    <row r="162" spans="1:21" ht="16.2">
      <c r="A162" s="397" t="s">
        <v>37</v>
      </c>
      <c r="B162" s="184" t="s">
        <v>7</v>
      </c>
      <c r="C162" s="1162" t="s">
        <v>728</v>
      </c>
      <c r="D162" s="1162"/>
      <c r="E162" s="1162"/>
      <c r="F162" s="1162"/>
      <c r="G162" s="1162"/>
      <c r="H162" s="1162"/>
      <c r="I162" s="1162"/>
      <c r="J162" s="1162"/>
      <c r="K162" s="1162"/>
      <c r="L162" s="282"/>
      <c r="N162" s="136"/>
      <c r="O162" s="136"/>
      <c r="P162" s="136"/>
      <c r="Q162" s="136"/>
      <c r="R162" s="136"/>
      <c r="S162" s="136"/>
    </row>
    <row r="163" spans="1:21" ht="18.75" customHeight="1">
      <c r="A163" s="394" t="s">
        <v>38</v>
      </c>
      <c r="B163" s="394" t="s">
        <v>39</v>
      </c>
      <c r="C163" s="394" t="s">
        <v>40</v>
      </c>
      <c r="D163" s="1177" t="s">
        <v>41</v>
      </c>
      <c r="E163" s="1177"/>
      <c r="F163" s="1177"/>
      <c r="G163" s="1177"/>
      <c r="H163" s="1177"/>
      <c r="I163" s="1177"/>
      <c r="J163" s="1177" t="s">
        <v>46</v>
      </c>
      <c r="K163" s="1177"/>
      <c r="L163" s="219"/>
      <c r="N163" s="136"/>
      <c r="O163" s="136"/>
      <c r="P163" s="136"/>
      <c r="Q163" s="136"/>
      <c r="R163" s="136"/>
      <c r="S163" s="136"/>
    </row>
    <row r="164" spans="1:21" ht="32.25" customHeight="1">
      <c r="A164" s="399" t="s">
        <v>78</v>
      </c>
      <c r="B164" s="507" t="s">
        <v>97</v>
      </c>
      <c r="C164" s="507" t="s">
        <v>701</v>
      </c>
      <c r="D164" s="1183" t="s">
        <v>707</v>
      </c>
      <c r="E164" s="1183"/>
      <c r="F164" s="1183"/>
      <c r="G164" s="1183"/>
      <c r="H164" s="1183"/>
      <c r="I164" s="1183"/>
      <c r="J164" s="1183" t="s">
        <v>444</v>
      </c>
      <c r="K164" s="1183"/>
      <c r="L164" s="414"/>
      <c r="N164" s="136"/>
      <c r="O164" s="136"/>
      <c r="P164" s="136"/>
      <c r="Q164" s="136"/>
      <c r="R164" s="136"/>
      <c r="S164" s="136"/>
    </row>
    <row r="165" spans="1:21" ht="32.25" customHeight="1">
      <c r="A165" s="391"/>
      <c r="B165" s="626"/>
      <c r="C165" s="627" t="s">
        <v>95</v>
      </c>
      <c r="D165" s="1184" t="s">
        <v>95</v>
      </c>
      <c r="E165" s="1184"/>
      <c r="F165" s="1184"/>
      <c r="G165" s="1184"/>
      <c r="H165" s="1184"/>
      <c r="I165" s="1184"/>
      <c r="J165" s="1184" t="s">
        <v>95</v>
      </c>
      <c r="K165" s="1184"/>
      <c r="L165" s="192"/>
      <c r="N165" s="136"/>
      <c r="O165" s="136"/>
      <c r="P165" s="136"/>
      <c r="Q165" s="136"/>
      <c r="R165" s="136"/>
      <c r="S165" s="136"/>
    </row>
    <row r="166" spans="1:21" ht="15" customHeight="1">
      <c r="A166" s="1186"/>
      <c r="B166" s="1186"/>
      <c r="C166" s="1186"/>
      <c r="D166" s="1186"/>
      <c r="E166" s="1186"/>
      <c r="F166" s="1186"/>
      <c r="G166" s="1186"/>
      <c r="H166" s="1186"/>
      <c r="I166" s="185" t="s">
        <v>81</v>
      </c>
      <c r="J166" s="87" t="s">
        <v>79</v>
      </c>
      <c r="K166" s="86" t="s">
        <v>80</v>
      </c>
      <c r="L166" s="45"/>
      <c r="N166" s="136"/>
      <c r="O166" s="136"/>
      <c r="P166" s="136"/>
      <c r="Q166" s="136"/>
      <c r="R166" s="136"/>
      <c r="S166" s="136"/>
    </row>
    <row r="167" spans="1:21">
      <c r="A167" s="397" t="s">
        <v>47</v>
      </c>
      <c r="B167" s="397" t="s">
        <v>48</v>
      </c>
      <c r="C167" s="1185" t="s">
        <v>49</v>
      </c>
      <c r="D167" s="1185"/>
      <c r="E167" s="394" t="s">
        <v>137</v>
      </c>
      <c r="F167" s="394" t="s">
        <v>176</v>
      </c>
      <c r="G167" s="394" t="s">
        <v>209</v>
      </c>
      <c r="H167" s="394" t="s">
        <v>262</v>
      </c>
      <c r="I167" s="1177" t="s">
        <v>263</v>
      </c>
      <c r="J167" s="1177"/>
      <c r="K167" s="394" t="s">
        <v>264</v>
      </c>
      <c r="L167" s="403"/>
    </row>
    <row r="168" spans="1:21" ht="27.6">
      <c r="A168" s="505" t="s">
        <v>78</v>
      </c>
      <c r="B168" s="555" t="s">
        <v>434</v>
      </c>
      <c r="C168" s="1180" t="s">
        <v>189</v>
      </c>
      <c r="D168" s="1180"/>
      <c r="E168" s="667" t="s">
        <v>1026</v>
      </c>
      <c r="F168" s="667" t="s">
        <v>1036</v>
      </c>
      <c r="G168" s="555" t="s">
        <v>305</v>
      </c>
      <c r="H168" s="667" t="s">
        <v>1039</v>
      </c>
      <c r="I168" s="1122" t="s">
        <v>323</v>
      </c>
      <c r="J168" s="1123"/>
      <c r="K168" s="684" t="s">
        <v>1040</v>
      </c>
      <c r="L168" s="45"/>
    </row>
    <row r="169" spans="1:21">
      <c r="A169" s="1120" t="s">
        <v>710</v>
      </c>
      <c r="B169" s="1159" t="s">
        <v>95</v>
      </c>
      <c r="C169" s="1159" t="s">
        <v>95</v>
      </c>
      <c r="D169" s="1159"/>
      <c r="E169" s="528" t="s">
        <v>95</v>
      </c>
      <c r="F169" s="528" t="s">
        <v>95</v>
      </c>
      <c r="G169" s="1159" t="s">
        <v>95</v>
      </c>
      <c r="H169" s="1159" t="s">
        <v>113</v>
      </c>
      <c r="I169" s="183" t="s">
        <v>321</v>
      </c>
      <c r="J169" s="528" t="s">
        <v>113</v>
      </c>
      <c r="K169" s="1181"/>
      <c r="L169" s="45"/>
    </row>
    <row r="170" spans="1:21">
      <c r="A170" s="1120"/>
      <c r="B170" s="1159"/>
      <c r="C170" s="1160"/>
      <c r="D170" s="1160"/>
      <c r="E170" s="581"/>
      <c r="F170" s="581"/>
      <c r="G170" s="1159"/>
      <c r="H170" s="1159"/>
      <c r="I170" s="183" t="s">
        <v>734</v>
      </c>
      <c r="J170" s="583"/>
      <c r="K170" s="1182"/>
      <c r="L170" s="45"/>
    </row>
    <row r="171" spans="1:21" ht="30.75" customHeight="1">
      <c r="A171" s="1139" t="s">
        <v>1034</v>
      </c>
      <c r="B171" s="1139"/>
      <c r="C171" s="1139"/>
      <c r="D171" s="1139"/>
      <c r="E171" s="1139"/>
      <c r="F171" s="1139"/>
      <c r="G171" s="1139"/>
      <c r="H171" s="1139"/>
      <c r="J171" s="72"/>
      <c r="K171" s="72"/>
      <c r="L171" s="72"/>
      <c r="N171" s="136"/>
      <c r="O171" s="136"/>
      <c r="P171" s="136"/>
      <c r="Q171" s="136"/>
      <c r="R171" s="136"/>
      <c r="S171" s="136"/>
      <c r="T171" s="136"/>
      <c r="U171" s="136"/>
    </row>
    <row r="172" spans="1:21" ht="30.75" customHeight="1">
      <c r="A172" s="1174" t="s">
        <v>1065</v>
      </c>
      <c r="B172" s="1174"/>
      <c r="C172" s="1174"/>
      <c r="D172" s="1174"/>
      <c r="E172" s="1174"/>
      <c r="F172" s="1174"/>
      <c r="G172" s="1174"/>
      <c r="H172" s="1174"/>
      <c r="I172" s="72"/>
      <c r="J172" s="72"/>
      <c r="K172" s="72"/>
      <c r="N172" s="136"/>
      <c r="O172" s="136"/>
      <c r="P172" s="136"/>
      <c r="Q172" s="136"/>
      <c r="R172" s="136"/>
      <c r="S172" s="136"/>
      <c r="T172" s="136"/>
      <c r="U172" s="136"/>
    </row>
    <row r="173" spans="1:21" ht="30.75" customHeight="1">
      <c r="A173" s="694" t="s">
        <v>1067</v>
      </c>
      <c r="B173" s="695"/>
      <c r="C173" s="669"/>
      <c r="D173" s="669"/>
      <c r="E173" s="669"/>
      <c r="F173" s="669"/>
      <c r="G173" s="669"/>
      <c r="H173" s="669"/>
      <c r="I173" s="72"/>
      <c r="J173" s="72"/>
      <c r="K173" s="72"/>
      <c r="N173" s="136"/>
      <c r="O173" s="136"/>
      <c r="P173" s="136"/>
      <c r="Q173" s="136"/>
      <c r="R173" s="136"/>
      <c r="S173" s="136"/>
      <c r="T173" s="136"/>
      <c r="U173" s="136"/>
    </row>
    <row r="174" spans="1:21" ht="16.5" customHeight="1">
      <c r="A174" s="1158" t="s">
        <v>1028</v>
      </c>
      <c r="B174" s="1158"/>
      <c r="K174" s="90"/>
      <c r="N174" s="136"/>
      <c r="O174" s="136"/>
      <c r="P174" s="136"/>
      <c r="Q174" s="136"/>
      <c r="R174" s="136"/>
      <c r="S174" s="136"/>
      <c r="T174" s="136"/>
      <c r="U174" s="136"/>
    </row>
    <row r="175" spans="1:21" ht="16.5" customHeight="1">
      <c r="A175" s="175"/>
      <c r="B175" s="90"/>
      <c r="C175" s="243" t="s">
        <v>711</v>
      </c>
      <c r="D175" s="1164" t="s">
        <v>332</v>
      </c>
      <c r="E175" s="1164"/>
      <c r="F175" s="1164"/>
      <c r="G175" s="1164"/>
      <c r="H175" s="1164"/>
      <c r="I175" s="1164"/>
      <c r="J175" s="1175" t="s">
        <v>713</v>
      </c>
      <c r="K175" s="1175"/>
      <c r="L175" s="194"/>
      <c r="N175" s="136"/>
      <c r="O175" s="136"/>
      <c r="P175" s="136"/>
      <c r="Q175" s="136"/>
      <c r="R175" s="136"/>
      <c r="S175" s="136"/>
      <c r="T175" s="136"/>
      <c r="U175" s="136"/>
    </row>
    <row r="176" spans="1:21" ht="16.5" customHeight="1">
      <c r="A176" s="175"/>
      <c r="B176" s="90"/>
      <c r="C176" s="326" t="s">
        <v>367</v>
      </c>
      <c r="D176" s="1165" t="s">
        <v>1023</v>
      </c>
      <c r="E176" s="1166"/>
      <c r="F176" s="1166"/>
      <c r="G176" s="1166"/>
      <c r="H176" s="1166"/>
      <c r="I176" s="1167"/>
      <c r="J176" s="1176" t="s">
        <v>667</v>
      </c>
      <c r="K176" s="1176"/>
      <c r="L176" s="194"/>
      <c r="N176" s="136"/>
      <c r="O176" s="136"/>
      <c r="P176" s="136"/>
      <c r="Q176" s="136"/>
      <c r="R176" s="136"/>
      <c r="S176" s="136"/>
      <c r="T176" s="136"/>
      <c r="U176" s="136"/>
    </row>
    <row r="177" spans="1:21" ht="27" customHeight="1">
      <c r="A177" s="175"/>
      <c r="B177" s="90"/>
      <c r="C177" s="326" t="s">
        <v>368</v>
      </c>
      <c r="D177" s="1168" t="s">
        <v>1035</v>
      </c>
      <c r="E177" s="1169"/>
      <c r="F177" s="1169"/>
      <c r="G177" s="1169"/>
      <c r="H177" s="1169"/>
      <c r="I177" s="1170"/>
      <c r="J177" s="1179" t="s">
        <v>1171</v>
      </c>
      <c r="K177" s="1179"/>
      <c r="L177" s="195"/>
      <c r="N177" s="136"/>
      <c r="O177" s="136"/>
      <c r="P177" s="136"/>
      <c r="Q177" s="136"/>
      <c r="R177" s="136"/>
      <c r="S177" s="136"/>
      <c r="T177" s="136"/>
      <c r="U177" s="136"/>
    </row>
    <row r="178" spans="1:21" ht="26.25" customHeight="1">
      <c r="A178" s="175"/>
      <c r="B178" s="90"/>
      <c r="D178" s="1168" t="s">
        <v>1025</v>
      </c>
      <c r="E178" s="1169"/>
      <c r="F178" s="1169"/>
      <c r="G178" s="1169"/>
      <c r="H178" s="1169"/>
      <c r="I178" s="1170"/>
      <c r="J178" s="1150" t="s">
        <v>666</v>
      </c>
      <c r="K178" s="1150"/>
      <c r="L178" s="195"/>
      <c r="N178" s="136"/>
      <c r="O178" s="136"/>
      <c r="P178" s="136"/>
      <c r="Q178" s="136"/>
      <c r="R178" s="136"/>
      <c r="S178" s="136"/>
      <c r="T178" s="136"/>
      <c r="U178" s="136"/>
    </row>
    <row r="179" spans="1:21" ht="17.25" customHeight="1">
      <c r="A179" s="175"/>
      <c r="B179" s="90"/>
      <c r="D179" s="1197" t="s">
        <v>333</v>
      </c>
      <c r="E179" s="1197"/>
      <c r="F179" s="1197"/>
      <c r="G179" s="1197"/>
      <c r="H179" s="1197"/>
      <c r="I179" s="1197"/>
      <c r="J179" s="1191" t="s">
        <v>995</v>
      </c>
      <c r="K179" s="1191"/>
      <c r="L179" s="195"/>
      <c r="N179" s="136"/>
      <c r="O179" s="136"/>
      <c r="P179" s="136"/>
      <c r="Q179" s="136"/>
      <c r="R179" s="136"/>
      <c r="S179" s="136"/>
      <c r="T179" s="136"/>
      <c r="U179" s="136"/>
    </row>
    <row r="180" spans="1:21">
      <c r="A180" s="93"/>
      <c r="B180" s="93"/>
      <c r="C180" s="217"/>
      <c r="D180" s="92"/>
      <c r="E180" s="217"/>
      <c r="F180" s="217"/>
      <c r="G180" s="217"/>
      <c r="H180" s="217"/>
      <c r="I180" s="188"/>
      <c r="J180" s="188"/>
    </row>
    <row r="181" spans="1:21">
      <c r="A181" s="93"/>
      <c r="B181" s="395" t="s">
        <v>716</v>
      </c>
      <c r="C181" s="1175" t="s">
        <v>189</v>
      </c>
      <c r="D181" s="1175"/>
      <c r="E181" s="395" t="s">
        <v>308</v>
      </c>
      <c r="F181" s="395" t="s">
        <v>729</v>
      </c>
      <c r="H181" s="217"/>
      <c r="I181" s="188"/>
      <c r="J181" s="150"/>
    </row>
    <row r="182" spans="1:21">
      <c r="A182" s="93"/>
      <c r="B182" s="402" t="s">
        <v>112</v>
      </c>
      <c r="C182" s="1212" t="s">
        <v>248</v>
      </c>
      <c r="D182" s="1212"/>
      <c r="E182" s="96" t="s">
        <v>435</v>
      </c>
      <c r="F182" s="222" t="s">
        <v>109</v>
      </c>
      <c r="H182" s="217"/>
      <c r="I182" s="188"/>
      <c r="J182" s="150"/>
    </row>
    <row r="183" spans="1:21">
      <c r="A183" s="93"/>
      <c r="B183" s="402" t="s">
        <v>108</v>
      </c>
      <c r="C183" s="1144" t="s">
        <v>904</v>
      </c>
      <c r="D183" s="1146"/>
      <c r="E183" s="216" t="s">
        <v>102</v>
      </c>
      <c r="F183" s="216" t="s">
        <v>118</v>
      </c>
      <c r="H183" s="217"/>
      <c r="I183" s="188"/>
      <c r="J183" s="150"/>
    </row>
    <row r="184" spans="1:21">
      <c r="A184" s="93"/>
      <c r="B184" s="396" t="s">
        <v>694</v>
      </c>
      <c r="C184" s="1144" t="s">
        <v>905</v>
      </c>
      <c r="D184" s="1146"/>
      <c r="E184" s="216" t="s">
        <v>148</v>
      </c>
      <c r="F184" s="216" t="s">
        <v>214</v>
      </c>
      <c r="H184" s="217"/>
      <c r="I184" s="188"/>
      <c r="J184" s="150"/>
    </row>
    <row r="185" spans="1:21">
      <c r="A185" s="93"/>
      <c r="B185" s="93"/>
      <c r="C185" s="1144" t="s">
        <v>247</v>
      </c>
      <c r="D185" s="1146"/>
      <c r="E185" s="216" t="s">
        <v>146</v>
      </c>
      <c r="F185" s="216" t="s">
        <v>146</v>
      </c>
      <c r="H185" s="217"/>
      <c r="I185" s="188"/>
      <c r="J185" s="150"/>
    </row>
    <row r="186" spans="1:21">
      <c r="A186" s="93"/>
      <c r="B186" s="93"/>
      <c r="C186" s="217"/>
      <c r="D186" s="92"/>
      <c r="E186" s="216" t="s">
        <v>213</v>
      </c>
      <c r="F186" s="216" t="s">
        <v>101</v>
      </c>
      <c r="H186" s="217"/>
      <c r="I186" s="188"/>
      <c r="J186" s="150"/>
    </row>
    <row r="187" spans="1:21">
      <c r="A187" s="93"/>
      <c r="B187" s="93"/>
      <c r="C187" s="217"/>
      <c r="D187" s="92"/>
      <c r="E187" s="216" t="s">
        <v>144</v>
      </c>
      <c r="F187" s="216" t="s">
        <v>144</v>
      </c>
      <c r="H187" s="217"/>
      <c r="I187" s="188"/>
      <c r="J187" s="150"/>
    </row>
    <row r="188" spans="1:21">
      <c r="A188" s="93"/>
      <c r="B188" s="93"/>
      <c r="C188" s="217"/>
      <c r="D188" s="92"/>
      <c r="E188" s="96" t="s">
        <v>436</v>
      </c>
      <c r="F188" s="215" t="s">
        <v>133</v>
      </c>
      <c r="H188" s="217"/>
      <c r="I188" s="188"/>
      <c r="J188" s="150"/>
    </row>
    <row r="189" spans="1:21">
      <c r="A189" s="93"/>
      <c r="B189" s="93"/>
      <c r="C189" s="217"/>
      <c r="D189" s="92"/>
      <c r="E189" s="216" t="s">
        <v>109</v>
      </c>
      <c r="F189" s="215" t="s">
        <v>99</v>
      </c>
      <c r="H189" s="217"/>
      <c r="I189" s="188"/>
      <c r="J189" s="150"/>
    </row>
    <row r="190" spans="1:21">
      <c r="A190" s="93"/>
      <c r="B190" s="93"/>
      <c r="C190" s="217"/>
      <c r="D190" s="92"/>
      <c r="E190" s="216" t="s">
        <v>102</v>
      </c>
      <c r="F190" s="215" t="s">
        <v>243</v>
      </c>
      <c r="H190" s="217"/>
      <c r="I190" s="188"/>
      <c r="J190" s="150"/>
    </row>
    <row r="191" spans="1:21">
      <c r="A191" s="93"/>
      <c r="B191" s="93"/>
      <c r="C191" s="217"/>
      <c r="D191" s="92"/>
      <c r="E191" s="216" t="s">
        <v>148</v>
      </c>
      <c r="F191" s="215" t="s">
        <v>139</v>
      </c>
      <c r="G191" s="217"/>
      <c r="H191" s="217"/>
      <c r="I191" s="188"/>
      <c r="J191" s="150"/>
    </row>
    <row r="192" spans="1:21">
      <c r="A192" s="93"/>
      <c r="B192" s="93"/>
      <c r="C192" s="217"/>
      <c r="D192" s="92"/>
      <c r="E192" s="216" t="s">
        <v>146</v>
      </c>
      <c r="G192" s="217"/>
      <c r="H192" s="217"/>
      <c r="I192" s="188"/>
      <c r="J192" s="150"/>
    </row>
    <row r="193" spans="1:10">
      <c r="A193" s="93"/>
      <c r="B193" s="93"/>
      <c r="C193" s="217"/>
      <c r="D193" s="92"/>
      <c r="E193" s="216" t="s">
        <v>213</v>
      </c>
      <c r="G193" s="217"/>
      <c r="H193" s="217"/>
      <c r="I193" s="188"/>
      <c r="J193" s="150"/>
    </row>
    <row r="194" spans="1:10">
      <c r="A194" s="93"/>
      <c r="B194" s="93"/>
      <c r="C194" s="217"/>
      <c r="D194" s="92"/>
      <c r="E194" s="216" t="s">
        <v>144</v>
      </c>
      <c r="G194" s="217"/>
      <c r="H194" s="217"/>
      <c r="I194" s="188"/>
      <c r="J194" s="150"/>
    </row>
    <row r="195" spans="1:10">
      <c r="A195" s="93"/>
      <c r="B195" s="93"/>
      <c r="C195" s="217"/>
      <c r="D195" s="92"/>
      <c r="E195" s="96" t="s">
        <v>437</v>
      </c>
      <c r="G195" s="217"/>
      <c r="H195" s="217"/>
      <c r="I195" s="188"/>
      <c r="J195" s="150"/>
    </row>
    <row r="196" spans="1:10">
      <c r="A196" s="93"/>
      <c r="B196" s="93"/>
      <c r="C196" s="217"/>
      <c r="D196" s="92"/>
      <c r="E196" s="216" t="s">
        <v>246</v>
      </c>
      <c r="G196" s="217"/>
      <c r="H196" s="217"/>
      <c r="I196" s="188"/>
      <c r="J196" s="150"/>
    </row>
    <row r="197" spans="1:10">
      <c r="A197" s="93"/>
      <c r="B197" s="93"/>
      <c r="C197" s="217"/>
      <c r="D197" s="92"/>
      <c r="E197" s="216" t="s">
        <v>245</v>
      </c>
      <c r="G197" s="217"/>
      <c r="H197" s="217"/>
      <c r="I197" s="188"/>
      <c r="J197" s="150"/>
    </row>
    <row r="198" spans="1:10">
      <c r="A198" s="93"/>
      <c r="B198" s="93"/>
      <c r="C198" s="217"/>
      <c r="D198" s="92"/>
      <c r="E198" s="216" t="s">
        <v>244</v>
      </c>
      <c r="G198" s="217"/>
      <c r="H198" s="217"/>
      <c r="I198" s="188"/>
      <c r="J198" s="188"/>
    </row>
    <row r="199" spans="1:10">
      <c r="A199" s="93"/>
      <c r="B199" s="93"/>
      <c r="C199" s="217"/>
      <c r="D199" s="92"/>
      <c r="E199" s="216" t="s">
        <v>242</v>
      </c>
      <c r="G199" s="217"/>
      <c r="H199" s="217"/>
      <c r="I199" s="188"/>
      <c r="J199" s="188"/>
    </row>
    <row r="200" spans="1:10">
      <c r="A200" s="93"/>
      <c r="B200" s="93"/>
      <c r="C200" s="217"/>
      <c r="D200" s="92"/>
      <c r="E200" s="216" t="s">
        <v>241</v>
      </c>
      <c r="G200" s="217"/>
      <c r="H200" s="217"/>
      <c r="I200" s="188"/>
      <c r="J200" s="188"/>
    </row>
    <row r="201" spans="1:10">
      <c r="A201" s="93"/>
      <c r="B201" s="93"/>
      <c r="C201" s="217"/>
      <c r="D201" s="92"/>
      <c r="E201" s="216" t="s">
        <v>240</v>
      </c>
      <c r="G201" s="217"/>
      <c r="H201" s="217"/>
      <c r="I201" s="188"/>
      <c r="J201" s="188"/>
    </row>
    <row r="202" spans="1:10">
      <c r="A202" s="93"/>
      <c r="B202" s="93"/>
      <c r="C202" s="217"/>
      <c r="D202" s="92"/>
      <c r="E202" s="216" t="s">
        <v>239</v>
      </c>
      <c r="G202" s="217"/>
      <c r="H202" s="217"/>
      <c r="I202" s="188"/>
      <c r="J202" s="188"/>
    </row>
    <row r="203" spans="1:10">
      <c r="A203" s="93"/>
      <c r="B203" s="93"/>
      <c r="C203" s="217"/>
      <c r="D203" s="92"/>
      <c r="E203" s="216" t="s">
        <v>238</v>
      </c>
      <c r="G203" s="217"/>
      <c r="H203" s="217"/>
      <c r="I203" s="188"/>
      <c r="J203" s="188"/>
    </row>
    <row r="204" spans="1:10">
      <c r="A204" s="93"/>
      <c r="B204" s="93"/>
      <c r="C204" s="217"/>
      <c r="D204" s="92"/>
      <c r="E204" s="216" t="s">
        <v>237</v>
      </c>
      <c r="H204" s="217"/>
      <c r="I204" s="188"/>
      <c r="J204" s="188"/>
    </row>
    <row r="205" spans="1:10">
      <c r="A205" s="93"/>
      <c r="B205" s="93"/>
      <c r="C205" s="217"/>
      <c r="D205" s="92"/>
      <c r="E205" s="216" t="s">
        <v>236</v>
      </c>
      <c r="H205" s="217"/>
      <c r="I205" s="188"/>
      <c r="J205" s="188"/>
    </row>
    <row r="206" spans="1:10">
      <c r="E206" s="216" t="s">
        <v>235</v>
      </c>
    </row>
    <row r="207" spans="1:10">
      <c r="E207" s="96" t="s">
        <v>438</v>
      </c>
      <c r="F207" s="697"/>
      <c r="G207" s="31"/>
      <c r="H207" s="31"/>
      <c r="I207" s="31"/>
      <c r="J207" s="31"/>
    </row>
    <row r="208" spans="1:10">
      <c r="E208" s="758" t="s">
        <v>242</v>
      </c>
      <c r="F208" s="697"/>
      <c r="G208" s="31"/>
      <c r="H208" s="31"/>
      <c r="I208" s="31"/>
      <c r="J208" s="31"/>
    </row>
    <row r="209" spans="1:21">
      <c r="A209" s="1198" t="s">
        <v>1173</v>
      </c>
      <c r="B209" s="1198"/>
      <c r="C209" s="1198"/>
      <c r="D209" s="1198"/>
      <c r="E209" s="1198"/>
      <c r="F209" s="697"/>
      <c r="G209" s="31"/>
      <c r="H209" s="31"/>
      <c r="I209" s="31"/>
      <c r="J209" s="31"/>
    </row>
    <row r="210" spans="1:21">
      <c r="E210" s="150"/>
      <c r="F210" s="697"/>
      <c r="G210" s="31"/>
      <c r="H210" s="31"/>
      <c r="I210" s="31"/>
      <c r="J210" s="31"/>
    </row>
    <row r="211" spans="1:21">
      <c r="A211" s="1154" t="s">
        <v>1068</v>
      </c>
      <c r="B211" s="1154"/>
      <c r="C211" s="1154"/>
      <c r="D211" s="1154"/>
      <c r="E211" s="1154"/>
      <c r="F211" s="1154"/>
      <c r="G211" s="1154"/>
      <c r="H211" s="1154"/>
      <c r="I211" s="1154"/>
      <c r="J211" s="1154"/>
      <c r="K211" s="1154"/>
      <c r="L211" s="1154"/>
      <c r="N211" s="136"/>
      <c r="O211" s="136"/>
      <c r="P211" s="136"/>
      <c r="Q211" s="136"/>
      <c r="R211" s="136"/>
      <c r="S211" s="136"/>
    </row>
    <row r="212" spans="1:21">
      <c r="A212" s="1115" t="s">
        <v>1241</v>
      </c>
      <c r="B212" s="1116"/>
      <c r="C212" s="1116"/>
      <c r="D212" s="1116"/>
      <c r="E212" s="1116"/>
      <c r="F212" s="1116"/>
      <c r="G212" s="1116"/>
      <c r="H212" s="1116"/>
      <c r="I212" s="1116"/>
      <c r="J212" s="1116"/>
      <c r="K212" s="1116"/>
      <c r="L212" s="1117"/>
      <c r="N212" s="136"/>
      <c r="O212" s="136"/>
      <c r="P212" s="136"/>
      <c r="Q212" s="136"/>
      <c r="R212" s="136"/>
      <c r="S212" s="136"/>
    </row>
    <row r="213" spans="1:21" ht="16.2">
      <c r="A213" s="679" t="s">
        <v>37</v>
      </c>
      <c r="B213" s="184" t="s">
        <v>7</v>
      </c>
      <c r="C213" s="1155" t="s">
        <v>709</v>
      </c>
      <c r="D213" s="1156"/>
      <c r="E213" s="1156"/>
      <c r="F213" s="1156"/>
      <c r="G213" s="1156"/>
      <c r="H213" s="1156"/>
      <c r="I213" s="1156"/>
      <c r="J213" s="1156"/>
      <c r="K213" s="1156"/>
      <c r="L213" s="1157"/>
      <c r="N213" s="136"/>
      <c r="O213" s="136"/>
      <c r="P213" s="136"/>
      <c r="Q213" s="136"/>
      <c r="R213" s="136"/>
      <c r="S213" s="136"/>
    </row>
    <row r="214" spans="1:21" ht="18.75" customHeight="1">
      <c r="A214" s="677" t="s">
        <v>38</v>
      </c>
      <c r="B214" s="677" t="s">
        <v>39</v>
      </c>
      <c r="C214" s="677" t="s">
        <v>40</v>
      </c>
      <c r="D214" s="754" t="s">
        <v>41</v>
      </c>
      <c r="E214" s="1127" t="s">
        <v>46</v>
      </c>
      <c r="F214" s="1128"/>
      <c r="G214" s="1128"/>
      <c r="H214" s="1128"/>
      <c r="I214" s="1129"/>
      <c r="J214" s="1127" t="s">
        <v>47</v>
      </c>
      <c r="K214" s="1128"/>
      <c r="L214" s="1129"/>
      <c r="N214" s="136"/>
      <c r="O214" s="136"/>
      <c r="P214" s="136"/>
      <c r="Q214" s="136"/>
      <c r="R214" s="136"/>
      <c r="S214" s="136"/>
    </row>
    <row r="215" spans="1:21" ht="32.25" customHeight="1">
      <c r="A215" s="674" t="s">
        <v>78</v>
      </c>
      <c r="B215" s="415" t="s">
        <v>97</v>
      </c>
      <c r="C215" s="415" t="s">
        <v>701</v>
      </c>
      <c r="D215" s="415" t="s">
        <v>1168</v>
      </c>
      <c r="E215" s="1199" t="s">
        <v>1148</v>
      </c>
      <c r="F215" s="1200"/>
      <c r="G215" s="1200"/>
      <c r="H215" s="1200"/>
      <c r="I215" s="1201"/>
      <c r="J215" s="1130" t="s">
        <v>1174</v>
      </c>
      <c r="K215" s="1131"/>
      <c r="L215" s="1132"/>
      <c r="N215" s="136"/>
      <c r="O215" s="136"/>
      <c r="P215" s="136"/>
      <c r="Q215" s="136"/>
      <c r="R215" s="136"/>
      <c r="S215" s="136"/>
    </row>
    <row r="216" spans="1:21" ht="32.25" customHeight="1">
      <c r="A216" s="776"/>
      <c r="B216" s="777"/>
      <c r="C216" s="774" t="s">
        <v>95</v>
      </c>
      <c r="D216" s="774" t="s">
        <v>95</v>
      </c>
      <c r="E216" s="1202" t="s">
        <v>95</v>
      </c>
      <c r="F216" s="1203"/>
      <c r="G216" s="1203"/>
      <c r="H216" s="1203"/>
      <c r="I216" s="1204"/>
      <c r="J216" s="1133" t="s">
        <v>95</v>
      </c>
      <c r="K216" s="1134"/>
      <c r="L216" s="1135"/>
      <c r="N216" s="136"/>
      <c r="O216" s="136"/>
      <c r="P216" s="136"/>
      <c r="Q216" s="136"/>
      <c r="R216" s="136"/>
      <c r="S216" s="136"/>
    </row>
    <row r="217" spans="1:21" s="45" customFormat="1" ht="21" customHeight="1">
      <c r="A217" s="1195" t="s">
        <v>1147</v>
      </c>
      <c r="B217" s="1195"/>
      <c r="C217" s="1195"/>
      <c r="D217" s="1195"/>
      <c r="E217" s="1195"/>
      <c r="F217" s="1195"/>
      <c r="G217" s="1195"/>
      <c r="H217" s="1195"/>
      <c r="I217" s="1196"/>
      <c r="J217" s="775"/>
      <c r="K217" s="589"/>
      <c r="L217" s="589"/>
      <c r="N217" s="144"/>
      <c r="O217" s="144"/>
      <c r="P217" s="144"/>
      <c r="Q217" s="144"/>
      <c r="R217" s="144"/>
      <c r="S217" s="144"/>
    </row>
    <row r="218" spans="1:21" s="45" customFormat="1" ht="20.100000000000001" customHeight="1">
      <c r="A218" s="1139" t="s">
        <v>1169</v>
      </c>
      <c r="B218" s="1140"/>
      <c r="C218" s="1140"/>
      <c r="D218" s="1140"/>
      <c r="E218" s="1140"/>
      <c r="F218" s="1140"/>
      <c r="G218" s="1140"/>
      <c r="H218" s="1140"/>
      <c r="I218" s="1140"/>
      <c r="J218" s="775"/>
      <c r="K218" s="589"/>
      <c r="L218" s="589"/>
      <c r="N218" s="144"/>
      <c r="O218" s="144"/>
      <c r="P218" s="144"/>
      <c r="Q218" s="144"/>
      <c r="R218" s="144"/>
      <c r="S218" s="144"/>
    </row>
    <row r="219" spans="1:21" s="45" customFormat="1" ht="32.25" customHeight="1">
      <c r="A219" s="540"/>
      <c r="B219" s="778"/>
      <c r="C219" s="775"/>
      <c r="D219" s="775"/>
      <c r="E219" s="775"/>
      <c r="F219" s="775"/>
      <c r="G219" s="775"/>
      <c r="H219" s="775"/>
      <c r="I219" s="775"/>
      <c r="J219" s="775"/>
      <c r="K219" s="589"/>
      <c r="L219" s="589"/>
      <c r="N219" s="144"/>
      <c r="O219" s="144"/>
      <c r="P219" s="144"/>
      <c r="Q219" s="144"/>
      <c r="R219" s="144"/>
      <c r="S219" s="144"/>
    </row>
    <row r="220" spans="1:21" ht="18" customHeight="1">
      <c r="A220" s="1119" t="s">
        <v>1175</v>
      </c>
      <c r="B220" s="1119"/>
      <c r="C220" s="1119"/>
      <c r="D220" s="1119"/>
      <c r="E220" s="1119"/>
      <c r="F220" s="1119"/>
      <c r="G220" s="1119"/>
      <c r="H220" s="1119"/>
      <c r="I220" s="1119"/>
      <c r="J220" s="1119"/>
      <c r="K220" s="1119"/>
      <c r="L220" s="1119"/>
      <c r="N220" s="136"/>
      <c r="O220" s="136"/>
      <c r="P220" s="136"/>
      <c r="Q220" s="136"/>
      <c r="R220" s="136"/>
      <c r="S220" s="136"/>
    </row>
    <row r="221" spans="1:21" ht="15" customHeight="1">
      <c r="A221" s="594" t="s">
        <v>48</v>
      </c>
      <c r="B221" s="594" t="s">
        <v>49</v>
      </c>
      <c r="C221" s="595" t="s">
        <v>137</v>
      </c>
      <c r="D221" s="594" t="s">
        <v>176</v>
      </c>
      <c r="E221" s="595" t="s">
        <v>209</v>
      </c>
      <c r="F221" s="596" t="s">
        <v>262</v>
      </c>
      <c r="G221" s="676" t="s">
        <v>263</v>
      </c>
      <c r="H221" s="676" t="s">
        <v>264</v>
      </c>
      <c r="I221" s="1190" t="s">
        <v>269</v>
      </c>
      <c r="J221" s="1190"/>
      <c r="K221" s="1219" t="s">
        <v>1172</v>
      </c>
      <c r="L221" s="1219"/>
      <c r="N221" s="136"/>
      <c r="O221" s="136"/>
      <c r="P221" s="136"/>
      <c r="Q221" s="136"/>
      <c r="R221" s="136"/>
      <c r="S221" s="136"/>
      <c r="T221" s="136"/>
      <c r="U221" s="136"/>
    </row>
    <row r="222" spans="1:21" s="102" customFormat="1" ht="24">
      <c r="A222" s="674" t="s">
        <v>78</v>
      </c>
      <c r="B222" s="675" t="s">
        <v>434</v>
      </c>
      <c r="C222" s="675" t="s">
        <v>1153</v>
      </c>
      <c r="D222" s="675" t="s">
        <v>304</v>
      </c>
      <c r="E222" s="753" t="s">
        <v>308</v>
      </c>
      <c r="F222" s="753" t="s">
        <v>307</v>
      </c>
      <c r="G222" s="593" t="s">
        <v>305</v>
      </c>
      <c r="H222" s="753" t="s">
        <v>481</v>
      </c>
      <c r="I222" s="1180" t="s">
        <v>323</v>
      </c>
      <c r="J222" s="1180"/>
      <c r="K222" s="1180" t="s">
        <v>1176</v>
      </c>
      <c r="L222" s="1180"/>
      <c r="N222" s="136"/>
      <c r="O222" s="136"/>
      <c r="P222" s="136"/>
      <c r="Q222" s="136"/>
      <c r="R222" s="136"/>
      <c r="S222" s="136"/>
      <c r="T222" s="136"/>
      <c r="U222" s="136"/>
    </row>
    <row r="223" spans="1:21">
      <c r="A223" s="1120" t="s">
        <v>710</v>
      </c>
      <c r="B223" s="1192" t="s">
        <v>95</v>
      </c>
      <c r="C223" s="755" t="s">
        <v>95</v>
      </c>
      <c r="D223" s="671" t="s">
        <v>95</v>
      </c>
      <c r="E223" s="671" t="s">
        <v>95</v>
      </c>
      <c r="F223" s="671" t="s">
        <v>95</v>
      </c>
      <c r="G223" s="1118" t="s">
        <v>268</v>
      </c>
      <c r="H223" s="1192" t="s">
        <v>113</v>
      </c>
      <c r="I223" s="183" t="s">
        <v>321</v>
      </c>
      <c r="J223" s="671" t="s">
        <v>113</v>
      </c>
      <c r="K223" s="1194"/>
      <c r="L223" s="1194"/>
      <c r="N223" s="136"/>
      <c r="O223" s="136"/>
      <c r="P223" s="136"/>
      <c r="Q223" s="136"/>
      <c r="R223" s="136"/>
      <c r="S223" s="136"/>
      <c r="T223" s="136"/>
      <c r="U223" s="136"/>
    </row>
    <row r="224" spans="1:21">
      <c r="A224" s="1120"/>
      <c r="B224" s="1193"/>
      <c r="C224" s="750"/>
      <c r="D224" s="672"/>
      <c r="E224" s="681"/>
      <c r="F224" s="672"/>
      <c r="G224" s="1118"/>
      <c r="H224" s="1193"/>
      <c r="I224" s="183" t="s">
        <v>734</v>
      </c>
      <c r="J224" s="583"/>
      <c r="K224" s="1194"/>
      <c r="L224" s="1194"/>
      <c r="N224" s="136"/>
      <c r="O224" s="136"/>
      <c r="P224" s="136"/>
      <c r="Q224" s="136"/>
      <c r="R224" s="136"/>
      <c r="S224" s="136"/>
      <c r="T224" s="136"/>
      <c r="U224" s="136"/>
    </row>
    <row r="225" spans="1:21" ht="30.75" customHeight="1">
      <c r="A225" s="1151" t="s">
        <v>1177</v>
      </c>
      <c r="B225" s="1151"/>
      <c r="C225" s="1151"/>
      <c r="D225" s="1151"/>
      <c r="E225" s="1151"/>
      <c r="F225" s="1151"/>
      <c r="G225" s="1151"/>
      <c r="H225" s="1151"/>
      <c r="I225" s="1151"/>
      <c r="N225" s="136"/>
      <c r="O225" s="136"/>
      <c r="P225" s="136"/>
      <c r="Q225" s="136"/>
      <c r="R225" s="136"/>
      <c r="S225" s="136"/>
      <c r="T225" s="136"/>
      <c r="U225" s="136"/>
    </row>
    <row r="226" spans="1:21" ht="21" customHeight="1">
      <c r="N226" s="136"/>
      <c r="O226" s="136"/>
      <c r="P226" s="136"/>
      <c r="Q226" s="136"/>
      <c r="R226" s="136"/>
      <c r="S226" s="136"/>
      <c r="T226" s="136"/>
      <c r="U226" s="136"/>
    </row>
    <row r="227" spans="1:21" ht="31.5" customHeight="1">
      <c r="K227" s="90"/>
      <c r="N227" s="136"/>
      <c r="O227" s="136"/>
      <c r="P227" s="136"/>
      <c r="Q227" s="136"/>
      <c r="R227" s="136"/>
      <c r="S227" s="136"/>
      <c r="T227" s="136"/>
      <c r="U227" s="136"/>
    </row>
    <row r="228" spans="1:21" ht="20.100000000000001" customHeight="1">
      <c r="A228" s="1220" t="s">
        <v>1178</v>
      </c>
      <c r="B228" s="1221"/>
      <c r="C228" s="1221"/>
      <c r="D228" s="1221"/>
      <c r="E228" s="1221"/>
      <c r="F228" s="1222"/>
      <c r="G228" s="782"/>
      <c r="H228" s="782"/>
      <c r="I228" s="782"/>
      <c r="J228" s="782"/>
      <c r="K228" s="782"/>
      <c r="L228" s="782"/>
      <c r="M228" s="45"/>
      <c r="N228" s="136"/>
      <c r="O228" s="136"/>
      <c r="P228" s="136"/>
      <c r="Q228" s="136"/>
      <c r="R228" s="136"/>
      <c r="S228" s="136"/>
      <c r="T228" s="136"/>
      <c r="U228" s="136"/>
    </row>
    <row r="229" spans="1:21" ht="31.5" customHeight="1">
      <c r="A229" s="596" t="s">
        <v>270</v>
      </c>
      <c r="B229" s="596" t="s">
        <v>271</v>
      </c>
      <c r="C229" s="781" t="s">
        <v>1179</v>
      </c>
      <c r="D229" s="1124" t="s">
        <v>599</v>
      </c>
      <c r="E229" s="1125"/>
      <c r="F229" s="763" t="s">
        <v>610</v>
      </c>
      <c r="G229" s="785"/>
      <c r="H229" s="785"/>
      <c r="I229" s="785"/>
      <c r="J229" s="785"/>
      <c r="K229" s="785"/>
      <c r="L229" s="785"/>
      <c r="M229" s="45"/>
      <c r="N229" s="136"/>
      <c r="O229" s="136"/>
      <c r="P229" s="136"/>
      <c r="Q229" s="136"/>
      <c r="R229" s="136"/>
      <c r="S229" s="136"/>
      <c r="T229" s="136"/>
      <c r="U229" s="136"/>
    </row>
    <row r="230" spans="1:21" ht="31.5" customHeight="1">
      <c r="A230" s="756" t="s">
        <v>78</v>
      </c>
      <c r="B230" s="753" t="s">
        <v>1180</v>
      </c>
      <c r="C230" s="593" t="s">
        <v>305</v>
      </c>
      <c r="D230" s="1122" t="s">
        <v>1181</v>
      </c>
      <c r="E230" s="1123"/>
      <c r="F230" s="761" t="s">
        <v>867</v>
      </c>
      <c r="G230" s="785"/>
      <c r="H230" s="785"/>
      <c r="I230" s="785"/>
      <c r="J230" s="785"/>
      <c r="K230" s="785"/>
      <c r="L230" s="785"/>
      <c r="M230" s="45"/>
      <c r="N230" s="136"/>
      <c r="O230" s="136"/>
      <c r="P230" s="136"/>
      <c r="Q230" s="136"/>
      <c r="R230" s="136"/>
      <c r="S230" s="136"/>
      <c r="T230" s="136"/>
      <c r="U230" s="136"/>
    </row>
    <row r="231" spans="1:21" ht="18" customHeight="1">
      <c r="A231" s="1120" t="s">
        <v>710</v>
      </c>
      <c r="B231" s="1121" t="s">
        <v>1187</v>
      </c>
      <c r="C231" s="1118" t="s">
        <v>306</v>
      </c>
      <c r="D231" s="321" t="s">
        <v>1183</v>
      </c>
      <c r="E231" s="757" t="s">
        <v>113</v>
      </c>
      <c r="F231" s="765"/>
      <c r="G231" s="45"/>
      <c r="H231" s="783"/>
      <c r="I231" s="199"/>
      <c r="J231" s="589"/>
      <c r="K231" s="784"/>
      <c r="L231" s="784"/>
      <c r="M231" s="45"/>
      <c r="N231" s="136"/>
      <c r="O231" s="136"/>
      <c r="P231" s="136"/>
      <c r="Q231" s="136"/>
      <c r="R231" s="136"/>
      <c r="S231" s="136"/>
      <c r="T231" s="136"/>
      <c r="U231" s="136"/>
    </row>
    <row r="232" spans="1:21" ht="17.55" customHeight="1">
      <c r="A232" s="1120"/>
      <c r="B232" s="1121"/>
      <c r="C232" s="1118"/>
      <c r="D232" s="321" t="s">
        <v>1182</v>
      </c>
      <c r="E232" s="757" t="s">
        <v>113</v>
      </c>
      <c r="F232" s="765"/>
      <c r="G232" s="45"/>
      <c r="H232" s="783"/>
      <c r="I232" s="199"/>
      <c r="J232" s="589"/>
      <c r="K232" s="784"/>
      <c r="L232" s="784"/>
      <c r="M232" s="45"/>
      <c r="N232" s="136"/>
      <c r="O232" s="136"/>
      <c r="P232" s="136"/>
      <c r="Q232" s="136"/>
      <c r="R232" s="136"/>
      <c r="S232" s="136"/>
      <c r="T232" s="136"/>
      <c r="U232" s="136"/>
    </row>
    <row r="233" spans="1:21" ht="16.5" customHeight="1">
      <c r="A233" s="1126" t="s">
        <v>1188</v>
      </c>
      <c r="B233" s="1126"/>
      <c r="C233" s="1126"/>
      <c r="D233" s="1126"/>
      <c r="E233" s="1126"/>
      <c r="F233" s="1126"/>
      <c r="G233" s="1126"/>
      <c r="H233" s="1126"/>
      <c r="I233" s="1126"/>
      <c r="N233" s="136"/>
      <c r="O233" s="136"/>
      <c r="P233" s="136"/>
      <c r="Q233" s="136"/>
      <c r="R233" s="136"/>
      <c r="S233" s="136"/>
      <c r="T233" s="136"/>
      <c r="U233" s="136"/>
    </row>
    <row r="234" spans="1:21" ht="30" customHeight="1">
      <c r="A234" s="1126" t="s">
        <v>1184</v>
      </c>
      <c r="B234" s="1126"/>
      <c r="C234" s="1126"/>
      <c r="D234" s="1126"/>
      <c r="E234" s="1126"/>
      <c r="F234" s="1126"/>
      <c r="G234" s="1126"/>
      <c r="H234" s="1126"/>
      <c r="I234" s="1126"/>
      <c r="J234" s="43" t="s">
        <v>1312</v>
      </c>
      <c r="N234" s="136"/>
      <c r="O234" s="136"/>
      <c r="P234" s="136"/>
      <c r="Q234" s="136"/>
      <c r="R234" s="136"/>
      <c r="S234" s="136"/>
      <c r="T234" s="136"/>
      <c r="U234" s="136"/>
    </row>
    <row r="235" spans="1:21" ht="16.5" customHeight="1">
      <c r="A235" s="175"/>
      <c r="B235" s="90"/>
      <c r="C235" s="243" t="s">
        <v>711</v>
      </c>
      <c r="D235" s="243" t="s">
        <v>1154</v>
      </c>
      <c r="E235" s="1141" t="s">
        <v>1149</v>
      </c>
      <c r="F235" s="1142"/>
      <c r="G235" s="1142"/>
      <c r="H235" s="1142"/>
      <c r="I235" s="1143"/>
      <c r="J235" s="1136" t="s">
        <v>717</v>
      </c>
      <c r="K235" s="1137"/>
      <c r="L235" s="1138"/>
      <c r="N235" s="136"/>
      <c r="O235" s="136"/>
      <c r="P235" s="136"/>
      <c r="Q235" s="136"/>
      <c r="R235" s="136"/>
      <c r="S235" s="136"/>
      <c r="T235" s="136"/>
      <c r="U235" s="136"/>
    </row>
    <row r="236" spans="1:21" ht="33.6" customHeight="1">
      <c r="A236" s="175"/>
      <c r="B236" s="90"/>
      <c r="C236" s="729" t="s">
        <v>1145</v>
      </c>
      <c r="D236" s="786" t="s">
        <v>1185</v>
      </c>
      <c r="E236" s="1144" t="s">
        <v>1150</v>
      </c>
      <c r="F236" s="1145"/>
      <c r="G236" s="1145"/>
      <c r="H236" s="1145"/>
      <c r="I236" s="1146"/>
      <c r="J236" s="1112" t="s">
        <v>268</v>
      </c>
      <c r="K236" s="1113"/>
      <c r="L236" s="1114"/>
      <c r="N236" s="136"/>
      <c r="O236" s="136"/>
      <c r="P236" s="136"/>
      <c r="Q236" s="136"/>
      <c r="R236" s="136"/>
      <c r="S236" s="136"/>
      <c r="T236" s="136"/>
      <c r="U236" s="136"/>
    </row>
    <row r="237" spans="1:21" ht="38.549999999999997" customHeight="1">
      <c r="A237" s="175"/>
      <c r="B237" s="90"/>
      <c r="C237" s="787" t="s">
        <v>1146</v>
      </c>
      <c r="D237" s="786" t="s">
        <v>1186</v>
      </c>
      <c r="E237" s="1147" t="s">
        <v>1151</v>
      </c>
      <c r="F237" s="1148"/>
      <c r="G237" s="1148"/>
      <c r="H237" s="1148"/>
      <c r="I237" s="1149"/>
      <c r="J237" s="1112" t="s">
        <v>306</v>
      </c>
      <c r="K237" s="1113"/>
      <c r="L237" s="1114"/>
      <c r="N237" s="136"/>
      <c r="O237" s="136"/>
      <c r="P237" s="136"/>
      <c r="Q237" s="136"/>
      <c r="R237" s="136"/>
      <c r="S237" s="136"/>
      <c r="T237" s="136"/>
      <c r="U237" s="136"/>
    </row>
    <row r="238" spans="1:21" ht="38.1" customHeight="1">
      <c r="A238" s="175"/>
      <c r="B238" s="90"/>
      <c r="C238" s="729" t="s">
        <v>1159</v>
      </c>
      <c r="D238" s="729" t="s">
        <v>1256</v>
      </c>
      <c r="E238" s="1147" t="s">
        <v>1152</v>
      </c>
      <c r="F238" s="1148"/>
      <c r="G238" s="1148"/>
      <c r="H238" s="1148"/>
      <c r="I238" s="1148"/>
      <c r="J238" s="1216"/>
      <c r="K238" s="1216"/>
      <c r="L238" s="1216"/>
      <c r="N238" s="136"/>
      <c r="O238" s="136"/>
      <c r="P238" s="136"/>
      <c r="Q238" s="136"/>
      <c r="R238" s="136"/>
      <c r="S238" s="136"/>
      <c r="T238" s="136"/>
      <c r="U238" s="136"/>
    </row>
    <row r="239" spans="1:21" ht="38.1" customHeight="1">
      <c r="A239" s="175"/>
      <c r="B239" s="90"/>
      <c r="C239" s="729" t="s">
        <v>1160</v>
      </c>
      <c r="D239" s="771"/>
      <c r="E239" s="1150" t="s">
        <v>712</v>
      </c>
      <c r="F239" s="1150"/>
      <c r="G239" s="1150"/>
      <c r="H239" s="1150"/>
      <c r="I239" s="1150"/>
      <c r="J239" s="693"/>
      <c r="K239" s="693"/>
      <c r="L239" s="693"/>
      <c r="N239" s="136"/>
      <c r="O239" s="136"/>
      <c r="P239" s="136"/>
      <c r="Q239" s="136"/>
      <c r="R239" s="136"/>
      <c r="S239" s="136"/>
      <c r="T239" s="136"/>
      <c r="U239" s="136"/>
    </row>
    <row r="240" spans="1:21" ht="17.25" customHeight="1">
      <c r="A240" s="175"/>
      <c r="B240" s="90"/>
      <c r="E240" s="770"/>
      <c r="F240" s="770"/>
      <c r="G240" s="770"/>
      <c r="H240" s="770"/>
      <c r="I240" s="770"/>
      <c r="J240" s="693"/>
      <c r="K240" s="693"/>
      <c r="L240" s="693"/>
      <c r="N240" s="136"/>
      <c r="O240" s="136"/>
      <c r="P240" s="136"/>
      <c r="Q240" s="136"/>
      <c r="R240" s="136"/>
      <c r="S240" s="136"/>
      <c r="T240" s="136"/>
      <c r="U240" s="136"/>
    </row>
    <row r="241" spans="1:21" ht="17.25" customHeight="1">
      <c r="A241" s="175"/>
      <c r="B241" s="90"/>
      <c r="E241" s="770"/>
      <c r="F241" s="770"/>
      <c r="G241" s="770"/>
      <c r="H241" s="770"/>
      <c r="I241" s="770"/>
      <c r="J241" s="693"/>
      <c r="K241" s="693"/>
      <c r="L241" s="693"/>
      <c r="N241" s="136"/>
      <c r="O241" s="136"/>
      <c r="P241" s="136"/>
      <c r="Q241" s="136"/>
      <c r="R241" s="136"/>
      <c r="S241" s="136"/>
      <c r="T241" s="136"/>
      <c r="U241" s="136"/>
    </row>
    <row r="242" spans="1:21" ht="17.25" customHeight="1">
      <c r="A242" s="175"/>
      <c r="B242" s="90"/>
      <c r="D242" s="243" t="s">
        <v>1154</v>
      </c>
      <c r="E242" s="1141" t="s">
        <v>1149</v>
      </c>
      <c r="F242" s="1142"/>
      <c r="G242" s="1142"/>
      <c r="H242" s="1142"/>
      <c r="I242" s="1143"/>
      <c r="J242" s="693"/>
      <c r="K242" s="693"/>
      <c r="L242" s="693"/>
      <c r="N242" s="136"/>
      <c r="O242" s="136"/>
      <c r="P242" s="136"/>
      <c r="Q242" s="136"/>
      <c r="R242" s="136"/>
      <c r="S242" s="136"/>
      <c r="T242" s="136"/>
      <c r="U242" s="136"/>
    </row>
    <row r="243" spans="1:21" ht="17.25" customHeight="1">
      <c r="A243" s="175"/>
      <c r="B243" s="90"/>
      <c r="D243" s="729" t="s">
        <v>1157</v>
      </c>
      <c r="E243" s="1147" t="s">
        <v>1162</v>
      </c>
      <c r="F243" s="1148"/>
      <c r="G243" s="1148"/>
      <c r="H243" s="1148"/>
      <c r="I243" s="1149"/>
      <c r="J243" s="693"/>
      <c r="K243" s="693"/>
      <c r="L243" s="693"/>
      <c r="N243" s="136"/>
      <c r="O243" s="136"/>
      <c r="P243" s="136"/>
      <c r="Q243" s="136"/>
      <c r="R243" s="136"/>
      <c r="S243" s="136"/>
      <c r="T243" s="136"/>
      <c r="U243" s="136"/>
    </row>
    <row r="244" spans="1:21" ht="17.25" customHeight="1">
      <c r="A244" s="175"/>
      <c r="B244" s="90"/>
      <c r="D244" s="729" t="s">
        <v>1155</v>
      </c>
      <c r="E244" s="1144" t="s">
        <v>1161</v>
      </c>
      <c r="F244" s="1145"/>
      <c r="G244" s="1145"/>
      <c r="H244" s="1145"/>
      <c r="I244" s="1146"/>
      <c r="J244" s="693"/>
      <c r="K244" s="693"/>
      <c r="L244" s="693"/>
      <c r="N244" s="136"/>
      <c r="O244" s="136"/>
      <c r="P244" s="136"/>
      <c r="Q244" s="136"/>
      <c r="R244" s="136"/>
      <c r="S244" s="136"/>
      <c r="T244" s="136"/>
      <c r="U244" s="136"/>
    </row>
    <row r="245" spans="1:21" ht="37.049999999999997" customHeight="1">
      <c r="A245" s="175"/>
      <c r="B245" s="90"/>
      <c r="D245" s="729" t="s">
        <v>1156</v>
      </c>
      <c r="E245" s="1147" t="s">
        <v>1163</v>
      </c>
      <c r="F245" s="1148"/>
      <c r="G245" s="1148"/>
      <c r="H245" s="1148"/>
      <c r="I245" s="1149"/>
      <c r="J245" s="693"/>
      <c r="K245" s="693"/>
      <c r="L245" s="693"/>
      <c r="N245" s="136"/>
      <c r="O245" s="136"/>
      <c r="P245" s="136"/>
      <c r="Q245" s="136"/>
      <c r="R245" s="136"/>
      <c r="S245" s="136"/>
      <c r="T245" s="136"/>
      <c r="U245" s="136"/>
    </row>
    <row r="246" spans="1:21">
      <c r="A246" s="175"/>
      <c r="B246" s="90"/>
      <c r="D246" s="771"/>
      <c r="E246" s="1205" t="s">
        <v>1164</v>
      </c>
      <c r="F246" s="1206"/>
      <c r="G246" s="1206"/>
      <c r="H246" s="1206"/>
      <c r="I246" s="1178"/>
      <c r="J246" s="693"/>
      <c r="K246" s="693"/>
      <c r="L246" s="693"/>
      <c r="N246" s="136"/>
      <c r="O246" s="136"/>
      <c r="P246" s="136"/>
      <c r="Q246" s="136"/>
      <c r="R246" s="136"/>
      <c r="S246" s="136"/>
      <c r="T246" s="136"/>
      <c r="U246" s="136"/>
    </row>
    <row r="247" spans="1:21">
      <c r="A247" s="175"/>
      <c r="B247" s="90"/>
      <c r="D247" s="243" t="s">
        <v>1154</v>
      </c>
      <c r="E247" s="1205" t="s">
        <v>1165</v>
      </c>
      <c r="F247" s="1206"/>
      <c r="G247" s="1206"/>
      <c r="H247" s="1206"/>
      <c r="I247" s="1178"/>
      <c r="J247" s="693"/>
      <c r="K247" s="693"/>
      <c r="L247" s="693"/>
      <c r="N247" s="136"/>
      <c r="O247" s="136"/>
      <c r="P247" s="136"/>
      <c r="Q247" s="136"/>
      <c r="R247" s="136"/>
      <c r="S247" s="136"/>
      <c r="T247" s="136"/>
      <c r="U247" s="136"/>
    </row>
    <row r="248" spans="1:21" ht="27.6" customHeight="1">
      <c r="A248" s="175"/>
      <c r="B248" s="90"/>
      <c r="D248" s="729" t="s">
        <v>1157</v>
      </c>
      <c r="E248" s="1205" t="s">
        <v>1166</v>
      </c>
      <c r="F248" s="1206"/>
      <c r="G248" s="1206"/>
      <c r="H248" s="1206"/>
      <c r="I248" s="1178"/>
      <c r="J248" s="693"/>
      <c r="K248" s="693"/>
      <c r="L248" s="693"/>
      <c r="N248" s="136"/>
      <c r="O248" s="136"/>
      <c r="P248" s="136"/>
      <c r="Q248" s="136"/>
      <c r="R248" s="136"/>
      <c r="S248" s="136"/>
      <c r="T248" s="136"/>
      <c r="U248" s="136"/>
    </row>
    <row r="249" spans="1:21" ht="28.05" customHeight="1">
      <c r="A249" s="175"/>
      <c r="B249" s="90"/>
      <c r="D249" s="729" t="s">
        <v>1158</v>
      </c>
      <c r="E249" s="1205" t="s">
        <v>1167</v>
      </c>
      <c r="F249" s="1206"/>
      <c r="G249" s="1206"/>
      <c r="H249" s="1206"/>
      <c r="I249" s="1178"/>
      <c r="J249" s="693"/>
      <c r="K249" s="693"/>
      <c r="L249" s="693"/>
      <c r="N249" s="136"/>
      <c r="O249" s="136"/>
      <c r="P249" s="136"/>
      <c r="Q249" s="136"/>
      <c r="R249" s="136"/>
      <c r="S249" s="136"/>
      <c r="T249" s="136"/>
      <c r="U249" s="136"/>
    </row>
    <row r="250" spans="1:21" ht="17.55" customHeight="1">
      <c r="A250" s="175"/>
      <c r="B250" s="90"/>
      <c r="D250" s="771"/>
      <c r="E250" s="1205" t="s">
        <v>712</v>
      </c>
      <c r="F250" s="1206"/>
      <c r="G250" s="1206"/>
      <c r="H250" s="1206"/>
      <c r="I250" s="1178"/>
      <c r="J250" s="693"/>
      <c r="K250" s="693"/>
      <c r="L250" s="693"/>
      <c r="N250" s="136"/>
      <c r="O250" s="136"/>
      <c r="P250" s="136"/>
      <c r="Q250" s="136"/>
      <c r="R250" s="136"/>
      <c r="S250" s="136"/>
      <c r="T250" s="136"/>
      <c r="U250" s="136"/>
    </row>
    <row r="251" spans="1:21" ht="37.049999999999997" customHeight="1">
      <c r="A251" s="175"/>
      <c r="B251" s="90"/>
      <c r="D251" s="771"/>
      <c r="E251" s="770"/>
      <c r="F251" s="770"/>
      <c r="G251" s="770"/>
      <c r="H251" s="770"/>
      <c r="I251" s="770"/>
      <c r="J251" s="693"/>
      <c r="K251" s="693"/>
      <c r="L251" s="693"/>
      <c r="N251" s="136"/>
      <c r="O251" s="136"/>
      <c r="P251" s="136"/>
      <c r="Q251" s="136"/>
      <c r="R251" s="136"/>
      <c r="S251" s="136"/>
      <c r="T251" s="136"/>
      <c r="U251" s="136"/>
    </row>
    <row r="252" spans="1:21" ht="17.25" customHeight="1">
      <c r="A252" s="175"/>
      <c r="B252" s="90"/>
      <c r="D252" s="770"/>
      <c r="E252" s="770"/>
      <c r="F252" s="770"/>
      <c r="G252" s="770"/>
      <c r="H252" s="770"/>
      <c r="I252" s="770"/>
      <c r="J252" s="693"/>
      <c r="K252" s="693"/>
      <c r="L252" s="693"/>
      <c r="N252" s="136"/>
      <c r="O252" s="136"/>
      <c r="P252" s="136"/>
      <c r="Q252" s="136"/>
      <c r="R252" s="136"/>
      <c r="S252" s="136"/>
      <c r="T252" s="136"/>
      <c r="U252" s="136"/>
    </row>
    <row r="253" spans="1:21" ht="16.5" customHeight="1">
      <c r="A253" s="175"/>
      <c r="B253" s="90"/>
      <c r="N253" s="136"/>
      <c r="O253" s="136"/>
      <c r="P253" s="136"/>
      <c r="Q253" s="136"/>
      <c r="R253" s="136"/>
      <c r="S253" s="136"/>
      <c r="T253" s="136"/>
      <c r="U253" s="136"/>
    </row>
    <row r="254" spans="1:21" ht="21.75" customHeight="1">
      <c r="B254" s="673" t="s">
        <v>716</v>
      </c>
      <c r="C254" s="673" t="s">
        <v>1153</v>
      </c>
      <c r="D254" s="393" t="s">
        <v>714</v>
      </c>
      <c r="E254" s="673" t="s">
        <v>308</v>
      </c>
      <c r="F254" s="393" t="s">
        <v>307</v>
      </c>
      <c r="G254" s="91"/>
      <c r="J254" s="1217"/>
      <c r="K254" s="188"/>
      <c r="N254" s="136"/>
      <c r="O254" s="136"/>
      <c r="P254" s="136"/>
      <c r="Q254" s="136"/>
      <c r="R254" s="136"/>
      <c r="S254" s="136"/>
      <c r="T254" s="136"/>
      <c r="U254" s="136"/>
    </row>
    <row r="255" spans="1:21">
      <c r="B255" s="758" t="s">
        <v>695</v>
      </c>
      <c r="C255" s="759" t="s">
        <v>152</v>
      </c>
      <c r="D255" s="673" t="s">
        <v>254</v>
      </c>
      <c r="E255" s="673" t="s">
        <v>273</v>
      </c>
      <c r="F255" s="762" t="s">
        <v>431</v>
      </c>
      <c r="G255" s="91"/>
      <c r="J255" s="1217"/>
      <c r="K255" s="1218"/>
      <c r="L255" s="1218"/>
      <c r="M255" s="1218"/>
      <c r="N255" s="136"/>
      <c r="O255" s="136"/>
      <c r="P255" s="136"/>
      <c r="Q255" s="136"/>
      <c r="R255" s="136"/>
      <c r="S255" s="136"/>
      <c r="T255" s="136"/>
      <c r="U255" s="136"/>
    </row>
    <row r="256" spans="1:21">
      <c r="B256" s="752" t="s">
        <v>108</v>
      </c>
      <c r="C256" s="759" t="s">
        <v>150</v>
      </c>
      <c r="D256" s="682" t="s">
        <v>222</v>
      </c>
      <c r="E256" s="682" t="s">
        <v>109</v>
      </c>
      <c r="F256" s="767" t="s">
        <v>109</v>
      </c>
      <c r="G256" s="91"/>
      <c r="J256" s="1217"/>
      <c r="K256" s="188"/>
      <c r="N256" s="136"/>
      <c r="O256" s="136"/>
      <c r="P256" s="136"/>
      <c r="Q256" s="136"/>
      <c r="R256" s="136"/>
      <c r="S256" s="136"/>
      <c r="T256" s="136"/>
      <c r="U256" s="136"/>
    </row>
    <row r="257" spans="2:21">
      <c r="B257" s="752" t="s">
        <v>694</v>
      </c>
      <c r="C257" s="150"/>
      <c r="D257" s="758" t="s">
        <v>221</v>
      </c>
      <c r="E257" s="682" t="s">
        <v>148</v>
      </c>
      <c r="F257" s="682" t="s">
        <v>121</v>
      </c>
      <c r="J257" s="1217"/>
      <c r="K257" s="188"/>
      <c r="N257" s="136"/>
      <c r="O257" s="136"/>
      <c r="P257" s="136"/>
      <c r="Q257" s="136"/>
      <c r="R257" s="136"/>
      <c r="S257" s="136"/>
      <c r="T257" s="136"/>
      <c r="U257" s="136"/>
    </row>
    <row r="258" spans="2:21">
      <c r="C258" s="150"/>
      <c r="D258" s="751" t="s">
        <v>250</v>
      </c>
      <c r="E258" s="683" t="s">
        <v>146</v>
      </c>
      <c r="F258" s="682" t="s">
        <v>119</v>
      </c>
      <c r="J258" s="1217"/>
      <c r="K258" s="188"/>
    </row>
    <row r="259" spans="2:21">
      <c r="D259" s="678" t="s">
        <v>222</v>
      </c>
      <c r="E259" s="683" t="s">
        <v>144</v>
      </c>
      <c r="F259" s="682" t="s">
        <v>118</v>
      </c>
      <c r="J259" s="1217"/>
      <c r="K259" s="188"/>
    </row>
    <row r="260" spans="2:21">
      <c r="D260" s="678" t="s">
        <v>151</v>
      </c>
      <c r="E260" s="683" t="s">
        <v>210</v>
      </c>
      <c r="F260" s="682" t="s">
        <v>125</v>
      </c>
      <c r="J260" s="1217"/>
      <c r="K260" s="188"/>
    </row>
    <row r="261" spans="2:21">
      <c r="D261" s="678" t="s">
        <v>149</v>
      </c>
      <c r="E261" s="683" t="s">
        <v>133</v>
      </c>
      <c r="F261" s="682" t="s">
        <v>117</v>
      </c>
      <c r="J261" s="1217"/>
    </row>
    <row r="262" spans="2:21">
      <c r="D262" s="678" t="s">
        <v>147</v>
      </c>
      <c r="E262" s="683" t="s">
        <v>99</v>
      </c>
      <c r="F262" s="682" t="s">
        <v>102</v>
      </c>
      <c r="H262" s="99"/>
      <c r="J262" s="1217"/>
    </row>
    <row r="263" spans="2:21">
      <c r="D263" s="678" t="s">
        <v>145</v>
      </c>
      <c r="E263" s="683" t="s">
        <v>98</v>
      </c>
      <c r="F263" s="682" t="s">
        <v>138</v>
      </c>
      <c r="G263" s="91"/>
      <c r="H263" s="99"/>
      <c r="J263" s="1217"/>
    </row>
    <row r="264" spans="2:21">
      <c r="D264" s="678" t="s">
        <v>253</v>
      </c>
      <c r="E264" s="683" t="s">
        <v>139</v>
      </c>
      <c r="F264" s="491"/>
      <c r="G264" s="46"/>
      <c r="H264" s="99"/>
      <c r="J264" s="1217"/>
    </row>
    <row r="265" spans="2:21">
      <c r="D265" s="678" t="s">
        <v>221</v>
      </c>
      <c r="E265" s="683" t="s">
        <v>195</v>
      </c>
      <c r="F265" s="773" t="s">
        <v>307</v>
      </c>
      <c r="J265" s="1217"/>
    </row>
    <row r="266" spans="2:21">
      <c r="D266" s="678" t="s">
        <v>143</v>
      </c>
      <c r="E266" s="683" t="s">
        <v>252</v>
      </c>
      <c r="F266" s="772" t="s">
        <v>431</v>
      </c>
      <c r="J266" s="1217"/>
    </row>
    <row r="267" spans="2:21">
      <c r="D267" s="678" t="s">
        <v>142</v>
      </c>
      <c r="E267" s="683" t="s">
        <v>251</v>
      </c>
      <c r="F267" s="772" t="s">
        <v>109</v>
      </c>
    </row>
    <row r="268" spans="2:21">
      <c r="D268" s="678" t="s">
        <v>141</v>
      </c>
      <c r="E268" s="673" t="s">
        <v>425</v>
      </c>
      <c r="F268" s="772" t="s">
        <v>121</v>
      </c>
    </row>
    <row r="269" spans="2:21">
      <c r="D269" s="678" t="s">
        <v>140</v>
      </c>
      <c r="E269" s="682" t="s">
        <v>109</v>
      </c>
      <c r="F269" s="772" t="s">
        <v>119</v>
      </c>
    </row>
    <row r="270" spans="2:21">
      <c r="D270" s="678" t="s">
        <v>249</v>
      </c>
      <c r="E270" s="682" t="s">
        <v>148</v>
      </c>
      <c r="F270" s="772" t="s">
        <v>118</v>
      </c>
    </row>
    <row r="271" spans="2:21">
      <c r="E271" s="682" t="s">
        <v>146</v>
      </c>
      <c r="F271" s="772" t="s">
        <v>125</v>
      </c>
    </row>
    <row r="272" spans="2:21">
      <c r="E272" s="682" t="s">
        <v>101</v>
      </c>
      <c r="F272" s="772" t="s">
        <v>117</v>
      </c>
    </row>
    <row r="273" spans="5:6">
      <c r="E273" s="682" t="s">
        <v>423</v>
      </c>
      <c r="F273" s="772" t="s">
        <v>102</v>
      </c>
    </row>
    <row r="274" spans="5:6">
      <c r="E274" s="682" t="s">
        <v>424</v>
      </c>
      <c r="F274" s="772" t="s">
        <v>138</v>
      </c>
    </row>
    <row r="275" spans="5:6">
      <c r="E275" s="673" t="s">
        <v>426</v>
      </c>
      <c r="F275" s="772" t="s">
        <v>212</v>
      </c>
    </row>
    <row r="276" spans="5:6">
      <c r="E276" s="682" t="s">
        <v>109</v>
      </c>
      <c r="F276" s="772" t="s">
        <v>100</v>
      </c>
    </row>
    <row r="277" spans="5:6">
      <c r="E277" s="682" t="s">
        <v>148</v>
      </c>
      <c r="F277" s="772" t="s">
        <v>220</v>
      </c>
    </row>
    <row r="278" spans="5:6">
      <c r="E278" s="682" t="s">
        <v>146</v>
      </c>
    </row>
    <row r="279" spans="5:6">
      <c r="E279" s="682" t="s">
        <v>101</v>
      </c>
    </row>
    <row r="280" spans="5:6">
      <c r="E280" s="682" t="s">
        <v>144</v>
      </c>
    </row>
    <row r="281" spans="5:6">
      <c r="E281" s="682" t="s">
        <v>210</v>
      </c>
    </row>
    <row r="282" spans="5:6">
      <c r="E282" s="673" t="s">
        <v>427</v>
      </c>
    </row>
    <row r="283" spans="5:6">
      <c r="E283" s="682" t="s">
        <v>109</v>
      </c>
    </row>
    <row r="284" spans="5:6">
      <c r="E284" s="682" t="s">
        <v>144</v>
      </c>
    </row>
    <row r="285" spans="5:6">
      <c r="E285" s="682" t="s">
        <v>210</v>
      </c>
    </row>
    <row r="286" spans="5:6">
      <c r="E286" s="673" t="s">
        <v>428</v>
      </c>
    </row>
    <row r="287" spans="5:6">
      <c r="E287" s="682" t="s">
        <v>109</v>
      </c>
    </row>
    <row r="288" spans="5:6">
      <c r="E288" s="682" t="s">
        <v>133</v>
      </c>
    </row>
    <row r="289" spans="1:12">
      <c r="E289" s="682" t="s">
        <v>99</v>
      </c>
    </row>
    <row r="290" spans="1:12">
      <c r="E290" s="682" t="s">
        <v>98</v>
      </c>
    </row>
    <row r="291" spans="1:12">
      <c r="E291" s="673" t="s">
        <v>429</v>
      </c>
    </row>
    <row r="292" spans="1:12">
      <c r="E292" s="682" t="s">
        <v>109</v>
      </c>
    </row>
    <row r="293" spans="1:12">
      <c r="E293" s="682" t="s">
        <v>98</v>
      </c>
    </row>
    <row r="294" spans="1:12">
      <c r="E294" s="682" t="s">
        <v>139</v>
      </c>
    </row>
    <row r="295" spans="1:12">
      <c r="E295" s="673" t="s">
        <v>430</v>
      </c>
    </row>
    <row r="296" spans="1:12">
      <c r="E296" s="758" t="s">
        <v>109</v>
      </c>
      <c r="F296" s="69"/>
    </row>
    <row r="297" spans="1:12">
      <c r="E297" s="682" t="s">
        <v>139</v>
      </c>
      <c r="F297" s="150"/>
    </row>
    <row r="298" spans="1:12" ht="15" customHeight="1"/>
    <row r="299" spans="1:12" ht="15" customHeight="1">
      <c r="G299" s="629"/>
      <c r="H299" s="629"/>
      <c r="I299" s="629"/>
      <c r="J299" s="629"/>
    </row>
    <row r="300" spans="1:12" ht="15" customHeight="1">
      <c r="E300" s="91"/>
      <c r="F300" s="1187" t="s">
        <v>859</v>
      </c>
      <c r="G300" s="1188"/>
      <c r="H300" s="1188"/>
      <c r="I300" s="1188"/>
      <c r="J300" s="1188"/>
    </row>
    <row r="301" spans="1:12" ht="15" customHeight="1">
      <c r="E301" s="91"/>
      <c r="G301" s="629" t="s">
        <v>342</v>
      </c>
      <c r="H301" s="629" t="s">
        <v>856</v>
      </c>
      <c r="I301" s="629" t="s">
        <v>857</v>
      </c>
      <c r="J301" s="629" t="s">
        <v>858</v>
      </c>
    </row>
    <row r="302" spans="1:12">
      <c r="A302" s="584" t="s">
        <v>782</v>
      </c>
      <c r="F302" s="467" t="s">
        <v>851</v>
      </c>
      <c r="G302" s="630" t="s">
        <v>854</v>
      </c>
      <c r="H302" s="630">
        <v>1000</v>
      </c>
      <c r="I302" s="630">
        <v>4.9000000000000002E-2</v>
      </c>
      <c r="J302" s="630">
        <v>3.3000000000000002E-2</v>
      </c>
    </row>
    <row r="303" spans="1:12">
      <c r="F303" s="467" t="s">
        <v>852</v>
      </c>
      <c r="G303" s="467" t="s">
        <v>854</v>
      </c>
      <c r="H303" s="467">
        <v>100</v>
      </c>
      <c r="I303" s="467">
        <v>4.9000000000000002E-2</v>
      </c>
      <c r="J303" s="467">
        <v>4.1000000000000002E-2</v>
      </c>
    </row>
    <row r="304" spans="1:12">
      <c r="A304" s="1213" t="s">
        <v>358</v>
      </c>
      <c r="B304" s="1214"/>
      <c r="C304" s="1214"/>
      <c r="D304" s="1214"/>
      <c r="E304" s="1215"/>
      <c r="F304" s="468" t="s">
        <v>853</v>
      </c>
      <c r="G304" s="467" t="s">
        <v>855</v>
      </c>
      <c r="H304" s="467">
        <v>500</v>
      </c>
      <c r="I304" s="469">
        <v>0.04</v>
      </c>
      <c r="J304" s="467">
        <v>3.1E-2</v>
      </c>
      <c r="K304" s="191"/>
      <c r="L304" s="191"/>
    </row>
    <row r="305" spans="1:12" ht="14.55" customHeight="1">
      <c r="A305" s="179" t="s">
        <v>37</v>
      </c>
      <c r="B305" s="179" t="s">
        <v>38</v>
      </c>
      <c r="C305" s="179" t="s">
        <v>39</v>
      </c>
      <c r="D305" s="179" t="s">
        <v>40</v>
      </c>
      <c r="E305" s="187" t="s">
        <v>41</v>
      </c>
      <c r="G305" s="1189" t="s">
        <v>358</v>
      </c>
      <c r="H305" s="1189"/>
      <c r="I305" s="1189"/>
      <c r="J305" s="1189"/>
      <c r="K305" s="93"/>
      <c r="L305" s="100"/>
    </row>
    <row r="306" spans="1:12">
      <c r="A306" s="1207" t="s">
        <v>342</v>
      </c>
      <c r="B306" s="1180" t="s">
        <v>984</v>
      </c>
      <c r="C306" s="1180" t="s">
        <v>345</v>
      </c>
      <c r="D306" s="1180"/>
      <c r="E306" s="1180" t="s">
        <v>353</v>
      </c>
      <c r="F306" s="95"/>
      <c r="G306" s="470" t="s">
        <v>37</v>
      </c>
      <c r="H306" s="470" t="s">
        <v>38</v>
      </c>
      <c r="I306" s="470" t="s">
        <v>39</v>
      </c>
      <c r="J306" s="470" t="s">
        <v>40</v>
      </c>
      <c r="K306" s="95"/>
    </row>
    <row r="307" spans="1:12">
      <c r="A307" s="1207"/>
      <c r="B307" s="1180"/>
      <c r="C307" s="555" t="s">
        <v>295</v>
      </c>
      <c r="D307" s="555" t="s">
        <v>346</v>
      </c>
      <c r="E307" s="1180"/>
      <c r="F307" s="95"/>
      <c r="G307" s="470" t="s">
        <v>342</v>
      </c>
      <c r="H307" s="470" t="s">
        <v>860</v>
      </c>
      <c r="I307" s="470" t="s">
        <v>295</v>
      </c>
      <c r="J307" s="470" t="s">
        <v>346</v>
      </c>
      <c r="K307" s="95"/>
    </row>
    <row r="308" spans="1:12" ht="48.75" customHeight="1">
      <c r="A308" s="590" t="s">
        <v>433</v>
      </c>
      <c r="B308" s="586" t="s">
        <v>976</v>
      </c>
      <c r="C308" s="587" t="s">
        <v>347</v>
      </c>
      <c r="D308" s="587" t="s">
        <v>348</v>
      </c>
      <c r="E308" s="1180"/>
      <c r="F308" s="161"/>
      <c r="G308" s="471" t="s">
        <v>854</v>
      </c>
      <c r="H308" s="471">
        <f>H302+H303</f>
        <v>1100</v>
      </c>
      <c r="I308" s="471">
        <f>((I302*H302)+(I303*H303))/(H308)</f>
        <v>4.9000000000000002E-2</v>
      </c>
      <c r="J308" s="472">
        <f>((0.033*1000)+(0.041*100))/1100</f>
        <v>3.3727272727272731E-2</v>
      </c>
    </row>
    <row r="309" spans="1:12" ht="36.6">
      <c r="A309" s="607" t="s">
        <v>349</v>
      </c>
      <c r="B309" s="592" t="s">
        <v>432</v>
      </c>
      <c r="C309" s="587" t="s">
        <v>350</v>
      </c>
      <c r="D309" s="587" t="s">
        <v>351</v>
      </c>
      <c r="E309" s="588" t="s">
        <v>352</v>
      </c>
      <c r="F309" s="92"/>
      <c r="G309" s="471" t="s">
        <v>855</v>
      </c>
      <c r="H309" s="471">
        <v>500</v>
      </c>
      <c r="I309" s="473">
        <f>((0.034*500))/500</f>
        <v>3.4000000000000002E-2</v>
      </c>
      <c r="J309" s="471">
        <f>((0.031*500))/500</f>
        <v>3.1E-2</v>
      </c>
    </row>
    <row r="310" spans="1:12">
      <c r="G310" s="474" t="s">
        <v>349</v>
      </c>
      <c r="H310" s="471">
        <f>SUM(H308:H309)</f>
        <v>1600</v>
      </c>
      <c r="I310" s="472">
        <f>((0.049*1100)+(0.034*500))/1600</f>
        <v>4.4312500000000005E-2</v>
      </c>
      <c r="J310" s="472">
        <f>((0.0337*1100)+(0.031*500))/1600</f>
        <v>3.2856250000000004E-2</v>
      </c>
    </row>
    <row r="311" spans="1:12">
      <c r="A311" s="1213" t="s">
        <v>359</v>
      </c>
      <c r="B311" s="1214"/>
      <c r="C311" s="1214"/>
      <c r="D311" s="1214"/>
      <c r="E311" s="1215"/>
      <c r="F311" s="191"/>
      <c r="G311" s="191"/>
      <c r="H311" s="191"/>
      <c r="I311" s="191"/>
      <c r="J311" s="191"/>
      <c r="K311" s="191"/>
      <c r="L311" s="191"/>
    </row>
    <row r="312" spans="1:12">
      <c r="A312" s="186" t="s">
        <v>37</v>
      </c>
      <c r="B312" s="186" t="s">
        <v>38</v>
      </c>
      <c r="C312" s="186" t="s">
        <v>39</v>
      </c>
      <c r="D312" s="186" t="s">
        <v>40</v>
      </c>
      <c r="E312" s="187" t="s">
        <v>41</v>
      </c>
      <c r="F312" s="197"/>
      <c r="G312" s="197"/>
      <c r="H312" s="197"/>
      <c r="I312" s="132"/>
      <c r="J312" s="132"/>
      <c r="K312" s="93"/>
      <c r="L312" s="197"/>
    </row>
    <row r="313" spans="1:12" ht="15" customHeight="1">
      <c r="A313" s="1207" t="s">
        <v>342</v>
      </c>
      <c r="B313" s="1208" t="s">
        <v>344</v>
      </c>
      <c r="C313" s="1208" t="s">
        <v>345</v>
      </c>
      <c r="D313" s="1208"/>
      <c r="E313" s="1210" t="s">
        <v>353</v>
      </c>
      <c r="F313" s="198"/>
      <c r="G313" s="198"/>
      <c r="H313" s="198"/>
      <c r="I313" s="1209"/>
      <c r="J313" s="1209"/>
      <c r="K313" s="198"/>
    </row>
    <row r="314" spans="1:12">
      <c r="A314" s="1207"/>
      <c r="B314" s="1208"/>
      <c r="C314" s="190" t="s">
        <v>295</v>
      </c>
      <c r="D314" s="190" t="s">
        <v>346</v>
      </c>
      <c r="E314" s="1211"/>
      <c r="F314" s="198"/>
      <c r="G314" s="198"/>
      <c r="H314" s="198"/>
      <c r="I314" s="475"/>
      <c r="J314" s="475"/>
      <c r="K314" s="198"/>
    </row>
    <row r="315" spans="1:12" ht="48.75" customHeight="1">
      <c r="A315" s="211" t="s">
        <v>354</v>
      </c>
      <c r="B315" s="586" t="s">
        <v>976</v>
      </c>
      <c r="C315" s="587" t="s">
        <v>347</v>
      </c>
      <c r="D315" s="587" t="s">
        <v>373</v>
      </c>
      <c r="E315" s="200" t="s">
        <v>352</v>
      </c>
      <c r="F315" s="174"/>
      <c r="G315" s="45"/>
      <c r="H315" s="45"/>
      <c r="I315" s="199"/>
      <c r="J315" s="174"/>
    </row>
    <row r="322" spans="1:12">
      <c r="A322" s="1256" t="s">
        <v>1189</v>
      </c>
      <c r="B322" s="1257"/>
      <c r="C322" s="1257"/>
      <c r="D322" s="1257"/>
      <c r="E322" s="1258"/>
      <c r="F322" s="191"/>
      <c r="G322" s="191"/>
      <c r="H322" s="191"/>
      <c r="I322" s="191"/>
      <c r="J322" s="191"/>
      <c r="K322" s="191"/>
      <c r="L322" s="191"/>
    </row>
    <row r="323" spans="1:12">
      <c r="A323" s="788" t="s">
        <v>37</v>
      </c>
      <c r="B323" s="788" t="s">
        <v>38</v>
      </c>
      <c r="C323" s="788" t="s">
        <v>39</v>
      </c>
      <c r="D323" s="788" t="s">
        <v>40</v>
      </c>
      <c r="E323" s="732" t="s">
        <v>41</v>
      </c>
      <c r="F323" s="766"/>
      <c r="G323" s="766"/>
      <c r="H323" s="766"/>
      <c r="I323" s="132"/>
      <c r="J323" s="132"/>
      <c r="K323" s="768"/>
      <c r="L323" s="766"/>
    </row>
    <row r="324" spans="1:12" ht="15" customHeight="1">
      <c r="A324" s="1259" t="s">
        <v>342</v>
      </c>
      <c r="B324" s="1260" t="s">
        <v>1190</v>
      </c>
      <c r="C324" s="1260" t="s">
        <v>345</v>
      </c>
      <c r="D324" s="1260"/>
      <c r="E324" s="1261" t="s">
        <v>353</v>
      </c>
      <c r="F324" s="764"/>
      <c r="G324" s="764"/>
      <c r="H324" s="764"/>
      <c r="I324" s="1209"/>
      <c r="J324" s="1209"/>
      <c r="K324" s="764"/>
    </row>
    <row r="325" spans="1:12">
      <c r="A325" s="1259"/>
      <c r="B325" s="1260"/>
      <c r="C325" s="670" t="s">
        <v>295</v>
      </c>
      <c r="D325" s="670" t="s">
        <v>346</v>
      </c>
      <c r="E325" s="1262"/>
      <c r="F325" s="764"/>
      <c r="G325" s="764"/>
      <c r="H325" s="764"/>
      <c r="I325" s="475"/>
      <c r="J325" s="475"/>
      <c r="K325" s="764"/>
    </row>
    <row r="326" spans="1:12" ht="48.75" customHeight="1">
      <c r="A326" s="789" t="s">
        <v>1191</v>
      </c>
      <c r="B326" s="790" t="s">
        <v>1192</v>
      </c>
      <c r="C326" s="791" t="s">
        <v>347</v>
      </c>
      <c r="D326" s="791" t="s">
        <v>373</v>
      </c>
      <c r="E326" s="792" t="s">
        <v>352</v>
      </c>
      <c r="F326" s="483"/>
      <c r="G326" s="45"/>
      <c r="H326" s="45"/>
      <c r="I326" s="199"/>
      <c r="J326" s="483"/>
    </row>
  </sheetData>
  <mergeCells count="237">
    <mergeCell ref="A322:E322"/>
    <mergeCell ref="A324:A325"/>
    <mergeCell ref="B324:B325"/>
    <mergeCell ref="C324:D324"/>
    <mergeCell ref="E324:E325"/>
    <mergeCell ref="I324:J324"/>
    <mergeCell ref="D120:H120"/>
    <mergeCell ref="D121:H121"/>
    <mergeCell ref="D122:H122"/>
    <mergeCell ref="I120:J120"/>
    <mergeCell ref="I121:J121"/>
    <mergeCell ref="D165:I165"/>
    <mergeCell ref="F141:G141"/>
    <mergeCell ref="F142:G142"/>
    <mergeCell ref="D139:G139"/>
    <mergeCell ref="D138:G138"/>
    <mergeCell ref="D137:G137"/>
    <mergeCell ref="A140:E140"/>
    <mergeCell ref="I122:J122"/>
    <mergeCell ref="H152:I152"/>
    <mergeCell ref="D152:G152"/>
    <mergeCell ref="H148:I148"/>
    <mergeCell ref="H149:I149"/>
    <mergeCell ref="H150:I150"/>
    <mergeCell ref="J87:L87"/>
    <mergeCell ref="J88:L88"/>
    <mergeCell ref="D85:I85"/>
    <mergeCell ref="A104:J104"/>
    <mergeCell ref="C105:J105"/>
    <mergeCell ref="D118:H118"/>
    <mergeCell ref="D119:H119"/>
    <mergeCell ref="I118:J118"/>
    <mergeCell ref="I119:J119"/>
    <mergeCell ref="A109:G109"/>
    <mergeCell ref="F112:F113"/>
    <mergeCell ref="G112:G113"/>
    <mergeCell ref="J112:J113"/>
    <mergeCell ref="A114:H114"/>
    <mergeCell ref="I106:J106"/>
    <mergeCell ref="I107:J107"/>
    <mergeCell ref="I108:J108"/>
    <mergeCell ref="D86:I86"/>
    <mergeCell ref="D87:I87"/>
    <mergeCell ref="D88:I88"/>
    <mergeCell ref="D89:I89"/>
    <mergeCell ref="J89:L89"/>
    <mergeCell ref="A115:H115"/>
    <mergeCell ref="A116:E116"/>
    <mergeCell ref="J9:L9"/>
    <mergeCell ref="D9:I9"/>
    <mergeCell ref="A82:I82"/>
    <mergeCell ref="K77:L77"/>
    <mergeCell ref="K78:L78"/>
    <mergeCell ref="K79:L80"/>
    <mergeCell ref="I77:J77"/>
    <mergeCell ref="D10:I10"/>
    <mergeCell ref="D11:I11"/>
    <mergeCell ref="J10:L10"/>
    <mergeCell ref="J11:L11"/>
    <mergeCell ref="I14:J14"/>
    <mergeCell ref="I13:J13"/>
    <mergeCell ref="K13:L13"/>
    <mergeCell ref="K14:L14"/>
    <mergeCell ref="A12:I12"/>
    <mergeCell ref="K15:L16"/>
    <mergeCell ref="D21:I21"/>
    <mergeCell ref="D22:I22"/>
    <mergeCell ref="D23:I23"/>
    <mergeCell ref="D24:I24"/>
    <mergeCell ref="D25:I25"/>
    <mergeCell ref="J21:L21"/>
    <mergeCell ref="J22:L22"/>
    <mergeCell ref="H15:H16"/>
    <mergeCell ref="A19:I19"/>
    <mergeCell ref="J74:L74"/>
    <mergeCell ref="D75:I75"/>
    <mergeCell ref="J75:L75"/>
    <mergeCell ref="A143:A144"/>
    <mergeCell ref="A81:I81"/>
    <mergeCell ref="A112:A113"/>
    <mergeCell ref="B112:B113"/>
    <mergeCell ref="H110:I110"/>
    <mergeCell ref="H111:I111"/>
    <mergeCell ref="D108:H108"/>
    <mergeCell ref="D107:H107"/>
    <mergeCell ref="D106:H106"/>
    <mergeCell ref="A83:I83"/>
    <mergeCell ref="A76:I76"/>
    <mergeCell ref="I125:I131"/>
    <mergeCell ref="J125:J131"/>
    <mergeCell ref="H143:H144"/>
    <mergeCell ref="A18:I18"/>
    <mergeCell ref="A20:I20"/>
    <mergeCell ref="K28:M28"/>
    <mergeCell ref="J85:L85"/>
    <mergeCell ref="J86:L86"/>
    <mergeCell ref="A3:L3"/>
    <mergeCell ref="A4:L4"/>
    <mergeCell ref="A7:L7"/>
    <mergeCell ref="A79:A80"/>
    <mergeCell ref="B79:B80"/>
    <mergeCell ref="A15:A16"/>
    <mergeCell ref="B15:B16"/>
    <mergeCell ref="J27:J33"/>
    <mergeCell ref="G15:G16"/>
    <mergeCell ref="J34:J39"/>
    <mergeCell ref="A71:L71"/>
    <mergeCell ref="G79:G80"/>
    <mergeCell ref="H79:H80"/>
    <mergeCell ref="A17:I17"/>
    <mergeCell ref="K5:L5"/>
    <mergeCell ref="B5:D5"/>
    <mergeCell ref="J23:L23"/>
    <mergeCell ref="J24:L24"/>
    <mergeCell ref="D73:I73"/>
    <mergeCell ref="J73:L73"/>
    <mergeCell ref="D74:I74"/>
    <mergeCell ref="I78:J78"/>
    <mergeCell ref="C8:L8"/>
    <mergeCell ref="C72:L72"/>
    <mergeCell ref="A313:A314"/>
    <mergeCell ref="B313:B314"/>
    <mergeCell ref="C313:D313"/>
    <mergeCell ref="I313:J313"/>
    <mergeCell ref="E313:E314"/>
    <mergeCell ref="A306:A307"/>
    <mergeCell ref="C182:D182"/>
    <mergeCell ref="C306:D306"/>
    <mergeCell ref="A304:E304"/>
    <mergeCell ref="E306:E308"/>
    <mergeCell ref="B306:B307"/>
    <mergeCell ref="A311:E311"/>
    <mergeCell ref="J238:L238"/>
    <mergeCell ref="J254:J260"/>
    <mergeCell ref="K255:M255"/>
    <mergeCell ref="J261:J266"/>
    <mergeCell ref="K221:L221"/>
    <mergeCell ref="A228:F228"/>
    <mergeCell ref="E244:I244"/>
    <mergeCell ref="E243:I243"/>
    <mergeCell ref="E245:I245"/>
    <mergeCell ref="E246:I246"/>
    <mergeCell ref="E250:I250"/>
    <mergeCell ref="E247:I247"/>
    <mergeCell ref="C181:D181"/>
    <mergeCell ref="D178:I178"/>
    <mergeCell ref="F300:J300"/>
    <mergeCell ref="G305:J305"/>
    <mergeCell ref="I221:J221"/>
    <mergeCell ref="J179:K179"/>
    <mergeCell ref="I222:J222"/>
    <mergeCell ref="K222:L222"/>
    <mergeCell ref="A223:A224"/>
    <mergeCell ref="B223:B224"/>
    <mergeCell ref="H223:H224"/>
    <mergeCell ref="K223:L224"/>
    <mergeCell ref="A217:I217"/>
    <mergeCell ref="C183:D183"/>
    <mergeCell ref="C184:D184"/>
    <mergeCell ref="C185:D185"/>
    <mergeCell ref="D179:I179"/>
    <mergeCell ref="A209:E209"/>
    <mergeCell ref="E214:I214"/>
    <mergeCell ref="E215:I215"/>
    <mergeCell ref="E216:I216"/>
    <mergeCell ref="J178:K178"/>
    <mergeCell ref="E248:I248"/>
    <mergeCell ref="E249:I249"/>
    <mergeCell ref="J177:K177"/>
    <mergeCell ref="D177:I177"/>
    <mergeCell ref="C168:D168"/>
    <mergeCell ref="K169:K170"/>
    <mergeCell ref="H169:H170"/>
    <mergeCell ref="D175:I175"/>
    <mergeCell ref="D176:I176"/>
    <mergeCell ref="J164:K164"/>
    <mergeCell ref="J165:K165"/>
    <mergeCell ref="C167:D167"/>
    <mergeCell ref="I167:J167"/>
    <mergeCell ref="A166:H166"/>
    <mergeCell ref="D164:I164"/>
    <mergeCell ref="A135:H135"/>
    <mergeCell ref="D148:G148"/>
    <mergeCell ref="D149:G149"/>
    <mergeCell ref="D150:G150"/>
    <mergeCell ref="D151:G151"/>
    <mergeCell ref="C136:H136"/>
    <mergeCell ref="A172:H172"/>
    <mergeCell ref="J175:K175"/>
    <mergeCell ref="J176:K176"/>
    <mergeCell ref="D163:I163"/>
    <mergeCell ref="J163:K163"/>
    <mergeCell ref="A161:K161"/>
    <mergeCell ref="H151:I151"/>
    <mergeCell ref="E238:I238"/>
    <mergeCell ref="E239:I239"/>
    <mergeCell ref="E242:I242"/>
    <mergeCell ref="A233:I233"/>
    <mergeCell ref="A225:I225"/>
    <mergeCell ref="H5:I5"/>
    <mergeCell ref="A211:L211"/>
    <mergeCell ref="C213:L213"/>
    <mergeCell ref="A84:I84"/>
    <mergeCell ref="A117:B117"/>
    <mergeCell ref="A146:B146"/>
    <mergeCell ref="A174:B174"/>
    <mergeCell ref="A171:H171"/>
    <mergeCell ref="A169:A170"/>
    <mergeCell ref="B169:B170"/>
    <mergeCell ref="G169:G170"/>
    <mergeCell ref="C170:D170"/>
    <mergeCell ref="C169:D169"/>
    <mergeCell ref="A145:F145"/>
    <mergeCell ref="B143:B144"/>
    <mergeCell ref="D143:D144"/>
    <mergeCell ref="E143:E144"/>
    <mergeCell ref="C162:K162"/>
    <mergeCell ref="I168:J168"/>
    <mergeCell ref="J237:L237"/>
    <mergeCell ref="A212:L212"/>
    <mergeCell ref="G223:G224"/>
    <mergeCell ref="A220:L220"/>
    <mergeCell ref="A231:A232"/>
    <mergeCell ref="B231:B232"/>
    <mergeCell ref="C231:C232"/>
    <mergeCell ref="D230:E230"/>
    <mergeCell ref="D229:E229"/>
    <mergeCell ref="A234:I234"/>
    <mergeCell ref="J214:L214"/>
    <mergeCell ref="J215:L215"/>
    <mergeCell ref="J216:L216"/>
    <mergeCell ref="J235:L235"/>
    <mergeCell ref="J236:L236"/>
    <mergeCell ref="A218:I218"/>
    <mergeCell ref="E235:I235"/>
    <mergeCell ref="E236:I236"/>
    <mergeCell ref="E237:I237"/>
  </mergeCells>
  <pageMargins left="0.7" right="0.7" top="0.75" bottom="0.75" header="0.3" footer="0.3"/>
  <pageSetup paperSize="3" scale="93" orientation="landscape" cellComments="asDisplayed" errors="blank"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C91"/>
  <sheetViews>
    <sheetView topLeftCell="A4" zoomScaleNormal="100" zoomScaleSheetLayoutView="100" workbookViewId="0">
      <selection activeCell="L7" sqref="L7:L9"/>
    </sheetView>
  </sheetViews>
  <sheetFormatPr defaultColWidth="9.44140625" defaultRowHeight="13.2"/>
  <cols>
    <col min="1" max="1" width="16" style="11" customWidth="1"/>
    <col min="2" max="3" width="23.44140625" style="11" customWidth="1"/>
    <col min="4" max="4" width="27.44140625" style="11" customWidth="1"/>
    <col min="5" max="5" width="13.5546875" style="11" customWidth="1"/>
    <col min="6" max="6" width="31.5546875" style="11" customWidth="1"/>
    <col min="7" max="7" width="30.5546875" style="11" customWidth="1"/>
    <col min="8" max="8" width="17" style="11" customWidth="1"/>
    <col min="9" max="11" width="16" style="11" customWidth="1"/>
    <col min="12" max="12" width="20.77734375" style="11" customWidth="1"/>
    <col min="13" max="14" width="16" style="11" customWidth="1"/>
    <col min="15" max="15" width="5.44140625" style="10" customWidth="1"/>
    <col min="16" max="16" width="18.44140625" style="10" customWidth="1"/>
    <col min="17" max="20" width="9.44140625" style="10"/>
    <col min="21" max="21" width="4.44140625" style="10" customWidth="1"/>
    <col min="22" max="16384" width="9.44140625" style="10"/>
  </cols>
  <sheetData>
    <row r="1" spans="1:29" s="43" customFormat="1" ht="14.4">
      <c r="A1" s="47"/>
      <c r="B1" s="43" t="s">
        <v>50</v>
      </c>
      <c r="D1" s="83"/>
      <c r="E1" s="43" t="s">
        <v>51</v>
      </c>
      <c r="F1" s="46"/>
      <c r="G1" s="135"/>
      <c r="H1" s="43" t="s">
        <v>52</v>
      </c>
      <c r="I1" s="105"/>
      <c r="J1" s="49"/>
      <c r="K1" s="46" t="s">
        <v>90</v>
      </c>
      <c r="L1" s="105"/>
      <c r="M1" s="105"/>
      <c r="N1" s="46"/>
    </row>
    <row r="3" spans="1:29" ht="15" customHeight="1">
      <c r="A3" s="1270" t="s">
        <v>443</v>
      </c>
      <c r="B3" s="1270"/>
      <c r="C3" s="1270"/>
      <c r="D3" s="1270"/>
      <c r="E3" s="1270"/>
      <c r="F3" s="1270"/>
      <c r="G3" s="1270"/>
      <c r="H3" s="1270"/>
      <c r="I3" s="1270"/>
      <c r="J3" s="1270"/>
      <c r="K3" s="1270"/>
      <c r="L3" s="1270"/>
      <c r="M3" s="51"/>
      <c r="N3" s="51"/>
      <c r="O3" s="51"/>
      <c r="P3" s="51"/>
      <c r="Q3" s="81"/>
      <c r="R3" s="81"/>
      <c r="S3" s="81"/>
    </row>
    <row r="4" spans="1:29" ht="42" customHeight="1">
      <c r="A4" s="1269" t="s">
        <v>1244</v>
      </c>
      <c r="B4" s="1269"/>
      <c r="C4" s="1269"/>
      <c r="D4" s="1269"/>
      <c r="E4" s="1269"/>
      <c r="F4" s="1269"/>
      <c r="G4" s="1269"/>
      <c r="H4" s="1269"/>
      <c r="I4" s="1269"/>
      <c r="J4" s="1269"/>
      <c r="K4" s="1269"/>
      <c r="L4" s="1269"/>
      <c r="M4" s="134" t="s">
        <v>946</v>
      </c>
      <c r="N4" s="134" t="s">
        <v>947</v>
      </c>
      <c r="O4" s="134" t="s">
        <v>796</v>
      </c>
      <c r="P4" s="134"/>
      <c r="Q4" s="81"/>
      <c r="R4" s="81"/>
      <c r="S4" s="81"/>
    </row>
    <row r="5" spans="1:29" ht="15" customHeight="1">
      <c r="A5" s="231" t="s">
        <v>37</v>
      </c>
      <c r="B5" s="231" t="s">
        <v>38</v>
      </c>
      <c r="C5" s="405" t="s">
        <v>39</v>
      </c>
      <c r="D5" s="231" t="s">
        <v>40</v>
      </c>
      <c r="E5" s="231" t="s">
        <v>41</v>
      </c>
      <c r="F5" s="231" t="s">
        <v>46</v>
      </c>
      <c r="G5" s="970" t="s">
        <v>47</v>
      </c>
      <c r="H5" s="1177" t="s">
        <v>48</v>
      </c>
      <c r="I5" s="1177"/>
      <c r="J5" s="1177" t="s">
        <v>49</v>
      </c>
      <c r="K5" s="1177"/>
      <c r="L5" s="187" t="s">
        <v>137</v>
      </c>
      <c r="M5" s="497">
        <f>0.2+(O6*(N5-0.2))</f>
        <v>0.69</v>
      </c>
      <c r="N5" s="128" t="s">
        <v>950</v>
      </c>
      <c r="O5" s="132" t="s">
        <v>948</v>
      </c>
      <c r="P5" s="1265" t="s">
        <v>951</v>
      </c>
      <c r="Q5" s="1265"/>
      <c r="R5" s="1265"/>
      <c r="S5" s="81"/>
      <c r="T5" s="81"/>
      <c r="U5" s="81"/>
      <c r="V5" s="81"/>
    </row>
    <row r="6" spans="1:29" ht="30" customHeight="1">
      <c r="A6" s="247" t="s">
        <v>78</v>
      </c>
      <c r="B6" s="508" t="s">
        <v>463</v>
      </c>
      <c r="C6" s="508" t="s">
        <v>701</v>
      </c>
      <c r="D6" s="508" t="s">
        <v>444</v>
      </c>
      <c r="E6" s="508" t="s">
        <v>258</v>
      </c>
      <c r="F6" s="508" t="s">
        <v>447</v>
      </c>
      <c r="G6" s="508" t="s">
        <v>448</v>
      </c>
      <c r="H6" s="1272" t="s">
        <v>461</v>
      </c>
      <c r="I6" s="1272"/>
      <c r="J6" s="1272" t="s">
        <v>462</v>
      </c>
      <c r="K6" s="1272"/>
      <c r="L6" s="691" t="s">
        <v>1053</v>
      </c>
      <c r="M6" s="246"/>
      <c r="N6" s="129"/>
      <c r="O6" s="132">
        <v>0.7</v>
      </c>
      <c r="P6" s="496" t="s">
        <v>949</v>
      </c>
      <c r="Q6" s="496"/>
      <c r="R6" s="496"/>
      <c r="S6" s="104"/>
      <c r="T6" s="104"/>
      <c r="U6" s="104"/>
      <c r="V6" s="104"/>
    </row>
    <row r="7" spans="1:29" ht="15">
      <c r="A7" s="1271"/>
      <c r="B7" s="1268"/>
      <c r="C7" s="1267" t="s">
        <v>445</v>
      </c>
      <c r="D7" s="1267" t="s">
        <v>445</v>
      </c>
      <c r="E7" s="1267" t="s">
        <v>445</v>
      </c>
      <c r="F7" s="1267" t="s">
        <v>445</v>
      </c>
      <c r="G7" s="1267" t="s">
        <v>449</v>
      </c>
      <c r="H7" s="245" t="s">
        <v>458</v>
      </c>
      <c r="I7" s="243"/>
      <c r="J7" s="608" t="s">
        <v>982</v>
      </c>
      <c r="K7" s="609"/>
      <c r="L7" s="1273" t="s">
        <v>888</v>
      </c>
      <c r="M7" s="610"/>
      <c r="N7" s="130"/>
      <c r="O7" s="133"/>
      <c r="P7" s="133"/>
      <c r="Q7" s="104"/>
      <c r="R7" s="104"/>
      <c r="S7" s="104"/>
      <c r="T7" s="104"/>
      <c r="U7" s="104"/>
      <c r="V7" s="104"/>
    </row>
    <row r="8" spans="1:29" ht="13.8">
      <c r="A8" s="1271"/>
      <c r="B8" s="1268"/>
      <c r="C8" s="1267"/>
      <c r="D8" s="1267"/>
      <c r="E8" s="1267"/>
      <c r="F8" s="1267"/>
      <c r="G8" s="1267"/>
      <c r="H8" s="245" t="s">
        <v>459</v>
      </c>
      <c r="I8" s="244"/>
      <c r="J8" s="608" t="s">
        <v>459</v>
      </c>
      <c r="K8" s="611"/>
      <c r="L8" s="1273"/>
      <c r="M8" s="612"/>
      <c r="N8" s="10"/>
      <c r="O8" s="76"/>
      <c r="P8" s="103"/>
      <c r="Q8" s="104"/>
      <c r="R8" s="104"/>
      <c r="S8" s="104"/>
      <c r="T8" s="104"/>
      <c r="U8" s="104"/>
      <c r="V8" s="85"/>
      <c r="W8" s="85"/>
      <c r="X8" s="85"/>
      <c r="Y8" s="85"/>
      <c r="Z8" s="85"/>
      <c r="AA8" s="85"/>
      <c r="AB8" s="85"/>
      <c r="AC8" s="85"/>
    </row>
    <row r="9" spans="1:29" ht="13.8">
      <c r="A9" s="1271"/>
      <c r="B9" s="1268"/>
      <c r="C9" s="1267"/>
      <c r="D9" s="1267"/>
      <c r="E9" s="1267"/>
      <c r="F9" s="1267"/>
      <c r="G9" s="1267"/>
      <c r="H9" s="245" t="s">
        <v>460</v>
      </c>
      <c r="I9" s="244"/>
      <c r="J9" s="608" t="s">
        <v>460</v>
      </c>
      <c r="K9" s="611"/>
      <c r="L9" s="1273"/>
      <c r="M9" s="613"/>
      <c r="N9" s="103"/>
      <c r="O9" s="76"/>
      <c r="P9" s="103"/>
      <c r="Q9" s="104"/>
      <c r="R9" s="104"/>
      <c r="S9" s="104"/>
      <c r="T9" s="104"/>
      <c r="U9" s="104"/>
      <c r="V9" s="85"/>
      <c r="W9" s="85"/>
      <c r="X9" s="85"/>
      <c r="Y9" s="85"/>
      <c r="Z9" s="85"/>
      <c r="AA9" s="85"/>
      <c r="AB9" s="85"/>
      <c r="AC9" s="85"/>
    </row>
    <row r="10" spans="1:29" ht="24.75" customHeight="1">
      <c r="A10" s="1266" t="s">
        <v>775</v>
      </c>
      <c r="B10" s="1266"/>
      <c r="C10" s="1266"/>
      <c r="D10" s="1266"/>
      <c r="E10" s="1266"/>
      <c r="F10" s="1266"/>
      <c r="G10" s="1266"/>
      <c r="H10" s="1266"/>
      <c r="I10" s="1266"/>
      <c r="J10" s="614" t="s">
        <v>81</v>
      </c>
      <c r="K10" s="615" t="s">
        <v>79</v>
      </c>
      <c r="L10" s="616" t="s">
        <v>80</v>
      </c>
      <c r="M10" s="282"/>
      <c r="N10" s="131"/>
      <c r="O10" s="131"/>
      <c r="Q10" s="104"/>
      <c r="R10" s="104"/>
      <c r="S10" s="104"/>
      <c r="T10" s="104"/>
      <c r="U10" s="104"/>
    </row>
    <row r="11" spans="1:29" ht="24">
      <c r="A11" s="116"/>
      <c r="B11" s="116"/>
      <c r="C11" s="233" t="s">
        <v>730</v>
      </c>
      <c r="D11" s="233" t="s">
        <v>446</v>
      </c>
      <c r="E11" s="115" t="s">
        <v>265</v>
      </c>
      <c r="F11" s="229" t="s">
        <v>272</v>
      </c>
      <c r="G11" s="229" t="s">
        <v>450</v>
      </c>
      <c r="H11" s="227"/>
      <c r="I11" s="228"/>
      <c r="J11" s="617"/>
      <c r="K11" s="228"/>
      <c r="L11" s="229" t="s">
        <v>889</v>
      </c>
      <c r="M11" s="618" t="s">
        <v>902</v>
      </c>
      <c r="N11" s="81"/>
    </row>
    <row r="12" spans="1:29" ht="13.8">
      <c r="A12" s="82"/>
      <c r="B12" s="82"/>
      <c r="C12" s="232" t="s">
        <v>367</v>
      </c>
      <c r="D12" s="232" t="s">
        <v>667</v>
      </c>
      <c r="E12" s="421" t="s">
        <v>936</v>
      </c>
      <c r="F12" s="358" t="s">
        <v>696</v>
      </c>
      <c r="G12" s="42" t="s">
        <v>451</v>
      </c>
      <c r="H12" s="81"/>
      <c r="I12" s="82"/>
      <c r="J12" s="617"/>
      <c r="K12" s="619"/>
      <c r="L12" s="506" t="s">
        <v>890</v>
      </c>
      <c r="M12" s="618">
        <v>0.25</v>
      </c>
      <c r="N12" s="81"/>
    </row>
    <row r="13" spans="1:29" ht="12.75" customHeight="1">
      <c r="A13" s="82"/>
      <c r="B13" s="82"/>
      <c r="C13" s="232" t="s">
        <v>368</v>
      </c>
      <c r="D13" s="654" t="s">
        <v>994</v>
      </c>
      <c r="E13" s="421" t="s">
        <v>937</v>
      </c>
      <c r="F13" s="225" t="s">
        <v>234</v>
      </c>
      <c r="G13" s="42" t="s">
        <v>452</v>
      </c>
      <c r="H13" s="81"/>
      <c r="I13" s="82"/>
      <c r="J13" s="620"/>
      <c r="K13" s="619"/>
      <c r="L13" s="506" t="s">
        <v>891</v>
      </c>
      <c r="M13" s="618">
        <v>0.36</v>
      </c>
      <c r="N13" s="81"/>
      <c r="Q13" s="11"/>
      <c r="R13" s="11"/>
      <c r="S13" s="11"/>
      <c r="T13" s="11"/>
      <c r="U13" s="11"/>
    </row>
    <row r="14" spans="1:29" ht="13.8">
      <c r="A14" s="82"/>
      <c r="B14" s="82"/>
      <c r="C14" s="82"/>
      <c r="D14" s="232" t="s">
        <v>666</v>
      </c>
      <c r="E14" s="82"/>
      <c r="F14" s="225" t="s">
        <v>233</v>
      </c>
      <c r="G14" s="42" t="s">
        <v>453</v>
      </c>
      <c r="H14" s="81"/>
      <c r="I14" s="226"/>
      <c r="J14" s="620"/>
      <c r="K14" s="621"/>
      <c r="L14" s="506" t="s">
        <v>892</v>
      </c>
      <c r="M14" s="618">
        <v>0.46</v>
      </c>
      <c r="N14" s="81"/>
      <c r="Q14" s="11"/>
      <c r="R14" s="11"/>
      <c r="S14" s="11"/>
      <c r="T14" s="11"/>
      <c r="U14" s="11"/>
    </row>
    <row r="15" spans="1:29" ht="13.8">
      <c r="A15" s="82"/>
      <c r="B15" s="82"/>
      <c r="C15" s="82"/>
      <c r="D15" s="655" t="s">
        <v>1044</v>
      </c>
      <c r="F15" s="225" t="s">
        <v>232</v>
      </c>
      <c r="G15" s="42" t="s">
        <v>455</v>
      </c>
      <c r="H15" s="81"/>
      <c r="I15" s="234"/>
      <c r="J15" s="620"/>
      <c r="K15" s="622"/>
      <c r="L15" s="506" t="s">
        <v>893</v>
      </c>
      <c r="M15" s="618">
        <v>0.56000000000000005</v>
      </c>
      <c r="N15" s="81"/>
      <c r="O15" s="11"/>
      <c r="P15" s="11"/>
    </row>
    <row r="16" spans="1:29" ht="13.8">
      <c r="A16" s="82"/>
      <c r="B16" s="82"/>
      <c r="C16" s="82"/>
      <c r="D16" s="655" t="s">
        <v>1045</v>
      </c>
      <c r="F16" s="225" t="s">
        <v>231</v>
      </c>
      <c r="G16" s="42" t="s">
        <v>454</v>
      </c>
      <c r="H16" s="81"/>
      <c r="I16" s="82"/>
      <c r="J16" s="620"/>
      <c r="K16" s="619"/>
      <c r="L16" s="623"/>
      <c r="M16" s="618"/>
      <c r="N16" s="81"/>
      <c r="O16" s="11"/>
      <c r="P16" s="11"/>
    </row>
    <row r="17" spans="1:16" ht="13.8">
      <c r="A17" s="82"/>
      <c r="B17" s="82"/>
      <c r="C17" s="82"/>
      <c r="F17" s="225" t="s">
        <v>230</v>
      </c>
      <c r="G17" s="42" t="s">
        <v>837</v>
      </c>
      <c r="H17" s="81"/>
      <c r="I17" s="82"/>
      <c r="J17" s="620"/>
      <c r="K17" s="619"/>
      <c r="L17" s="229" t="s">
        <v>889</v>
      </c>
      <c r="M17" s="618"/>
      <c r="N17" s="81"/>
      <c r="O17" s="11"/>
      <c r="P17" s="11"/>
    </row>
    <row r="18" spans="1:16" ht="15">
      <c r="A18" s="82"/>
      <c r="B18" s="82"/>
      <c r="C18" s="82"/>
      <c r="F18" s="225" t="s">
        <v>203</v>
      </c>
      <c r="G18" s="42" t="s">
        <v>836</v>
      </c>
      <c r="H18" s="81"/>
      <c r="I18" s="82"/>
      <c r="J18" s="620"/>
      <c r="K18" s="619"/>
      <c r="L18" s="506" t="s">
        <v>894</v>
      </c>
      <c r="M18" s="618">
        <v>0.25</v>
      </c>
      <c r="N18" s="81"/>
      <c r="O18" s="11"/>
      <c r="P18" s="11"/>
    </row>
    <row r="19" spans="1:16" ht="13.8">
      <c r="A19" s="82"/>
      <c r="B19" s="82"/>
      <c r="C19" s="82"/>
      <c r="F19" s="225" t="s">
        <v>229</v>
      </c>
      <c r="G19" s="42" t="s">
        <v>457</v>
      </c>
      <c r="H19" s="81"/>
      <c r="I19" s="82"/>
      <c r="J19" s="620"/>
      <c r="K19" s="619"/>
      <c r="L19" s="506" t="s">
        <v>895</v>
      </c>
      <c r="M19" s="618">
        <v>0.36</v>
      </c>
      <c r="N19" s="81"/>
      <c r="O19" s="11"/>
      <c r="P19" s="11"/>
    </row>
    <row r="20" spans="1:16" ht="13.8">
      <c r="A20" s="82"/>
      <c r="B20" s="82"/>
      <c r="C20" s="82"/>
      <c r="F20" s="225" t="s">
        <v>228</v>
      </c>
      <c r="G20" s="82"/>
      <c r="H20" s="81"/>
      <c r="I20" s="82"/>
      <c r="J20" s="620"/>
      <c r="K20" s="619"/>
      <c r="L20" s="506" t="s">
        <v>896</v>
      </c>
      <c r="M20" s="618">
        <v>0.46</v>
      </c>
      <c r="N20" s="81"/>
      <c r="O20" s="11"/>
      <c r="P20" s="11"/>
    </row>
    <row r="21" spans="1:16" ht="24">
      <c r="A21" s="82"/>
      <c r="B21" s="82"/>
      <c r="C21" s="82"/>
      <c r="F21" s="225" t="s">
        <v>227</v>
      </c>
      <c r="G21" s="229" t="s">
        <v>450</v>
      </c>
      <c r="H21" s="81"/>
      <c r="I21" s="82"/>
      <c r="J21" s="620"/>
      <c r="K21" s="619"/>
      <c r="L21" s="506" t="s">
        <v>897</v>
      </c>
      <c r="M21" s="618">
        <v>0.56000000000000005</v>
      </c>
      <c r="N21" s="81"/>
      <c r="O21" s="11"/>
      <c r="P21" s="11"/>
    </row>
    <row r="22" spans="1:16" ht="13.8">
      <c r="A22" s="82"/>
      <c r="B22" s="82"/>
      <c r="C22" s="82"/>
      <c r="F22" s="225" t="s">
        <v>226</v>
      </c>
      <c r="G22" s="42" t="s">
        <v>451</v>
      </c>
      <c r="H22" s="81"/>
      <c r="I22" s="82"/>
      <c r="J22" s="620"/>
      <c r="K22" s="619"/>
      <c r="L22" s="623"/>
      <c r="M22" s="618"/>
      <c r="N22" s="81"/>
      <c r="O22" s="11"/>
      <c r="P22" s="11"/>
    </row>
    <row r="23" spans="1:16" ht="13.8">
      <c r="A23" s="82"/>
      <c r="B23" s="82"/>
      <c r="C23" s="82"/>
      <c r="F23" s="225" t="s">
        <v>225</v>
      </c>
      <c r="G23" s="42" t="s">
        <v>452</v>
      </c>
      <c r="H23" s="81"/>
      <c r="I23" s="82"/>
      <c r="J23" s="620"/>
      <c r="K23" s="619"/>
      <c r="L23" s="229" t="s">
        <v>889</v>
      </c>
      <c r="M23" s="618"/>
      <c r="N23" s="81"/>
      <c r="O23" s="11"/>
      <c r="P23" s="11"/>
    </row>
    <row r="24" spans="1:16" ht="13.8">
      <c r="A24" s="82"/>
      <c r="B24" s="82"/>
      <c r="C24" s="82"/>
      <c r="F24" s="225" t="s">
        <v>224</v>
      </c>
      <c r="G24" s="42" t="s">
        <v>453</v>
      </c>
      <c r="H24" s="81"/>
      <c r="I24" s="82"/>
      <c r="J24" s="620"/>
      <c r="K24" s="619"/>
      <c r="L24" s="506" t="s">
        <v>898</v>
      </c>
      <c r="M24" s="618">
        <v>0.25</v>
      </c>
      <c r="N24" s="81"/>
      <c r="O24" s="11"/>
      <c r="P24" s="11"/>
    </row>
    <row r="25" spans="1:16" ht="13.8">
      <c r="A25" s="82"/>
      <c r="B25" s="82"/>
      <c r="C25" s="82"/>
      <c r="F25" s="225" t="s">
        <v>152</v>
      </c>
      <c r="G25" s="42" t="s">
        <v>454</v>
      </c>
      <c r="H25" s="689"/>
      <c r="I25" s="82"/>
      <c r="J25" s="620"/>
      <c r="K25" s="619"/>
      <c r="L25" s="506" t="s">
        <v>899</v>
      </c>
      <c r="M25" s="618">
        <v>0.36</v>
      </c>
      <c r="N25" s="81"/>
      <c r="O25" s="11"/>
      <c r="P25" s="11"/>
    </row>
    <row r="26" spans="1:16" ht="13.8">
      <c r="A26" s="82"/>
      <c r="B26" s="82"/>
      <c r="C26" s="82"/>
      <c r="F26" s="499" t="s">
        <v>521</v>
      </c>
      <c r="G26" s="42" t="s">
        <v>837</v>
      </c>
      <c r="H26" s="81"/>
      <c r="I26" s="82"/>
      <c r="J26" s="620"/>
      <c r="K26" s="619"/>
      <c r="L26" s="506" t="s">
        <v>900</v>
      </c>
      <c r="M26" s="618">
        <v>0.46</v>
      </c>
      <c r="N26" s="81"/>
      <c r="O26" s="11"/>
      <c r="P26" s="11"/>
    </row>
    <row r="27" spans="1:16" ht="15">
      <c r="A27" s="82"/>
      <c r="B27" s="82"/>
      <c r="C27" s="82"/>
      <c r="F27" s="10"/>
      <c r="G27" s="42" t="s">
        <v>836</v>
      </c>
      <c r="H27" s="81"/>
      <c r="I27" s="82"/>
      <c r="J27" s="620"/>
      <c r="K27" s="619"/>
      <c r="L27" s="506" t="s">
        <v>901</v>
      </c>
      <c r="M27" s="618">
        <v>0.56000000000000005</v>
      </c>
      <c r="N27" s="81"/>
      <c r="O27" s="11"/>
      <c r="P27" s="11"/>
    </row>
    <row r="28" spans="1:16" ht="13.8">
      <c r="A28" s="82"/>
      <c r="B28" s="82"/>
      <c r="C28" s="82"/>
      <c r="F28" s="10"/>
      <c r="G28" s="42" t="s">
        <v>457</v>
      </c>
      <c r="H28" s="81"/>
      <c r="I28" s="82"/>
      <c r="J28" s="620"/>
      <c r="K28" s="619"/>
      <c r="L28" s="623"/>
      <c r="M28" s="618"/>
      <c r="N28" s="81"/>
      <c r="O28" s="11"/>
      <c r="P28" s="11"/>
    </row>
    <row r="29" spans="1:16" ht="13.8">
      <c r="A29" s="82"/>
      <c r="B29" s="82"/>
      <c r="C29" s="82"/>
      <c r="F29" s="10"/>
      <c r="H29" s="81"/>
      <c r="I29" s="82"/>
      <c r="J29" s="620"/>
      <c r="K29" s="619"/>
      <c r="L29" s="229" t="s">
        <v>889</v>
      </c>
      <c r="M29" s="618"/>
      <c r="N29" s="81"/>
      <c r="O29" s="11"/>
      <c r="P29" s="11"/>
    </row>
    <row r="30" spans="1:16" ht="24">
      <c r="A30" s="82"/>
      <c r="B30" s="82"/>
      <c r="C30" s="82"/>
      <c r="F30" s="10"/>
      <c r="G30" s="229" t="s">
        <v>450</v>
      </c>
      <c r="H30" s="81"/>
      <c r="I30" s="82"/>
      <c r="J30" s="620"/>
      <c r="K30" s="619"/>
      <c r="L30" s="663" t="s">
        <v>1007</v>
      </c>
      <c r="M30" s="618">
        <v>0.25</v>
      </c>
      <c r="N30" s="81"/>
      <c r="O30" s="11"/>
      <c r="P30" s="11"/>
    </row>
    <row r="31" spans="1:16" ht="13.8">
      <c r="A31" s="82"/>
      <c r="B31" s="82"/>
      <c r="C31" s="82"/>
      <c r="F31" s="10"/>
      <c r="G31" s="42" t="s">
        <v>451</v>
      </c>
      <c r="H31" s="81"/>
      <c r="I31" s="82"/>
      <c r="J31" s="620"/>
      <c r="K31" s="619"/>
      <c r="L31" s="664" t="s">
        <v>1008</v>
      </c>
      <c r="M31" s="618">
        <v>0.3</v>
      </c>
      <c r="N31" s="81"/>
      <c r="O31" s="11"/>
      <c r="P31" s="11"/>
    </row>
    <row r="32" spans="1:16" ht="13.8">
      <c r="E32" s="114"/>
      <c r="G32" s="42" t="s">
        <v>452</v>
      </c>
      <c r="J32" s="623"/>
      <c r="K32" s="623"/>
      <c r="L32" s="664" t="s">
        <v>1009</v>
      </c>
      <c r="M32" s="618">
        <v>0.35</v>
      </c>
    </row>
    <row r="33" spans="5:13" ht="13.8">
      <c r="E33" s="114"/>
      <c r="G33" s="42" t="s">
        <v>453</v>
      </c>
      <c r="J33" s="623"/>
      <c r="K33" s="623"/>
      <c r="L33" s="664" t="s">
        <v>1010</v>
      </c>
      <c r="M33" s="618">
        <v>0.4</v>
      </c>
    </row>
    <row r="34" spans="5:13" ht="13.8">
      <c r="E34" s="114"/>
      <c r="G34" s="42" t="s">
        <v>456</v>
      </c>
      <c r="J34" s="623"/>
      <c r="K34" s="623"/>
      <c r="L34" s="664" t="s">
        <v>1011</v>
      </c>
      <c r="M34" s="618">
        <v>0.45</v>
      </c>
    </row>
    <row r="35" spans="5:13" ht="13.8">
      <c r="E35" s="114"/>
      <c r="G35" s="42" t="s">
        <v>454</v>
      </c>
      <c r="J35" s="623"/>
      <c r="K35" s="623"/>
      <c r="L35" s="664" t="s">
        <v>1012</v>
      </c>
      <c r="M35" s="618">
        <v>0.5</v>
      </c>
    </row>
    <row r="36" spans="5:13" ht="13.8">
      <c r="G36" s="42" t="s">
        <v>837</v>
      </c>
      <c r="J36" s="623"/>
      <c r="K36" s="623"/>
      <c r="L36" s="664" t="s">
        <v>1013</v>
      </c>
      <c r="M36" s="618">
        <v>0.55000000000000004</v>
      </c>
    </row>
    <row r="37" spans="5:13" ht="13.8">
      <c r="G37" s="42" t="s">
        <v>457</v>
      </c>
      <c r="J37" s="623"/>
      <c r="K37" s="623"/>
      <c r="L37" s="664" t="s">
        <v>1014</v>
      </c>
      <c r="M37" s="624">
        <v>0.6</v>
      </c>
    </row>
    <row r="38" spans="5:13" ht="13.8">
      <c r="G38" s="82"/>
      <c r="J38" s="623"/>
      <c r="K38" s="623"/>
      <c r="L38" s="623"/>
      <c r="M38" s="618"/>
    </row>
    <row r="39" spans="5:13" ht="24">
      <c r="G39" s="229" t="s">
        <v>450</v>
      </c>
      <c r="J39" s="623"/>
      <c r="K39" s="623"/>
      <c r="L39" s="229" t="s">
        <v>889</v>
      </c>
      <c r="M39" s="618"/>
    </row>
    <row r="40" spans="5:13" ht="13.8">
      <c r="G40" s="42" t="s">
        <v>451</v>
      </c>
      <c r="J40" s="623"/>
      <c r="K40" s="623"/>
      <c r="L40" s="663" t="s">
        <v>1015</v>
      </c>
      <c r="M40" s="618">
        <v>0.25</v>
      </c>
    </row>
    <row r="41" spans="5:13" ht="13.8">
      <c r="G41" s="42" t="s">
        <v>452</v>
      </c>
      <c r="J41" s="623"/>
      <c r="K41" s="623"/>
      <c r="L41" s="664" t="s">
        <v>1016</v>
      </c>
      <c r="M41" s="618">
        <v>0.3</v>
      </c>
    </row>
    <row r="42" spans="5:13" ht="13.8">
      <c r="G42" s="42" t="s">
        <v>453</v>
      </c>
      <c r="J42" s="623"/>
      <c r="K42" s="623"/>
      <c r="L42" s="664" t="s">
        <v>1017</v>
      </c>
      <c r="M42" s="618">
        <v>0.35</v>
      </c>
    </row>
    <row r="43" spans="5:13" ht="13.8">
      <c r="G43" s="42" t="s">
        <v>456</v>
      </c>
      <c r="J43" s="623"/>
      <c r="K43" s="623"/>
      <c r="L43" s="664" t="s">
        <v>1018</v>
      </c>
      <c r="M43" s="618">
        <v>0.4</v>
      </c>
    </row>
    <row r="44" spans="5:13" ht="13.8">
      <c r="G44" s="42" t="s">
        <v>454</v>
      </c>
      <c r="J44" s="623"/>
      <c r="K44" s="623"/>
      <c r="L44" s="664" t="s">
        <v>1019</v>
      </c>
      <c r="M44" s="618">
        <v>0.45</v>
      </c>
    </row>
    <row r="45" spans="5:13" ht="13.8">
      <c r="G45" s="42" t="s">
        <v>837</v>
      </c>
      <c r="J45" s="623"/>
      <c r="K45" s="623"/>
      <c r="L45" s="664" t="s">
        <v>1020</v>
      </c>
      <c r="M45" s="618">
        <v>0.5</v>
      </c>
    </row>
    <row r="46" spans="5:13" ht="13.8">
      <c r="G46" s="42" t="s">
        <v>838</v>
      </c>
      <c r="J46" s="623"/>
      <c r="K46" s="623"/>
      <c r="L46" s="664" t="s">
        <v>1021</v>
      </c>
      <c r="M46" s="618">
        <v>0.55000000000000004</v>
      </c>
    </row>
    <row r="47" spans="5:13" ht="13.8">
      <c r="G47" s="42" t="s">
        <v>457</v>
      </c>
      <c r="J47" s="623"/>
      <c r="K47" s="623"/>
      <c r="L47" s="664" t="s">
        <v>1022</v>
      </c>
      <c r="M47" s="624">
        <v>0.6</v>
      </c>
    </row>
    <row r="48" spans="5:13">
      <c r="J48" s="623"/>
      <c r="K48" s="623"/>
      <c r="L48" s="623"/>
      <c r="M48" s="623"/>
    </row>
    <row r="49" spans="7:13" ht="24">
      <c r="G49" s="229" t="s">
        <v>450</v>
      </c>
      <c r="L49" s="746" t="s">
        <v>1057</v>
      </c>
      <c r="M49" s="618"/>
    </row>
    <row r="50" spans="7:13" ht="13.8">
      <c r="G50" s="42" t="s">
        <v>451</v>
      </c>
      <c r="L50" s="664" t="s">
        <v>1059</v>
      </c>
      <c r="M50" s="618">
        <v>0</v>
      </c>
    </row>
    <row r="51" spans="7:13" ht="13.8">
      <c r="G51" s="42" t="s">
        <v>452</v>
      </c>
      <c r="L51" s="664" t="s">
        <v>1058</v>
      </c>
      <c r="M51" s="618">
        <v>0.45</v>
      </c>
    </row>
    <row r="52" spans="7:13" ht="13.8">
      <c r="G52" s="42" t="s">
        <v>453</v>
      </c>
      <c r="L52" s="664" t="s">
        <v>1054</v>
      </c>
      <c r="M52" s="618">
        <v>0.5</v>
      </c>
    </row>
    <row r="53" spans="7:13" ht="13.8">
      <c r="G53" s="42" t="s">
        <v>454</v>
      </c>
      <c r="L53" s="664" t="s">
        <v>1055</v>
      </c>
      <c r="M53" s="618">
        <v>0.55000000000000004</v>
      </c>
    </row>
    <row r="54" spans="7:13" ht="13.8">
      <c r="G54" s="42" t="s">
        <v>837</v>
      </c>
      <c r="L54" s="664" t="s">
        <v>1056</v>
      </c>
      <c r="M54" s="618">
        <v>0.6</v>
      </c>
    </row>
    <row r="55" spans="7:13" ht="13.8">
      <c r="G55" s="42" t="s">
        <v>457</v>
      </c>
    </row>
    <row r="57" spans="7:13" ht="24">
      <c r="G57" s="229" t="s">
        <v>450</v>
      </c>
      <c r="L57" s="746" t="s">
        <v>1057</v>
      </c>
      <c r="M57" s="618"/>
    </row>
    <row r="58" spans="7:13" ht="13.8">
      <c r="G58" s="42" t="s">
        <v>451</v>
      </c>
      <c r="L58" s="664" t="s">
        <v>1060</v>
      </c>
      <c r="M58" s="618">
        <v>0</v>
      </c>
    </row>
    <row r="59" spans="7:13" ht="13.8">
      <c r="G59" s="42" t="s">
        <v>452</v>
      </c>
      <c r="L59" s="664" t="s">
        <v>1061</v>
      </c>
      <c r="M59" s="618">
        <v>0.45</v>
      </c>
    </row>
    <row r="60" spans="7:13" ht="13.8">
      <c r="G60" s="42" t="s">
        <v>453</v>
      </c>
      <c r="L60" s="664" t="s">
        <v>1062</v>
      </c>
      <c r="M60" s="618">
        <v>0.5</v>
      </c>
    </row>
    <row r="61" spans="7:13" ht="13.8">
      <c r="G61" s="42" t="s">
        <v>454</v>
      </c>
      <c r="L61" s="664" t="s">
        <v>1063</v>
      </c>
      <c r="M61" s="618">
        <v>0.55000000000000004</v>
      </c>
    </row>
    <row r="62" spans="7:13" ht="13.8">
      <c r="G62" s="42" t="s">
        <v>457</v>
      </c>
      <c r="L62" s="664" t="s">
        <v>1064</v>
      </c>
      <c r="M62" s="618">
        <v>0.6</v>
      </c>
    </row>
    <row r="64" spans="7:13" ht="24">
      <c r="G64" s="229" t="s">
        <v>450</v>
      </c>
    </row>
    <row r="65" spans="7:7" ht="13.8">
      <c r="G65" s="42" t="s">
        <v>451</v>
      </c>
    </row>
    <row r="66" spans="7:7" ht="13.8">
      <c r="G66" s="42" t="s">
        <v>452</v>
      </c>
    </row>
    <row r="67" spans="7:7" ht="13.8">
      <c r="G67" s="42" t="s">
        <v>457</v>
      </c>
    </row>
    <row r="69" spans="7:7" ht="24">
      <c r="G69" s="649" t="s">
        <v>450</v>
      </c>
    </row>
    <row r="70" spans="7:7" ht="13.8">
      <c r="G70" s="655" t="s">
        <v>451</v>
      </c>
    </row>
    <row r="71" spans="7:7" ht="13.8">
      <c r="G71" s="655" t="s">
        <v>452</v>
      </c>
    </row>
    <row r="72" spans="7:7" ht="13.8">
      <c r="G72" s="655" t="s">
        <v>453</v>
      </c>
    </row>
    <row r="73" spans="7:7" ht="13.8">
      <c r="G73" s="655" t="s">
        <v>1052</v>
      </c>
    </row>
    <row r="74" spans="7:7" ht="13.8">
      <c r="G74" s="655" t="s">
        <v>454</v>
      </c>
    </row>
    <row r="75" spans="7:7" ht="13.8">
      <c r="G75" s="655" t="s">
        <v>837</v>
      </c>
    </row>
    <row r="76" spans="7:7" ht="15">
      <c r="G76" s="655" t="s">
        <v>1046</v>
      </c>
    </row>
    <row r="77" spans="7:7" ht="13.8">
      <c r="G77" s="655" t="s">
        <v>457</v>
      </c>
    </row>
    <row r="79" spans="7:7" ht="24">
      <c r="G79" s="649" t="s">
        <v>450</v>
      </c>
    </row>
    <row r="80" spans="7:7" ht="13.8">
      <c r="G80" s="690" t="s">
        <v>451</v>
      </c>
    </row>
    <row r="81" spans="7:7" ht="13.8">
      <c r="G81" s="690" t="s">
        <v>452</v>
      </c>
    </row>
    <row r="82" spans="7:7" ht="13.8">
      <c r="G82" s="690" t="s">
        <v>453</v>
      </c>
    </row>
    <row r="83" spans="7:7" ht="13.8">
      <c r="G83" s="690" t="s">
        <v>1047</v>
      </c>
    </row>
    <row r="84" spans="7:7" ht="13.8">
      <c r="G84" s="690" t="s">
        <v>1048</v>
      </c>
    </row>
    <row r="85" spans="7:7" ht="27.6">
      <c r="G85" s="690" t="s">
        <v>1049</v>
      </c>
    </row>
    <row r="86" spans="7:7" ht="27.6">
      <c r="G86" s="690" t="s">
        <v>1050</v>
      </c>
    </row>
    <row r="87" spans="7:7" ht="27.6">
      <c r="G87" s="690" t="s">
        <v>1051</v>
      </c>
    </row>
    <row r="88" spans="7:7" ht="27.6">
      <c r="G88" s="690" t="s">
        <v>454</v>
      </c>
    </row>
    <row r="89" spans="7:7" ht="27.6">
      <c r="G89" s="690" t="s">
        <v>837</v>
      </c>
    </row>
    <row r="90" spans="7:7" ht="28.8">
      <c r="G90" s="690" t="s">
        <v>1046</v>
      </c>
    </row>
    <row r="91" spans="7:7" ht="13.8">
      <c r="G91" s="690" t="s">
        <v>457</v>
      </c>
    </row>
  </sheetData>
  <mergeCells count="16">
    <mergeCell ref="A4:L4"/>
    <mergeCell ref="A3:L3"/>
    <mergeCell ref="A7:A9"/>
    <mergeCell ref="J5:K5"/>
    <mergeCell ref="J6:K6"/>
    <mergeCell ref="L7:L9"/>
    <mergeCell ref="H6:I6"/>
    <mergeCell ref="H5:I5"/>
    <mergeCell ref="P5:R5"/>
    <mergeCell ref="A10:I10"/>
    <mergeCell ref="G7:G9"/>
    <mergeCell ref="F7:F9"/>
    <mergeCell ref="E7:E9"/>
    <mergeCell ref="D7:D9"/>
    <mergeCell ref="B7:B9"/>
    <mergeCell ref="C7:C9"/>
  </mergeCells>
  <pageMargins left="0.5" right="0.5" top="0.75" bottom="0.75" header="0.3" footer="0.3"/>
  <pageSetup paperSize="3" scale="70" fitToHeight="0" orientation="landscape" cellComments="asDisplayed" horizontalDpi="1200" verticalDpi="1200"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375"/>
  <sheetViews>
    <sheetView topLeftCell="C69" zoomScale="60" zoomScaleNormal="60" workbookViewId="0">
      <selection activeCell="D69" sqref="D69"/>
    </sheetView>
  </sheetViews>
  <sheetFormatPr defaultColWidth="9.44140625" defaultRowHeight="14.4"/>
  <cols>
    <col min="1" max="1" width="24.44140625" style="43" customWidth="1"/>
    <col min="2" max="2" width="20.5546875" style="43" customWidth="1"/>
    <col min="3" max="3" width="15.5546875" style="43" customWidth="1"/>
    <col min="4" max="4" width="34.44140625" style="43" customWidth="1"/>
    <col min="5" max="5" width="24.44140625" style="43" customWidth="1"/>
    <col min="6" max="6" width="18.5546875" style="43" customWidth="1"/>
    <col min="7" max="7" width="20.44140625" style="43" customWidth="1"/>
    <col min="8" max="8" width="15.5546875" style="43" customWidth="1"/>
    <col min="9" max="9" width="11.5546875" style="43" customWidth="1"/>
    <col min="10" max="10" width="16.5546875" style="43" customWidth="1"/>
    <col min="11" max="11" width="18.44140625" style="43" customWidth="1"/>
    <col min="12" max="12" width="10.5546875" style="43" customWidth="1"/>
    <col min="13" max="16384" width="9.44140625" style="43"/>
  </cols>
  <sheetData>
    <row r="1" spans="1:21">
      <c r="A1" s="47"/>
      <c r="B1" s="43" t="s">
        <v>50</v>
      </c>
      <c r="C1" s="48"/>
      <c r="D1" s="43" t="s">
        <v>51</v>
      </c>
      <c r="F1" s="74"/>
      <c r="G1" s="43" t="s">
        <v>52</v>
      </c>
      <c r="K1" s="49"/>
      <c r="L1" s="43" t="s">
        <v>53</v>
      </c>
    </row>
    <row r="2" spans="1:21" ht="33" customHeight="1">
      <c r="B2" s="46"/>
      <c r="C2" s="46"/>
      <c r="D2" s="46"/>
      <c r="N2" s="136"/>
      <c r="O2" s="136"/>
      <c r="P2" s="136"/>
      <c r="Q2" s="136"/>
      <c r="R2" s="136"/>
      <c r="S2" s="136"/>
    </row>
    <row r="3" spans="1:21" ht="15" customHeight="1">
      <c r="A3" s="1223" t="s">
        <v>464</v>
      </c>
      <c r="B3" s="1223"/>
      <c r="C3" s="1223"/>
      <c r="D3" s="1223"/>
      <c r="E3" s="1223"/>
      <c r="F3" s="1223"/>
      <c r="G3" s="1223"/>
      <c r="H3" s="1223"/>
      <c r="I3" s="1223"/>
      <c r="J3" s="1223"/>
      <c r="K3" s="1223"/>
      <c r="L3" s="1223"/>
      <c r="N3" s="136"/>
      <c r="O3" s="136"/>
      <c r="P3" s="136"/>
      <c r="Q3" s="136"/>
      <c r="R3" s="136"/>
      <c r="S3" s="136"/>
    </row>
    <row r="4" spans="1:21" s="106" customFormat="1" ht="21" customHeight="1">
      <c r="A4" s="1296" t="s">
        <v>1200</v>
      </c>
      <c r="B4" s="1297"/>
      <c r="C4" s="1297"/>
      <c r="D4" s="1297"/>
      <c r="E4" s="1297"/>
      <c r="F4" s="1297"/>
      <c r="G4" s="1297"/>
      <c r="H4" s="1297"/>
      <c r="I4" s="1297"/>
      <c r="J4" s="1297"/>
      <c r="K4" s="1297"/>
      <c r="L4" s="1298"/>
      <c r="N4" s="136"/>
      <c r="O4" s="136"/>
      <c r="P4" s="136"/>
      <c r="Q4" s="136"/>
      <c r="R4" s="136"/>
      <c r="S4" s="136"/>
    </row>
    <row r="5" spans="1:21">
      <c r="A5" s="1047" t="s">
        <v>37</v>
      </c>
      <c r="B5" s="1300" t="s">
        <v>697</v>
      </c>
      <c r="C5" s="1300"/>
      <c r="D5" s="1300"/>
      <c r="E5" s="408" t="s">
        <v>328</v>
      </c>
      <c r="F5" s="408" t="s">
        <v>374</v>
      </c>
      <c r="G5" s="1299" t="s">
        <v>492</v>
      </c>
      <c r="H5" s="1233"/>
      <c r="I5" s="1299" t="s">
        <v>327</v>
      </c>
      <c r="J5" s="1233"/>
      <c r="K5" s="1299" t="s">
        <v>502</v>
      </c>
      <c r="L5" s="1233"/>
      <c r="N5" s="136"/>
      <c r="O5" s="136"/>
      <c r="P5" s="136"/>
      <c r="Q5" s="136"/>
      <c r="R5" s="136"/>
      <c r="S5" s="136"/>
    </row>
    <row r="6" spans="1:21">
      <c r="A6" s="1047"/>
      <c r="B6" s="1300"/>
      <c r="C6" s="1300"/>
      <c r="D6" s="1300"/>
      <c r="E6" s="408" t="s">
        <v>356</v>
      </c>
      <c r="F6" s="408" t="s">
        <v>357</v>
      </c>
      <c r="G6" s="1299" t="s">
        <v>355</v>
      </c>
      <c r="H6" s="1233"/>
      <c r="I6" s="1299" t="s">
        <v>501</v>
      </c>
      <c r="J6" s="1233"/>
      <c r="K6" s="1299" t="s">
        <v>493</v>
      </c>
      <c r="L6" s="1233"/>
      <c r="N6" s="136"/>
      <c r="O6" s="136"/>
      <c r="P6" s="136"/>
      <c r="Q6" s="136"/>
      <c r="R6" s="136"/>
      <c r="S6" s="136"/>
    </row>
    <row r="7" spans="1:21" ht="15">
      <c r="A7" s="1286" t="s">
        <v>731</v>
      </c>
      <c r="B7" s="1286"/>
      <c r="C7" s="1286"/>
      <c r="D7" s="1286"/>
      <c r="E7" s="1286"/>
      <c r="F7" s="1286"/>
      <c r="G7" s="1286"/>
      <c r="H7" s="1286"/>
      <c r="I7" s="1286"/>
      <c r="J7" s="1286"/>
      <c r="K7" s="1286"/>
      <c r="L7" s="1286"/>
      <c r="N7" s="136"/>
      <c r="O7" s="136"/>
      <c r="P7" s="136"/>
      <c r="Q7" s="136"/>
      <c r="R7" s="136"/>
      <c r="S7" s="136"/>
    </row>
    <row r="8" spans="1:21">
      <c r="A8" s="417"/>
      <c r="B8" s="296"/>
      <c r="C8" s="296"/>
      <c r="D8" s="296"/>
      <c r="E8" s="298"/>
      <c r="F8" s="298"/>
      <c r="G8" s="413"/>
      <c r="H8" s="413"/>
      <c r="I8" s="413"/>
      <c r="J8" s="413"/>
      <c r="K8" s="413"/>
      <c r="L8" s="418"/>
      <c r="N8" s="136"/>
      <c r="O8" s="136"/>
      <c r="P8" s="136"/>
      <c r="Q8" s="136"/>
      <c r="R8" s="136"/>
      <c r="S8" s="136"/>
    </row>
    <row r="9" spans="1:21">
      <c r="A9" s="1227" t="s">
        <v>223</v>
      </c>
      <c r="B9" s="1228"/>
      <c r="C9" s="1228"/>
      <c r="D9" s="1228"/>
      <c r="E9" s="1228"/>
      <c r="F9" s="1228"/>
      <c r="G9" s="1228"/>
      <c r="H9" s="1228"/>
      <c r="I9" s="1228"/>
      <c r="J9" s="1228"/>
      <c r="K9" s="1228"/>
      <c r="L9" s="1229"/>
      <c r="N9" s="136"/>
      <c r="O9" s="136"/>
      <c r="P9" s="136"/>
      <c r="Q9" s="136"/>
      <c r="R9" s="136"/>
      <c r="S9" s="136"/>
    </row>
    <row r="10" spans="1:21" ht="16.2">
      <c r="A10" s="179" t="s">
        <v>37</v>
      </c>
      <c r="B10" s="184" t="s">
        <v>7</v>
      </c>
      <c r="C10" s="1291" t="s">
        <v>440</v>
      </c>
      <c r="D10" s="1292"/>
      <c r="E10" s="1292"/>
      <c r="F10" s="1292"/>
      <c r="G10" s="1292"/>
      <c r="H10" s="1292"/>
      <c r="I10" s="1292"/>
      <c r="J10" s="1292"/>
      <c r="K10" s="1292"/>
      <c r="L10" s="1293"/>
      <c r="N10" s="136"/>
      <c r="O10" s="136"/>
      <c r="P10" s="136"/>
      <c r="Q10" s="136"/>
      <c r="R10" s="136"/>
      <c r="S10" s="136"/>
    </row>
    <row r="11" spans="1:21" ht="16.2">
      <c r="A11" s="176" t="s">
        <v>38</v>
      </c>
      <c r="B11" s="184" t="s">
        <v>7</v>
      </c>
      <c r="C11" s="1291" t="s">
        <v>441</v>
      </c>
      <c r="D11" s="1292"/>
      <c r="E11" s="1292"/>
      <c r="F11" s="1292"/>
      <c r="G11" s="1292"/>
      <c r="H11" s="1292"/>
      <c r="I11" s="1292"/>
      <c r="J11" s="1292"/>
      <c r="K11" s="1292"/>
      <c r="L11" s="1293"/>
      <c r="N11" s="136"/>
      <c r="O11" s="136"/>
      <c r="P11" s="136"/>
      <c r="Q11" s="136"/>
      <c r="R11" s="136"/>
      <c r="S11" s="136"/>
    </row>
    <row r="12" spans="1:21" ht="15" customHeight="1">
      <c r="A12" s="176" t="s">
        <v>39</v>
      </c>
      <c r="B12" s="176" t="s">
        <v>40</v>
      </c>
      <c r="C12" s="177" t="s">
        <v>41</v>
      </c>
      <c r="D12" s="176" t="s">
        <v>46</v>
      </c>
      <c r="E12" s="177" t="s">
        <v>47</v>
      </c>
      <c r="F12" s="178" t="s">
        <v>48</v>
      </c>
      <c r="G12" s="179" t="s">
        <v>49</v>
      </c>
      <c r="H12" s="179" t="s">
        <v>137</v>
      </c>
      <c r="I12" s="179" t="s">
        <v>176</v>
      </c>
      <c r="J12" s="1274" t="s">
        <v>209</v>
      </c>
      <c r="K12" s="1275"/>
      <c r="L12" s="180">
        <v>13</v>
      </c>
      <c r="N12" s="136"/>
      <c r="O12" s="136"/>
      <c r="P12" s="136"/>
      <c r="Q12" s="136"/>
      <c r="R12" s="136"/>
      <c r="S12" s="136"/>
      <c r="T12" s="136"/>
      <c r="U12" s="136"/>
    </row>
    <row r="13" spans="1:21" s="102" customFormat="1" ht="37.799999999999997">
      <c r="A13" s="505" t="s">
        <v>78</v>
      </c>
      <c r="B13" s="507" t="s">
        <v>737</v>
      </c>
      <c r="C13" s="555" t="s">
        <v>434</v>
      </c>
      <c r="D13" s="687" t="s">
        <v>1143</v>
      </c>
      <c r="E13" s="555" t="s">
        <v>360</v>
      </c>
      <c r="F13" s="555" t="s">
        <v>308</v>
      </c>
      <c r="G13" s="555" t="s">
        <v>307</v>
      </c>
      <c r="H13" s="593" t="s">
        <v>305</v>
      </c>
      <c r="I13" s="555" t="s">
        <v>974</v>
      </c>
      <c r="J13" s="1122" t="s">
        <v>323</v>
      </c>
      <c r="K13" s="1123"/>
      <c r="L13" s="500" t="s">
        <v>842</v>
      </c>
      <c r="N13" s="136"/>
      <c r="O13" s="136"/>
      <c r="P13" s="136"/>
      <c r="Q13" s="136"/>
      <c r="R13" s="136"/>
      <c r="S13" s="136"/>
      <c r="T13" s="136"/>
      <c r="U13" s="136"/>
    </row>
    <row r="14" spans="1:21">
      <c r="A14" s="1244"/>
      <c r="B14" s="1192" t="s">
        <v>95</v>
      </c>
      <c r="C14" s="1192" t="s">
        <v>95</v>
      </c>
      <c r="D14" s="1192" t="s">
        <v>95</v>
      </c>
      <c r="E14" s="1192" t="s">
        <v>95</v>
      </c>
      <c r="F14" s="528" t="s">
        <v>95</v>
      </c>
      <c r="G14" s="528" t="s">
        <v>95</v>
      </c>
      <c r="H14" s="1159" t="s">
        <v>95</v>
      </c>
      <c r="I14" s="1192" t="s">
        <v>113</v>
      </c>
      <c r="J14" s="183" t="s">
        <v>321</v>
      </c>
      <c r="K14" s="528" t="s">
        <v>113</v>
      </c>
      <c r="L14" s="1289"/>
      <c r="N14" s="136"/>
      <c r="O14" s="136"/>
      <c r="P14" s="136"/>
      <c r="Q14" s="136"/>
      <c r="R14" s="136"/>
      <c r="S14" s="136"/>
      <c r="T14" s="136"/>
      <c r="U14" s="136"/>
    </row>
    <row r="15" spans="1:21">
      <c r="A15" s="1244"/>
      <c r="B15" s="1193"/>
      <c r="C15" s="1193"/>
      <c r="D15" s="1193"/>
      <c r="E15" s="1193"/>
      <c r="F15" s="582"/>
      <c r="G15" s="581"/>
      <c r="H15" s="1159"/>
      <c r="I15" s="1193"/>
      <c r="J15" s="183" t="s">
        <v>734</v>
      </c>
      <c r="K15" s="583"/>
      <c r="L15" s="1290"/>
      <c r="N15" s="136"/>
      <c r="O15" s="136"/>
      <c r="P15" s="136"/>
      <c r="Q15" s="136"/>
      <c r="R15" s="136"/>
      <c r="S15" s="136"/>
      <c r="T15" s="136"/>
      <c r="U15" s="136"/>
    </row>
    <row r="16" spans="1:21" ht="39" customHeight="1">
      <c r="A16" s="1195" t="s">
        <v>509</v>
      </c>
      <c r="B16" s="1195"/>
      <c r="C16" s="1195"/>
      <c r="D16" s="1195"/>
      <c r="E16" s="1195"/>
      <c r="F16" s="1195"/>
      <c r="G16" s="1195"/>
      <c r="H16" s="1195"/>
      <c r="I16" s="1196"/>
      <c r="J16" s="185" t="s">
        <v>81</v>
      </c>
      <c r="K16" s="87" t="s">
        <v>79</v>
      </c>
      <c r="L16" s="86" t="s">
        <v>80</v>
      </c>
      <c r="N16" s="136"/>
      <c r="O16" s="136"/>
      <c r="P16" s="136"/>
      <c r="Q16" s="136"/>
      <c r="R16" s="136"/>
      <c r="S16" s="136"/>
      <c r="T16" s="136"/>
      <c r="U16" s="136"/>
    </row>
    <row r="17" spans="1:22" ht="16.5" customHeight="1">
      <c r="A17" s="706" t="s">
        <v>1070</v>
      </c>
      <c r="B17" s="90"/>
      <c r="K17" s="90"/>
      <c r="N17" s="136"/>
      <c r="O17" s="136"/>
      <c r="P17" s="136"/>
      <c r="Q17" s="136"/>
      <c r="R17" s="136"/>
      <c r="S17" s="136"/>
      <c r="T17" s="136"/>
      <c r="U17" s="136"/>
    </row>
    <row r="18" spans="1:22" ht="16.5" customHeight="1">
      <c r="A18" s="1151" t="s">
        <v>846</v>
      </c>
      <c r="B18" s="1151"/>
      <c r="K18" s="90"/>
      <c r="N18" s="136"/>
      <c r="O18" s="136"/>
      <c r="P18" s="136"/>
      <c r="Q18" s="1319" t="s">
        <v>1005</v>
      </c>
      <c r="R18" s="1319"/>
      <c r="S18" s="1319"/>
      <c r="T18" s="1319"/>
      <c r="U18" s="1319"/>
      <c r="V18" s="1319"/>
    </row>
    <row r="19" spans="1:22" ht="16.5" customHeight="1">
      <c r="A19" s="175"/>
      <c r="B19" s="460" t="s">
        <v>737</v>
      </c>
      <c r="C19" s="461" t="s">
        <v>434</v>
      </c>
      <c r="D19" s="461" t="s">
        <v>1069</v>
      </c>
      <c r="E19" s="461" t="s">
        <v>360</v>
      </c>
      <c r="F19" s="493" t="s">
        <v>308</v>
      </c>
      <c r="G19" s="502" t="s">
        <v>307</v>
      </c>
      <c r="H19" s="462" t="s">
        <v>305</v>
      </c>
      <c r="K19" s="90"/>
      <c r="N19" s="136"/>
      <c r="O19" s="136"/>
      <c r="P19" s="136"/>
      <c r="Q19" s="136"/>
      <c r="R19" s="136"/>
      <c r="S19" s="136"/>
      <c r="T19" s="136"/>
      <c r="U19" s="136"/>
    </row>
    <row r="20" spans="1:22" ht="15" customHeight="1">
      <c r="A20" s="90"/>
      <c r="B20" s="411" t="s">
        <v>738</v>
      </c>
      <c r="C20" s="171" t="s">
        <v>112</v>
      </c>
      <c r="D20" s="173" t="s">
        <v>88</v>
      </c>
      <c r="E20" s="172" t="s">
        <v>361</v>
      </c>
      <c r="F20" s="172" t="s">
        <v>109</v>
      </c>
      <c r="G20" s="499" t="s">
        <v>109</v>
      </c>
      <c r="H20" s="172" t="s">
        <v>268</v>
      </c>
      <c r="J20" s="1306"/>
      <c r="K20" s="1217"/>
      <c r="M20" s="97"/>
      <c r="N20" s="136"/>
      <c r="O20" s="136"/>
      <c r="P20" s="136"/>
      <c r="Q20" s="136"/>
      <c r="R20" s="136"/>
      <c r="S20" s="136"/>
    </row>
    <row r="21" spans="1:22" ht="15" customHeight="1">
      <c r="A21" s="419"/>
      <c r="B21" s="685" t="s">
        <v>1041</v>
      </c>
      <c r="C21" s="171" t="s">
        <v>108</v>
      </c>
      <c r="D21" s="410" t="s">
        <v>89</v>
      </c>
      <c r="E21" s="172" t="s">
        <v>362</v>
      </c>
      <c r="F21" s="495" t="s">
        <v>105</v>
      </c>
      <c r="G21" s="499" t="s">
        <v>309</v>
      </c>
      <c r="H21" s="172" t="s">
        <v>306</v>
      </c>
      <c r="J21" s="1306"/>
      <c r="K21" s="1217"/>
    </row>
    <row r="22" spans="1:22" ht="15" customHeight="1">
      <c r="B22" s="411" t="s">
        <v>739</v>
      </c>
      <c r="C22" s="421" t="s">
        <v>694</v>
      </c>
      <c r="D22" s="150"/>
      <c r="E22" s="433" t="s">
        <v>363</v>
      </c>
      <c r="F22" s="172" t="s">
        <v>148</v>
      </c>
      <c r="G22" s="499" t="s">
        <v>310</v>
      </c>
      <c r="J22" s="1306"/>
      <c r="K22" s="1217"/>
    </row>
    <row r="23" spans="1:22" ht="15" customHeight="1">
      <c r="B23" s="411" t="s">
        <v>740</v>
      </c>
      <c r="D23" s="670" t="s">
        <v>1069</v>
      </c>
      <c r="E23" s="172" t="s">
        <v>364</v>
      </c>
      <c r="F23" s="172" t="s">
        <v>146</v>
      </c>
      <c r="G23" s="499" t="s">
        <v>776</v>
      </c>
      <c r="J23" s="1306"/>
      <c r="K23" s="1217"/>
    </row>
    <row r="24" spans="1:22" ht="15" customHeight="1">
      <c r="B24" s="664" t="s">
        <v>1222</v>
      </c>
      <c r="D24" s="707" t="s">
        <v>1071</v>
      </c>
      <c r="E24" s="172" t="s">
        <v>365</v>
      </c>
      <c r="F24" s="98" t="s">
        <v>101</v>
      </c>
      <c r="G24" s="499" t="s">
        <v>311</v>
      </c>
      <c r="J24" s="1306"/>
      <c r="K24" s="1217"/>
    </row>
    <row r="25" spans="1:22" ht="15" customHeight="1">
      <c r="D25" s="707" t="s">
        <v>1072</v>
      </c>
      <c r="E25" s="172" t="s">
        <v>366</v>
      </c>
      <c r="G25" s="499" t="s">
        <v>312</v>
      </c>
      <c r="J25" s="1306"/>
      <c r="K25" s="1217"/>
    </row>
    <row r="26" spans="1:22" ht="15" customHeight="1">
      <c r="D26" s="664" t="s">
        <v>89</v>
      </c>
      <c r="E26" s="172" t="s">
        <v>409</v>
      </c>
      <c r="F26" s="493" t="s">
        <v>308</v>
      </c>
      <c r="G26" s="499" t="s">
        <v>313</v>
      </c>
      <c r="J26" s="1306"/>
      <c r="K26" s="1217"/>
    </row>
    <row r="27" spans="1:22" ht="15" customHeight="1">
      <c r="E27" s="172" t="s">
        <v>410</v>
      </c>
      <c r="F27" s="492" t="s">
        <v>109</v>
      </c>
      <c r="G27" s="499" t="s">
        <v>314</v>
      </c>
    </row>
    <row r="28" spans="1:22" ht="15" customHeight="1">
      <c r="E28" s="172" t="s">
        <v>411</v>
      </c>
      <c r="F28" s="98" t="s">
        <v>144</v>
      </c>
      <c r="G28" s="499" t="s">
        <v>337</v>
      </c>
    </row>
    <row r="29" spans="1:22" ht="15" customHeight="1">
      <c r="E29" s="172" t="s">
        <v>412</v>
      </c>
      <c r="F29" s="495" t="s">
        <v>100</v>
      </c>
      <c r="G29" s="499" t="s">
        <v>315</v>
      </c>
    </row>
    <row r="30" spans="1:22" ht="15" customHeight="1">
      <c r="E30" s="172" t="s">
        <v>413</v>
      </c>
      <c r="F30" s="98" t="s">
        <v>210</v>
      </c>
      <c r="G30" s="499" t="s">
        <v>338</v>
      </c>
    </row>
    <row r="31" spans="1:22" ht="16.5" customHeight="1">
      <c r="A31" s="175"/>
      <c r="B31" s="90"/>
      <c r="E31" s="205" t="s">
        <v>414</v>
      </c>
      <c r="K31" s="90"/>
      <c r="N31" s="136"/>
      <c r="O31" s="136"/>
      <c r="P31" s="136"/>
      <c r="Q31" s="136"/>
      <c r="R31" s="136"/>
      <c r="S31" s="136"/>
      <c r="T31" s="136"/>
      <c r="U31" s="136"/>
    </row>
    <row r="32" spans="1:22" ht="16.5" customHeight="1">
      <c r="A32" s="175"/>
      <c r="B32" s="90"/>
      <c r="E32" s="205" t="s">
        <v>408</v>
      </c>
      <c r="F32" s="493" t="s">
        <v>308</v>
      </c>
      <c r="K32" s="90"/>
      <c r="N32" s="136"/>
      <c r="O32" s="136"/>
      <c r="P32" s="136"/>
      <c r="Q32" s="136"/>
      <c r="R32" s="136"/>
      <c r="S32" s="136"/>
      <c r="T32" s="136"/>
      <c r="U32" s="136"/>
    </row>
    <row r="33" spans="1:21" ht="16.5" customHeight="1">
      <c r="A33" s="175"/>
      <c r="B33" s="90"/>
      <c r="E33" s="205" t="s">
        <v>415</v>
      </c>
      <c r="F33" s="492" t="s">
        <v>109</v>
      </c>
      <c r="G33" s="502" t="s">
        <v>307</v>
      </c>
      <c r="K33" s="90"/>
      <c r="N33" s="136"/>
      <c r="O33" s="136"/>
      <c r="P33" s="136"/>
      <c r="Q33" s="136"/>
      <c r="R33" s="136"/>
      <c r="S33" s="136"/>
      <c r="T33" s="136"/>
      <c r="U33" s="136"/>
    </row>
    <row r="34" spans="1:21" ht="16.5" customHeight="1">
      <c r="A34" s="175"/>
      <c r="B34" s="90"/>
      <c r="E34" s="205" t="s">
        <v>416</v>
      </c>
      <c r="F34" s="98" t="s">
        <v>144</v>
      </c>
      <c r="G34" s="499" t="s">
        <v>109</v>
      </c>
      <c r="K34" s="90"/>
      <c r="N34" s="136"/>
      <c r="O34" s="136"/>
      <c r="P34" s="136"/>
      <c r="Q34" s="136"/>
      <c r="R34" s="136"/>
      <c r="S34" s="136"/>
      <c r="T34" s="136"/>
      <c r="U34" s="136"/>
    </row>
    <row r="35" spans="1:21" ht="16.5" customHeight="1">
      <c r="A35" s="175"/>
      <c r="B35" s="90"/>
      <c r="E35" s="205" t="s">
        <v>417</v>
      </c>
      <c r="F35" s="98" t="s">
        <v>133</v>
      </c>
      <c r="G35" s="499" t="s">
        <v>309</v>
      </c>
      <c r="K35" s="90"/>
      <c r="N35" s="136"/>
      <c r="O35" s="136"/>
      <c r="P35" s="136"/>
      <c r="Q35" s="136"/>
      <c r="R35" s="136"/>
      <c r="S35" s="136"/>
      <c r="T35" s="136"/>
      <c r="U35" s="136"/>
    </row>
    <row r="36" spans="1:21" ht="16.5" customHeight="1">
      <c r="A36" s="175"/>
      <c r="B36" s="90"/>
      <c r="E36" s="205" t="s">
        <v>418</v>
      </c>
      <c r="F36" s="98" t="s">
        <v>99</v>
      </c>
      <c r="G36" s="499" t="s">
        <v>310</v>
      </c>
      <c r="K36" s="90"/>
      <c r="N36" s="136"/>
      <c r="O36" s="136"/>
      <c r="P36" s="136"/>
      <c r="Q36" s="136"/>
      <c r="R36" s="136"/>
      <c r="S36" s="136"/>
      <c r="T36" s="136"/>
      <c r="U36" s="136"/>
    </row>
    <row r="37" spans="1:21" ht="16.5" customHeight="1">
      <c r="A37" s="175"/>
      <c r="B37" s="90"/>
      <c r="E37" s="205" t="s">
        <v>419</v>
      </c>
      <c r="F37" s="98" t="s">
        <v>98</v>
      </c>
      <c r="G37" s="499" t="s">
        <v>776</v>
      </c>
      <c r="K37" s="90"/>
      <c r="N37" s="136"/>
      <c r="O37" s="136"/>
      <c r="P37" s="136"/>
      <c r="Q37" s="136"/>
      <c r="R37" s="136"/>
      <c r="S37" s="136"/>
      <c r="T37" s="136"/>
      <c r="U37" s="136"/>
    </row>
    <row r="38" spans="1:21" ht="15" customHeight="1">
      <c r="A38" s="130"/>
      <c r="B38" s="130"/>
      <c r="C38" s="130"/>
      <c r="D38" s="130"/>
      <c r="E38" s="130"/>
      <c r="G38" s="499" t="s">
        <v>311</v>
      </c>
      <c r="H38" s="130"/>
      <c r="I38" s="130"/>
      <c r="J38" s="130"/>
      <c r="K38" s="130"/>
      <c r="L38" s="130"/>
      <c r="N38" s="204"/>
      <c r="O38" s="204"/>
      <c r="P38" s="204"/>
      <c r="Q38" s="204"/>
      <c r="R38" s="204"/>
      <c r="S38" s="204"/>
    </row>
    <row r="39" spans="1:21" ht="24">
      <c r="A39" s="201"/>
      <c r="B39" s="201"/>
      <c r="C39" s="201"/>
      <c r="D39" s="201"/>
      <c r="E39" s="219"/>
      <c r="F39" s="493" t="s">
        <v>308</v>
      </c>
      <c r="G39" s="499" t="s">
        <v>312</v>
      </c>
      <c r="H39" s="201"/>
      <c r="I39" s="45"/>
      <c r="J39" s="201"/>
      <c r="K39" s="201"/>
      <c r="L39" s="45"/>
      <c r="M39" s="97"/>
      <c r="N39" s="204"/>
      <c r="O39" s="204"/>
      <c r="P39" s="204"/>
      <c r="Q39" s="204"/>
      <c r="R39" s="204"/>
      <c r="S39" s="204"/>
    </row>
    <row r="40" spans="1:21">
      <c r="A40" s="207"/>
      <c r="B40" s="218"/>
      <c r="C40" s="202"/>
      <c r="D40" s="202"/>
      <c r="E40" s="137"/>
      <c r="F40" s="492" t="s">
        <v>109</v>
      </c>
      <c r="G40" s="499" t="s">
        <v>313</v>
      </c>
      <c r="H40" s="202"/>
      <c r="I40" s="45"/>
      <c r="J40" s="218"/>
      <c r="K40" s="202"/>
      <c r="L40" s="45"/>
      <c r="M40" s="97"/>
      <c r="N40" s="204"/>
      <c r="O40" s="204"/>
      <c r="P40" s="204"/>
      <c r="Q40" s="204"/>
      <c r="R40" s="204"/>
      <c r="S40" s="204"/>
    </row>
    <row r="41" spans="1:21">
      <c r="A41" s="220"/>
      <c r="B41" s="220"/>
      <c r="C41" s="145"/>
      <c r="D41" s="206"/>
      <c r="F41" s="492" t="s">
        <v>148</v>
      </c>
      <c r="G41" s="499" t="s">
        <v>314</v>
      </c>
      <c r="H41" s="206"/>
      <c r="I41" s="45"/>
      <c r="J41" s="206"/>
      <c r="K41" s="45"/>
      <c r="L41" s="45"/>
      <c r="M41" s="97"/>
      <c r="N41" s="204"/>
      <c r="O41" s="204"/>
      <c r="P41" s="204"/>
      <c r="Q41" s="204"/>
      <c r="R41" s="204"/>
      <c r="S41" s="204"/>
    </row>
    <row r="42" spans="1:21">
      <c r="A42" s="220"/>
      <c r="B42" s="220"/>
      <c r="C42" s="145"/>
      <c r="D42" s="483"/>
      <c r="E42" s="482"/>
      <c r="F42" s="492" t="s">
        <v>146</v>
      </c>
      <c r="G42" s="499" t="s">
        <v>337</v>
      </c>
      <c r="H42" s="483"/>
      <c r="I42" s="45"/>
      <c r="J42" s="483"/>
      <c r="K42" s="45"/>
      <c r="L42" s="45"/>
      <c r="M42" s="97"/>
      <c r="N42" s="268"/>
      <c r="O42" s="268"/>
      <c r="P42" s="268"/>
      <c r="Q42" s="268"/>
      <c r="R42" s="268"/>
      <c r="S42" s="268"/>
    </row>
    <row r="43" spans="1:21">
      <c r="A43" s="220"/>
      <c r="B43" s="220"/>
      <c r="C43" s="145"/>
      <c r="D43" s="483"/>
      <c r="E43" s="482"/>
      <c r="F43" s="98" t="s">
        <v>101</v>
      </c>
      <c r="G43" s="499" t="s">
        <v>338</v>
      </c>
      <c r="H43" s="483"/>
      <c r="I43" s="45"/>
      <c r="J43" s="483"/>
      <c r="K43" s="45"/>
      <c r="L43" s="45"/>
      <c r="M43" s="97"/>
      <c r="N43" s="268"/>
      <c r="O43" s="268"/>
      <c r="P43" s="268"/>
      <c r="Q43" s="268"/>
      <c r="R43" s="268"/>
      <c r="S43" s="268"/>
    </row>
    <row r="44" spans="1:21">
      <c r="A44" s="220"/>
      <c r="B44" s="220"/>
      <c r="C44" s="145"/>
      <c r="D44" s="483"/>
      <c r="E44" s="482"/>
      <c r="G44" s="46"/>
      <c r="H44" s="483"/>
      <c r="I44" s="45"/>
      <c r="J44" s="483"/>
      <c r="K44" s="45"/>
      <c r="L44" s="45"/>
      <c r="M44" s="97"/>
      <c r="N44" s="268"/>
      <c r="O44" s="268"/>
      <c r="P44" s="268"/>
      <c r="Q44" s="268"/>
      <c r="R44" s="268"/>
      <c r="S44" s="268"/>
    </row>
    <row r="45" spans="1:21" ht="24">
      <c r="A45" s="220"/>
      <c r="B45" s="220"/>
      <c r="C45" s="145"/>
      <c r="D45" s="483"/>
      <c r="E45" s="482"/>
      <c r="F45" s="493" t="s">
        <v>308</v>
      </c>
      <c r="G45" s="482"/>
      <c r="H45" s="483"/>
      <c r="I45" s="45"/>
      <c r="J45" s="483"/>
      <c r="K45" s="45"/>
      <c r="L45" s="45"/>
      <c r="M45" s="97"/>
      <c r="N45" s="268"/>
      <c r="O45" s="268"/>
      <c r="P45" s="268"/>
      <c r="Q45" s="268"/>
      <c r="R45" s="268"/>
      <c r="S45" s="268"/>
    </row>
    <row r="46" spans="1:21" ht="24">
      <c r="A46" s="220"/>
      <c r="B46" s="220"/>
      <c r="C46" s="145"/>
      <c r="D46" s="483"/>
      <c r="E46" s="482"/>
      <c r="F46" s="492" t="s">
        <v>109</v>
      </c>
      <c r="G46" s="502" t="s">
        <v>307</v>
      </c>
      <c r="H46" s="483"/>
      <c r="I46" s="45"/>
      <c r="J46" s="483"/>
      <c r="K46" s="45"/>
      <c r="L46" s="45"/>
      <c r="M46" s="97"/>
      <c r="N46" s="268"/>
      <c r="O46" s="268"/>
      <c r="P46" s="268"/>
      <c r="Q46" s="268"/>
      <c r="R46" s="268"/>
      <c r="S46" s="268"/>
    </row>
    <row r="47" spans="1:21">
      <c r="A47" s="220"/>
      <c r="B47" s="220"/>
      <c r="C47" s="145"/>
      <c r="D47" s="483"/>
      <c r="E47" s="482"/>
      <c r="F47" s="98" t="s">
        <v>144</v>
      </c>
      <c r="G47" s="499" t="s">
        <v>109</v>
      </c>
      <c r="H47" s="483"/>
      <c r="I47" s="45"/>
      <c r="J47" s="483"/>
      <c r="K47" s="45"/>
      <c r="L47" s="45"/>
      <c r="M47" s="97"/>
      <c r="N47" s="268"/>
      <c r="O47" s="268"/>
      <c r="P47" s="268"/>
      <c r="Q47" s="268"/>
      <c r="R47" s="268"/>
      <c r="S47" s="268"/>
    </row>
    <row r="48" spans="1:21">
      <c r="A48" s="220"/>
      <c r="B48" s="220"/>
      <c r="C48" s="145"/>
      <c r="D48" s="483"/>
      <c r="E48" s="482"/>
      <c r="F48" s="492" t="s">
        <v>100</v>
      </c>
      <c r="G48" s="499" t="s">
        <v>309</v>
      </c>
      <c r="H48" s="483"/>
      <c r="I48" s="45"/>
      <c r="J48" s="483"/>
      <c r="K48" s="45"/>
      <c r="L48" s="45"/>
      <c r="M48" s="97"/>
      <c r="N48" s="268"/>
      <c r="O48" s="268"/>
      <c r="P48" s="268"/>
      <c r="Q48" s="268"/>
      <c r="R48" s="268"/>
      <c r="S48" s="268"/>
    </row>
    <row r="49" spans="1:19">
      <c r="A49" s="220"/>
      <c r="B49" s="220"/>
      <c r="C49" s="145"/>
      <c r="D49" s="483"/>
      <c r="E49" s="482"/>
      <c r="F49" s="98" t="s">
        <v>210</v>
      </c>
      <c r="G49" s="499" t="s">
        <v>310</v>
      </c>
      <c r="H49" s="483"/>
      <c r="I49" s="45"/>
      <c r="J49" s="483"/>
      <c r="K49" s="45"/>
      <c r="L49" s="45"/>
      <c r="M49" s="97"/>
      <c r="N49" s="268"/>
      <c r="O49" s="268"/>
      <c r="P49" s="268"/>
      <c r="Q49" s="268"/>
      <c r="R49" s="268"/>
      <c r="S49" s="268"/>
    </row>
    <row r="50" spans="1:19">
      <c r="A50" s="220"/>
      <c r="B50" s="220"/>
      <c r="C50" s="145"/>
      <c r="D50" s="483"/>
      <c r="E50" s="482"/>
      <c r="F50" s="98" t="s">
        <v>133</v>
      </c>
      <c r="G50" s="499" t="s">
        <v>776</v>
      </c>
      <c r="H50" s="483"/>
      <c r="I50" s="45"/>
      <c r="J50" s="483"/>
      <c r="K50" s="45"/>
      <c r="L50" s="45"/>
      <c r="M50" s="97"/>
      <c r="N50" s="268"/>
      <c r="O50" s="268"/>
      <c r="P50" s="268"/>
      <c r="Q50" s="268"/>
      <c r="R50" s="268"/>
      <c r="S50" s="268"/>
    </row>
    <row r="51" spans="1:19">
      <c r="A51" s="220"/>
      <c r="B51" s="220"/>
      <c r="C51" s="145"/>
      <c r="D51" s="483"/>
      <c r="E51" s="482"/>
      <c r="F51" s="98" t="s">
        <v>220</v>
      </c>
      <c r="G51" s="499" t="s">
        <v>311</v>
      </c>
      <c r="H51" s="483"/>
      <c r="I51" s="45"/>
      <c r="J51" s="483"/>
      <c r="K51" s="45"/>
      <c r="L51" s="45"/>
      <c r="M51" s="97"/>
      <c r="N51" s="268"/>
      <c r="O51" s="268"/>
      <c r="P51" s="268"/>
      <c r="Q51" s="268"/>
      <c r="R51" s="268"/>
      <c r="S51" s="268"/>
    </row>
    <row r="52" spans="1:19">
      <c r="A52" s="220"/>
      <c r="B52" s="220"/>
      <c r="C52" s="145"/>
      <c r="D52" s="483"/>
      <c r="E52" s="482"/>
      <c r="F52" s="98" t="s">
        <v>99</v>
      </c>
      <c r="G52" s="499" t="s">
        <v>312</v>
      </c>
      <c r="H52" s="483"/>
      <c r="I52" s="45"/>
      <c r="J52" s="483"/>
      <c r="K52" s="45"/>
      <c r="L52" s="45"/>
      <c r="M52" s="97"/>
      <c r="N52" s="268"/>
      <c r="O52" s="268"/>
      <c r="P52" s="268"/>
      <c r="Q52" s="268"/>
      <c r="R52" s="268"/>
      <c r="S52" s="268"/>
    </row>
    <row r="53" spans="1:19">
      <c r="A53" s="220"/>
      <c r="B53" s="220"/>
      <c r="C53" s="145"/>
      <c r="D53" s="483"/>
      <c r="E53" s="482"/>
      <c r="G53" s="499" t="s">
        <v>313</v>
      </c>
      <c r="H53" s="483"/>
      <c r="I53" s="45"/>
      <c r="J53" s="483"/>
      <c r="K53" s="45"/>
      <c r="L53" s="45"/>
      <c r="M53" s="97"/>
      <c r="N53" s="268"/>
      <c r="O53" s="268"/>
      <c r="P53" s="268"/>
      <c r="Q53" s="268"/>
      <c r="R53" s="268"/>
      <c r="S53" s="268"/>
    </row>
    <row r="54" spans="1:19" ht="24">
      <c r="A54" s="220"/>
      <c r="B54" s="220"/>
      <c r="C54" s="145"/>
      <c r="D54" s="483"/>
      <c r="E54" s="482"/>
      <c r="F54" s="493" t="s">
        <v>308</v>
      </c>
      <c r="G54" s="499" t="s">
        <v>314</v>
      </c>
      <c r="H54" s="483"/>
      <c r="I54" s="45"/>
      <c r="J54" s="483"/>
      <c r="K54" s="45"/>
      <c r="L54" s="45"/>
      <c r="M54" s="97"/>
      <c r="N54" s="268"/>
      <c r="O54" s="268"/>
      <c r="P54" s="268"/>
      <c r="Q54" s="268"/>
      <c r="R54" s="268"/>
      <c r="S54" s="268"/>
    </row>
    <row r="55" spans="1:19">
      <c r="A55" s="220"/>
      <c r="B55" s="220"/>
      <c r="C55" s="145"/>
      <c r="D55" s="483"/>
      <c r="E55" s="482"/>
      <c r="F55" s="492" t="s">
        <v>109</v>
      </c>
      <c r="G55" s="91"/>
      <c r="H55" s="483"/>
      <c r="I55" s="45"/>
      <c r="J55" s="483"/>
      <c r="K55" s="45"/>
      <c r="L55" s="45"/>
      <c r="M55" s="97"/>
      <c r="N55" s="268"/>
      <c r="O55" s="268"/>
      <c r="P55" s="268"/>
      <c r="Q55" s="268"/>
      <c r="R55" s="268"/>
      <c r="S55" s="268"/>
    </row>
    <row r="56" spans="1:19">
      <c r="A56" s="220"/>
      <c r="B56" s="220"/>
      <c r="C56" s="145"/>
      <c r="D56" s="483"/>
      <c r="E56" s="494"/>
      <c r="F56" s="98" t="s">
        <v>144</v>
      </c>
      <c r="G56" s="91"/>
      <c r="H56" s="483"/>
      <c r="I56" s="45"/>
      <c r="J56" s="483"/>
      <c r="K56" s="45"/>
      <c r="L56" s="45"/>
      <c r="M56" s="97"/>
      <c r="N56" s="268"/>
      <c r="O56" s="268"/>
      <c r="P56" s="268"/>
      <c r="Q56" s="268"/>
      <c r="R56" s="268"/>
      <c r="S56" s="268"/>
    </row>
    <row r="57" spans="1:19">
      <c r="A57" s="220"/>
      <c r="B57" s="220"/>
      <c r="C57" s="145"/>
      <c r="D57" s="483"/>
      <c r="E57" s="494"/>
      <c r="F57" s="98" t="s">
        <v>210</v>
      </c>
      <c r="G57" s="91"/>
      <c r="H57" s="483"/>
      <c r="I57" s="45"/>
      <c r="J57" s="483"/>
      <c r="K57" s="45"/>
      <c r="L57" s="45"/>
      <c r="M57" s="97"/>
      <c r="N57" s="268"/>
      <c r="O57" s="268"/>
      <c r="P57" s="268"/>
      <c r="Q57" s="268"/>
      <c r="R57" s="268"/>
      <c r="S57" s="268"/>
    </row>
    <row r="58" spans="1:19">
      <c r="A58" s="220"/>
      <c r="B58" s="220"/>
      <c r="C58" s="145"/>
      <c r="D58" s="483"/>
      <c r="E58" s="494"/>
      <c r="F58" s="98" t="s">
        <v>133</v>
      </c>
      <c r="G58" s="91"/>
      <c r="H58" s="483"/>
      <c r="I58" s="45"/>
      <c r="J58" s="483"/>
      <c r="K58" s="45"/>
      <c r="L58" s="45"/>
      <c r="M58" s="97"/>
      <c r="N58" s="268"/>
      <c r="O58" s="268"/>
      <c r="P58" s="268"/>
      <c r="Q58" s="268"/>
      <c r="R58" s="268"/>
      <c r="S58" s="268"/>
    </row>
    <row r="59" spans="1:19">
      <c r="A59" s="220"/>
      <c r="B59" s="220"/>
      <c r="C59" s="145"/>
      <c r="D59" s="483"/>
      <c r="E59" s="494"/>
      <c r="G59" s="91"/>
      <c r="H59" s="483"/>
      <c r="I59" s="45"/>
      <c r="J59" s="483"/>
      <c r="K59" s="45"/>
      <c r="L59" s="45"/>
      <c r="M59" s="97"/>
      <c r="N59" s="268"/>
      <c r="O59" s="268"/>
      <c r="P59" s="268"/>
      <c r="Q59" s="268"/>
      <c r="R59" s="268"/>
      <c r="S59" s="268"/>
    </row>
    <row r="60" spans="1:19" ht="24">
      <c r="A60" s="220"/>
      <c r="B60" s="220"/>
      <c r="C60" s="145"/>
      <c r="D60" s="483"/>
      <c r="E60" s="494"/>
      <c r="F60" s="493" t="s">
        <v>308</v>
      </c>
      <c r="G60" s="91"/>
      <c r="H60" s="483"/>
      <c r="I60" s="45"/>
      <c r="J60" s="483"/>
      <c r="K60" s="45"/>
      <c r="L60" s="45"/>
      <c r="M60" s="97"/>
      <c r="N60" s="268"/>
      <c r="O60" s="268"/>
      <c r="P60" s="268"/>
      <c r="Q60" s="268"/>
      <c r="R60" s="268"/>
      <c r="S60" s="268"/>
    </row>
    <row r="61" spans="1:19">
      <c r="A61" s="220"/>
      <c r="B61" s="220"/>
      <c r="C61" s="145"/>
      <c r="D61" s="483"/>
      <c r="E61" s="494"/>
      <c r="F61" s="492" t="s">
        <v>109</v>
      </c>
      <c r="G61" s="91"/>
      <c r="H61" s="483"/>
      <c r="I61" s="45"/>
      <c r="J61" s="483"/>
      <c r="K61" s="45"/>
      <c r="L61" s="45"/>
      <c r="M61" s="97"/>
      <c r="N61" s="268"/>
      <c r="O61" s="268"/>
      <c r="P61" s="268"/>
      <c r="Q61" s="268"/>
      <c r="R61" s="268"/>
      <c r="S61" s="268"/>
    </row>
    <row r="62" spans="1:19">
      <c r="A62" s="220"/>
      <c r="B62" s="220"/>
      <c r="C62" s="145"/>
      <c r="D62" s="483"/>
      <c r="E62" s="494"/>
      <c r="F62" s="98" t="s">
        <v>144</v>
      </c>
      <c r="G62" s="91"/>
      <c r="H62" s="483"/>
      <c r="I62" s="45"/>
      <c r="J62" s="483"/>
      <c r="K62" s="45"/>
      <c r="L62" s="45"/>
      <c r="M62" s="97"/>
      <c r="N62" s="268"/>
      <c r="O62" s="268"/>
      <c r="P62" s="268"/>
      <c r="Q62" s="268"/>
      <c r="R62" s="268"/>
      <c r="S62" s="268"/>
    </row>
    <row r="63" spans="1:19">
      <c r="A63" s="220"/>
      <c r="B63" s="220"/>
      <c r="C63" s="145"/>
      <c r="D63" s="483"/>
      <c r="E63" s="494"/>
      <c r="F63" s="98" t="s">
        <v>133</v>
      </c>
      <c r="G63" s="91"/>
      <c r="H63" s="483"/>
      <c r="I63" s="45"/>
      <c r="J63" s="483"/>
      <c r="K63" s="45"/>
      <c r="L63" s="45"/>
      <c r="M63" s="97"/>
      <c r="N63" s="268"/>
      <c r="O63" s="268"/>
      <c r="P63" s="268"/>
      <c r="Q63" s="268"/>
      <c r="R63" s="268"/>
      <c r="S63" s="268"/>
    </row>
    <row r="64" spans="1:19">
      <c r="A64" s="220"/>
      <c r="B64" s="220"/>
      <c r="C64" s="145"/>
      <c r="D64" s="483"/>
      <c r="E64" s="494"/>
      <c r="F64" s="98" t="s">
        <v>99</v>
      </c>
      <c r="G64" s="91"/>
      <c r="H64" s="483"/>
      <c r="I64" s="45"/>
      <c r="J64" s="483"/>
      <c r="K64" s="45"/>
      <c r="L64" s="45"/>
      <c r="M64" s="97"/>
      <c r="N64" s="268"/>
      <c r="O64" s="268"/>
      <c r="P64" s="268"/>
      <c r="Q64" s="268"/>
      <c r="R64" s="268"/>
      <c r="S64" s="268"/>
    </row>
    <row r="65" spans="1:22">
      <c r="A65" s="220"/>
      <c r="B65" s="220"/>
      <c r="C65" s="145"/>
      <c r="D65" s="483"/>
      <c r="E65" s="494"/>
      <c r="F65" s="98" t="s">
        <v>98</v>
      </c>
      <c r="G65" s="91"/>
      <c r="H65" s="483"/>
      <c r="I65" s="45"/>
      <c r="J65" s="483"/>
      <c r="K65" s="45"/>
      <c r="L65" s="45"/>
      <c r="M65" s="97"/>
      <c r="N65" s="268"/>
      <c r="O65" s="268"/>
      <c r="P65" s="268"/>
      <c r="Q65" s="268"/>
      <c r="R65" s="268"/>
      <c r="S65" s="268"/>
    </row>
    <row r="66" spans="1:22">
      <c r="A66" s="220"/>
      <c r="B66" s="220"/>
      <c r="C66" s="145"/>
      <c r="D66" s="483"/>
      <c r="E66" s="482"/>
      <c r="F66" s="482"/>
      <c r="G66" s="91"/>
      <c r="H66" s="483"/>
      <c r="I66" s="45"/>
      <c r="J66" s="483"/>
      <c r="K66" s="45"/>
      <c r="L66" s="45"/>
      <c r="M66" s="97"/>
      <c r="N66" s="268"/>
      <c r="O66" s="268"/>
      <c r="P66" s="268"/>
      <c r="Q66" s="268"/>
      <c r="R66" s="268"/>
      <c r="S66" s="268"/>
    </row>
    <row r="67" spans="1:22">
      <c r="A67" s="1163" t="s">
        <v>465</v>
      </c>
      <c r="B67" s="1163"/>
      <c r="C67" s="1163"/>
      <c r="D67" s="1163"/>
      <c r="E67" s="1163"/>
      <c r="F67" s="1163"/>
      <c r="G67" s="1163"/>
      <c r="H67" s="1163"/>
      <c r="I67" s="1163"/>
      <c r="J67" s="1163"/>
      <c r="K67" s="1163"/>
      <c r="L67" s="1163"/>
      <c r="M67" s="1163"/>
      <c r="N67" s="204"/>
      <c r="O67" s="204"/>
      <c r="P67" s="204"/>
      <c r="Q67" s="204"/>
      <c r="R67" s="204"/>
      <c r="S67" s="204"/>
    </row>
    <row r="68" spans="1:22" ht="16.2">
      <c r="A68" s="745" t="s">
        <v>37</v>
      </c>
      <c r="B68" s="184" t="s">
        <v>7</v>
      </c>
      <c r="C68" s="1309" t="s">
        <v>442</v>
      </c>
      <c r="D68" s="1309"/>
      <c r="E68" s="1309"/>
      <c r="F68" s="1309"/>
      <c r="G68" s="1309"/>
      <c r="H68" s="1309"/>
      <c r="I68" s="1309"/>
      <c r="J68" s="1309"/>
      <c r="K68" s="1309"/>
      <c r="L68" s="1309"/>
      <c r="M68" s="1309"/>
      <c r="N68" s="204"/>
      <c r="O68" s="204"/>
      <c r="P68" s="204"/>
      <c r="Q68" s="204"/>
      <c r="R68" s="204"/>
      <c r="S68" s="204"/>
    </row>
    <row r="69" spans="1:22" ht="15" customHeight="1">
      <c r="A69" s="594" t="s">
        <v>38</v>
      </c>
      <c r="B69" s="594" t="s">
        <v>39</v>
      </c>
      <c r="C69" s="594" t="s">
        <v>40</v>
      </c>
      <c r="D69" s="595" t="s">
        <v>41</v>
      </c>
      <c r="E69" s="594" t="s">
        <v>46</v>
      </c>
      <c r="F69" s="595" t="s">
        <v>47</v>
      </c>
      <c r="G69" s="831" t="s">
        <v>48</v>
      </c>
      <c r="H69" s="1328" t="s">
        <v>49</v>
      </c>
      <c r="I69" s="1328"/>
      <c r="J69" s="831" t="s">
        <v>137</v>
      </c>
      <c r="K69" s="1307" t="s">
        <v>176</v>
      </c>
      <c r="L69" s="1308"/>
      <c r="M69" s="825">
        <v>12</v>
      </c>
      <c r="O69" s="204"/>
      <c r="P69" s="204"/>
      <c r="Q69" s="204"/>
      <c r="R69" s="204"/>
      <c r="S69" s="204"/>
      <c r="T69" s="204"/>
      <c r="U69" s="136"/>
      <c r="V69" s="136"/>
    </row>
    <row r="70" spans="1:22" ht="15" customHeight="1">
      <c r="A70" s="1276" t="s">
        <v>78</v>
      </c>
      <c r="B70" s="1276" t="s">
        <v>444</v>
      </c>
      <c r="C70" s="1278" t="s">
        <v>434</v>
      </c>
      <c r="D70" s="1283" t="s">
        <v>208</v>
      </c>
      <c r="E70" s="1284"/>
      <c r="F70" s="1305"/>
      <c r="G70" s="1301" t="s">
        <v>207</v>
      </c>
      <c r="H70" s="1301"/>
      <c r="I70" s="1301"/>
      <c r="J70" s="1180" t="s">
        <v>978</v>
      </c>
      <c r="K70" s="1281" t="s">
        <v>323</v>
      </c>
      <c r="L70" s="1294"/>
      <c r="M70" s="1278" t="s">
        <v>1176</v>
      </c>
      <c r="N70" s="204"/>
      <c r="O70" s="204"/>
      <c r="P70" s="204"/>
      <c r="Q70" s="204"/>
      <c r="R70" s="204"/>
      <c r="S70" s="204"/>
      <c r="T70" s="136"/>
      <c r="U70" s="136"/>
    </row>
    <row r="71" spans="1:22" s="102" customFormat="1" ht="38.1" customHeight="1">
      <c r="A71" s="1277"/>
      <c r="B71" s="1277"/>
      <c r="C71" s="1279"/>
      <c r="D71" s="555" t="s">
        <v>277</v>
      </c>
      <c r="E71" s="555" t="s">
        <v>219</v>
      </c>
      <c r="F71" s="555" t="s">
        <v>278</v>
      </c>
      <c r="G71" s="822" t="s">
        <v>376</v>
      </c>
      <c r="H71" s="1180" t="s">
        <v>308</v>
      </c>
      <c r="I71" s="1180"/>
      <c r="J71" s="1180"/>
      <c r="K71" s="1282"/>
      <c r="L71" s="1295"/>
      <c r="M71" s="1279"/>
      <c r="O71" s="204"/>
      <c r="P71" s="204"/>
      <c r="Q71" s="204"/>
      <c r="R71" s="204"/>
      <c r="S71" s="204"/>
      <c r="T71" s="204"/>
      <c r="U71" s="136"/>
      <c r="V71" s="136"/>
    </row>
    <row r="72" spans="1:22">
      <c r="A72" s="1244"/>
      <c r="B72" s="1192" t="s">
        <v>95</v>
      </c>
      <c r="C72" s="1192" t="s">
        <v>95</v>
      </c>
      <c r="D72" s="1192" t="s">
        <v>95</v>
      </c>
      <c r="E72" s="1192" t="s">
        <v>95</v>
      </c>
      <c r="F72" s="1192" t="s">
        <v>95</v>
      </c>
      <c r="G72" s="823" t="s">
        <v>95</v>
      </c>
      <c r="H72" s="1159" t="s">
        <v>95</v>
      </c>
      <c r="I72" s="1159"/>
      <c r="J72" s="1159" t="s">
        <v>113</v>
      </c>
      <c r="K72" s="183" t="s">
        <v>321</v>
      </c>
      <c r="L72" s="528" t="s">
        <v>113</v>
      </c>
      <c r="M72" s="1303"/>
      <c r="O72" s="204"/>
      <c r="P72" s="204"/>
      <c r="Q72" s="204"/>
      <c r="R72" s="204"/>
      <c r="S72" s="204"/>
      <c r="T72" s="204"/>
      <c r="U72" s="136"/>
      <c r="V72" s="136"/>
    </row>
    <row r="73" spans="1:22">
      <c r="A73" s="1244"/>
      <c r="B73" s="1193"/>
      <c r="C73" s="1193"/>
      <c r="D73" s="1193"/>
      <c r="E73" s="1193"/>
      <c r="F73" s="1193"/>
      <c r="G73" s="824"/>
      <c r="H73" s="1327"/>
      <c r="I73" s="1327"/>
      <c r="J73" s="1159"/>
      <c r="K73" s="183" t="s">
        <v>734</v>
      </c>
      <c r="L73" s="583"/>
      <c r="M73" s="1304"/>
      <c r="O73" s="204"/>
      <c r="P73" s="204"/>
      <c r="Q73" s="204"/>
      <c r="R73" s="204"/>
      <c r="S73" s="204"/>
      <c r="T73" s="204"/>
      <c r="U73" s="136"/>
      <c r="V73" s="136"/>
    </row>
    <row r="74" spans="1:22" ht="30.75" customHeight="1">
      <c r="A74" s="1287" t="s">
        <v>1042</v>
      </c>
      <c r="B74" s="1287"/>
      <c r="C74" s="1287"/>
      <c r="D74" s="1287"/>
      <c r="E74" s="1287"/>
      <c r="F74" s="1287"/>
      <c r="G74" s="1287"/>
      <c r="H74" s="1287"/>
      <c r="I74" s="1287"/>
      <c r="J74" s="1288"/>
      <c r="K74" s="185" t="s">
        <v>81</v>
      </c>
      <c r="L74" s="87" t="s">
        <v>79</v>
      </c>
      <c r="M74" s="86" t="s">
        <v>80</v>
      </c>
      <c r="O74" s="204"/>
      <c r="P74" s="204"/>
      <c r="Q74" s="204"/>
      <c r="R74" s="204"/>
      <c r="S74" s="204"/>
      <c r="T74" s="204"/>
      <c r="U74" s="136"/>
      <c r="V74" s="136"/>
    </row>
    <row r="75" spans="1:22" ht="28.35" customHeight="1">
      <c r="A75" s="1285" t="s">
        <v>1257</v>
      </c>
      <c r="B75" s="1285"/>
      <c r="C75" s="1285"/>
      <c r="D75" s="1285"/>
      <c r="E75" s="1285"/>
      <c r="F75" s="1285"/>
      <c r="G75" s="1285"/>
      <c r="H75" s="1285"/>
      <c r="I75" s="1285"/>
      <c r="J75" s="1285"/>
      <c r="K75" s="72"/>
      <c r="L75" s="72"/>
      <c r="M75" s="72"/>
      <c r="O75" s="268"/>
      <c r="P75" s="268"/>
      <c r="Q75" s="268"/>
      <c r="R75" s="268"/>
      <c r="S75" s="268"/>
      <c r="T75" s="268"/>
      <c r="U75" s="136"/>
      <c r="V75" s="136"/>
    </row>
    <row r="76" spans="1:22" ht="36" customHeight="1">
      <c r="A76" s="1151" t="s">
        <v>1258</v>
      </c>
      <c r="B76" s="1151"/>
      <c r="C76" s="46"/>
      <c r="D76" s="46"/>
      <c r="E76" s="46"/>
      <c r="F76" s="46"/>
      <c r="G76" s="46"/>
      <c r="H76" s="46"/>
      <c r="I76" s="46"/>
      <c r="J76" s="46"/>
      <c r="L76" s="90"/>
      <c r="O76" s="204"/>
      <c r="P76" s="204"/>
      <c r="Q76" s="204"/>
      <c r="R76" s="204"/>
      <c r="S76" s="204"/>
      <c r="T76" s="204"/>
      <c r="U76" s="136"/>
      <c r="V76" s="136"/>
    </row>
    <row r="77" spans="1:22" ht="36" customHeight="1">
      <c r="C77" s="457"/>
      <c r="D77" s="457"/>
      <c r="E77" s="457"/>
      <c r="F77" s="457"/>
      <c r="G77" s="457"/>
      <c r="H77" s="457"/>
      <c r="I77" s="457"/>
      <c r="J77" s="457"/>
      <c r="L77" s="90"/>
      <c r="O77" s="268"/>
      <c r="P77" s="268"/>
      <c r="Q77" s="268"/>
      <c r="R77" s="268"/>
      <c r="S77" s="268"/>
      <c r="T77" s="268"/>
      <c r="U77" s="136"/>
      <c r="V77" s="136"/>
    </row>
    <row r="78" spans="1:22" ht="36" customHeight="1">
      <c r="A78" s="457"/>
      <c r="B78" s="233" t="s">
        <v>446</v>
      </c>
      <c r="C78" s="233" t="s">
        <v>434</v>
      </c>
      <c r="D78" s="461" t="s">
        <v>277</v>
      </c>
      <c r="E78" s="253" t="s">
        <v>466</v>
      </c>
      <c r="F78" s="253" t="s">
        <v>467</v>
      </c>
      <c r="H78" s="461" t="s">
        <v>376</v>
      </c>
      <c r="I78" s="461" t="s">
        <v>308</v>
      </c>
      <c r="J78" s="457"/>
      <c r="L78" s="90"/>
      <c r="O78" s="268"/>
      <c r="P78" s="268"/>
      <c r="Q78" s="268"/>
      <c r="R78" s="268"/>
      <c r="S78" s="268"/>
      <c r="T78" s="268"/>
      <c r="U78" s="136"/>
      <c r="V78" s="136"/>
    </row>
    <row r="79" spans="1:22" ht="27.6">
      <c r="A79" s="45"/>
      <c r="B79" s="232" t="s">
        <v>667</v>
      </c>
      <c r="C79" s="203" t="s">
        <v>112</v>
      </c>
      <c r="D79" s="205" t="s">
        <v>375</v>
      </c>
      <c r="E79" s="203" t="s">
        <v>218</v>
      </c>
      <c r="F79" s="203" t="s">
        <v>180</v>
      </c>
      <c r="H79" s="491" t="s">
        <v>938</v>
      </c>
      <c r="I79" s="491" t="s">
        <v>938</v>
      </c>
      <c r="K79" s="72"/>
      <c r="L79" s="72"/>
      <c r="M79" s="45"/>
      <c r="N79" s="97"/>
      <c r="O79" s="204"/>
      <c r="P79" s="204"/>
      <c r="Q79" s="204"/>
      <c r="R79" s="204"/>
      <c r="S79" s="204"/>
      <c r="T79" s="204"/>
    </row>
    <row r="80" spans="1:22" ht="27.6">
      <c r="A80" s="45"/>
      <c r="B80" s="686" t="s">
        <v>1043</v>
      </c>
      <c r="C80" s="203" t="s">
        <v>108</v>
      </c>
      <c r="D80" s="205" t="s">
        <v>206</v>
      </c>
      <c r="E80" s="253" t="s">
        <v>466</v>
      </c>
      <c r="F80" s="203" t="s">
        <v>172</v>
      </c>
      <c r="H80" s="740" t="s">
        <v>401</v>
      </c>
      <c r="I80" s="239" t="s">
        <v>109</v>
      </c>
      <c r="K80" s="45"/>
      <c r="L80" s="45"/>
      <c r="M80" s="45"/>
      <c r="N80" s="97"/>
      <c r="O80" s="136"/>
      <c r="P80" s="136"/>
      <c r="Q80" s="136"/>
      <c r="R80" s="136"/>
      <c r="S80" s="136"/>
      <c r="T80" s="136"/>
    </row>
    <row r="81" spans="1:20" ht="15" customHeight="1">
      <c r="A81" s="93"/>
      <c r="B81" s="232" t="s">
        <v>666</v>
      </c>
      <c r="C81" s="406" t="s">
        <v>694</v>
      </c>
      <c r="D81" s="205" t="s">
        <v>204</v>
      </c>
      <c r="E81" s="203" t="s">
        <v>218</v>
      </c>
      <c r="F81" s="205" t="s">
        <v>179</v>
      </c>
      <c r="H81" s="203" t="s">
        <v>377</v>
      </c>
      <c r="I81" s="239" t="s">
        <v>205</v>
      </c>
      <c r="K81" s="221"/>
      <c r="L81" s="221"/>
      <c r="M81" s="45"/>
      <c r="N81" s="97"/>
      <c r="O81" s="136"/>
      <c r="P81" s="136"/>
      <c r="Q81" s="136"/>
      <c r="R81" s="136"/>
      <c r="S81" s="136"/>
      <c r="T81" s="136"/>
    </row>
    <row r="82" spans="1:20" ht="15" customHeight="1">
      <c r="A82" s="93"/>
      <c r="B82" s="657" t="s">
        <v>1193</v>
      </c>
      <c r="C82" s="91"/>
      <c r="D82" s="205" t="s">
        <v>202</v>
      </c>
      <c r="E82" s="203" t="s">
        <v>421</v>
      </c>
      <c r="F82" s="205" t="s">
        <v>168</v>
      </c>
      <c r="H82" s="203" t="s">
        <v>378</v>
      </c>
      <c r="I82" s="205" t="s">
        <v>121</v>
      </c>
      <c r="J82" s="221"/>
      <c r="K82" s="221"/>
      <c r="L82" s="45"/>
    </row>
    <row r="83" spans="1:20" ht="15" customHeight="1">
      <c r="A83" s="45"/>
      <c r="B83" s="657" t="s">
        <v>1194</v>
      </c>
      <c r="C83" s="45"/>
      <c r="D83" s="205" t="s">
        <v>199</v>
      </c>
      <c r="E83" s="203" t="s">
        <v>422</v>
      </c>
      <c r="F83" s="205" t="s">
        <v>217</v>
      </c>
      <c r="H83" s="203" t="s">
        <v>379</v>
      </c>
      <c r="I83" s="98" t="s">
        <v>200</v>
      </c>
      <c r="J83" s="221"/>
      <c r="K83" s="221"/>
      <c r="L83" s="45"/>
    </row>
    <row r="84" spans="1:20" ht="15" customHeight="1">
      <c r="A84" s="45"/>
      <c r="B84" s="45"/>
      <c r="C84" s="45"/>
      <c r="D84" s="205" t="s">
        <v>420</v>
      </c>
      <c r="E84" s="203" t="s">
        <v>439</v>
      </c>
      <c r="F84" s="205" t="s">
        <v>164</v>
      </c>
      <c r="H84" s="203" t="s">
        <v>380</v>
      </c>
      <c r="I84" s="98" t="s">
        <v>119</v>
      </c>
      <c r="J84" s="221"/>
      <c r="K84" s="221"/>
      <c r="L84" s="45"/>
      <c r="O84" s="43" t="s">
        <v>911</v>
      </c>
      <c r="P84" s="43" t="s">
        <v>912</v>
      </c>
      <c r="Q84" s="43" t="s">
        <v>914</v>
      </c>
      <c r="R84" s="43" t="s">
        <v>913</v>
      </c>
    </row>
    <row r="85" spans="1:20" ht="15" customHeight="1">
      <c r="A85" s="45"/>
      <c r="B85" s="45"/>
      <c r="C85" s="45"/>
      <c r="D85" s="45"/>
      <c r="F85" s="205" t="s">
        <v>216</v>
      </c>
      <c r="H85" s="203" t="s">
        <v>381</v>
      </c>
      <c r="I85" s="98" t="s">
        <v>105</v>
      </c>
      <c r="J85" s="221"/>
      <c r="K85" s="221"/>
      <c r="L85" s="45"/>
      <c r="O85" s="43">
        <v>0.56000000000000005</v>
      </c>
      <c r="P85" s="43">
        <v>4.4000000000000004</v>
      </c>
      <c r="Q85" s="43">
        <v>0</v>
      </c>
      <c r="R85" s="43">
        <f>(1/(Q85+(1/O85)+P85))</f>
        <v>0.16166281755196305</v>
      </c>
    </row>
    <row r="86" spans="1:20" ht="15" customHeight="1">
      <c r="A86" s="45"/>
      <c r="B86" s="45"/>
      <c r="C86" s="45"/>
      <c r="D86" s="45"/>
      <c r="E86" s="253" t="s">
        <v>466</v>
      </c>
      <c r="F86" s="205" t="s">
        <v>161</v>
      </c>
      <c r="H86" s="205" t="s">
        <v>382</v>
      </c>
      <c r="I86" s="98" t="s">
        <v>118</v>
      </c>
      <c r="J86" s="221"/>
      <c r="K86" s="221"/>
      <c r="L86" s="45"/>
    </row>
    <row r="87" spans="1:20" ht="15" customHeight="1">
      <c r="A87" s="45"/>
      <c r="B87" s="45"/>
      <c r="C87" s="45"/>
      <c r="D87" s="45"/>
      <c r="E87" s="499" t="s">
        <v>421</v>
      </c>
      <c r="F87" s="205" t="s">
        <v>215</v>
      </c>
      <c r="H87" s="205" t="s">
        <v>383</v>
      </c>
      <c r="I87" s="98" t="s">
        <v>125</v>
      </c>
      <c r="J87" s="221"/>
      <c r="K87" s="221"/>
      <c r="L87" s="45"/>
    </row>
    <row r="88" spans="1:20" ht="15" customHeight="1">
      <c r="A88" s="45"/>
      <c r="B88" s="45"/>
      <c r="C88" s="45"/>
      <c r="D88" s="45"/>
      <c r="E88" s="499" t="s">
        <v>422</v>
      </c>
      <c r="F88" s="205" t="s">
        <v>110</v>
      </c>
      <c r="H88" s="205" t="s">
        <v>384</v>
      </c>
      <c r="I88" s="98" t="s">
        <v>117</v>
      </c>
      <c r="J88" s="45"/>
      <c r="K88" s="45"/>
      <c r="L88" s="45"/>
    </row>
    <row r="89" spans="1:20" ht="15" customHeight="1">
      <c r="A89" s="45"/>
      <c r="B89" s="45"/>
      <c r="C89" s="45"/>
      <c r="D89" s="45"/>
      <c r="E89" s="499" t="s">
        <v>439</v>
      </c>
      <c r="F89" s="253" t="s">
        <v>467</v>
      </c>
      <c r="H89" s="205" t="s">
        <v>385</v>
      </c>
      <c r="I89" s="98" t="s">
        <v>214</v>
      </c>
      <c r="J89" s="45"/>
      <c r="L89" s="45"/>
    </row>
    <row r="90" spans="1:20" ht="15" customHeight="1">
      <c r="A90" s="45"/>
      <c r="B90" s="45"/>
      <c r="C90" s="45"/>
      <c r="D90" s="45"/>
      <c r="F90" s="205" t="s">
        <v>168</v>
      </c>
      <c r="H90" s="205" t="s">
        <v>386</v>
      </c>
      <c r="I90" s="98" t="s">
        <v>102</v>
      </c>
      <c r="J90" s="45"/>
      <c r="K90" s="45"/>
      <c r="L90" s="45"/>
    </row>
    <row r="91" spans="1:20" ht="15" customHeight="1">
      <c r="A91" s="45"/>
      <c r="B91" s="45"/>
      <c r="C91" s="45"/>
      <c r="D91" s="45"/>
      <c r="E91" s="45"/>
      <c r="F91" s="205" t="s">
        <v>164</v>
      </c>
      <c r="H91" s="205" t="s">
        <v>387</v>
      </c>
      <c r="I91" s="98" t="s">
        <v>148</v>
      </c>
      <c r="J91" s="45"/>
      <c r="K91" s="45"/>
      <c r="L91" s="45"/>
    </row>
    <row r="92" spans="1:20" ht="15" customHeight="1">
      <c r="A92" s="45"/>
      <c r="B92" s="45"/>
      <c r="C92" s="45"/>
      <c r="D92" s="45"/>
      <c r="E92" s="45"/>
      <c r="F92" s="205" t="s">
        <v>161</v>
      </c>
      <c r="H92" s="205" t="s">
        <v>388</v>
      </c>
      <c r="I92" s="98" t="s">
        <v>116</v>
      </c>
      <c r="J92" s="45"/>
      <c r="K92" s="45"/>
      <c r="L92" s="45"/>
    </row>
    <row r="93" spans="1:20" ht="15" customHeight="1">
      <c r="A93" s="45"/>
      <c r="B93" s="45"/>
      <c r="C93" s="45"/>
      <c r="D93" s="45"/>
      <c r="E93" s="45"/>
      <c r="F93" s="205" t="s">
        <v>110</v>
      </c>
      <c r="H93" s="203" t="s">
        <v>389</v>
      </c>
      <c r="I93" s="98" t="s">
        <v>146</v>
      </c>
      <c r="J93" s="45"/>
      <c r="K93" s="45"/>
      <c r="L93" s="45"/>
    </row>
    <row r="94" spans="1:20" ht="15" customHeight="1">
      <c r="A94" s="45"/>
      <c r="B94" s="45"/>
      <c r="C94" s="45"/>
      <c r="D94" s="45"/>
      <c r="E94" s="45"/>
      <c r="H94" s="203" t="s">
        <v>390</v>
      </c>
      <c r="I94" s="98" t="s">
        <v>138</v>
      </c>
      <c r="J94" s="45"/>
      <c r="K94" s="45"/>
      <c r="L94" s="45"/>
    </row>
    <row r="95" spans="1:20" ht="15" customHeight="1">
      <c r="A95" s="45"/>
      <c r="B95" s="45"/>
      <c r="C95" s="45"/>
      <c r="D95" s="45"/>
      <c r="E95" s="45"/>
      <c r="F95" s="253" t="s">
        <v>467</v>
      </c>
      <c r="H95" s="203" t="s">
        <v>391</v>
      </c>
      <c r="I95" s="98" t="s">
        <v>101</v>
      </c>
      <c r="J95" s="45"/>
      <c r="K95" s="45"/>
      <c r="L95" s="45"/>
    </row>
    <row r="96" spans="1:20" ht="15" customHeight="1">
      <c r="A96" s="45"/>
      <c r="B96" s="45"/>
      <c r="C96" s="45"/>
      <c r="D96" s="45"/>
      <c r="E96" s="45"/>
      <c r="F96" s="499" t="s">
        <v>180</v>
      </c>
      <c r="H96" s="203" t="s">
        <v>392</v>
      </c>
      <c r="I96" s="98" t="s">
        <v>213</v>
      </c>
      <c r="J96" s="45"/>
      <c r="K96" s="45"/>
      <c r="L96" s="45"/>
    </row>
    <row r="97" spans="1:21" ht="15" customHeight="1">
      <c r="A97" s="45"/>
      <c r="B97" s="45"/>
      <c r="C97" s="45"/>
      <c r="D97" s="45"/>
      <c r="E97" s="45"/>
      <c r="F97" s="499" t="s">
        <v>172</v>
      </c>
      <c r="H97" s="203" t="s">
        <v>393</v>
      </c>
      <c r="I97" s="98" t="s">
        <v>212</v>
      </c>
      <c r="J97" s="45"/>
      <c r="K97" s="45"/>
      <c r="L97" s="45"/>
    </row>
    <row r="98" spans="1:21" ht="15" customHeight="1">
      <c r="A98" s="45"/>
      <c r="B98" s="45"/>
      <c r="C98" s="45"/>
      <c r="D98" s="45"/>
      <c r="E98" s="45"/>
      <c r="F98" s="499" t="s">
        <v>179</v>
      </c>
      <c r="H98" s="205" t="s">
        <v>394</v>
      </c>
      <c r="I98" s="98" t="s">
        <v>211</v>
      </c>
      <c r="J98" s="45"/>
      <c r="K98" s="45"/>
      <c r="L98" s="45"/>
    </row>
    <row r="99" spans="1:21" ht="15" customHeight="1">
      <c r="A99" s="45"/>
      <c r="B99" s="45"/>
      <c r="C99" s="45"/>
      <c r="D99" s="45"/>
      <c r="E99" s="45"/>
      <c r="F99" s="91"/>
      <c r="H99" s="205" t="s">
        <v>395</v>
      </c>
      <c r="I99" s="98" t="s">
        <v>144</v>
      </c>
      <c r="J99" s="45"/>
      <c r="K99" s="45"/>
      <c r="L99" s="45"/>
    </row>
    <row r="100" spans="1:21" ht="15" customHeight="1">
      <c r="A100" s="45"/>
      <c r="B100" s="45"/>
      <c r="C100" s="45"/>
      <c r="D100" s="45"/>
      <c r="E100" s="45"/>
      <c r="F100" s="253" t="s">
        <v>467</v>
      </c>
      <c r="H100" s="205" t="s">
        <v>396</v>
      </c>
      <c r="I100" s="98" t="s">
        <v>100</v>
      </c>
      <c r="J100" s="45"/>
      <c r="K100" s="45"/>
      <c r="L100" s="45"/>
    </row>
    <row r="101" spans="1:21" ht="15" customHeight="1">
      <c r="A101" s="45"/>
      <c r="B101" s="45"/>
      <c r="C101" s="45"/>
      <c r="D101" s="45"/>
      <c r="E101" s="45"/>
      <c r="F101" s="499" t="s">
        <v>168</v>
      </c>
      <c r="H101" s="205" t="s">
        <v>397</v>
      </c>
      <c r="I101" s="98" t="s">
        <v>210</v>
      </c>
      <c r="J101" s="45"/>
      <c r="K101" s="45"/>
      <c r="L101" s="45"/>
    </row>
    <row r="102" spans="1:21" ht="15" customHeight="1">
      <c r="A102" s="45"/>
      <c r="B102" s="45"/>
      <c r="C102" s="45"/>
      <c r="D102" s="45"/>
      <c r="E102" s="45"/>
      <c r="F102" s="499" t="s">
        <v>164</v>
      </c>
      <c r="H102" s="205" t="s">
        <v>398</v>
      </c>
      <c r="I102" s="91"/>
      <c r="J102" s="45"/>
      <c r="K102" s="45"/>
      <c r="L102" s="45"/>
    </row>
    <row r="103" spans="1:21" ht="15" customHeight="1">
      <c r="A103" s="45"/>
      <c r="B103" s="45"/>
      <c r="C103" s="45"/>
      <c r="D103" s="45"/>
      <c r="E103" s="45"/>
      <c r="F103" s="91"/>
      <c r="H103" s="741" t="s">
        <v>399</v>
      </c>
      <c r="I103" s="91"/>
      <c r="J103" s="45"/>
      <c r="K103" s="45"/>
      <c r="L103" s="45"/>
    </row>
    <row r="104" spans="1:21" ht="15" customHeight="1">
      <c r="A104" s="45"/>
      <c r="B104" s="45"/>
      <c r="C104" s="45"/>
      <c r="D104" s="45"/>
      <c r="E104" s="45"/>
      <c r="F104" s="91"/>
      <c r="H104" s="205" t="s">
        <v>400</v>
      </c>
      <c r="I104" s="91"/>
      <c r="J104" s="45"/>
      <c r="K104" s="45"/>
      <c r="L104" s="45"/>
    </row>
    <row r="105" spans="1:21" ht="15" customHeight="1">
      <c r="A105" s="45"/>
      <c r="B105" s="45"/>
      <c r="C105" s="45"/>
      <c r="D105" s="45"/>
      <c r="E105" s="91"/>
      <c r="F105" s="148"/>
      <c r="H105" s="98" t="s">
        <v>201</v>
      </c>
      <c r="I105" s="45"/>
      <c r="J105" s="45"/>
      <c r="K105" s="45"/>
    </row>
    <row r="106" spans="1:21">
      <c r="A106" s="1227" t="s">
        <v>491</v>
      </c>
      <c r="B106" s="1228"/>
      <c r="C106" s="1228"/>
      <c r="D106" s="1228"/>
      <c r="E106" s="1228"/>
      <c r="F106" s="1228"/>
      <c r="G106" s="1228"/>
      <c r="H106" s="1228"/>
      <c r="I106" s="1228"/>
      <c r="J106" s="1228"/>
      <c r="K106" s="1228"/>
      <c r="L106" s="1229"/>
      <c r="N106" s="240"/>
      <c r="O106" s="240"/>
      <c r="P106" s="240"/>
      <c r="Q106" s="240"/>
      <c r="R106" s="240"/>
      <c r="S106" s="240"/>
    </row>
    <row r="107" spans="1:21" ht="16.2">
      <c r="A107" s="236" t="s">
        <v>37</v>
      </c>
      <c r="B107" s="184" t="s">
        <v>7</v>
      </c>
      <c r="C107" s="1155" t="s">
        <v>468</v>
      </c>
      <c r="D107" s="1156"/>
      <c r="E107" s="1156"/>
      <c r="F107" s="1156"/>
      <c r="G107" s="1156"/>
      <c r="H107" s="1156"/>
      <c r="I107" s="1156"/>
      <c r="J107" s="1156"/>
      <c r="K107" s="1156"/>
      <c r="L107" s="1157"/>
      <c r="N107" s="240"/>
      <c r="O107" s="240"/>
      <c r="P107" s="240"/>
      <c r="Q107" s="240"/>
      <c r="R107" s="240"/>
      <c r="S107" s="240"/>
    </row>
    <row r="108" spans="1:21" ht="15" customHeight="1">
      <c r="A108" s="176" t="s">
        <v>38</v>
      </c>
      <c r="B108" s="176" t="s">
        <v>39</v>
      </c>
      <c r="C108" s="177" t="s">
        <v>40</v>
      </c>
      <c r="D108" s="176" t="s">
        <v>41</v>
      </c>
      <c r="E108" s="177" t="s">
        <v>46</v>
      </c>
      <c r="F108" s="178" t="s">
        <v>47</v>
      </c>
      <c r="G108" s="236" t="s">
        <v>48</v>
      </c>
      <c r="H108" s="236" t="s">
        <v>49</v>
      </c>
      <c r="I108" s="236" t="s">
        <v>137</v>
      </c>
      <c r="J108" s="1274" t="s">
        <v>176</v>
      </c>
      <c r="K108" s="1275"/>
      <c r="L108" s="180">
        <v>12</v>
      </c>
      <c r="N108" s="240"/>
      <c r="O108" s="240"/>
      <c r="P108" s="240"/>
      <c r="Q108" s="240"/>
      <c r="R108" s="240"/>
      <c r="S108" s="240"/>
      <c r="T108" s="136"/>
      <c r="U108" s="136"/>
    </row>
    <row r="109" spans="1:21" ht="15" customHeight="1">
      <c r="A109" s="1276" t="s">
        <v>78</v>
      </c>
      <c r="B109" s="1276" t="s">
        <v>444</v>
      </c>
      <c r="C109" s="1278" t="s">
        <v>434</v>
      </c>
      <c r="D109" s="1283" t="s">
        <v>208</v>
      </c>
      <c r="E109" s="1284"/>
      <c r="F109" s="1180" t="s">
        <v>471</v>
      </c>
      <c r="G109" s="1280" t="s">
        <v>207</v>
      </c>
      <c r="H109" s="1280"/>
      <c r="I109" s="1281" t="s">
        <v>978</v>
      </c>
      <c r="J109" s="1180" t="s">
        <v>323</v>
      </c>
      <c r="K109" s="1180"/>
      <c r="L109" s="1208" t="s">
        <v>842</v>
      </c>
      <c r="M109" s="240"/>
      <c r="N109" s="240"/>
      <c r="O109" s="240"/>
      <c r="P109" s="240"/>
      <c r="Q109" s="240"/>
      <c r="R109" s="240"/>
      <c r="S109" s="136"/>
      <c r="T109" s="136"/>
    </row>
    <row r="110" spans="1:21" s="102" customFormat="1" ht="36">
      <c r="A110" s="1277"/>
      <c r="B110" s="1277"/>
      <c r="C110" s="1279"/>
      <c r="D110" s="555" t="s">
        <v>469</v>
      </c>
      <c r="E110" s="597" t="s">
        <v>470</v>
      </c>
      <c r="F110" s="1180"/>
      <c r="G110" s="555" t="s">
        <v>376</v>
      </c>
      <c r="H110" s="555" t="s">
        <v>308</v>
      </c>
      <c r="I110" s="1282"/>
      <c r="J110" s="1180"/>
      <c r="K110" s="1180"/>
      <c r="L110" s="1208"/>
      <c r="N110" s="240"/>
      <c r="O110" s="240"/>
      <c r="P110" s="240"/>
      <c r="Q110" s="240"/>
      <c r="R110" s="240"/>
      <c r="S110" s="240"/>
      <c r="T110" s="136"/>
      <c r="U110" s="136"/>
    </row>
    <row r="111" spans="1:21">
      <c r="A111" s="1244"/>
      <c r="B111" s="1192" t="s">
        <v>95</v>
      </c>
      <c r="C111" s="1192" t="s">
        <v>95</v>
      </c>
      <c r="D111" s="1192" t="s">
        <v>95</v>
      </c>
      <c r="E111" s="1192" t="s">
        <v>95</v>
      </c>
      <c r="F111" s="1192" t="s">
        <v>95</v>
      </c>
      <c r="G111" s="528" t="s">
        <v>95</v>
      </c>
      <c r="H111" s="528" t="s">
        <v>95</v>
      </c>
      <c r="I111" s="1192" t="s">
        <v>113</v>
      </c>
      <c r="J111" s="183" t="s">
        <v>321</v>
      </c>
      <c r="K111" s="528" t="s">
        <v>113</v>
      </c>
      <c r="L111" s="1289"/>
      <c r="N111" s="240"/>
      <c r="O111" s="240"/>
      <c r="P111" s="240"/>
      <c r="Q111" s="240"/>
      <c r="R111" s="240"/>
      <c r="S111" s="240"/>
      <c r="T111" s="136"/>
      <c r="U111" s="136"/>
    </row>
    <row r="112" spans="1:21">
      <c r="A112" s="1244"/>
      <c r="B112" s="1193"/>
      <c r="C112" s="1193"/>
      <c r="D112" s="1193"/>
      <c r="E112" s="1193"/>
      <c r="F112" s="1193"/>
      <c r="G112" s="581"/>
      <c r="H112" s="581"/>
      <c r="I112" s="1193"/>
      <c r="J112" s="183" t="s">
        <v>734</v>
      </c>
      <c r="K112" s="583"/>
      <c r="L112" s="1290"/>
      <c r="N112" s="240"/>
      <c r="O112" s="240"/>
      <c r="P112" s="240"/>
      <c r="Q112" s="240"/>
      <c r="R112" s="240"/>
      <c r="S112" s="240"/>
      <c r="T112" s="136"/>
      <c r="U112" s="136"/>
    </row>
    <row r="113" spans="1:22" ht="30.75" customHeight="1">
      <c r="A113" s="1195" t="s">
        <v>908</v>
      </c>
      <c r="B113" s="1195"/>
      <c r="C113" s="1195"/>
      <c r="D113" s="1195"/>
      <c r="E113" s="1195"/>
      <c r="F113" s="1195"/>
      <c r="G113" s="1195"/>
      <c r="H113" s="1195"/>
      <c r="I113" s="1196"/>
      <c r="J113" s="185" t="s">
        <v>81</v>
      </c>
      <c r="K113" s="87" t="s">
        <v>79</v>
      </c>
      <c r="L113" s="86" t="s">
        <v>80</v>
      </c>
      <c r="N113" s="240"/>
      <c r="O113" s="240"/>
      <c r="P113" s="240"/>
      <c r="Q113" s="240"/>
      <c r="R113" s="240"/>
      <c r="S113" s="240"/>
      <c r="T113" s="136"/>
      <c r="U113" s="136"/>
    </row>
    <row r="114" spans="1:22">
      <c r="A114" s="1285" t="s">
        <v>940</v>
      </c>
      <c r="B114" s="1285"/>
      <c r="C114" s="1285"/>
      <c r="D114" s="1285"/>
      <c r="E114" s="1285"/>
      <c r="F114" s="1285"/>
      <c r="G114" s="1285"/>
      <c r="H114" s="1285"/>
      <c r="I114" s="1285"/>
      <c r="J114" s="420"/>
      <c r="L114" s="90"/>
      <c r="O114" s="240"/>
      <c r="P114" s="240"/>
      <c r="Q114" s="240"/>
      <c r="R114" s="240"/>
      <c r="S114" s="240"/>
      <c r="T114" s="240"/>
      <c r="U114" s="136"/>
      <c r="V114" s="136"/>
    </row>
    <row r="115" spans="1:22" ht="15" customHeight="1">
      <c r="A115" s="1151" t="s">
        <v>846</v>
      </c>
      <c r="B115" s="1151"/>
      <c r="C115" s="45"/>
      <c r="D115" s="45"/>
      <c r="E115" s="45"/>
      <c r="F115" s="45"/>
      <c r="G115" s="91"/>
      <c r="H115" s="503"/>
      <c r="I115" s="91"/>
      <c r="J115" s="45"/>
      <c r="K115" s="45"/>
      <c r="L115" s="45"/>
      <c r="M115" s="45"/>
    </row>
    <row r="116" spans="1:22" ht="15" customHeight="1">
      <c r="A116" s="458"/>
      <c r="B116" s="461" t="s">
        <v>446</v>
      </c>
      <c r="C116" s="461" t="s">
        <v>434</v>
      </c>
      <c r="D116" s="461" t="s">
        <v>469</v>
      </c>
      <c r="E116" s="461" t="s">
        <v>470</v>
      </c>
      <c r="F116" s="461" t="s">
        <v>471</v>
      </c>
      <c r="G116" s="461" t="s">
        <v>376</v>
      </c>
      <c r="H116" s="461" t="s">
        <v>308</v>
      </c>
      <c r="I116" s="91"/>
      <c r="J116" s="45"/>
      <c r="K116" s="45"/>
      <c r="L116" s="45"/>
      <c r="M116" s="45"/>
    </row>
    <row r="117" spans="1:22" ht="14.25" customHeight="1">
      <c r="A117" s="45"/>
      <c r="B117" s="232" t="s">
        <v>667</v>
      </c>
      <c r="C117" s="238" t="s">
        <v>112</v>
      </c>
      <c r="D117" s="254">
        <v>0</v>
      </c>
      <c r="E117" s="163" t="s">
        <v>111</v>
      </c>
      <c r="F117" s="237" t="s">
        <v>472</v>
      </c>
      <c r="G117" s="239" t="s">
        <v>401</v>
      </c>
      <c r="H117" s="239" t="s">
        <v>109</v>
      </c>
      <c r="I117" s="91"/>
      <c r="J117" s="45"/>
      <c r="K117" s="45"/>
      <c r="L117" s="45"/>
      <c r="M117" s="45"/>
    </row>
    <row r="118" spans="1:22" ht="27.6">
      <c r="B118" s="686" t="s">
        <v>1140</v>
      </c>
      <c r="C118" s="238" t="s">
        <v>108</v>
      </c>
      <c r="D118" s="255">
        <v>0.1</v>
      </c>
      <c r="E118" s="242" t="s">
        <v>107</v>
      </c>
      <c r="F118" s="237" t="s">
        <v>473</v>
      </c>
      <c r="G118" s="237" t="s">
        <v>377</v>
      </c>
      <c r="H118" s="239" t="s">
        <v>205</v>
      </c>
    </row>
    <row r="119" spans="1:22">
      <c r="B119" s="232" t="s">
        <v>666</v>
      </c>
      <c r="C119" s="406" t="s">
        <v>694</v>
      </c>
      <c r="D119" s="255">
        <v>0.2</v>
      </c>
      <c r="F119" s="239" t="s">
        <v>474</v>
      </c>
      <c r="G119" s="237" t="s">
        <v>378</v>
      </c>
      <c r="H119" s="239" t="s">
        <v>121</v>
      </c>
      <c r="I119" s="235"/>
      <c r="J119" s="235"/>
      <c r="K119" s="72"/>
      <c r="L119" s="72"/>
    </row>
    <row r="120" spans="1:22">
      <c r="A120" s="241"/>
      <c r="B120" s="657" t="s">
        <v>1193</v>
      </c>
      <c r="C120" s="241"/>
      <c r="D120" s="241"/>
      <c r="E120" s="241"/>
      <c r="F120" s="239" t="s">
        <v>475</v>
      </c>
      <c r="G120" s="237" t="s">
        <v>379</v>
      </c>
      <c r="H120" s="98" t="s">
        <v>200</v>
      </c>
      <c r="I120" s="241"/>
      <c r="J120" s="241"/>
      <c r="K120" s="241"/>
      <c r="L120" s="241"/>
      <c r="M120" s="241"/>
      <c r="N120" s="97"/>
      <c r="O120" s="136"/>
      <c r="P120" s="136"/>
      <c r="Q120" s="136"/>
      <c r="R120" s="136"/>
      <c r="S120" s="136"/>
      <c r="T120" s="136"/>
    </row>
    <row r="121" spans="1:22">
      <c r="B121" s="657" t="s">
        <v>1194</v>
      </c>
      <c r="F121" s="239" t="s">
        <v>476</v>
      </c>
      <c r="G121" s="237" t="s">
        <v>380</v>
      </c>
      <c r="H121" s="98" t="s">
        <v>119</v>
      </c>
    </row>
    <row r="122" spans="1:22">
      <c r="F122" s="91"/>
      <c r="G122" s="237" t="s">
        <v>381</v>
      </c>
      <c r="H122" s="98" t="s">
        <v>105</v>
      </c>
    </row>
    <row r="123" spans="1:22">
      <c r="F123" s="91"/>
      <c r="G123" s="239" t="s">
        <v>382</v>
      </c>
      <c r="H123" s="98" t="s">
        <v>118</v>
      </c>
    </row>
    <row r="124" spans="1:22">
      <c r="F124" s="91"/>
      <c r="G124" s="239" t="s">
        <v>383</v>
      </c>
      <c r="H124" s="98" t="s">
        <v>125</v>
      </c>
      <c r="M124" s="43" t="s">
        <v>942</v>
      </c>
      <c r="N124" s="43" t="s">
        <v>912</v>
      </c>
      <c r="O124" s="43" t="s">
        <v>914</v>
      </c>
      <c r="P124" s="43" t="s">
        <v>913</v>
      </c>
    </row>
    <row r="125" spans="1:22">
      <c r="F125" s="91"/>
      <c r="G125" s="239" t="s">
        <v>384</v>
      </c>
      <c r="H125" s="98" t="s">
        <v>117</v>
      </c>
      <c r="M125" s="43">
        <v>0.58799999999999997</v>
      </c>
      <c r="N125" s="43">
        <v>3</v>
      </c>
      <c r="O125" s="43">
        <v>0</v>
      </c>
      <c r="P125" s="43">
        <f>(1/(O125+(1/M125)+N125))</f>
        <v>0.2127351664254703</v>
      </c>
    </row>
    <row r="126" spans="1:22">
      <c r="F126" s="91"/>
      <c r="G126" s="239" t="s">
        <v>385</v>
      </c>
      <c r="H126" s="98" t="s">
        <v>214</v>
      </c>
    </row>
    <row r="127" spans="1:22">
      <c r="F127" s="91"/>
      <c r="G127" s="239" t="s">
        <v>386</v>
      </c>
      <c r="H127" s="98" t="s">
        <v>102</v>
      </c>
    </row>
    <row r="128" spans="1:22">
      <c r="F128" s="91"/>
      <c r="G128" s="239" t="s">
        <v>387</v>
      </c>
      <c r="H128" s="98" t="s">
        <v>148</v>
      </c>
    </row>
    <row r="129" spans="1:19">
      <c r="F129" s="91"/>
      <c r="G129" s="239" t="s">
        <v>388</v>
      </c>
      <c r="H129" s="98" t="s">
        <v>116</v>
      </c>
    </row>
    <row r="130" spans="1:19">
      <c r="F130" s="91"/>
      <c r="G130" s="237" t="s">
        <v>389</v>
      </c>
      <c r="H130" s="98" t="s">
        <v>146</v>
      </c>
    </row>
    <row r="131" spans="1:19">
      <c r="F131" s="91"/>
      <c r="G131" s="237" t="s">
        <v>390</v>
      </c>
      <c r="H131" s="98" t="s">
        <v>138</v>
      </c>
    </row>
    <row r="132" spans="1:19">
      <c r="F132" s="91"/>
      <c r="G132" s="237" t="s">
        <v>391</v>
      </c>
      <c r="H132" s="98" t="s">
        <v>101</v>
      </c>
    </row>
    <row r="133" spans="1:19">
      <c r="F133" s="91"/>
      <c r="G133" s="237" t="s">
        <v>392</v>
      </c>
      <c r="H133" s="98" t="s">
        <v>213</v>
      </c>
    </row>
    <row r="134" spans="1:19">
      <c r="F134" s="91"/>
      <c r="G134" s="237" t="s">
        <v>393</v>
      </c>
      <c r="H134" s="98" t="s">
        <v>212</v>
      </c>
    </row>
    <row r="135" spans="1:19">
      <c r="F135" s="91"/>
      <c r="G135" s="239" t="s">
        <v>394</v>
      </c>
      <c r="H135" s="98" t="s">
        <v>211</v>
      </c>
    </row>
    <row r="136" spans="1:19">
      <c r="F136" s="91"/>
      <c r="G136" s="239" t="s">
        <v>395</v>
      </c>
      <c r="H136" s="98" t="s">
        <v>144</v>
      </c>
    </row>
    <row r="137" spans="1:19">
      <c r="F137" s="91"/>
      <c r="G137" s="239" t="s">
        <v>396</v>
      </c>
      <c r="H137" s="98" t="s">
        <v>100</v>
      </c>
    </row>
    <row r="138" spans="1:19">
      <c r="F138" s="91"/>
      <c r="G138" s="239" t="s">
        <v>397</v>
      </c>
      <c r="H138" s="98" t="s">
        <v>210</v>
      </c>
    </row>
    <row r="139" spans="1:19">
      <c r="F139" s="91"/>
      <c r="G139" s="239" t="s">
        <v>398</v>
      </c>
    </row>
    <row r="140" spans="1:19">
      <c r="F140" s="91"/>
      <c r="G140" s="239" t="s">
        <v>399</v>
      </c>
    </row>
    <row r="141" spans="1:19">
      <c r="F141" s="91"/>
      <c r="G141" s="239" t="s">
        <v>400</v>
      </c>
    </row>
    <row r="142" spans="1:19">
      <c r="F142" s="91"/>
      <c r="G142" s="98" t="s">
        <v>201</v>
      </c>
    </row>
    <row r="143" spans="1:19">
      <c r="E143" s="91"/>
    </row>
    <row r="144" spans="1:19">
      <c r="A144" s="1230" t="s">
        <v>477</v>
      </c>
      <c r="B144" s="1231"/>
      <c r="C144" s="1231"/>
      <c r="D144" s="1231"/>
      <c r="E144" s="1231"/>
      <c r="F144" s="1231"/>
      <c r="G144" s="1231"/>
      <c r="H144" s="1231"/>
      <c r="I144" s="1231"/>
      <c r="J144" s="1231"/>
      <c r="K144" s="1231"/>
      <c r="L144" s="1232"/>
      <c r="N144" s="136"/>
      <c r="O144" s="136"/>
      <c r="P144" s="136"/>
      <c r="Q144" s="136"/>
      <c r="R144" s="136"/>
      <c r="S144" s="136"/>
    </row>
    <row r="145" spans="1:21" ht="16.2">
      <c r="A145" s="249" t="s">
        <v>37</v>
      </c>
      <c r="B145" s="184" t="s">
        <v>7</v>
      </c>
      <c r="C145" s="1171" t="s">
        <v>478</v>
      </c>
      <c r="D145" s="1172"/>
      <c r="E145" s="1172"/>
      <c r="F145" s="1172"/>
      <c r="G145" s="1172"/>
      <c r="H145" s="1172"/>
      <c r="I145" s="1172"/>
      <c r="J145" s="1172"/>
      <c r="K145" s="1172"/>
      <c r="L145" s="1173"/>
      <c r="N145" s="136"/>
      <c r="O145" s="136"/>
      <c r="P145" s="136"/>
      <c r="Q145" s="136"/>
      <c r="R145" s="136"/>
      <c r="S145" s="136"/>
    </row>
    <row r="146" spans="1:21">
      <c r="A146" s="176" t="s">
        <v>38</v>
      </c>
      <c r="B146" s="176" t="s">
        <v>39</v>
      </c>
      <c r="C146" s="177" t="s">
        <v>40</v>
      </c>
      <c r="D146" s="176" t="s">
        <v>41</v>
      </c>
      <c r="E146" s="177" t="s">
        <v>46</v>
      </c>
      <c r="F146" s="178" t="s">
        <v>47</v>
      </c>
      <c r="G146" s="249" t="s">
        <v>48</v>
      </c>
      <c r="H146" s="249" t="s">
        <v>49</v>
      </c>
      <c r="I146" s="249" t="s">
        <v>137</v>
      </c>
      <c r="J146" s="1274" t="s">
        <v>176</v>
      </c>
      <c r="K146" s="1302"/>
      <c r="L146" s="180">
        <v>12</v>
      </c>
      <c r="N146" s="136"/>
      <c r="O146" s="136"/>
      <c r="P146" s="136"/>
      <c r="Q146" s="136"/>
      <c r="R146" s="136"/>
      <c r="S146" s="136"/>
    </row>
    <row r="147" spans="1:21" ht="48" customHeight="1">
      <c r="A147" s="509" t="s">
        <v>78</v>
      </c>
      <c r="B147" s="598" t="s">
        <v>737</v>
      </c>
      <c r="C147" s="599" t="s">
        <v>434</v>
      </c>
      <c r="D147" s="555" t="s">
        <v>136</v>
      </c>
      <c r="E147" s="599" t="s">
        <v>274</v>
      </c>
      <c r="F147" s="599" t="s">
        <v>334</v>
      </c>
      <c r="G147" s="599" t="s">
        <v>307</v>
      </c>
      <c r="H147" s="593" t="s">
        <v>305</v>
      </c>
      <c r="I147" s="555" t="s">
        <v>974</v>
      </c>
      <c r="J147" s="1122" t="s">
        <v>323</v>
      </c>
      <c r="K147" s="1123"/>
      <c r="L147" s="500" t="s">
        <v>842</v>
      </c>
      <c r="N147" s="136"/>
      <c r="O147" s="136"/>
      <c r="P147" s="136"/>
      <c r="Q147" s="136"/>
      <c r="R147" s="136"/>
      <c r="S147" s="136"/>
    </row>
    <row r="148" spans="1:21">
      <c r="A148" s="1244"/>
      <c r="B148" s="1192" t="s">
        <v>95</v>
      </c>
      <c r="C148" s="1192" t="s">
        <v>95</v>
      </c>
      <c r="D148" s="528" t="s">
        <v>95</v>
      </c>
      <c r="E148" s="528" t="s">
        <v>95</v>
      </c>
      <c r="F148" s="528" t="s">
        <v>95</v>
      </c>
      <c r="G148" s="528" t="s">
        <v>95</v>
      </c>
      <c r="H148" s="1159" t="s">
        <v>95</v>
      </c>
      <c r="I148" s="1192" t="s">
        <v>113</v>
      </c>
      <c r="J148" s="183" t="s">
        <v>321</v>
      </c>
      <c r="K148" s="528" t="s">
        <v>113</v>
      </c>
      <c r="L148" s="1289"/>
      <c r="N148" s="136"/>
      <c r="O148" s="136"/>
      <c r="P148" s="136"/>
      <c r="Q148" s="136"/>
      <c r="R148" s="136"/>
      <c r="S148" s="136"/>
    </row>
    <row r="149" spans="1:21">
      <c r="A149" s="1244"/>
      <c r="B149" s="1193"/>
      <c r="C149" s="1193"/>
      <c r="D149" s="581"/>
      <c r="E149" s="582"/>
      <c r="F149" s="581"/>
      <c r="G149" s="581"/>
      <c r="H149" s="1159"/>
      <c r="I149" s="1193"/>
      <c r="J149" s="183" t="s">
        <v>736</v>
      </c>
      <c r="K149" s="583"/>
      <c r="L149" s="1290"/>
      <c r="N149" s="136"/>
      <c r="O149" s="136"/>
      <c r="P149" s="136"/>
      <c r="Q149" s="136"/>
      <c r="R149" s="136"/>
      <c r="S149" s="136"/>
    </row>
    <row r="150" spans="1:21" ht="30.75" customHeight="1">
      <c r="A150" s="1195" t="s">
        <v>510</v>
      </c>
      <c r="B150" s="1195"/>
      <c r="C150" s="1195"/>
      <c r="D150" s="1195"/>
      <c r="E150" s="1195"/>
      <c r="F150" s="1195"/>
      <c r="G150" s="1195"/>
      <c r="H150" s="1195"/>
      <c r="I150" s="1196"/>
      <c r="J150" s="185" t="s">
        <v>81</v>
      </c>
      <c r="K150" s="87" t="s">
        <v>79</v>
      </c>
      <c r="L150" s="86" t="s">
        <v>80</v>
      </c>
      <c r="N150" s="136"/>
      <c r="O150" s="136"/>
      <c r="P150" s="136"/>
      <c r="Q150" s="136"/>
      <c r="R150" s="136"/>
      <c r="S150" s="136"/>
      <c r="T150" s="136"/>
      <c r="U150" s="136"/>
    </row>
    <row r="151" spans="1:21" ht="16.5" customHeight="1">
      <c r="A151" s="230" t="s">
        <v>488</v>
      </c>
      <c r="B151" s="90"/>
      <c r="K151" s="90"/>
      <c r="N151" s="136"/>
      <c r="O151" s="136"/>
      <c r="P151" s="136"/>
      <c r="Q151" s="136"/>
      <c r="R151" s="136"/>
      <c r="S151" s="136"/>
      <c r="T151" s="136"/>
      <c r="U151" s="136"/>
    </row>
    <row r="152" spans="1:21" ht="16.5" customHeight="1">
      <c r="A152" s="1151" t="s">
        <v>846</v>
      </c>
      <c r="B152" s="1151"/>
      <c r="K152" s="90"/>
      <c r="N152" s="136"/>
      <c r="O152" s="136"/>
      <c r="P152" s="136"/>
      <c r="Q152" s="136"/>
      <c r="R152" s="136"/>
      <c r="S152" s="136"/>
      <c r="T152" s="136"/>
      <c r="U152" s="136"/>
    </row>
    <row r="153" spans="1:21" ht="24">
      <c r="B153" s="463" t="s">
        <v>737</v>
      </c>
      <c r="C153" s="464" t="s">
        <v>434</v>
      </c>
      <c r="D153" s="461" t="s">
        <v>136</v>
      </c>
      <c r="E153" s="464" t="s">
        <v>274</v>
      </c>
      <c r="F153" s="464" t="s">
        <v>334</v>
      </c>
      <c r="G153" s="464" t="s">
        <v>307</v>
      </c>
      <c r="H153" s="462" t="s">
        <v>305</v>
      </c>
    </row>
    <row r="154" spans="1:21">
      <c r="A154" s="90"/>
      <c r="B154" s="411" t="s">
        <v>738</v>
      </c>
      <c r="C154" s="251" t="s">
        <v>112</v>
      </c>
      <c r="D154" s="160" t="s">
        <v>198</v>
      </c>
      <c r="E154" s="248" t="s">
        <v>154</v>
      </c>
      <c r="F154" s="272" t="s">
        <v>335</v>
      </c>
      <c r="G154" s="251" t="s">
        <v>109</v>
      </c>
      <c r="H154" s="252" t="s">
        <v>268</v>
      </c>
      <c r="I154" s="91"/>
      <c r="J154" s="150"/>
      <c r="L154" s="91"/>
    </row>
    <row r="155" spans="1:21">
      <c r="B155" s="727" t="s">
        <v>1141</v>
      </c>
      <c r="C155" s="549" t="s">
        <v>108</v>
      </c>
      <c r="D155" s="506" t="s">
        <v>135</v>
      </c>
      <c r="E155" s="506" t="s">
        <v>134</v>
      </c>
      <c r="F155" s="92"/>
      <c r="G155" s="549" t="s">
        <v>121</v>
      </c>
      <c r="H155" s="252" t="s">
        <v>306</v>
      </c>
      <c r="I155" s="91"/>
      <c r="J155" s="150"/>
      <c r="L155" s="91"/>
    </row>
    <row r="156" spans="1:21">
      <c r="B156" s="600" t="s">
        <v>739</v>
      </c>
      <c r="C156" s="506" t="s">
        <v>694</v>
      </c>
      <c r="D156" s="506" t="s">
        <v>132</v>
      </c>
      <c r="E156" s="506" t="s">
        <v>131</v>
      </c>
      <c r="F156" s="92"/>
      <c r="G156" s="549" t="s">
        <v>119</v>
      </c>
      <c r="H156" s="91"/>
      <c r="I156" s="148"/>
      <c r="J156" s="150"/>
      <c r="L156" s="91"/>
    </row>
    <row r="157" spans="1:21">
      <c r="B157" s="600" t="s">
        <v>740</v>
      </c>
      <c r="C157" s="560"/>
      <c r="D157" s="743" t="s">
        <v>129</v>
      </c>
      <c r="E157" s="506" t="s">
        <v>128</v>
      </c>
      <c r="F157" s="92"/>
      <c r="G157" s="549" t="s">
        <v>105</v>
      </c>
      <c r="H157" s="91"/>
      <c r="I157" s="148"/>
      <c r="J157" s="150"/>
    </row>
    <row r="158" spans="1:21">
      <c r="B158" s="657" t="s">
        <v>1193</v>
      </c>
      <c r="C158" s="560"/>
      <c r="D158" s="760"/>
      <c r="E158" s="744" t="s">
        <v>197</v>
      </c>
      <c r="F158" s="92"/>
      <c r="G158" s="549" t="s">
        <v>118</v>
      </c>
      <c r="H158" s="91"/>
      <c r="I158" s="148"/>
      <c r="J158" s="150"/>
    </row>
    <row r="159" spans="1:21">
      <c r="B159" s="657" t="s">
        <v>1194</v>
      </c>
      <c r="C159" s="560"/>
      <c r="D159" s="92"/>
      <c r="E159" s="92"/>
      <c r="F159" s="92"/>
      <c r="G159" s="549" t="s">
        <v>117</v>
      </c>
      <c r="H159" s="91"/>
      <c r="I159" s="148"/>
      <c r="J159" s="150"/>
    </row>
    <row r="160" spans="1:21">
      <c r="B160" s="532"/>
      <c r="C160" s="560"/>
      <c r="D160" s="92"/>
      <c r="E160" s="92"/>
      <c r="F160" s="92"/>
      <c r="G160" s="571"/>
      <c r="H160" s="91"/>
      <c r="I160" s="148"/>
      <c r="J160" s="150"/>
    </row>
    <row r="161" spans="1:19">
      <c r="B161" s="532"/>
      <c r="C161" s="560"/>
      <c r="D161" s="92"/>
      <c r="E161" s="92"/>
      <c r="F161" s="92"/>
      <c r="G161" s="571"/>
      <c r="H161" s="91"/>
      <c r="I161" s="148"/>
      <c r="J161" s="150"/>
    </row>
    <row r="162" spans="1:19">
      <c r="B162" s="532"/>
      <c r="C162" s="560"/>
      <c r="D162" s="92"/>
      <c r="E162" s="92"/>
      <c r="F162" s="92"/>
      <c r="G162" s="571"/>
      <c r="H162" s="91"/>
      <c r="I162" s="148"/>
      <c r="J162" s="150"/>
    </row>
    <row r="163" spans="1:19">
      <c r="B163" s="532"/>
      <c r="C163" s="560"/>
      <c r="D163" s="92"/>
      <c r="E163" s="92"/>
      <c r="F163" s="92"/>
      <c r="G163" s="571"/>
      <c r="H163" s="91"/>
      <c r="I163" s="148"/>
      <c r="J163" s="150"/>
    </row>
    <row r="164" spans="1:19">
      <c r="C164" s="45"/>
      <c r="D164" s="92"/>
      <c r="E164" s="92"/>
      <c r="F164" s="91"/>
      <c r="G164" s="148"/>
      <c r="H164" s="91"/>
      <c r="I164" s="148"/>
      <c r="J164" s="150"/>
    </row>
    <row r="165" spans="1:19">
      <c r="C165" s="45"/>
      <c r="D165" s="92"/>
      <c r="E165" s="92"/>
      <c r="F165" s="91"/>
      <c r="G165" s="148"/>
      <c r="H165" s="91"/>
      <c r="I165" s="148"/>
      <c r="J165" s="150"/>
    </row>
    <row r="166" spans="1:19">
      <c r="C166" s="45"/>
      <c r="D166" s="92"/>
      <c r="E166" s="92"/>
      <c r="F166" s="91"/>
      <c r="G166" s="148"/>
      <c r="H166" s="91"/>
      <c r="I166" s="148"/>
      <c r="J166" s="150"/>
    </row>
    <row r="167" spans="1:19">
      <c r="C167" s="45"/>
      <c r="D167" s="92"/>
      <c r="E167" s="92"/>
      <c r="F167" s="91"/>
      <c r="G167" s="148"/>
      <c r="H167" s="91"/>
      <c r="I167" s="148"/>
      <c r="J167" s="150"/>
    </row>
    <row r="168" spans="1:19">
      <c r="C168" s="45"/>
      <c r="D168" s="92"/>
      <c r="E168" s="92"/>
      <c r="F168" s="91"/>
      <c r="G168" s="148"/>
      <c r="H168" s="91"/>
      <c r="I168" s="148"/>
      <c r="J168" s="150"/>
    </row>
    <row r="169" spans="1:19">
      <c r="C169" s="45"/>
      <c r="D169" s="92"/>
      <c r="E169" s="92"/>
      <c r="F169" s="91"/>
      <c r="G169" s="148"/>
      <c r="H169" s="91"/>
      <c r="I169" s="148"/>
      <c r="J169" s="150"/>
    </row>
    <row r="170" spans="1:19">
      <c r="C170" s="45"/>
      <c r="D170" s="92"/>
      <c r="E170" s="92"/>
      <c r="F170" s="91"/>
      <c r="G170" s="148"/>
      <c r="H170" s="91"/>
      <c r="I170" s="148"/>
      <c r="J170" s="150"/>
    </row>
    <row r="171" spans="1:19">
      <c r="C171" s="45"/>
      <c r="D171" s="92"/>
      <c r="E171" s="92"/>
      <c r="F171" s="91"/>
      <c r="G171" s="148"/>
      <c r="H171" s="91"/>
      <c r="I171" s="148"/>
      <c r="J171" s="150"/>
    </row>
    <row r="172" spans="1:19">
      <c r="C172" s="45"/>
      <c r="D172" s="92"/>
      <c r="E172" s="92"/>
      <c r="F172" s="91"/>
      <c r="G172" s="148"/>
      <c r="H172" s="91"/>
      <c r="I172" s="148"/>
      <c r="J172" s="150"/>
    </row>
    <row r="173" spans="1:19">
      <c r="C173" s="45"/>
      <c r="D173" s="92"/>
      <c r="E173" s="92"/>
      <c r="F173" s="91"/>
      <c r="G173" s="148"/>
      <c r="H173" s="91"/>
      <c r="I173" s="148"/>
      <c r="J173" s="150"/>
    </row>
    <row r="174" spans="1:19">
      <c r="C174" s="45"/>
      <c r="D174" s="92"/>
      <c r="E174" s="92"/>
      <c r="F174" s="91"/>
      <c r="G174" s="148"/>
      <c r="H174" s="91"/>
      <c r="I174" s="148"/>
      <c r="J174" s="150"/>
    </row>
    <row r="175" spans="1:19">
      <c r="A175" s="1163" t="s">
        <v>479</v>
      </c>
      <c r="B175" s="1163"/>
      <c r="C175" s="1163"/>
      <c r="D175" s="1163"/>
      <c r="E175" s="1163"/>
      <c r="F175" s="1163"/>
      <c r="G175" s="1163"/>
      <c r="H175" s="1163"/>
      <c r="I175" s="1163"/>
      <c r="J175" s="1163"/>
      <c r="K175" s="1163"/>
      <c r="L175" s="1163"/>
      <c r="M175" s="1163"/>
    </row>
    <row r="176" spans="1:19" ht="16.2">
      <c r="A176" s="256" t="s">
        <v>37</v>
      </c>
      <c r="B176" s="184" t="s">
        <v>7</v>
      </c>
      <c r="C176" s="1162" t="s">
        <v>480</v>
      </c>
      <c r="D176" s="1162"/>
      <c r="E176" s="1162"/>
      <c r="F176" s="1162"/>
      <c r="G176" s="1162"/>
      <c r="H176" s="1162"/>
      <c r="I176" s="1162"/>
      <c r="J176" s="1162"/>
      <c r="K176" s="1162"/>
      <c r="L176" s="1162"/>
      <c r="M176" s="1162"/>
      <c r="N176" s="136"/>
      <c r="O176" s="136"/>
      <c r="P176" s="136"/>
      <c r="Q176" s="136"/>
      <c r="R176" s="136"/>
      <c r="S176" s="136"/>
    </row>
    <row r="177" spans="1:16">
      <c r="A177" s="176" t="s">
        <v>38</v>
      </c>
      <c r="B177" s="176" t="s">
        <v>39</v>
      </c>
      <c r="C177" s="176" t="s">
        <v>40</v>
      </c>
      <c r="D177" s="1185" t="s">
        <v>41</v>
      </c>
      <c r="E177" s="1185"/>
      <c r="F177" s="1177" t="s">
        <v>46</v>
      </c>
      <c r="G177" s="1177"/>
      <c r="H177" s="176" t="s">
        <v>47</v>
      </c>
      <c r="I177" s="249" t="s">
        <v>48</v>
      </c>
      <c r="J177" s="249" t="s">
        <v>49</v>
      </c>
      <c r="K177" s="1274" t="s">
        <v>137</v>
      </c>
      <c r="L177" s="1302"/>
      <c r="M177" s="180">
        <v>11</v>
      </c>
      <c r="N177" s="139"/>
      <c r="O177" s="140"/>
      <c r="P177" s="140"/>
    </row>
    <row r="178" spans="1:16" ht="36">
      <c r="A178" s="505" t="s">
        <v>78</v>
      </c>
      <c r="B178" s="507" t="s">
        <v>737</v>
      </c>
      <c r="C178" s="555" t="s">
        <v>434</v>
      </c>
      <c r="D178" s="1180" t="s">
        <v>878</v>
      </c>
      <c r="E178" s="1180"/>
      <c r="F178" s="1180" t="s">
        <v>879</v>
      </c>
      <c r="G178" s="1180"/>
      <c r="H178" s="599" t="s">
        <v>114</v>
      </c>
      <c r="I178" s="593" t="s">
        <v>305</v>
      </c>
      <c r="J178" s="555" t="s">
        <v>481</v>
      </c>
      <c r="K178" s="1122" t="s">
        <v>323</v>
      </c>
      <c r="L178" s="1123"/>
      <c r="M178" s="500" t="s">
        <v>844</v>
      </c>
      <c r="N178" s="139"/>
      <c r="O178" s="140"/>
      <c r="P178" s="140"/>
    </row>
    <row r="179" spans="1:16">
      <c r="A179" s="602"/>
      <c r="B179" s="1192" t="s">
        <v>95</v>
      </c>
      <c r="C179" s="1192" t="s">
        <v>95</v>
      </c>
      <c r="D179" s="1159" t="s">
        <v>95</v>
      </c>
      <c r="E179" s="1159"/>
      <c r="F179" s="1159" t="s">
        <v>95</v>
      </c>
      <c r="G179" s="1159"/>
      <c r="H179" s="528" t="s">
        <v>95</v>
      </c>
      <c r="I179" s="1159" t="s">
        <v>95</v>
      </c>
      <c r="J179" s="1159" t="s">
        <v>113</v>
      </c>
      <c r="K179" s="183" t="s">
        <v>321</v>
      </c>
      <c r="L179" s="528" t="s">
        <v>113</v>
      </c>
      <c r="M179" s="1289"/>
    </row>
    <row r="180" spans="1:16">
      <c r="A180" s="603"/>
      <c r="B180" s="1193"/>
      <c r="C180" s="1193"/>
      <c r="D180" s="1160"/>
      <c r="E180" s="1160"/>
      <c r="F180" s="1160"/>
      <c r="G180" s="1160"/>
      <c r="H180" s="604"/>
      <c r="I180" s="1159"/>
      <c r="J180" s="1159"/>
      <c r="K180" s="183" t="s">
        <v>734</v>
      </c>
      <c r="L180" s="583"/>
      <c r="M180" s="1290"/>
    </row>
    <row r="181" spans="1:16" ht="33.75" customHeight="1">
      <c r="A181" s="1287" t="s">
        <v>979</v>
      </c>
      <c r="B181" s="1287"/>
      <c r="C181" s="1287"/>
      <c r="D181" s="1287"/>
      <c r="E181" s="1287"/>
      <c r="F181" s="1287"/>
      <c r="G181" s="1287"/>
      <c r="H181" s="1287"/>
      <c r="I181" s="1287"/>
      <c r="J181" s="1288"/>
      <c r="K181" s="530" t="s">
        <v>81</v>
      </c>
      <c r="L181" s="577" t="s">
        <v>79</v>
      </c>
      <c r="M181" s="86" t="s">
        <v>80</v>
      </c>
    </row>
    <row r="182" spans="1:16" ht="33.75" customHeight="1">
      <c r="A182" s="1151" t="s">
        <v>847</v>
      </c>
      <c r="B182" s="1151"/>
      <c r="C182" s="456"/>
      <c r="D182" s="456"/>
      <c r="E182" s="456"/>
      <c r="F182" s="456"/>
      <c r="G182" s="456"/>
      <c r="H182" s="456"/>
      <c r="I182" s="456"/>
      <c r="J182" s="456"/>
      <c r="K182" s="72"/>
      <c r="L182" s="72"/>
      <c r="M182" s="72"/>
    </row>
    <row r="183" spans="1:16" ht="36">
      <c r="B183" s="460" t="s">
        <v>737</v>
      </c>
      <c r="C183" s="461" t="s">
        <v>434</v>
      </c>
      <c r="D183" s="1310" t="s">
        <v>878</v>
      </c>
      <c r="E183" s="1310"/>
      <c r="F183" s="1310" t="s">
        <v>879</v>
      </c>
      <c r="G183" s="1310"/>
      <c r="H183" s="464" t="s">
        <v>114</v>
      </c>
      <c r="I183" s="462" t="s">
        <v>305</v>
      </c>
    </row>
    <row r="184" spans="1:16">
      <c r="A184" s="90"/>
      <c r="B184" s="411" t="s">
        <v>738</v>
      </c>
      <c r="C184" s="250" t="s">
        <v>112</v>
      </c>
      <c r="D184" s="1212" t="s">
        <v>880</v>
      </c>
      <c r="E184" s="1212"/>
      <c r="F184" s="1212" t="s">
        <v>193</v>
      </c>
      <c r="G184" s="1212"/>
      <c r="H184" s="251" t="s">
        <v>109</v>
      </c>
      <c r="I184" s="252" t="s">
        <v>268</v>
      </c>
      <c r="K184" s="161"/>
      <c r="L184" s="93"/>
    </row>
    <row r="185" spans="1:16">
      <c r="A185" s="90"/>
      <c r="B185" s="685" t="s">
        <v>1041</v>
      </c>
      <c r="C185" s="250" t="s">
        <v>108</v>
      </c>
      <c r="D185" s="1212" t="s">
        <v>881</v>
      </c>
      <c r="E185" s="1212"/>
      <c r="F185" s="1212" t="s">
        <v>192</v>
      </c>
      <c r="G185" s="1212"/>
      <c r="H185" s="251" t="s">
        <v>119</v>
      </c>
      <c r="I185" s="252" t="s">
        <v>306</v>
      </c>
    </row>
    <row r="186" spans="1:16">
      <c r="B186" s="411" t="s">
        <v>739</v>
      </c>
      <c r="C186" s="406" t="s">
        <v>694</v>
      </c>
      <c r="D186" s="1212" t="s">
        <v>882</v>
      </c>
      <c r="E186" s="1212"/>
      <c r="F186" s="1212" t="s">
        <v>191</v>
      </c>
      <c r="G186" s="1212"/>
      <c r="H186" s="251" t="s">
        <v>125</v>
      </c>
      <c r="I186" s="273"/>
    </row>
    <row r="187" spans="1:16">
      <c r="B187" s="411" t="s">
        <v>740</v>
      </c>
      <c r="D187" s="1212" t="s">
        <v>883</v>
      </c>
      <c r="E187" s="1212"/>
      <c r="F187" s="1212" t="s">
        <v>190</v>
      </c>
      <c r="G187" s="1212"/>
      <c r="H187" s="251" t="s">
        <v>102</v>
      </c>
      <c r="I187" s="273"/>
    </row>
    <row r="188" spans="1:16">
      <c r="B188" s="657" t="s">
        <v>1193</v>
      </c>
      <c r="D188" s="1212" t="s">
        <v>884</v>
      </c>
      <c r="E188" s="1212"/>
      <c r="F188" s="1212" t="s">
        <v>915</v>
      </c>
      <c r="G188" s="1212"/>
      <c r="H188" s="251" t="s">
        <v>101</v>
      </c>
      <c r="I188" s="273"/>
    </row>
    <row r="189" spans="1:16">
      <c r="B189" s="657" t="s">
        <v>1194</v>
      </c>
      <c r="D189" s="1212" t="s">
        <v>885</v>
      </c>
      <c r="E189" s="1212"/>
      <c r="G189" s="91"/>
      <c r="H189" s="251" t="s">
        <v>100</v>
      </c>
    </row>
    <row r="190" spans="1:16">
      <c r="D190" s="1212" t="s">
        <v>886</v>
      </c>
      <c r="E190" s="1212"/>
      <c r="G190" s="91"/>
      <c r="H190" s="252" t="s">
        <v>99</v>
      </c>
    </row>
    <row r="191" spans="1:16">
      <c r="D191" s="1212" t="s">
        <v>887</v>
      </c>
      <c r="E191" s="1212"/>
      <c r="G191" s="91"/>
      <c r="H191" s="252" t="s">
        <v>98</v>
      </c>
    </row>
    <row r="192" spans="1:16">
      <c r="D192" s="91"/>
      <c r="G192" s="91"/>
      <c r="H192" s="271"/>
    </row>
    <row r="193" spans="1:21">
      <c r="A193" s="1230" t="s">
        <v>482</v>
      </c>
      <c r="B193" s="1231"/>
      <c r="C193" s="1231"/>
      <c r="D193" s="1231"/>
      <c r="E193" s="1231"/>
      <c r="F193" s="1231"/>
      <c r="G193" s="1231"/>
      <c r="H193" s="1231"/>
      <c r="I193" s="1231"/>
      <c r="J193" s="1231"/>
      <c r="K193" s="1231"/>
      <c r="L193" s="1232"/>
      <c r="N193" s="136"/>
      <c r="O193" s="136"/>
      <c r="P193" s="136"/>
      <c r="Q193" s="136"/>
      <c r="R193" s="136"/>
      <c r="S193" s="136"/>
    </row>
    <row r="194" spans="1:21" ht="16.2">
      <c r="A194" s="256" t="s">
        <v>37</v>
      </c>
      <c r="B194" s="184" t="s">
        <v>7</v>
      </c>
      <c r="C194" s="1171" t="s">
        <v>483</v>
      </c>
      <c r="D194" s="1172"/>
      <c r="E194" s="1172"/>
      <c r="F194" s="1172"/>
      <c r="G194" s="1172"/>
      <c r="H194" s="1172"/>
      <c r="I194" s="1172"/>
      <c r="J194" s="1172"/>
      <c r="K194" s="1172"/>
      <c r="L194" s="1173"/>
      <c r="N194" s="136"/>
      <c r="O194" s="136"/>
      <c r="P194" s="136"/>
      <c r="Q194" s="136"/>
      <c r="R194" s="136"/>
      <c r="S194" s="136"/>
    </row>
    <row r="195" spans="1:21">
      <c r="A195" s="176" t="s">
        <v>38</v>
      </c>
      <c r="B195" s="176" t="s">
        <v>39</v>
      </c>
      <c r="C195" s="177" t="s">
        <v>40</v>
      </c>
      <c r="D195" s="1274" t="s">
        <v>41</v>
      </c>
      <c r="E195" s="1275"/>
      <c r="F195" s="178" t="s">
        <v>46</v>
      </c>
      <c r="G195" s="256" t="s">
        <v>47</v>
      </c>
      <c r="H195" s="256" t="s">
        <v>48</v>
      </c>
      <c r="I195" s="256" t="s">
        <v>49</v>
      </c>
      <c r="J195" s="1274" t="s">
        <v>137</v>
      </c>
      <c r="K195" s="1302"/>
      <c r="L195" s="180">
        <v>11</v>
      </c>
      <c r="N195" s="136"/>
      <c r="O195" s="136"/>
      <c r="P195" s="136"/>
      <c r="Q195" s="136"/>
      <c r="R195" s="136"/>
      <c r="S195" s="136"/>
    </row>
    <row r="196" spans="1:21" ht="48" customHeight="1">
      <c r="A196" s="509" t="s">
        <v>78</v>
      </c>
      <c r="B196" s="507" t="s">
        <v>737</v>
      </c>
      <c r="C196" s="599" t="s">
        <v>434</v>
      </c>
      <c r="D196" s="1122" t="s">
        <v>189</v>
      </c>
      <c r="E196" s="1123"/>
      <c r="F196" s="599" t="s">
        <v>308</v>
      </c>
      <c r="G196" s="599" t="s">
        <v>307</v>
      </c>
      <c r="H196" s="593" t="s">
        <v>305</v>
      </c>
      <c r="I196" s="555" t="s">
        <v>974</v>
      </c>
      <c r="J196" s="1122" t="s">
        <v>323</v>
      </c>
      <c r="K196" s="1123"/>
      <c r="L196" s="742" t="s">
        <v>842</v>
      </c>
      <c r="N196" s="136"/>
      <c r="O196" s="136"/>
      <c r="P196" s="136"/>
      <c r="Q196" s="136"/>
      <c r="R196" s="136"/>
      <c r="S196" s="136"/>
    </row>
    <row r="197" spans="1:21">
      <c r="A197" s="1244"/>
      <c r="B197" s="1192" t="s">
        <v>95</v>
      </c>
      <c r="C197" s="1192" t="s">
        <v>95</v>
      </c>
      <c r="D197" s="1133" t="s">
        <v>95</v>
      </c>
      <c r="E197" s="1135"/>
      <c r="F197" s="528" t="s">
        <v>95</v>
      </c>
      <c r="G197" s="528" t="s">
        <v>95</v>
      </c>
      <c r="H197" s="1159" t="s">
        <v>95</v>
      </c>
      <c r="I197" s="1192" t="s">
        <v>113</v>
      </c>
      <c r="J197" s="183" t="s">
        <v>321</v>
      </c>
      <c r="K197" s="528" t="s">
        <v>113</v>
      </c>
      <c r="L197" s="1289"/>
      <c r="N197" s="136"/>
      <c r="O197" s="136"/>
      <c r="P197" s="136"/>
      <c r="Q197" s="136"/>
      <c r="R197" s="136"/>
      <c r="S197" s="136"/>
    </row>
    <row r="198" spans="1:21">
      <c r="A198" s="1244"/>
      <c r="B198" s="1193"/>
      <c r="C198" s="1193"/>
      <c r="D198" s="1317"/>
      <c r="E198" s="1318"/>
      <c r="F198" s="581"/>
      <c r="G198" s="581"/>
      <c r="H198" s="1159"/>
      <c r="I198" s="1193"/>
      <c r="J198" s="183" t="s">
        <v>734</v>
      </c>
      <c r="K198" s="583"/>
      <c r="L198" s="1290"/>
      <c r="N198" s="136"/>
      <c r="O198" s="136"/>
      <c r="P198" s="136"/>
      <c r="Q198" s="136"/>
      <c r="R198" s="136"/>
      <c r="S198" s="136"/>
    </row>
    <row r="199" spans="1:21" ht="30.75" customHeight="1">
      <c r="A199" s="1195" t="s">
        <v>484</v>
      </c>
      <c r="B199" s="1195"/>
      <c r="C199" s="1195"/>
      <c r="D199" s="1195"/>
      <c r="E199" s="1195"/>
      <c r="F199" s="1195"/>
      <c r="G199" s="1195"/>
      <c r="H199" s="1195"/>
      <c r="I199" s="1196"/>
      <c r="J199" s="185" t="s">
        <v>81</v>
      </c>
      <c r="K199" s="87" t="s">
        <v>79</v>
      </c>
      <c r="L199" s="86" t="s">
        <v>80</v>
      </c>
      <c r="N199" s="136"/>
      <c r="O199" s="136"/>
      <c r="P199" s="136"/>
      <c r="Q199" s="136"/>
      <c r="R199" s="136"/>
      <c r="S199" s="136"/>
      <c r="T199" s="136"/>
      <c r="U199" s="136"/>
    </row>
    <row r="200" spans="1:21" ht="16.5" customHeight="1">
      <c r="A200" s="230" t="s">
        <v>485</v>
      </c>
      <c r="B200" s="90"/>
      <c r="K200" s="90"/>
      <c r="N200" s="136"/>
      <c r="O200" s="136"/>
      <c r="P200" s="136"/>
      <c r="Q200" s="136"/>
      <c r="R200" s="136"/>
      <c r="S200" s="136"/>
      <c r="T200" s="136"/>
      <c r="U200" s="136"/>
    </row>
    <row r="201" spans="1:21" ht="16.5" customHeight="1">
      <c r="A201" s="1151" t="s">
        <v>846</v>
      </c>
      <c r="B201" s="1151"/>
      <c r="K201" s="90"/>
      <c r="N201" s="136"/>
      <c r="O201" s="136"/>
      <c r="P201" s="136"/>
      <c r="Q201" s="136"/>
      <c r="R201" s="136"/>
      <c r="S201" s="136"/>
      <c r="T201" s="136"/>
      <c r="U201" s="136"/>
    </row>
    <row r="202" spans="1:21" ht="16.5" customHeight="1">
      <c r="A202" s="230"/>
      <c r="B202" s="460" t="s">
        <v>737</v>
      </c>
      <c r="C202" s="464" t="s">
        <v>434</v>
      </c>
      <c r="D202" s="1315" t="s">
        <v>189</v>
      </c>
      <c r="E202" s="1316"/>
      <c r="F202" s="464" t="s">
        <v>308</v>
      </c>
      <c r="G202" s="464" t="s">
        <v>307</v>
      </c>
      <c r="H202" s="462" t="s">
        <v>305</v>
      </c>
      <c r="K202" s="90"/>
      <c r="N202" s="136"/>
      <c r="O202" s="136"/>
      <c r="P202" s="136"/>
      <c r="Q202" s="136"/>
      <c r="R202" s="136"/>
      <c r="S202" s="136"/>
      <c r="T202" s="136"/>
      <c r="U202" s="136"/>
    </row>
    <row r="203" spans="1:21" ht="16.5" customHeight="1">
      <c r="A203" s="230"/>
      <c r="B203" s="411" t="s">
        <v>738</v>
      </c>
      <c r="C203" s="155" t="s">
        <v>112</v>
      </c>
      <c r="D203" s="1144" t="s">
        <v>188</v>
      </c>
      <c r="E203" s="1146"/>
      <c r="F203" s="96" t="s">
        <v>486</v>
      </c>
      <c r="G203" s="155" t="s">
        <v>109</v>
      </c>
      <c r="H203" s="267" t="s">
        <v>268</v>
      </c>
      <c r="K203" s="90"/>
      <c r="N203" s="136"/>
      <c r="O203" s="136"/>
      <c r="P203" s="136"/>
      <c r="Q203" s="136"/>
      <c r="R203" s="136"/>
      <c r="S203" s="136"/>
      <c r="T203" s="136"/>
      <c r="U203" s="136"/>
    </row>
    <row r="204" spans="1:21" ht="16.5" customHeight="1">
      <c r="A204" s="230"/>
      <c r="B204" s="685" t="s">
        <v>1041</v>
      </c>
      <c r="C204" s="155" t="s">
        <v>108</v>
      </c>
      <c r="D204" s="1144" t="s">
        <v>187</v>
      </c>
      <c r="E204" s="1146"/>
      <c r="F204" s="155" t="s">
        <v>109</v>
      </c>
      <c r="G204" s="155" t="s">
        <v>121</v>
      </c>
      <c r="H204" s="267" t="s">
        <v>306</v>
      </c>
      <c r="K204" s="90"/>
      <c r="N204" s="136"/>
      <c r="O204" s="136"/>
      <c r="P204" s="136"/>
      <c r="Q204" s="136"/>
      <c r="R204" s="136"/>
      <c r="S204" s="136"/>
      <c r="T204" s="136"/>
      <c r="U204" s="136"/>
    </row>
    <row r="205" spans="1:21" ht="16.5" customHeight="1">
      <c r="A205" s="230"/>
      <c r="B205" s="411" t="s">
        <v>739</v>
      </c>
      <c r="C205" s="406" t="s">
        <v>694</v>
      </c>
      <c r="F205" s="155" t="s">
        <v>118</v>
      </c>
      <c r="G205" s="155" t="s">
        <v>119</v>
      </c>
      <c r="K205" s="90"/>
      <c r="N205" s="136"/>
      <c r="O205" s="136"/>
      <c r="P205" s="136"/>
      <c r="Q205" s="136"/>
      <c r="R205" s="136"/>
      <c r="S205" s="136"/>
      <c r="T205" s="136"/>
      <c r="U205" s="136"/>
    </row>
    <row r="206" spans="1:21" ht="16.5" customHeight="1">
      <c r="A206" s="230"/>
      <c r="B206" s="411" t="s">
        <v>740</v>
      </c>
      <c r="F206" s="155" t="s">
        <v>102</v>
      </c>
      <c r="G206" s="155" t="s">
        <v>118</v>
      </c>
      <c r="K206" s="90"/>
      <c r="N206" s="136"/>
      <c r="O206" s="136"/>
      <c r="P206" s="136"/>
      <c r="Q206" s="136"/>
      <c r="R206" s="136"/>
      <c r="S206" s="136"/>
      <c r="T206" s="136"/>
      <c r="U206" s="136"/>
    </row>
    <row r="207" spans="1:21" ht="16.5" customHeight="1">
      <c r="A207" s="230"/>
      <c r="B207" s="657" t="s">
        <v>995</v>
      </c>
      <c r="F207" s="155" t="s">
        <v>148</v>
      </c>
      <c r="G207" s="155" t="s">
        <v>125</v>
      </c>
      <c r="K207" s="90"/>
      <c r="N207" s="136"/>
      <c r="O207" s="136"/>
      <c r="P207" s="136"/>
      <c r="Q207" s="136"/>
      <c r="R207" s="136"/>
      <c r="S207" s="136"/>
      <c r="T207" s="136"/>
      <c r="U207" s="136"/>
    </row>
    <row r="208" spans="1:21" ht="16.5" customHeight="1">
      <c r="A208" s="230"/>
      <c r="B208" s="90"/>
      <c r="F208" s="155" t="s">
        <v>146</v>
      </c>
      <c r="G208" s="155" t="s">
        <v>117</v>
      </c>
      <c r="K208" s="90"/>
      <c r="N208" s="136"/>
      <c r="O208" s="136"/>
      <c r="P208" s="136"/>
      <c r="Q208" s="136"/>
      <c r="R208" s="136"/>
      <c r="S208" s="136"/>
      <c r="T208" s="136"/>
      <c r="U208" s="136"/>
    </row>
    <row r="209" spans="1:21" ht="16.5" customHeight="1">
      <c r="A209" s="230"/>
      <c r="B209" s="90"/>
      <c r="F209" s="96" t="s">
        <v>487</v>
      </c>
      <c r="G209" s="156" t="s">
        <v>102</v>
      </c>
      <c r="K209" s="90"/>
      <c r="N209" s="136"/>
      <c r="O209" s="136"/>
      <c r="P209" s="136"/>
      <c r="Q209" s="136"/>
      <c r="R209" s="136"/>
      <c r="S209" s="136"/>
      <c r="T209" s="136"/>
      <c r="U209" s="136"/>
    </row>
    <row r="210" spans="1:21" ht="16.5" customHeight="1">
      <c r="A210" s="230"/>
      <c r="B210" s="90"/>
      <c r="F210" s="155" t="s">
        <v>186</v>
      </c>
      <c r="G210" s="156" t="s">
        <v>138</v>
      </c>
      <c r="K210" s="90"/>
      <c r="N210" s="136"/>
      <c r="O210" s="136"/>
      <c r="P210" s="136"/>
      <c r="Q210" s="136"/>
      <c r="R210" s="136"/>
      <c r="S210" s="136"/>
      <c r="T210" s="136"/>
      <c r="U210" s="136"/>
    </row>
    <row r="211" spans="1:21" ht="16.5" customHeight="1">
      <c r="A211" s="230"/>
      <c r="B211" s="90"/>
      <c r="F211" s="155" t="s">
        <v>185</v>
      </c>
      <c r="K211" s="90"/>
      <c r="N211" s="136"/>
      <c r="O211" s="136"/>
      <c r="P211" s="136"/>
      <c r="Q211" s="136"/>
      <c r="R211" s="136"/>
      <c r="S211" s="136"/>
      <c r="T211" s="136"/>
      <c r="U211" s="136"/>
    </row>
    <row r="212" spans="1:21" ht="16.5" customHeight="1">
      <c r="A212" s="230"/>
      <c r="B212" s="90"/>
      <c r="F212" s="155" t="s">
        <v>184</v>
      </c>
      <c r="K212" s="90"/>
      <c r="N212" s="136"/>
      <c r="O212" s="136"/>
      <c r="P212" s="136"/>
      <c r="Q212" s="136"/>
      <c r="R212" s="136"/>
      <c r="S212" s="136"/>
      <c r="T212" s="136"/>
      <c r="U212" s="136"/>
    </row>
    <row r="213" spans="1:21" ht="16.5" customHeight="1">
      <c r="A213" s="230"/>
      <c r="B213" s="90"/>
      <c r="F213" s="155" t="s">
        <v>183</v>
      </c>
      <c r="K213" s="90"/>
      <c r="N213" s="136"/>
      <c r="O213" s="136"/>
      <c r="P213" s="136"/>
      <c r="Q213" s="136"/>
      <c r="R213" s="136"/>
      <c r="S213" s="136"/>
      <c r="T213" s="136"/>
      <c r="U213" s="136"/>
    </row>
    <row r="214" spans="1:21" ht="16.5" customHeight="1">
      <c r="A214" s="230"/>
      <c r="B214" s="90"/>
      <c r="F214" s="150"/>
      <c r="K214" s="90"/>
      <c r="N214" s="136"/>
      <c r="O214" s="136"/>
      <c r="P214" s="136"/>
      <c r="Q214" s="136"/>
      <c r="R214" s="136"/>
      <c r="S214" s="136"/>
      <c r="T214" s="136"/>
      <c r="U214" s="136"/>
    </row>
    <row r="215" spans="1:21" ht="16.5" customHeight="1">
      <c r="A215" s="230"/>
      <c r="B215" s="90"/>
      <c r="F215" s="150"/>
      <c r="K215" s="90"/>
      <c r="N215" s="136"/>
      <c r="O215" s="136"/>
      <c r="P215" s="136"/>
      <c r="Q215" s="136"/>
      <c r="R215" s="136"/>
      <c r="S215" s="136"/>
      <c r="T215" s="136"/>
      <c r="U215" s="136"/>
    </row>
    <row r="216" spans="1:21" ht="16.5" customHeight="1">
      <c r="A216" s="230"/>
      <c r="B216" s="90"/>
      <c r="F216" s="150"/>
      <c r="K216" s="90"/>
      <c r="N216" s="136"/>
      <c r="O216" s="136"/>
      <c r="P216" s="136"/>
      <c r="Q216" s="136"/>
      <c r="R216" s="136"/>
      <c r="S216" s="136"/>
      <c r="T216" s="136"/>
      <c r="U216" s="136"/>
    </row>
    <row r="217" spans="1:21" ht="16.5" customHeight="1">
      <c r="A217" s="230"/>
      <c r="B217" s="90"/>
      <c r="K217" s="90"/>
      <c r="N217" s="136"/>
      <c r="O217" s="136"/>
      <c r="P217" s="136"/>
      <c r="Q217" s="136"/>
      <c r="R217" s="136"/>
      <c r="S217" s="136"/>
      <c r="T217" s="136"/>
      <c r="U217" s="136"/>
    </row>
    <row r="218" spans="1:21">
      <c r="A218" s="1213" t="s">
        <v>489</v>
      </c>
      <c r="B218" s="1214"/>
      <c r="C218" s="1214"/>
      <c r="D218" s="1214"/>
      <c r="E218" s="1214"/>
      <c r="F218" s="1214"/>
      <c r="G218" s="1214"/>
      <c r="H218" s="1214"/>
      <c r="I218" s="1215"/>
      <c r="J218" s="191"/>
      <c r="K218" s="191"/>
      <c r="L218" s="191"/>
      <c r="N218" s="136"/>
      <c r="O218" s="136"/>
      <c r="P218" s="136"/>
      <c r="Q218" s="136"/>
      <c r="R218" s="136"/>
      <c r="S218" s="136"/>
    </row>
    <row r="219" spans="1:21" ht="16.2">
      <c r="A219" s="256" t="s">
        <v>37</v>
      </c>
      <c r="B219" s="184" t="s">
        <v>7</v>
      </c>
      <c r="C219" s="1171" t="s">
        <v>490</v>
      </c>
      <c r="D219" s="1172"/>
      <c r="E219" s="1172"/>
      <c r="F219" s="1172"/>
      <c r="G219" s="1172"/>
      <c r="H219" s="1172"/>
      <c r="I219" s="1173"/>
      <c r="J219" s="282"/>
      <c r="K219" s="282"/>
      <c r="L219" s="282"/>
      <c r="N219" s="136"/>
      <c r="O219" s="136"/>
      <c r="P219" s="136"/>
      <c r="Q219" s="136"/>
      <c r="R219" s="136"/>
      <c r="S219" s="136"/>
    </row>
    <row r="220" spans="1:21">
      <c r="A220" s="176" t="s">
        <v>38</v>
      </c>
      <c r="B220" s="176" t="s">
        <v>39</v>
      </c>
      <c r="C220" s="177" t="s">
        <v>40</v>
      </c>
      <c r="D220" s="177" t="s">
        <v>41</v>
      </c>
      <c r="E220" s="176" t="s">
        <v>46</v>
      </c>
      <c r="F220" s="177" t="s">
        <v>47</v>
      </c>
      <c r="G220" s="1274" t="s">
        <v>48</v>
      </c>
      <c r="H220" s="1275"/>
      <c r="I220" s="256" t="s">
        <v>49</v>
      </c>
      <c r="J220" s="1314"/>
      <c r="K220" s="1314"/>
      <c r="L220" s="93"/>
      <c r="N220" s="136"/>
      <c r="O220" s="136"/>
      <c r="P220" s="136"/>
      <c r="Q220" s="136"/>
      <c r="R220" s="136"/>
      <c r="S220" s="136"/>
    </row>
    <row r="221" spans="1:21" ht="48" customHeight="1">
      <c r="A221" s="265" t="s">
        <v>78</v>
      </c>
      <c r="B221" s="598" t="s">
        <v>97</v>
      </c>
      <c r="C221" s="598" t="s">
        <v>737</v>
      </c>
      <c r="D221" s="599" t="s">
        <v>434</v>
      </c>
      <c r="E221" s="599" t="s">
        <v>274</v>
      </c>
      <c r="F221" s="555" t="s">
        <v>741</v>
      </c>
      <c r="G221" s="1122" t="s">
        <v>323</v>
      </c>
      <c r="H221" s="1313"/>
      <c r="I221" s="500" t="s">
        <v>844</v>
      </c>
      <c r="J221" s="45"/>
      <c r="K221" s="144"/>
      <c r="L221" s="144"/>
      <c r="M221" s="136"/>
      <c r="N221" s="136"/>
      <c r="O221" s="136"/>
      <c r="P221" s="136"/>
    </row>
    <row r="222" spans="1:21">
      <c r="A222" s="1182"/>
      <c r="B222" s="1244"/>
      <c r="C222" s="1192" t="s">
        <v>95</v>
      </c>
      <c r="D222" s="1192" t="s">
        <v>95</v>
      </c>
      <c r="E222" s="528" t="s">
        <v>95</v>
      </c>
      <c r="F222" s="1192" t="s">
        <v>113</v>
      </c>
      <c r="G222" s="183" t="s">
        <v>321</v>
      </c>
      <c r="H222" s="528" t="s">
        <v>113</v>
      </c>
      <c r="I222" s="1289"/>
      <c r="K222" s="136"/>
      <c r="L222" s="136"/>
      <c r="M222" s="136"/>
      <c r="N222" s="136"/>
      <c r="O222" s="136"/>
      <c r="P222" s="136"/>
    </row>
    <row r="223" spans="1:21">
      <c r="A223" s="1182"/>
      <c r="B223" s="1244"/>
      <c r="C223" s="1193"/>
      <c r="D223" s="1193"/>
      <c r="E223" s="581"/>
      <c r="F223" s="1193"/>
      <c r="G223" s="183" t="s">
        <v>734</v>
      </c>
      <c r="H223" s="583"/>
      <c r="I223" s="1290"/>
      <c r="K223" s="136"/>
      <c r="L223" s="136"/>
      <c r="M223" s="136"/>
      <c r="N223" s="136"/>
      <c r="O223" s="136"/>
      <c r="P223" s="136"/>
    </row>
    <row r="224" spans="1:21" ht="41.25" customHeight="1">
      <c r="A224" s="1287" t="s">
        <v>1142</v>
      </c>
      <c r="B224" s="1287"/>
      <c r="C224" s="1287"/>
      <c r="D224" s="1287"/>
      <c r="E224" s="1287"/>
      <c r="F224" s="1288"/>
      <c r="G224" s="185" t="s">
        <v>81</v>
      </c>
      <c r="H224" s="87" t="s">
        <v>79</v>
      </c>
      <c r="I224" s="86" t="s">
        <v>80</v>
      </c>
      <c r="N224" s="136"/>
      <c r="O224" s="136"/>
      <c r="P224" s="136"/>
      <c r="Q224" s="136"/>
      <c r="R224" s="136"/>
      <c r="S224" s="136"/>
      <c r="T224" s="136"/>
      <c r="U224" s="136"/>
    </row>
    <row r="225" spans="1:22" ht="16.5" customHeight="1">
      <c r="A225" s="1151" t="s">
        <v>847</v>
      </c>
      <c r="B225" s="1151"/>
      <c r="C225" s="90"/>
      <c r="L225" s="90"/>
      <c r="O225" s="136"/>
      <c r="P225" s="136"/>
      <c r="Q225" s="136"/>
      <c r="R225" s="136"/>
      <c r="S225" s="136"/>
      <c r="T225" s="136"/>
      <c r="U225" s="136"/>
      <c r="V225" s="136"/>
    </row>
    <row r="226" spans="1:22" ht="16.5" customHeight="1">
      <c r="A226" s="230"/>
      <c r="B226" s="90"/>
      <c r="C226" s="463" t="s">
        <v>737</v>
      </c>
      <c r="D226" s="464" t="s">
        <v>434</v>
      </c>
      <c r="E226" s="464" t="s">
        <v>274</v>
      </c>
      <c r="L226" s="90"/>
      <c r="O226" s="136"/>
      <c r="P226" s="136"/>
      <c r="Q226" s="136"/>
      <c r="R226" s="136"/>
      <c r="S226" s="136"/>
      <c r="T226" s="136"/>
      <c r="U226" s="136"/>
      <c r="V226" s="136"/>
    </row>
    <row r="227" spans="1:22" ht="16.5" customHeight="1">
      <c r="A227" s="230"/>
      <c r="B227" s="90"/>
      <c r="C227" s="411" t="s">
        <v>738</v>
      </c>
      <c r="D227" s="155" t="s">
        <v>112</v>
      </c>
      <c r="E227" s="406" t="s">
        <v>182</v>
      </c>
      <c r="F227" s="91"/>
      <c r="L227" s="90"/>
      <c r="O227" s="136"/>
      <c r="P227" s="136"/>
      <c r="Q227" s="136"/>
      <c r="R227" s="136"/>
      <c r="S227" s="136"/>
      <c r="T227" s="136"/>
      <c r="U227" s="136"/>
      <c r="V227" s="136"/>
    </row>
    <row r="228" spans="1:22" ht="16.5" customHeight="1">
      <c r="A228" s="230"/>
      <c r="B228" s="90"/>
      <c r="C228" s="685" t="s">
        <v>1041</v>
      </c>
      <c r="D228" s="155" t="s">
        <v>108</v>
      </c>
      <c r="E228" s="406" t="s">
        <v>181</v>
      </c>
      <c r="F228" s="91"/>
      <c r="L228" s="90"/>
      <c r="O228" s="136"/>
      <c r="P228" s="136"/>
      <c r="Q228" s="136"/>
      <c r="R228" s="136"/>
      <c r="S228" s="136"/>
      <c r="T228" s="136"/>
      <c r="U228" s="136"/>
      <c r="V228" s="136"/>
    </row>
    <row r="229" spans="1:22" ht="16.5" customHeight="1">
      <c r="A229" s="230"/>
      <c r="B229" s="90"/>
      <c r="C229" s="411" t="s">
        <v>739</v>
      </c>
      <c r="D229" s="406" t="s">
        <v>694</v>
      </c>
      <c r="E229" s="156" t="s">
        <v>180</v>
      </c>
      <c r="L229" s="90"/>
      <c r="O229" s="136"/>
      <c r="P229" s="136"/>
      <c r="Q229" s="136"/>
      <c r="R229" s="136"/>
      <c r="S229" s="136"/>
      <c r="T229" s="136"/>
      <c r="U229" s="136"/>
      <c r="V229" s="136"/>
    </row>
    <row r="230" spans="1:22" ht="16.5" customHeight="1">
      <c r="A230" s="230"/>
      <c r="B230" s="90"/>
      <c r="C230" s="411" t="s">
        <v>740</v>
      </c>
      <c r="E230" s="156" t="s">
        <v>172</v>
      </c>
      <c r="L230" s="90"/>
      <c r="O230" s="136"/>
      <c r="P230" s="136"/>
      <c r="Q230" s="136"/>
      <c r="R230" s="136"/>
      <c r="S230" s="136"/>
      <c r="T230" s="136"/>
      <c r="U230" s="136"/>
      <c r="V230" s="136"/>
    </row>
    <row r="231" spans="1:22" ht="16.5" customHeight="1">
      <c r="A231" s="230"/>
      <c r="B231" s="90"/>
      <c r="C231" s="657" t="s">
        <v>1193</v>
      </c>
      <c r="E231" s="156" t="s">
        <v>179</v>
      </c>
      <c r="L231" s="90"/>
      <c r="O231" s="136"/>
      <c r="P231" s="136"/>
      <c r="Q231" s="136"/>
      <c r="R231" s="136"/>
      <c r="S231" s="136"/>
      <c r="T231" s="136"/>
      <c r="U231" s="136"/>
      <c r="V231" s="136"/>
    </row>
    <row r="232" spans="1:22">
      <c r="C232" s="657" t="s">
        <v>1194</v>
      </c>
      <c r="E232" s="156" t="s">
        <v>168</v>
      </c>
    </row>
    <row r="233" spans="1:22">
      <c r="E233" s="91"/>
    </row>
    <row r="234" spans="1:22">
      <c r="D234" s="91"/>
    </row>
    <row r="235" spans="1:22">
      <c r="D235" s="91"/>
    </row>
    <row r="236" spans="1:22">
      <c r="D236" s="91"/>
    </row>
    <row r="237" spans="1:22">
      <c r="D237" s="91"/>
    </row>
    <row r="238" spans="1:22">
      <c r="D238" s="91"/>
    </row>
    <row r="239" spans="1:22">
      <c r="D239" s="91"/>
    </row>
    <row r="240" spans="1:22">
      <c r="A240" s="1163" t="s">
        <v>494</v>
      </c>
      <c r="B240" s="1163"/>
      <c r="C240" s="1163"/>
      <c r="D240" s="1163"/>
      <c r="E240" s="1163"/>
      <c r="F240" s="1163"/>
      <c r="G240" s="1163"/>
      <c r="H240" s="1163"/>
      <c r="I240" s="1163"/>
      <c r="J240" s="1163"/>
      <c r="K240" s="191"/>
      <c r="L240" s="191"/>
      <c r="N240" s="268"/>
      <c r="O240" s="268"/>
      <c r="P240" s="268"/>
      <c r="Q240" s="268"/>
      <c r="R240" s="268"/>
      <c r="S240" s="268"/>
    </row>
    <row r="241" spans="1:22" ht="16.2">
      <c r="A241" s="256" t="s">
        <v>37</v>
      </c>
      <c r="B241" s="184" t="s">
        <v>7</v>
      </c>
      <c r="C241" s="1309" t="s">
        <v>495</v>
      </c>
      <c r="D241" s="1309"/>
      <c r="E241" s="1309"/>
      <c r="F241" s="1309"/>
      <c r="G241" s="1309"/>
      <c r="H241" s="1309"/>
      <c r="I241" s="1309"/>
      <c r="J241" s="1309"/>
      <c r="K241" s="283"/>
      <c r="L241" s="283"/>
      <c r="N241" s="268"/>
      <c r="O241" s="268"/>
      <c r="P241" s="268"/>
      <c r="Q241" s="268"/>
      <c r="R241" s="268"/>
      <c r="S241" s="268"/>
    </row>
    <row r="242" spans="1:22" ht="15" customHeight="1">
      <c r="A242" s="256" t="s">
        <v>38</v>
      </c>
      <c r="B242" s="256" t="s">
        <v>39</v>
      </c>
      <c r="C242" s="256" t="s">
        <v>40</v>
      </c>
      <c r="D242" s="256" t="s">
        <v>41</v>
      </c>
      <c r="E242" s="256" t="s">
        <v>46</v>
      </c>
      <c r="F242" s="264" t="s">
        <v>47</v>
      </c>
      <c r="G242" s="256" t="s">
        <v>48</v>
      </c>
      <c r="H242" s="1185" t="s">
        <v>49</v>
      </c>
      <c r="I242" s="1185"/>
      <c r="J242" s="256" t="s">
        <v>137</v>
      </c>
      <c r="K242" s="132"/>
      <c r="L242" s="93"/>
      <c r="N242" s="268"/>
      <c r="O242" s="268"/>
      <c r="P242" s="268"/>
      <c r="Q242" s="268"/>
      <c r="R242" s="268"/>
      <c r="S242" s="268"/>
      <c r="T242" s="136"/>
      <c r="U242" s="136"/>
    </row>
    <row r="243" spans="1:22" ht="15" customHeight="1">
      <c r="A243" s="1276" t="s">
        <v>78</v>
      </c>
      <c r="B243" s="1276" t="s">
        <v>444</v>
      </c>
      <c r="C243" s="1278" t="s">
        <v>434</v>
      </c>
      <c r="D243" s="1281" t="s">
        <v>496</v>
      </c>
      <c r="E243" s="1311" t="s">
        <v>207</v>
      </c>
      <c r="F243" s="1312"/>
      <c r="G243" s="1281" t="s">
        <v>978</v>
      </c>
      <c r="H243" s="1180" t="s">
        <v>323</v>
      </c>
      <c r="I243" s="1180"/>
      <c r="J243" s="1208" t="s">
        <v>842</v>
      </c>
      <c r="K243" s="268"/>
      <c r="L243" s="268"/>
      <c r="M243" s="268"/>
      <c r="N243" s="268"/>
      <c r="O243" s="268"/>
      <c r="P243" s="268"/>
      <c r="Q243" s="136"/>
      <c r="R243" s="136"/>
    </row>
    <row r="244" spans="1:22" s="102" customFormat="1" ht="24">
      <c r="A244" s="1277"/>
      <c r="B244" s="1277"/>
      <c r="C244" s="1279"/>
      <c r="D244" s="1282"/>
      <c r="E244" s="555" t="s">
        <v>376</v>
      </c>
      <c r="F244" s="555" t="s">
        <v>308</v>
      </c>
      <c r="G244" s="1282"/>
      <c r="H244" s="1180"/>
      <c r="I244" s="1180"/>
      <c r="J244" s="1208"/>
      <c r="L244" s="268"/>
      <c r="M244" s="268"/>
      <c r="N244" s="268"/>
      <c r="O244" s="268"/>
      <c r="P244" s="268"/>
      <c r="Q244" s="268"/>
      <c r="R244" s="136"/>
      <c r="S244" s="136"/>
    </row>
    <row r="245" spans="1:22">
      <c r="A245" s="1182"/>
      <c r="B245" s="1192" t="s">
        <v>95</v>
      </c>
      <c r="C245" s="1192" t="s">
        <v>95</v>
      </c>
      <c r="D245" s="1192" t="s">
        <v>95</v>
      </c>
      <c r="E245" s="528" t="s">
        <v>95</v>
      </c>
      <c r="F245" s="528" t="s">
        <v>95</v>
      </c>
      <c r="G245" s="1192" t="s">
        <v>113</v>
      </c>
      <c r="H245" s="183" t="s">
        <v>321</v>
      </c>
      <c r="I245" s="528" t="s">
        <v>113</v>
      </c>
      <c r="J245" s="1289"/>
      <c r="L245" s="268"/>
      <c r="M245" s="268"/>
      <c r="N245" s="268"/>
      <c r="O245" s="268"/>
      <c r="P245" s="268"/>
      <c r="Q245" s="268"/>
      <c r="R245" s="136"/>
      <c r="S245" s="136"/>
    </row>
    <row r="246" spans="1:22">
      <c r="A246" s="1182"/>
      <c r="B246" s="1193"/>
      <c r="C246" s="1193"/>
      <c r="D246" s="1193"/>
      <c r="E246" s="581"/>
      <c r="F246" s="581"/>
      <c r="G246" s="1193"/>
      <c r="H246" s="183" t="s">
        <v>322</v>
      </c>
      <c r="I246" s="583"/>
      <c r="J246" s="1290"/>
      <c r="L246" s="268"/>
      <c r="M246" s="268"/>
      <c r="N246" s="268"/>
      <c r="O246" s="268"/>
      <c r="P246" s="268"/>
      <c r="Q246" s="268"/>
      <c r="R246" s="136"/>
      <c r="S246" s="136"/>
    </row>
    <row r="247" spans="1:22" ht="41.25" customHeight="1">
      <c r="A247" s="1195" t="s">
        <v>909</v>
      </c>
      <c r="B247" s="1195"/>
      <c r="C247" s="1195"/>
      <c r="D247" s="1195"/>
      <c r="E247" s="1195"/>
      <c r="F247" s="1195"/>
      <c r="G247" s="1196"/>
      <c r="H247" s="185" t="s">
        <v>81</v>
      </c>
      <c r="I247" s="87" t="s">
        <v>79</v>
      </c>
      <c r="J247" s="86" t="s">
        <v>80</v>
      </c>
      <c r="O247" s="268"/>
      <c r="P247" s="268"/>
      <c r="Q247" s="268"/>
      <c r="R247" s="268"/>
      <c r="S247" s="268"/>
      <c r="T247" s="268"/>
      <c r="U247" s="136"/>
      <c r="V247" s="136"/>
    </row>
    <row r="248" spans="1:22" ht="36" customHeight="1">
      <c r="A248" s="1285" t="s">
        <v>497</v>
      </c>
      <c r="B248" s="1285"/>
      <c r="C248" s="1285"/>
      <c r="D248" s="1285"/>
      <c r="E248" s="1285"/>
      <c r="F248" s="1285"/>
      <c r="G248" s="1285"/>
      <c r="H248" s="420"/>
      <c r="I248" s="420"/>
      <c r="J248" s="420"/>
      <c r="L248" s="90"/>
      <c r="O248" s="268"/>
      <c r="P248" s="268"/>
      <c r="Q248" s="268"/>
      <c r="R248" s="268"/>
      <c r="S248" s="268"/>
      <c r="T248" s="268"/>
      <c r="U248" s="136"/>
      <c r="V248" s="136"/>
    </row>
    <row r="249" spans="1:22" ht="15">
      <c r="A249" s="1151" t="s">
        <v>846</v>
      </c>
      <c r="B249" s="1151"/>
      <c r="C249" s="46"/>
      <c r="D249" s="46"/>
      <c r="E249" s="46"/>
      <c r="F249" s="46"/>
      <c r="G249" s="46"/>
    </row>
    <row r="250" spans="1:22" ht="24">
      <c r="B250" s="461" t="s">
        <v>446</v>
      </c>
      <c r="C250" s="461" t="s">
        <v>434</v>
      </c>
      <c r="D250" s="461" t="s">
        <v>848</v>
      </c>
      <c r="E250" s="461" t="s">
        <v>376</v>
      </c>
      <c r="F250" s="461" t="s">
        <v>308</v>
      </c>
      <c r="K250" s="43" t="s">
        <v>941</v>
      </c>
      <c r="L250" s="43" t="s">
        <v>912</v>
      </c>
      <c r="M250" s="43" t="s">
        <v>914</v>
      </c>
      <c r="N250" s="43" t="s">
        <v>913</v>
      </c>
    </row>
    <row r="251" spans="1:22" ht="27.6">
      <c r="B251" s="232" t="s">
        <v>667</v>
      </c>
      <c r="C251" s="155" t="s">
        <v>112</v>
      </c>
      <c r="D251" s="156" t="s">
        <v>168</v>
      </c>
      <c r="E251" s="267" t="s">
        <v>401</v>
      </c>
      <c r="F251" s="267" t="s">
        <v>109</v>
      </c>
      <c r="K251" s="43">
        <v>7.0000000000000007E-2</v>
      </c>
      <c r="L251" s="43">
        <v>3.6</v>
      </c>
      <c r="M251" s="43">
        <v>0</v>
      </c>
      <c r="N251" s="43">
        <f>(1/(M251+(1/K251)+L251))</f>
        <v>5.5910543130990413E-2</v>
      </c>
    </row>
    <row r="252" spans="1:22" ht="27.6">
      <c r="B252" s="686" t="s">
        <v>1043</v>
      </c>
      <c r="C252" s="155" t="s">
        <v>108</v>
      </c>
      <c r="D252" s="156" t="s">
        <v>164</v>
      </c>
      <c r="E252" s="266" t="s">
        <v>377</v>
      </c>
      <c r="F252" s="267" t="s">
        <v>205</v>
      </c>
    </row>
    <row r="253" spans="1:22" ht="16.5" customHeight="1">
      <c r="A253" s="230"/>
      <c r="B253" s="422"/>
      <c r="C253" s="486" t="s">
        <v>694</v>
      </c>
      <c r="D253" s="156" t="s">
        <v>161</v>
      </c>
      <c r="E253" s="266" t="s">
        <v>378</v>
      </c>
      <c r="F253" s="267" t="s">
        <v>121</v>
      </c>
      <c r="L253" s="90"/>
      <c r="O253" s="136"/>
      <c r="P253" s="136"/>
      <c r="Q253" s="136"/>
      <c r="R253" s="136"/>
      <c r="S253" s="136"/>
      <c r="T253" s="136"/>
      <c r="U253" s="136"/>
      <c r="V253" s="136"/>
    </row>
    <row r="254" spans="1:22" ht="16.5" customHeight="1">
      <c r="A254" s="230"/>
      <c r="B254" s="422"/>
      <c r="C254" s="90"/>
      <c r="D254" s="156" t="s">
        <v>110</v>
      </c>
      <c r="E254" s="266" t="s">
        <v>379</v>
      </c>
      <c r="F254" s="98" t="s">
        <v>200</v>
      </c>
      <c r="L254" s="90"/>
      <c r="O254" s="136"/>
      <c r="P254" s="136"/>
      <c r="Q254" s="136"/>
      <c r="R254" s="136"/>
      <c r="S254" s="136"/>
      <c r="T254" s="136"/>
      <c r="U254" s="136"/>
      <c r="V254" s="136"/>
    </row>
    <row r="255" spans="1:22" ht="16.5" customHeight="1">
      <c r="A255" s="230"/>
      <c r="B255" s="230"/>
      <c r="C255" s="90"/>
      <c r="D255" s="156" t="s">
        <v>178</v>
      </c>
      <c r="E255" s="266" t="s">
        <v>380</v>
      </c>
      <c r="F255" s="98" t="s">
        <v>119</v>
      </c>
      <c r="L255" s="90"/>
      <c r="O255" s="136"/>
      <c r="P255" s="136"/>
      <c r="Q255" s="136"/>
      <c r="R255" s="136"/>
      <c r="S255" s="136"/>
      <c r="T255" s="136"/>
      <c r="U255" s="136"/>
      <c r="V255" s="136"/>
    </row>
    <row r="256" spans="1:22" ht="16.5" customHeight="1">
      <c r="A256" s="230"/>
      <c r="B256" s="230"/>
      <c r="C256" s="90"/>
      <c r="D256" s="156" t="s">
        <v>177</v>
      </c>
      <c r="E256" s="266" t="s">
        <v>381</v>
      </c>
      <c r="F256" s="98" t="s">
        <v>105</v>
      </c>
      <c r="L256" s="90"/>
      <c r="O256" s="136"/>
      <c r="P256" s="136"/>
      <c r="Q256" s="136"/>
      <c r="R256" s="136"/>
      <c r="S256" s="136"/>
      <c r="T256" s="136"/>
      <c r="U256" s="136"/>
      <c r="V256" s="136"/>
    </row>
    <row r="257" spans="1:22" ht="16.5" customHeight="1">
      <c r="B257" s="129"/>
      <c r="C257" s="90"/>
      <c r="D257" s="91"/>
      <c r="E257" s="267" t="s">
        <v>382</v>
      </c>
      <c r="F257" s="98" t="s">
        <v>118</v>
      </c>
      <c r="L257" s="90"/>
      <c r="O257" s="136"/>
      <c r="P257" s="136"/>
      <c r="Q257" s="136"/>
      <c r="R257" s="136"/>
      <c r="S257" s="136"/>
      <c r="T257" s="136"/>
      <c r="U257" s="136"/>
      <c r="V257" s="136"/>
    </row>
    <row r="258" spans="1:22" ht="16.5" customHeight="1">
      <c r="B258" s="422"/>
      <c r="C258" s="90"/>
      <c r="D258" s="91"/>
      <c r="E258" s="267" t="s">
        <v>383</v>
      </c>
      <c r="F258" s="98" t="s">
        <v>125</v>
      </c>
      <c r="L258" s="90"/>
      <c r="O258" s="136"/>
      <c r="P258" s="136"/>
      <c r="Q258" s="136"/>
      <c r="R258" s="136"/>
      <c r="S258" s="136"/>
      <c r="T258" s="136"/>
      <c r="U258" s="136"/>
      <c r="V258" s="136"/>
    </row>
    <row r="259" spans="1:22" ht="16.5" customHeight="1">
      <c r="B259" s="422"/>
      <c r="C259" s="90"/>
      <c r="D259" s="91"/>
      <c r="E259" s="267" t="s">
        <v>384</v>
      </c>
      <c r="F259" s="98" t="s">
        <v>117</v>
      </c>
      <c r="L259" s="90"/>
      <c r="O259" s="136"/>
      <c r="P259" s="136"/>
      <c r="Q259" s="136"/>
      <c r="R259" s="136"/>
      <c r="S259" s="136"/>
      <c r="T259" s="136"/>
      <c r="U259" s="136"/>
      <c r="V259" s="136"/>
    </row>
    <row r="260" spans="1:22" ht="16.5" customHeight="1">
      <c r="B260" s="422"/>
      <c r="C260" s="90"/>
      <c r="D260" s="91"/>
      <c r="E260" s="267" t="s">
        <v>385</v>
      </c>
      <c r="F260" s="98" t="s">
        <v>214</v>
      </c>
      <c r="L260" s="90"/>
      <c r="O260" s="136"/>
      <c r="P260" s="136"/>
      <c r="Q260" s="136"/>
      <c r="R260" s="136"/>
      <c r="S260" s="136"/>
      <c r="T260" s="136"/>
      <c r="U260" s="136"/>
      <c r="V260" s="136"/>
    </row>
    <row r="261" spans="1:22" ht="16.5" customHeight="1">
      <c r="A261" s="230"/>
      <c r="B261" s="230"/>
      <c r="C261" s="90"/>
      <c r="D261" s="91"/>
      <c r="E261" s="267" t="s">
        <v>386</v>
      </c>
      <c r="F261" s="98" t="s">
        <v>102</v>
      </c>
      <c r="L261" s="90"/>
      <c r="O261" s="136"/>
      <c r="P261" s="136"/>
      <c r="Q261" s="136"/>
      <c r="R261" s="136"/>
      <c r="S261" s="136"/>
      <c r="T261" s="136"/>
      <c r="U261" s="136"/>
      <c r="V261" s="136"/>
    </row>
    <row r="262" spans="1:22" ht="16.5" customHeight="1">
      <c r="A262" s="230"/>
      <c r="B262" s="230"/>
      <c r="C262" s="90"/>
      <c r="D262" s="91"/>
      <c r="E262" s="267" t="s">
        <v>387</v>
      </c>
      <c r="F262" s="98" t="s">
        <v>148</v>
      </c>
      <c r="L262" s="90"/>
      <c r="O262" s="136"/>
      <c r="P262" s="136"/>
      <c r="Q262" s="136"/>
      <c r="R262" s="136"/>
      <c r="S262" s="136"/>
      <c r="T262" s="136"/>
      <c r="U262" s="136"/>
      <c r="V262" s="136"/>
    </row>
    <row r="263" spans="1:22" ht="16.5" customHeight="1">
      <c r="A263" s="230"/>
      <c r="B263" s="230"/>
      <c r="C263" s="90"/>
      <c r="D263" s="91"/>
      <c r="E263" s="267" t="s">
        <v>388</v>
      </c>
      <c r="F263" s="98" t="s">
        <v>116</v>
      </c>
      <c r="L263" s="90"/>
      <c r="O263" s="136"/>
      <c r="P263" s="136"/>
      <c r="Q263" s="136"/>
      <c r="R263" s="136"/>
      <c r="S263" s="136"/>
      <c r="T263" s="136"/>
      <c r="U263" s="136"/>
      <c r="V263" s="136"/>
    </row>
    <row r="264" spans="1:22" ht="16.5" customHeight="1">
      <c r="A264" s="230"/>
      <c r="B264" s="230"/>
      <c r="C264" s="90"/>
      <c r="D264" s="91"/>
      <c r="E264" s="266" t="s">
        <v>389</v>
      </c>
      <c r="F264" s="98" t="s">
        <v>146</v>
      </c>
      <c r="L264" s="90"/>
      <c r="O264" s="136"/>
      <c r="P264" s="136"/>
      <c r="Q264" s="136"/>
      <c r="R264" s="136"/>
      <c r="S264" s="136"/>
      <c r="T264" s="136"/>
      <c r="U264" s="136"/>
      <c r="V264" s="136"/>
    </row>
    <row r="265" spans="1:22" ht="16.5" customHeight="1">
      <c r="A265" s="230"/>
      <c r="B265" s="230"/>
      <c r="C265" s="90"/>
      <c r="D265" s="91"/>
      <c r="E265" s="266" t="s">
        <v>390</v>
      </c>
      <c r="F265" s="98" t="s">
        <v>138</v>
      </c>
      <c r="L265" s="90"/>
      <c r="O265" s="136"/>
      <c r="P265" s="136"/>
      <c r="Q265" s="136"/>
      <c r="R265" s="136"/>
      <c r="S265" s="136"/>
      <c r="T265" s="136"/>
      <c r="U265" s="136"/>
      <c r="V265" s="136"/>
    </row>
    <row r="266" spans="1:22" ht="16.5" customHeight="1">
      <c r="A266" s="230"/>
      <c r="B266" s="230"/>
      <c r="C266" s="90"/>
      <c r="D266" s="91"/>
      <c r="E266" s="266" t="s">
        <v>391</v>
      </c>
      <c r="F266" s="98" t="s">
        <v>101</v>
      </c>
      <c r="L266" s="90"/>
      <c r="O266" s="136"/>
      <c r="P266" s="136"/>
      <c r="Q266" s="136"/>
      <c r="R266" s="136"/>
      <c r="S266" s="136"/>
      <c r="T266" s="136"/>
      <c r="U266" s="136"/>
      <c r="V266" s="136"/>
    </row>
    <row r="267" spans="1:22" ht="16.5" customHeight="1">
      <c r="A267" s="230"/>
      <c r="B267" s="230"/>
      <c r="C267" s="90"/>
      <c r="D267" s="91"/>
      <c r="E267" s="266" t="s">
        <v>392</v>
      </c>
      <c r="F267" s="98" t="s">
        <v>213</v>
      </c>
      <c r="L267" s="90"/>
      <c r="O267" s="136"/>
      <c r="P267" s="136"/>
      <c r="Q267" s="136"/>
      <c r="R267" s="136"/>
      <c r="S267" s="136"/>
      <c r="T267" s="136"/>
      <c r="U267" s="136"/>
      <c r="V267" s="136"/>
    </row>
    <row r="268" spans="1:22" ht="16.5" customHeight="1">
      <c r="A268" s="230"/>
      <c r="B268" s="230"/>
      <c r="C268" s="90"/>
      <c r="D268" s="91"/>
      <c r="E268" s="266" t="s">
        <v>393</v>
      </c>
      <c r="F268" s="98" t="s">
        <v>212</v>
      </c>
      <c r="L268" s="90"/>
      <c r="O268" s="136"/>
      <c r="P268" s="136"/>
      <c r="Q268" s="136"/>
      <c r="R268" s="136"/>
      <c r="S268" s="136"/>
      <c r="T268" s="136"/>
      <c r="U268" s="136"/>
      <c r="V268" s="136"/>
    </row>
    <row r="269" spans="1:22" ht="16.5" customHeight="1">
      <c r="A269" s="230"/>
      <c r="B269" s="230"/>
      <c r="C269" s="90"/>
      <c r="D269" s="91"/>
      <c r="E269" s="267" t="s">
        <v>394</v>
      </c>
      <c r="F269" s="98" t="s">
        <v>211</v>
      </c>
      <c r="L269" s="90"/>
      <c r="O269" s="136"/>
      <c r="P269" s="136"/>
      <c r="Q269" s="136"/>
      <c r="R269" s="136"/>
      <c r="S269" s="136"/>
      <c r="T269" s="136"/>
      <c r="U269" s="136"/>
      <c r="V269" s="136"/>
    </row>
    <row r="270" spans="1:22" ht="16.5" customHeight="1">
      <c r="A270" s="230"/>
      <c r="B270" s="230"/>
      <c r="C270" s="90"/>
      <c r="D270" s="91"/>
      <c r="E270" s="267" t="s">
        <v>395</v>
      </c>
      <c r="F270" s="98" t="s">
        <v>144</v>
      </c>
      <c r="L270" s="90"/>
      <c r="O270" s="136"/>
      <c r="P270" s="136"/>
      <c r="Q270" s="136"/>
      <c r="R270" s="136"/>
      <c r="S270" s="136"/>
      <c r="T270" s="136"/>
      <c r="U270" s="136"/>
      <c r="V270" s="136"/>
    </row>
    <row r="271" spans="1:22" ht="16.5" customHeight="1">
      <c r="A271" s="230"/>
      <c r="B271" s="230"/>
      <c r="C271" s="90"/>
      <c r="D271" s="91"/>
      <c r="E271" s="267" t="s">
        <v>396</v>
      </c>
      <c r="F271" s="98" t="s">
        <v>100</v>
      </c>
      <c r="L271" s="90"/>
      <c r="O271" s="136"/>
      <c r="P271" s="136"/>
      <c r="Q271" s="136"/>
      <c r="R271" s="136"/>
      <c r="S271" s="136"/>
      <c r="T271" s="136"/>
      <c r="U271" s="136"/>
      <c r="V271" s="136"/>
    </row>
    <row r="272" spans="1:22" ht="16.5" customHeight="1">
      <c r="A272" s="230"/>
      <c r="B272" s="230"/>
      <c r="C272" s="90"/>
      <c r="D272" s="91"/>
      <c r="E272" s="267" t="s">
        <v>397</v>
      </c>
      <c r="F272" s="98" t="s">
        <v>210</v>
      </c>
      <c r="L272" s="90"/>
      <c r="O272" s="136"/>
      <c r="P272" s="136"/>
      <c r="Q272" s="136"/>
      <c r="R272" s="136"/>
      <c r="S272" s="136"/>
      <c r="T272" s="136"/>
      <c r="U272" s="136"/>
      <c r="V272" s="136"/>
    </row>
    <row r="273" spans="1:22" ht="16.5" customHeight="1">
      <c r="A273" s="230"/>
      <c r="B273" s="230"/>
      <c r="C273" s="90"/>
      <c r="D273" s="91"/>
      <c r="E273" s="267" t="s">
        <v>398</v>
      </c>
      <c r="L273" s="90"/>
      <c r="O273" s="136"/>
      <c r="P273" s="136"/>
      <c r="Q273" s="136"/>
      <c r="R273" s="136"/>
      <c r="S273" s="136"/>
      <c r="T273" s="136"/>
      <c r="U273" s="136"/>
      <c r="V273" s="136"/>
    </row>
    <row r="274" spans="1:22" ht="16.5" customHeight="1">
      <c r="A274" s="230"/>
      <c r="B274" s="230"/>
      <c r="C274" s="90"/>
      <c r="D274" s="91"/>
      <c r="E274" s="267" t="s">
        <v>399</v>
      </c>
      <c r="L274" s="90"/>
      <c r="O274" s="136"/>
      <c r="P274" s="136"/>
      <c r="Q274" s="136"/>
      <c r="R274" s="136"/>
      <c r="S274" s="136"/>
      <c r="T274" s="136"/>
      <c r="U274" s="136"/>
      <c r="V274" s="136"/>
    </row>
    <row r="275" spans="1:22" ht="16.5" customHeight="1">
      <c r="A275" s="230"/>
      <c r="B275" s="230"/>
      <c r="C275" s="90"/>
      <c r="D275" s="91"/>
      <c r="E275" s="267" t="s">
        <v>400</v>
      </c>
      <c r="L275" s="90"/>
      <c r="O275" s="136"/>
      <c r="P275" s="136"/>
      <c r="Q275" s="136"/>
      <c r="R275" s="136"/>
      <c r="S275" s="136"/>
      <c r="T275" s="136"/>
      <c r="U275" s="136"/>
      <c r="V275" s="136"/>
    </row>
    <row r="276" spans="1:22" ht="16.5" customHeight="1">
      <c r="A276" s="230"/>
      <c r="B276" s="230"/>
      <c r="C276" s="90"/>
      <c r="D276" s="91"/>
      <c r="E276" s="98" t="s">
        <v>201</v>
      </c>
      <c r="L276" s="90"/>
      <c r="O276" s="136"/>
      <c r="P276" s="136"/>
      <c r="Q276" s="136"/>
      <c r="R276" s="136"/>
      <c r="S276" s="136"/>
      <c r="T276" s="136"/>
      <c r="U276" s="136"/>
      <c r="V276" s="136"/>
    </row>
    <row r="277" spans="1:22" ht="16.5" customHeight="1">
      <c r="A277" s="230"/>
      <c r="B277" s="90"/>
      <c r="C277" s="91"/>
      <c r="K277" s="90"/>
      <c r="N277" s="136"/>
      <c r="O277" s="136"/>
      <c r="P277" s="136"/>
      <c r="Q277" s="136"/>
      <c r="R277" s="136"/>
      <c r="S277" s="136"/>
      <c r="T277" s="136"/>
      <c r="U277" s="136"/>
    </row>
    <row r="278" spans="1:22" ht="16.5" customHeight="1">
      <c r="A278" s="230"/>
      <c r="B278" s="90"/>
      <c r="C278" s="91"/>
      <c r="K278" s="90"/>
      <c r="N278" s="136"/>
      <c r="O278" s="136"/>
      <c r="P278" s="136"/>
      <c r="Q278" s="136"/>
      <c r="R278" s="136"/>
      <c r="S278" s="136"/>
      <c r="T278" s="136"/>
      <c r="U278" s="136"/>
    </row>
    <row r="279" spans="1:22">
      <c r="A279" s="1163" t="s">
        <v>500</v>
      </c>
      <c r="B279" s="1163"/>
      <c r="C279" s="1163"/>
      <c r="D279" s="1163"/>
      <c r="E279" s="1163"/>
      <c r="F279" s="1163"/>
      <c r="G279" s="1163"/>
      <c r="H279" s="1163"/>
      <c r="I279" s="1163"/>
      <c r="J279" s="1163"/>
      <c r="K279" s="191"/>
      <c r="L279" s="191"/>
      <c r="N279" s="136"/>
      <c r="O279" s="136"/>
      <c r="P279" s="136"/>
      <c r="Q279" s="136"/>
      <c r="R279" s="136"/>
      <c r="S279" s="136"/>
    </row>
    <row r="280" spans="1:22" ht="16.2">
      <c r="A280" s="405" t="s">
        <v>37</v>
      </c>
      <c r="B280" s="184" t="s">
        <v>7</v>
      </c>
      <c r="C280" s="1162" t="s">
        <v>499</v>
      </c>
      <c r="D280" s="1162"/>
      <c r="E280" s="1162"/>
      <c r="F280" s="1162"/>
      <c r="G280" s="1162"/>
      <c r="H280" s="1162"/>
      <c r="I280" s="1162"/>
      <c r="J280" s="1162"/>
      <c r="K280" s="282"/>
      <c r="L280" s="282"/>
      <c r="N280" s="136"/>
      <c r="O280" s="136"/>
      <c r="P280" s="136"/>
      <c r="Q280" s="136"/>
      <c r="R280" s="136"/>
      <c r="S280" s="136"/>
    </row>
    <row r="281" spans="1:22">
      <c r="A281" s="256" t="s">
        <v>38</v>
      </c>
      <c r="B281" s="256" t="s">
        <v>39</v>
      </c>
      <c r="C281" s="405" t="s">
        <v>40</v>
      </c>
      <c r="D281" s="256" t="s">
        <v>41</v>
      </c>
      <c r="E281" s="256" t="s">
        <v>46</v>
      </c>
      <c r="F281" s="256" t="s">
        <v>47</v>
      </c>
      <c r="G281" s="264" t="s">
        <v>48</v>
      </c>
      <c r="H281" s="1274" t="s">
        <v>49</v>
      </c>
      <c r="I281" s="1275"/>
      <c r="J281" s="256" t="s">
        <v>137</v>
      </c>
      <c r="K281" s="1314"/>
      <c r="L281" s="1314"/>
      <c r="M281" s="93"/>
      <c r="O281" s="136"/>
      <c r="P281" s="136"/>
      <c r="Q281" s="136"/>
      <c r="R281" s="136"/>
      <c r="S281" s="136"/>
      <c r="T281" s="136"/>
    </row>
    <row r="282" spans="1:22" ht="48" customHeight="1">
      <c r="A282" s="265" t="s">
        <v>78</v>
      </c>
      <c r="B282" s="189" t="s">
        <v>97</v>
      </c>
      <c r="C282" s="598" t="s">
        <v>737</v>
      </c>
      <c r="D282" s="599" t="s">
        <v>434</v>
      </c>
      <c r="E282" s="599" t="s">
        <v>498</v>
      </c>
      <c r="F282" s="593" t="s">
        <v>305</v>
      </c>
      <c r="G282" s="555" t="s">
        <v>974</v>
      </c>
      <c r="H282" s="1122" t="s">
        <v>323</v>
      </c>
      <c r="I282" s="1123"/>
      <c r="J282" s="500" t="s">
        <v>842</v>
      </c>
      <c r="L282" s="136"/>
      <c r="M282" s="136"/>
      <c r="N282" s="136"/>
      <c r="O282" s="136"/>
      <c r="P282" s="136"/>
      <c r="Q282" s="136"/>
    </row>
    <row r="283" spans="1:22">
      <c r="A283" s="1182"/>
      <c r="B283" s="1182"/>
      <c r="C283" s="1192" t="s">
        <v>95</v>
      </c>
      <c r="D283" s="1192" t="s">
        <v>95</v>
      </c>
      <c r="E283" s="528" t="s">
        <v>95</v>
      </c>
      <c r="F283" s="1159" t="s">
        <v>95</v>
      </c>
      <c r="G283" s="1192" t="s">
        <v>113</v>
      </c>
      <c r="H283" s="183" t="s">
        <v>321</v>
      </c>
      <c r="I283" s="528" t="s">
        <v>113</v>
      </c>
      <c r="J283" s="1289"/>
      <c r="L283" s="136"/>
      <c r="M283" s="136"/>
      <c r="N283" s="136"/>
      <c r="O283" s="136"/>
      <c r="P283" s="136"/>
      <c r="Q283" s="136"/>
    </row>
    <row r="284" spans="1:22">
      <c r="A284" s="1182"/>
      <c r="B284" s="1182"/>
      <c r="C284" s="1193"/>
      <c r="D284" s="1193"/>
      <c r="E284" s="581"/>
      <c r="F284" s="1159"/>
      <c r="G284" s="1193"/>
      <c r="H284" s="183" t="s">
        <v>734</v>
      </c>
      <c r="I284" s="583"/>
      <c r="J284" s="1290"/>
      <c r="L284" s="136"/>
      <c r="M284" s="136"/>
      <c r="N284" s="136"/>
      <c r="O284" s="136"/>
      <c r="P284" s="136"/>
      <c r="Q284" s="136"/>
    </row>
    <row r="285" spans="1:22" ht="39" customHeight="1">
      <c r="A285" s="1195" t="s">
        <v>742</v>
      </c>
      <c r="B285" s="1195"/>
      <c r="C285" s="1195"/>
      <c r="D285" s="1195"/>
      <c r="E285" s="1195"/>
      <c r="F285" s="1195"/>
      <c r="G285" s="1196"/>
      <c r="H285" s="185" t="s">
        <v>81</v>
      </c>
      <c r="I285" s="87" t="s">
        <v>79</v>
      </c>
      <c r="J285" s="86" t="s">
        <v>80</v>
      </c>
      <c r="O285" s="136"/>
      <c r="P285" s="136"/>
      <c r="Q285" s="136"/>
      <c r="R285" s="136"/>
      <c r="S285" s="136"/>
      <c r="T285" s="136"/>
      <c r="U285" s="136"/>
      <c r="V285" s="136"/>
    </row>
    <row r="286" spans="1:22" ht="16.5" customHeight="1">
      <c r="A286" s="1151" t="s">
        <v>743</v>
      </c>
      <c r="B286" s="1151"/>
      <c r="C286" s="1151"/>
      <c r="D286" s="1151"/>
      <c r="E286" s="1151"/>
      <c r="F286" s="1151"/>
      <c r="G286" s="1151"/>
      <c r="L286" s="90"/>
      <c r="O286" s="136"/>
      <c r="P286" s="136"/>
      <c r="Q286" s="136"/>
      <c r="R286" s="136"/>
      <c r="S286" s="136"/>
      <c r="T286" s="136"/>
      <c r="U286" s="136"/>
      <c r="V286" s="136"/>
    </row>
    <row r="287" spans="1:22" ht="16.5" customHeight="1">
      <c r="A287" s="1151" t="s">
        <v>846</v>
      </c>
      <c r="B287" s="1151"/>
      <c r="C287" s="458"/>
      <c r="D287" s="458"/>
      <c r="E287" s="458"/>
      <c r="F287" s="458"/>
      <c r="G287" s="458"/>
      <c r="L287" s="90"/>
      <c r="O287" s="136"/>
      <c r="P287" s="136"/>
      <c r="Q287" s="136"/>
      <c r="R287" s="136"/>
      <c r="S287" s="136"/>
      <c r="T287" s="136"/>
      <c r="U287" s="136"/>
      <c r="V287" s="136"/>
    </row>
    <row r="288" spans="1:22" ht="16.5" customHeight="1">
      <c r="A288" s="230"/>
      <c r="B288" s="90"/>
      <c r="C288" s="463" t="s">
        <v>737</v>
      </c>
      <c r="D288" s="464" t="s">
        <v>434</v>
      </c>
      <c r="E288" s="464" t="s">
        <v>498</v>
      </c>
      <c r="F288" s="462" t="s">
        <v>305</v>
      </c>
      <c r="L288" s="90"/>
      <c r="O288" s="136"/>
      <c r="P288" s="136"/>
      <c r="Q288" s="136"/>
      <c r="R288" s="136"/>
      <c r="S288" s="136"/>
      <c r="T288" s="136"/>
      <c r="U288" s="136"/>
      <c r="V288" s="136"/>
    </row>
    <row r="289" spans="1:22" ht="16.5" customHeight="1">
      <c r="A289" s="230"/>
      <c r="B289" s="90"/>
      <c r="C289" s="411" t="s">
        <v>738</v>
      </c>
      <c r="D289" s="266" t="s">
        <v>112</v>
      </c>
      <c r="E289" s="98" t="s">
        <v>98</v>
      </c>
      <c r="F289" s="267" t="s">
        <v>268</v>
      </c>
      <c r="L289" s="90"/>
      <c r="O289" s="136"/>
      <c r="P289" s="136"/>
      <c r="Q289" s="136"/>
      <c r="R289" s="136"/>
      <c r="S289" s="136"/>
      <c r="T289" s="136"/>
      <c r="U289" s="136"/>
      <c r="V289" s="136"/>
    </row>
    <row r="290" spans="1:22" ht="16.5" customHeight="1">
      <c r="A290" s="230"/>
      <c r="B290" s="90"/>
      <c r="C290" s="685" t="s">
        <v>1041</v>
      </c>
      <c r="D290" s="266" t="s">
        <v>108</v>
      </c>
      <c r="F290" s="267" t="s">
        <v>306</v>
      </c>
      <c r="L290" s="90"/>
      <c r="O290" s="136"/>
      <c r="P290" s="136"/>
      <c r="Q290" s="136"/>
      <c r="R290" s="136"/>
      <c r="S290" s="136"/>
      <c r="T290" s="136"/>
      <c r="U290" s="136"/>
      <c r="V290" s="136"/>
    </row>
    <row r="291" spans="1:22" ht="16.5" customHeight="1">
      <c r="A291" s="230"/>
      <c r="B291" s="90"/>
      <c r="C291" s="411" t="s">
        <v>739</v>
      </c>
      <c r="D291" s="406" t="s">
        <v>694</v>
      </c>
      <c r="L291" s="90"/>
      <c r="O291" s="136"/>
      <c r="P291" s="136"/>
      <c r="Q291" s="136"/>
      <c r="R291" s="136"/>
      <c r="S291" s="136"/>
      <c r="T291" s="136"/>
      <c r="U291" s="136"/>
      <c r="V291" s="136"/>
    </row>
    <row r="292" spans="1:22" ht="16.5" customHeight="1">
      <c r="A292" s="230"/>
      <c r="B292" s="90"/>
      <c r="C292" s="411" t="s">
        <v>740</v>
      </c>
      <c r="K292" s="90"/>
      <c r="N292" s="136"/>
      <c r="O292" s="136"/>
      <c r="P292" s="136"/>
      <c r="Q292" s="136"/>
      <c r="R292" s="136"/>
      <c r="S292" s="136"/>
      <c r="T292" s="136"/>
      <c r="U292" s="136"/>
    </row>
    <row r="293" spans="1:22" ht="16.5" customHeight="1">
      <c r="A293" s="230"/>
      <c r="B293" s="90"/>
      <c r="C293" s="91"/>
      <c r="K293" s="90"/>
      <c r="N293" s="136"/>
      <c r="O293" s="136"/>
      <c r="P293" s="136"/>
      <c r="Q293" s="136"/>
      <c r="R293" s="136"/>
      <c r="S293" s="136"/>
      <c r="T293" s="136"/>
      <c r="U293" s="136"/>
    </row>
    <row r="294" spans="1:22" ht="16.5" customHeight="1">
      <c r="A294" s="230"/>
      <c r="B294" s="90"/>
      <c r="C294" s="91"/>
      <c r="K294" s="90"/>
      <c r="N294" s="136"/>
      <c r="O294" s="136"/>
      <c r="P294" s="136"/>
      <c r="Q294" s="136"/>
      <c r="R294" s="136"/>
      <c r="S294" s="136"/>
      <c r="T294" s="136"/>
      <c r="U294" s="136"/>
    </row>
    <row r="295" spans="1:22" ht="16.5" customHeight="1">
      <c r="A295" s="230"/>
      <c r="B295" s="90"/>
      <c r="C295" s="91"/>
      <c r="K295" s="90"/>
      <c r="N295" s="136"/>
      <c r="O295" s="136"/>
      <c r="P295" s="136"/>
      <c r="Q295" s="136"/>
      <c r="R295" s="136"/>
      <c r="S295" s="136"/>
      <c r="T295" s="136"/>
      <c r="U295" s="136"/>
    </row>
    <row r="296" spans="1:22" ht="16.5" customHeight="1">
      <c r="A296" s="230"/>
      <c r="B296" s="90"/>
      <c r="C296" s="91"/>
      <c r="K296" s="90"/>
      <c r="N296" s="136"/>
      <c r="O296" s="136"/>
      <c r="P296" s="136"/>
      <c r="Q296" s="136"/>
      <c r="R296" s="136"/>
      <c r="S296" s="136"/>
      <c r="T296" s="136"/>
      <c r="U296" s="136"/>
    </row>
    <row r="297" spans="1:22" ht="16.5" customHeight="1">
      <c r="A297" s="230"/>
      <c r="B297" s="90"/>
      <c r="C297" s="91"/>
      <c r="K297" s="90"/>
      <c r="N297" s="136"/>
      <c r="O297" s="136"/>
      <c r="P297" s="136"/>
      <c r="Q297" s="136"/>
      <c r="R297" s="136"/>
      <c r="S297" s="136"/>
      <c r="T297" s="136"/>
      <c r="U297" s="136"/>
    </row>
    <row r="298" spans="1:22" ht="16.5" customHeight="1">
      <c r="A298" s="230"/>
      <c r="B298" s="90"/>
      <c r="C298" s="91"/>
      <c r="K298" s="90"/>
      <c r="N298" s="136"/>
      <c r="O298" s="136"/>
      <c r="P298" s="136"/>
      <c r="Q298" s="136"/>
      <c r="R298" s="136"/>
      <c r="S298" s="136"/>
      <c r="T298" s="136"/>
      <c r="U298" s="136"/>
    </row>
    <row r="299" spans="1:22" ht="16.5" customHeight="1">
      <c r="A299" s="230"/>
      <c r="B299" s="90"/>
      <c r="C299" s="91"/>
      <c r="K299" s="90"/>
      <c r="N299" s="136"/>
      <c r="O299" s="136"/>
      <c r="P299" s="136"/>
      <c r="Q299" s="136"/>
      <c r="R299" s="136"/>
      <c r="S299" s="136"/>
      <c r="T299" s="136"/>
      <c r="U299" s="136"/>
    </row>
    <row r="300" spans="1:22">
      <c r="A300" s="1163" t="s">
        <v>503</v>
      </c>
      <c r="B300" s="1163"/>
      <c r="C300" s="1163"/>
      <c r="D300" s="1163"/>
      <c r="E300" s="1163"/>
      <c r="F300" s="1163"/>
      <c r="G300" s="1163"/>
      <c r="H300" s="1163"/>
      <c r="I300" s="1163"/>
      <c r="J300" s="1163"/>
      <c r="K300" s="1163"/>
      <c r="L300" s="191"/>
      <c r="N300" s="268"/>
      <c r="O300" s="268"/>
      <c r="P300" s="268"/>
      <c r="Q300" s="268"/>
      <c r="R300" s="268"/>
      <c r="S300" s="268"/>
    </row>
    <row r="301" spans="1:22" ht="16.2">
      <c r="A301" s="256" t="s">
        <v>37</v>
      </c>
      <c r="B301" s="184" t="s">
        <v>7</v>
      </c>
      <c r="C301" s="1309" t="s">
        <v>508</v>
      </c>
      <c r="D301" s="1309"/>
      <c r="E301" s="1309"/>
      <c r="F301" s="1309"/>
      <c r="G301" s="1309"/>
      <c r="H301" s="1309"/>
      <c r="I301" s="1309"/>
      <c r="J301" s="1309"/>
      <c r="K301" s="1309"/>
      <c r="L301" s="283"/>
      <c r="N301" s="268"/>
      <c r="O301" s="268"/>
      <c r="P301" s="268"/>
      <c r="Q301" s="268"/>
      <c r="R301" s="268"/>
      <c r="S301" s="268"/>
    </row>
    <row r="302" spans="1:22" ht="15" customHeight="1">
      <c r="A302" s="256" t="s">
        <v>38</v>
      </c>
      <c r="B302" s="405" t="s">
        <v>39</v>
      </c>
      <c r="C302" s="256" t="s">
        <v>40</v>
      </c>
      <c r="D302" s="256" t="s">
        <v>41</v>
      </c>
      <c r="E302" s="256" t="s">
        <v>46</v>
      </c>
      <c r="F302" s="256" t="s">
        <v>47</v>
      </c>
      <c r="G302" s="264" t="s">
        <v>48</v>
      </c>
      <c r="H302" s="256" t="s">
        <v>49</v>
      </c>
      <c r="I302" s="1185" t="s">
        <v>137</v>
      </c>
      <c r="J302" s="1185"/>
      <c r="K302" s="180" t="s">
        <v>176</v>
      </c>
      <c r="L302" s="93"/>
      <c r="N302" s="268"/>
      <c r="O302" s="268"/>
      <c r="P302" s="268"/>
      <c r="Q302" s="268"/>
      <c r="R302" s="268"/>
      <c r="S302" s="268"/>
      <c r="T302" s="136"/>
      <c r="U302" s="136"/>
    </row>
    <row r="303" spans="1:22" ht="15" customHeight="1">
      <c r="A303" s="1207" t="s">
        <v>78</v>
      </c>
      <c r="B303" s="1276" t="s">
        <v>444</v>
      </c>
      <c r="C303" s="1180" t="s">
        <v>434</v>
      </c>
      <c r="D303" s="1180" t="s">
        <v>175</v>
      </c>
      <c r="E303" s="1180" t="s">
        <v>279</v>
      </c>
      <c r="F303" s="1180" t="s">
        <v>174</v>
      </c>
      <c r="G303" s="1280" t="s">
        <v>504</v>
      </c>
      <c r="H303" s="1180" t="s">
        <v>980</v>
      </c>
      <c r="I303" s="1180" t="s">
        <v>323</v>
      </c>
      <c r="J303" s="1180"/>
      <c r="K303" s="1208" t="s">
        <v>842</v>
      </c>
      <c r="L303" s="284"/>
      <c r="M303" s="268"/>
      <c r="N303" s="268"/>
      <c r="O303" s="268"/>
      <c r="P303" s="268"/>
      <c r="Q303" s="268"/>
      <c r="R303" s="136"/>
      <c r="S303" s="136"/>
    </row>
    <row r="304" spans="1:22" s="102" customFormat="1" ht="12">
      <c r="A304" s="1207"/>
      <c r="B304" s="1277"/>
      <c r="C304" s="1180"/>
      <c r="D304" s="1180"/>
      <c r="E304" s="1180"/>
      <c r="F304" s="1180"/>
      <c r="G304" s="1280"/>
      <c r="H304" s="1180"/>
      <c r="I304" s="1180"/>
      <c r="J304" s="1180"/>
      <c r="K304" s="1208"/>
      <c r="M304" s="268"/>
      <c r="N304" s="268"/>
      <c r="O304" s="268"/>
      <c r="P304" s="268"/>
      <c r="Q304" s="268"/>
      <c r="R304" s="268"/>
      <c r="S304" s="136"/>
      <c r="T304" s="136"/>
    </row>
    <row r="305" spans="1:22">
      <c r="A305" s="1182"/>
      <c r="B305" s="1192" t="s">
        <v>95</v>
      </c>
      <c r="C305" s="1192" t="s">
        <v>95</v>
      </c>
      <c r="D305" s="1192" t="s">
        <v>95</v>
      </c>
      <c r="E305" s="1192" t="s">
        <v>95</v>
      </c>
      <c r="F305" s="1192" t="s">
        <v>95</v>
      </c>
      <c r="G305" s="1192" t="s">
        <v>95</v>
      </c>
      <c r="H305" s="1192" t="s">
        <v>113</v>
      </c>
      <c r="I305" s="183" t="s">
        <v>321</v>
      </c>
      <c r="J305" s="528" t="s">
        <v>113</v>
      </c>
      <c r="K305" s="1289"/>
      <c r="M305" s="268"/>
      <c r="N305" s="268"/>
      <c r="O305" s="268"/>
      <c r="P305" s="268"/>
      <c r="Q305" s="268"/>
      <c r="R305" s="268"/>
      <c r="S305" s="136"/>
      <c r="T305" s="136"/>
    </row>
    <row r="306" spans="1:22">
      <c r="A306" s="1182"/>
      <c r="B306" s="1193"/>
      <c r="C306" s="1193"/>
      <c r="D306" s="1193"/>
      <c r="E306" s="1193"/>
      <c r="F306" s="1193"/>
      <c r="G306" s="1193"/>
      <c r="H306" s="1193"/>
      <c r="I306" s="183" t="s">
        <v>734</v>
      </c>
      <c r="J306" s="583"/>
      <c r="K306" s="1290"/>
      <c r="M306" s="268"/>
      <c r="N306" s="268"/>
      <c r="O306" s="268"/>
      <c r="P306" s="268"/>
      <c r="Q306" s="268"/>
      <c r="R306" s="268"/>
      <c r="S306" s="136"/>
      <c r="T306" s="136"/>
    </row>
    <row r="307" spans="1:22" ht="30.75" customHeight="1">
      <c r="A307" s="1195" t="s">
        <v>910</v>
      </c>
      <c r="B307" s="1195"/>
      <c r="C307" s="1195"/>
      <c r="D307" s="1195"/>
      <c r="E307" s="1195"/>
      <c r="F307" s="1195"/>
      <c r="G307" s="1195"/>
      <c r="H307" s="1195"/>
      <c r="I307" s="163" t="s">
        <v>81</v>
      </c>
      <c r="J307" s="87" t="s">
        <v>79</v>
      </c>
      <c r="K307" s="86" t="s">
        <v>80</v>
      </c>
      <c r="N307" s="268"/>
      <c r="O307" s="268"/>
      <c r="P307" s="268"/>
      <c r="Q307" s="268"/>
      <c r="R307" s="268"/>
      <c r="S307" s="268"/>
      <c r="T307" s="136"/>
      <c r="U307" s="136"/>
    </row>
    <row r="308" spans="1:22" ht="36" customHeight="1">
      <c r="A308" s="1285" t="s">
        <v>511</v>
      </c>
      <c r="B308" s="1285"/>
      <c r="C308" s="1285"/>
      <c r="D308" s="1285"/>
      <c r="E308" s="1285"/>
      <c r="F308" s="1285"/>
      <c r="G308" s="1285"/>
      <c r="H308" s="1285"/>
      <c r="I308" s="1285"/>
      <c r="K308" s="90"/>
      <c r="N308" s="268"/>
      <c r="O308" s="268"/>
      <c r="P308" s="268"/>
      <c r="Q308" s="268"/>
      <c r="R308" s="268"/>
      <c r="S308" s="268"/>
      <c r="T308" s="136"/>
      <c r="U308" s="136"/>
    </row>
    <row r="309" spans="1:22" ht="36" customHeight="1">
      <c r="A309" s="1151" t="s">
        <v>846</v>
      </c>
      <c r="B309" s="1151"/>
      <c r="C309" s="501"/>
      <c r="D309" s="501"/>
      <c r="E309" s="501"/>
      <c r="F309" s="501"/>
      <c r="G309" s="501"/>
      <c r="H309" s="501"/>
      <c r="I309" s="501"/>
      <c r="K309" s="90"/>
      <c r="N309" s="268"/>
      <c r="O309" s="268"/>
      <c r="P309" s="268"/>
      <c r="Q309" s="268"/>
      <c r="R309" s="268"/>
      <c r="S309" s="268"/>
      <c r="T309" s="136"/>
      <c r="U309" s="136"/>
    </row>
    <row r="310" spans="1:22" ht="33" customHeight="1">
      <c r="A310" s="230"/>
      <c r="B310" s="465" t="s">
        <v>446</v>
      </c>
      <c r="C310" s="466" t="s">
        <v>434</v>
      </c>
      <c r="D310" s="466" t="s">
        <v>175</v>
      </c>
      <c r="E310" s="466" t="s">
        <v>849</v>
      </c>
      <c r="F310" s="466" t="s">
        <v>939</v>
      </c>
      <c r="G310" s="466" t="s">
        <v>850</v>
      </c>
      <c r="K310" s="90"/>
      <c r="N310" s="136"/>
      <c r="O310" s="136"/>
      <c r="P310" s="136"/>
      <c r="Q310" s="136"/>
      <c r="R310" s="136"/>
      <c r="S310" s="136"/>
      <c r="T310" s="136"/>
      <c r="U310" s="136"/>
    </row>
    <row r="311" spans="1:22" ht="16.5" customHeight="1">
      <c r="A311" s="230"/>
      <c r="B311" s="232" t="s">
        <v>667</v>
      </c>
      <c r="C311" s="266" t="s">
        <v>112</v>
      </c>
      <c r="D311" s="156" t="s">
        <v>173</v>
      </c>
      <c r="E311" s="253" t="s">
        <v>467</v>
      </c>
      <c r="F311" s="267" t="s">
        <v>171</v>
      </c>
      <c r="G311" s="253" t="s">
        <v>467</v>
      </c>
      <c r="L311" s="90"/>
      <c r="O311" s="136"/>
      <c r="P311" s="136"/>
      <c r="Q311" s="136"/>
      <c r="R311" s="136"/>
      <c r="S311" s="136"/>
      <c r="T311" s="136"/>
      <c r="U311" s="136"/>
      <c r="V311" s="136"/>
    </row>
    <row r="312" spans="1:22" ht="16.5" customHeight="1">
      <c r="A312" s="230"/>
      <c r="B312" s="686" t="s">
        <v>1043</v>
      </c>
      <c r="C312" s="266" t="s">
        <v>108</v>
      </c>
      <c r="D312" s="156" t="s">
        <v>169</v>
      </c>
      <c r="E312" s="156" t="s">
        <v>172</v>
      </c>
      <c r="F312" s="267" t="s">
        <v>167</v>
      </c>
      <c r="G312" s="156" t="s">
        <v>166</v>
      </c>
      <c r="L312" s="90"/>
      <c r="O312" s="136"/>
      <c r="P312" s="136"/>
      <c r="Q312" s="136"/>
      <c r="R312" s="136"/>
      <c r="S312" s="136"/>
      <c r="T312" s="136"/>
      <c r="U312" s="136"/>
      <c r="V312" s="136"/>
    </row>
    <row r="313" spans="1:22" ht="16.5" customHeight="1">
      <c r="A313" s="230"/>
      <c r="B313" s="232" t="s">
        <v>666</v>
      </c>
      <c r="C313" s="406" t="s">
        <v>694</v>
      </c>
      <c r="D313" s="156" t="s">
        <v>165</v>
      </c>
      <c r="E313" s="156" t="s">
        <v>168</v>
      </c>
      <c r="F313" s="267" t="s">
        <v>163</v>
      </c>
      <c r="G313" s="156" t="s">
        <v>162</v>
      </c>
      <c r="L313" s="90"/>
      <c r="O313" s="136"/>
      <c r="P313" s="136"/>
      <c r="Q313" s="136"/>
      <c r="R313" s="136"/>
      <c r="S313" s="136"/>
      <c r="T313" s="136"/>
      <c r="U313" s="136"/>
      <c r="V313" s="136"/>
    </row>
    <row r="314" spans="1:22" ht="16.5" customHeight="1">
      <c r="A314" s="230"/>
      <c r="B314" s="657" t="s">
        <v>1193</v>
      </c>
      <c r="C314" s="90"/>
      <c r="E314" s="156" t="s">
        <v>164</v>
      </c>
      <c r="F314" s="601"/>
      <c r="G314" s="156" t="s">
        <v>505</v>
      </c>
      <c r="L314" s="90"/>
      <c r="O314" s="136"/>
      <c r="P314" s="136"/>
      <c r="Q314" s="136"/>
      <c r="R314" s="136"/>
      <c r="S314" s="136"/>
      <c r="T314" s="136"/>
      <c r="U314" s="136"/>
      <c r="V314" s="136"/>
    </row>
    <row r="315" spans="1:22" ht="16.5" customHeight="1">
      <c r="A315" s="230"/>
      <c r="B315" s="657" t="s">
        <v>1194</v>
      </c>
      <c r="C315" s="90"/>
      <c r="E315" s="156" t="s">
        <v>161</v>
      </c>
      <c r="G315" s="156" t="s">
        <v>159</v>
      </c>
      <c r="L315" s="90"/>
      <c r="O315" s="136"/>
      <c r="P315" s="136"/>
      <c r="Q315" s="136"/>
      <c r="R315" s="136"/>
      <c r="S315" s="136"/>
      <c r="T315" s="136"/>
      <c r="U315" s="136"/>
      <c r="V315" s="136"/>
    </row>
    <row r="316" spans="1:22" ht="16.5" customHeight="1">
      <c r="A316" s="230"/>
      <c r="B316" s="230"/>
      <c r="C316" s="90"/>
      <c r="E316" s="156" t="s">
        <v>110</v>
      </c>
      <c r="F316" s="466" t="s">
        <v>906</v>
      </c>
      <c r="G316" s="156" t="s">
        <v>158</v>
      </c>
      <c r="L316" s="90"/>
      <c r="O316" s="136"/>
      <c r="P316" s="136"/>
      <c r="Q316" s="136"/>
      <c r="R316" s="136"/>
      <c r="S316" s="136"/>
      <c r="T316" s="136"/>
      <c r="U316" s="136"/>
      <c r="V316" s="136"/>
    </row>
    <row r="317" spans="1:22" ht="16.5" customHeight="1">
      <c r="A317" s="230"/>
      <c r="B317" s="230"/>
      <c r="C317" s="90"/>
      <c r="E317" s="253" t="s">
        <v>467</v>
      </c>
      <c r="F317" s="485" t="s">
        <v>171</v>
      </c>
      <c r="G317" s="156" t="s">
        <v>157</v>
      </c>
      <c r="L317" s="90"/>
      <c r="O317" s="136"/>
      <c r="P317" s="136"/>
      <c r="Q317" s="136"/>
      <c r="R317" s="136"/>
      <c r="S317" s="136"/>
      <c r="T317" s="136"/>
      <c r="U317" s="136"/>
      <c r="V317" s="136"/>
    </row>
    <row r="318" spans="1:22" ht="16.5" customHeight="1">
      <c r="A318" s="230"/>
      <c r="B318" s="230"/>
      <c r="C318" s="90"/>
      <c r="E318" s="267" t="s">
        <v>168</v>
      </c>
      <c r="F318" s="485" t="s">
        <v>160</v>
      </c>
      <c r="G318" s="156" t="s">
        <v>156</v>
      </c>
      <c r="L318" s="90"/>
      <c r="O318" s="136"/>
      <c r="P318" s="136"/>
      <c r="Q318" s="136"/>
      <c r="R318" s="136"/>
      <c r="S318" s="136"/>
      <c r="T318" s="136"/>
      <c r="U318" s="136"/>
      <c r="V318" s="136"/>
    </row>
    <row r="319" spans="1:22" ht="16.5" customHeight="1">
      <c r="A319" s="230"/>
      <c r="B319" s="230"/>
      <c r="C319" s="90"/>
      <c r="E319" s="267" t="s">
        <v>164</v>
      </c>
      <c r="F319" s="485"/>
      <c r="G319" s="156" t="s">
        <v>155</v>
      </c>
      <c r="L319" s="90"/>
      <c r="O319" s="136"/>
      <c r="P319" s="136"/>
      <c r="Q319" s="136"/>
      <c r="R319" s="136"/>
      <c r="S319" s="136"/>
      <c r="T319" s="136"/>
      <c r="U319" s="136"/>
      <c r="V319" s="136"/>
    </row>
    <row r="320" spans="1:22" ht="16.5" customHeight="1">
      <c r="A320" s="230"/>
      <c r="B320" s="230"/>
      <c r="C320" s="90"/>
      <c r="E320" s="253" t="s">
        <v>467</v>
      </c>
      <c r="F320" s="466" t="s">
        <v>907</v>
      </c>
      <c r="G320" s="253" t="s">
        <v>467</v>
      </c>
      <c r="L320" s="90"/>
      <c r="O320" s="136"/>
      <c r="P320" s="136"/>
      <c r="Q320" s="136"/>
      <c r="R320" s="136"/>
      <c r="S320" s="136"/>
      <c r="T320" s="136"/>
      <c r="U320" s="136"/>
      <c r="V320" s="136"/>
    </row>
    <row r="321" spans="1:22" ht="16.5" customHeight="1">
      <c r="A321" s="230"/>
      <c r="B321" s="230"/>
      <c r="C321" s="90"/>
      <c r="E321" s="267" t="s">
        <v>168</v>
      </c>
      <c r="F321" s="485" t="s">
        <v>171</v>
      </c>
      <c r="G321" s="267" t="s">
        <v>166</v>
      </c>
      <c r="L321" s="90"/>
      <c r="O321" s="136"/>
      <c r="P321" s="136"/>
      <c r="Q321" s="136"/>
      <c r="R321" s="136"/>
      <c r="S321" s="136"/>
      <c r="T321" s="136"/>
      <c r="U321" s="136"/>
      <c r="V321" s="136"/>
    </row>
    <row r="322" spans="1:22" ht="16.5" customHeight="1">
      <c r="A322" s="230"/>
      <c r="B322" s="230"/>
      <c r="C322" s="90"/>
      <c r="E322" s="91"/>
      <c r="F322" s="485" t="s">
        <v>160</v>
      </c>
      <c r="G322" s="267" t="s">
        <v>181</v>
      </c>
      <c r="L322" s="90"/>
      <c r="O322" s="136"/>
      <c r="P322" s="136"/>
      <c r="Q322" s="136"/>
      <c r="R322" s="136"/>
      <c r="S322" s="136"/>
      <c r="T322" s="136"/>
      <c r="U322" s="136"/>
      <c r="V322" s="136"/>
    </row>
    <row r="323" spans="1:22" ht="16.5" customHeight="1">
      <c r="A323" s="230"/>
      <c r="B323" s="230"/>
      <c r="C323" s="90"/>
      <c r="E323" s="91"/>
      <c r="G323" s="267" t="s">
        <v>506</v>
      </c>
      <c r="L323" s="90"/>
      <c r="O323" s="136"/>
      <c r="P323" s="136"/>
      <c r="Q323" s="136"/>
      <c r="R323" s="136"/>
      <c r="S323" s="136"/>
      <c r="T323" s="136"/>
      <c r="U323" s="136"/>
      <c r="V323" s="136"/>
    </row>
    <row r="324" spans="1:22" ht="16.5" customHeight="1">
      <c r="A324" s="230"/>
      <c r="B324" s="230"/>
      <c r="C324" s="90"/>
      <c r="E324" s="91"/>
      <c r="G324" s="267" t="s">
        <v>158</v>
      </c>
      <c r="L324" s="90"/>
      <c r="O324" s="136"/>
      <c r="P324" s="136"/>
      <c r="Q324" s="136"/>
      <c r="R324" s="136"/>
      <c r="S324" s="136"/>
      <c r="T324" s="136"/>
      <c r="U324" s="136"/>
      <c r="V324" s="136"/>
    </row>
    <row r="325" spans="1:22" ht="16.5" customHeight="1">
      <c r="A325" s="230"/>
      <c r="B325" s="230"/>
      <c r="C325" s="90"/>
      <c r="E325" s="91"/>
      <c r="G325" s="267" t="s">
        <v>157</v>
      </c>
      <c r="L325" s="90"/>
      <c r="O325" s="136"/>
      <c r="P325" s="136"/>
      <c r="Q325" s="136"/>
      <c r="R325" s="136"/>
      <c r="S325" s="136"/>
      <c r="T325" s="136"/>
      <c r="U325" s="136"/>
      <c r="V325" s="136"/>
    </row>
    <row r="326" spans="1:22" ht="16.5" customHeight="1">
      <c r="A326" s="230"/>
      <c r="B326" s="230"/>
      <c r="C326" s="90"/>
      <c r="E326" s="91"/>
      <c r="G326" s="267" t="s">
        <v>156</v>
      </c>
      <c r="L326" s="90"/>
      <c r="O326" s="136"/>
      <c r="P326" s="136"/>
      <c r="Q326" s="136"/>
      <c r="R326" s="136"/>
      <c r="S326" s="136"/>
      <c r="T326" s="136"/>
      <c r="U326" s="136"/>
      <c r="V326" s="136"/>
    </row>
    <row r="327" spans="1:22" ht="16.5" customHeight="1">
      <c r="A327" s="230"/>
      <c r="B327" s="230"/>
      <c r="C327" s="90"/>
      <c r="E327" s="91"/>
      <c r="G327" s="267" t="s">
        <v>155</v>
      </c>
      <c r="L327" s="90"/>
      <c r="O327" s="136"/>
      <c r="P327" s="136"/>
      <c r="Q327" s="136"/>
      <c r="R327" s="136"/>
      <c r="S327" s="136"/>
      <c r="T327" s="136"/>
      <c r="U327" s="136"/>
      <c r="V327" s="136"/>
    </row>
    <row r="328" spans="1:22" ht="16.5" customHeight="1">
      <c r="A328" s="230"/>
      <c r="B328" s="230"/>
      <c r="C328" s="90"/>
      <c r="E328" s="91"/>
      <c r="G328" s="253" t="s">
        <v>467</v>
      </c>
      <c r="L328" s="90"/>
      <c r="O328" s="136"/>
      <c r="P328" s="136"/>
      <c r="Q328" s="136"/>
      <c r="R328" s="136"/>
      <c r="S328" s="136"/>
      <c r="T328" s="136"/>
      <c r="U328" s="136"/>
      <c r="V328" s="136"/>
    </row>
    <row r="329" spans="1:22" ht="16.5" customHeight="1">
      <c r="A329" s="230"/>
      <c r="B329" s="230"/>
      <c r="C329" s="90"/>
      <c r="E329" s="91"/>
      <c r="G329" s="267" t="s">
        <v>170</v>
      </c>
      <c r="L329" s="90"/>
      <c r="O329" s="136"/>
      <c r="P329" s="136"/>
      <c r="Q329" s="136"/>
      <c r="R329" s="136"/>
      <c r="S329" s="136"/>
      <c r="T329" s="136"/>
      <c r="U329" s="136"/>
      <c r="V329" s="136"/>
    </row>
    <row r="330" spans="1:22" ht="16.5" customHeight="1">
      <c r="A330" s="230"/>
      <c r="B330" s="230"/>
      <c r="C330" s="90"/>
      <c r="E330" s="91"/>
      <c r="G330" s="267" t="s">
        <v>166</v>
      </c>
      <c r="L330" s="90"/>
      <c r="O330" s="136"/>
      <c r="P330" s="136"/>
      <c r="Q330" s="136"/>
      <c r="R330" s="136"/>
      <c r="S330" s="136"/>
      <c r="T330" s="136"/>
      <c r="U330" s="136"/>
      <c r="V330" s="136"/>
    </row>
    <row r="331" spans="1:22" ht="16.5" customHeight="1">
      <c r="A331" s="230"/>
      <c r="B331" s="230"/>
      <c r="C331" s="90"/>
      <c r="E331" s="91"/>
      <c r="G331" s="267" t="s">
        <v>507</v>
      </c>
      <c r="L331" s="90"/>
      <c r="O331" s="136"/>
      <c r="P331" s="136"/>
      <c r="Q331" s="136"/>
      <c r="R331" s="136"/>
      <c r="S331" s="136"/>
      <c r="T331" s="136"/>
      <c r="U331" s="136"/>
      <c r="V331" s="136"/>
    </row>
    <row r="332" spans="1:22" ht="16.5" customHeight="1">
      <c r="A332" s="230"/>
      <c r="B332" s="230"/>
      <c r="C332" s="90"/>
      <c r="E332" s="91"/>
      <c r="G332" s="253" t="s">
        <v>467</v>
      </c>
      <c r="L332" s="90"/>
      <c r="O332" s="136"/>
      <c r="P332" s="136"/>
      <c r="Q332" s="136"/>
      <c r="R332" s="136"/>
      <c r="S332" s="136"/>
      <c r="T332" s="136"/>
      <c r="U332" s="136"/>
      <c r="V332" s="136"/>
    </row>
    <row r="333" spans="1:22" ht="16.5" customHeight="1">
      <c r="A333" s="230"/>
      <c r="B333" s="230"/>
      <c r="C333" s="90"/>
      <c r="E333" s="91"/>
      <c r="G333" s="267" t="s">
        <v>166</v>
      </c>
      <c r="L333" s="90"/>
      <c r="O333" s="136"/>
      <c r="P333" s="136"/>
      <c r="Q333" s="136"/>
      <c r="R333" s="136"/>
      <c r="S333" s="136"/>
      <c r="T333" s="136"/>
      <c r="U333" s="136"/>
      <c r="V333" s="136"/>
    </row>
    <row r="334" spans="1:22" ht="16.5" customHeight="1">
      <c r="A334" s="230"/>
      <c r="B334" s="230"/>
      <c r="C334" s="90"/>
      <c r="E334" s="91"/>
      <c r="G334" s="267" t="s">
        <v>157</v>
      </c>
      <c r="L334" s="90"/>
      <c r="O334" s="136"/>
      <c r="P334" s="136"/>
      <c r="Q334" s="136"/>
      <c r="R334" s="136"/>
      <c r="S334" s="136"/>
      <c r="T334" s="136"/>
      <c r="U334" s="136"/>
      <c r="V334" s="136"/>
    </row>
    <row r="335" spans="1:22" ht="16.5" customHeight="1">
      <c r="A335" s="230"/>
      <c r="B335" s="230"/>
      <c r="C335" s="90"/>
      <c r="E335" s="91"/>
      <c r="G335" s="267" t="s">
        <v>155</v>
      </c>
      <c r="L335" s="90"/>
      <c r="O335" s="136"/>
      <c r="P335" s="136"/>
      <c r="Q335" s="136"/>
      <c r="R335" s="136"/>
      <c r="S335" s="136"/>
      <c r="T335" s="136"/>
      <c r="U335" s="136"/>
      <c r="V335" s="136"/>
    </row>
    <row r="336" spans="1:22" ht="16.5" customHeight="1">
      <c r="A336" s="230"/>
      <c r="B336" s="230"/>
      <c r="C336" s="90"/>
      <c r="E336" s="91"/>
      <c r="L336" s="90"/>
      <c r="O336" s="136"/>
      <c r="P336" s="136"/>
      <c r="Q336" s="136"/>
      <c r="R336" s="136"/>
      <c r="S336" s="136"/>
      <c r="T336" s="136"/>
      <c r="U336" s="136"/>
      <c r="V336" s="136"/>
    </row>
    <row r="337" spans="1:22" ht="16.5" customHeight="1">
      <c r="A337" s="230"/>
      <c r="B337" s="230"/>
      <c r="C337" s="90"/>
      <c r="E337" s="91"/>
      <c r="L337" s="90"/>
      <c r="O337" s="136"/>
      <c r="P337" s="136"/>
      <c r="Q337" s="136"/>
      <c r="R337" s="136"/>
      <c r="S337" s="136"/>
      <c r="T337" s="136"/>
      <c r="U337" s="136"/>
      <c r="V337" s="136"/>
    </row>
    <row r="338" spans="1:22" ht="16.5" customHeight="1">
      <c r="A338" s="584"/>
      <c r="B338" s="547"/>
      <c r="C338" s="532"/>
      <c r="D338" s="92"/>
      <c r="E338" s="532"/>
      <c r="F338" s="532"/>
      <c r="G338" s="532"/>
      <c r="K338" s="90"/>
      <c r="N338" s="136"/>
      <c r="O338" s="136"/>
      <c r="P338" s="136"/>
      <c r="Q338" s="136"/>
      <c r="R338" s="136"/>
      <c r="S338" s="136"/>
      <c r="T338" s="136"/>
      <c r="U338" s="136"/>
    </row>
    <row r="339" spans="1:22" ht="16.5" customHeight="1">
      <c r="A339" s="584" t="s">
        <v>783</v>
      </c>
      <c r="B339" s="547"/>
      <c r="C339" s="532"/>
      <c r="D339" s="532"/>
      <c r="E339" s="532"/>
      <c r="F339" s="532"/>
      <c r="G339" s="532"/>
      <c r="K339" s="90"/>
      <c r="N339" s="136"/>
      <c r="O339" s="136"/>
      <c r="P339" s="136"/>
      <c r="Q339" s="136"/>
      <c r="R339" s="136"/>
      <c r="S339" s="136"/>
      <c r="T339" s="136"/>
      <c r="U339" s="136"/>
    </row>
    <row r="340" spans="1:22">
      <c r="A340" s="532"/>
      <c r="B340" s="532"/>
      <c r="C340" s="532"/>
      <c r="D340" s="532"/>
      <c r="E340" s="532"/>
      <c r="F340" s="532"/>
      <c r="G340" s="532"/>
    </row>
    <row r="341" spans="1:22">
      <c r="A341" s="532"/>
      <c r="B341" s="532"/>
      <c r="C341" s="532"/>
      <c r="D341" s="532"/>
      <c r="E341" s="532"/>
      <c r="F341" s="532"/>
      <c r="G341" s="532"/>
    </row>
    <row r="342" spans="1:22">
      <c r="A342" s="1324" t="s">
        <v>406</v>
      </c>
      <c r="B342" s="1325"/>
      <c r="C342" s="1325"/>
      <c r="D342" s="1325"/>
      <c r="E342" s="1326"/>
      <c r="F342" s="605"/>
      <c r="G342" s="605"/>
      <c r="H342" s="191"/>
      <c r="I342" s="191"/>
      <c r="J342" s="191"/>
      <c r="K342" s="191"/>
      <c r="L342" s="191"/>
      <c r="N342" s="204"/>
      <c r="O342" s="204"/>
      <c r="P342" s="204"/>
      <c r="Q342" s="204"/>
      <c r="R342" s="204"/>
      <c r="S342" s="204"/>
    </row>
    <row r="343" spans="1:22">
      <c r="A343" s="572" t="s">
        <v>37</v>
      </c>
      <c r="B343" s="572" t="s">
        <v>38</v>
      </c>
      <c r="C343" s="572" t="s">
        <v>39</v>
      </c>
      <c r="D343" s="572" t="s">
        <v>40</v>
      </c>
      <c r="E343" s="534" t="s">
        <v>41</v>
      </c>
      <c r="F343" s="606"/>
      <c r="G343" s="606"/>
      <c r="H343" s="201"/>
      <c r="I343" s="1314"/>
      <c r="J343" s="1314"/>
      <c r="K343" s="93"/>
      <c r="L343" s="201"/>
      <c r="N343" s="204"/>
      <c r="O343" s="204"/>
      <c r="P343" s="204"/>
      <c r="Q343" s="204"/>
      <c r="R343" s="204"/>
      <c r="S343" s="204"/>
    </row>
    <row r="344" spans="1:22" ht="15" customHeight="1">
      <c r="A344" s="1207" t="s">
        <v>369</v>
      </c>
      <c r="B344" s="1180" t="s">
        <v>981</v>
      </c>
      <c r="C344" s="1180" t="s">
        <v>370</v>
      </c>
      <c r="D344" s="1180"/>
      <c r="E344" s="1278" t="s">
        <v>353</v>
      </c>
      <c r="F344" s="556"/>
      <c r="G344" s="556"/>
      <c r="H344" s="202"/>
      <c r="I344" s="1209"/>
      <c r="J344" s="1209"/>
      <c r="K344" s="202"/>
      <c r="N344" s="204"/>
      <c r="O344" s="204"/>
      <c r="P344" s="204"/>
      <c r="Q344" s="204"/>
      <c r="R344" s="204"/>
      <c r="S344" s="204"/>
    </row>
    <row r="345" spans="1:22">
      <c r="A345" s="1207"/>
      <c r="B345" s="1180"/>
      <c r="C345" s="555" t="s">
        <v>295</v>
      </c>
      <c r="D345" s="555" t="s">
        <v>346</v>
      </c>
      <c r="E345" s="1320"/>
      <c r="F345" s="556"/>
      <c r="G345" s="556"/>
      <c r="H345" s="202"/>
      <c r="I345" s="202"/>
      <c r="J345" s="202"/>
      <c r="K345" s="202"/>
      <c r="N345" s="204"/>
      <c r="O345" s="204"/>
      <c r="P345" s="204"/>
      <c r="Q345" s="204"/>
      <c r="R345" s="204"/>
      <c r="S345" s="204"/>
    </row>
    <row r="346" spans="1:22" ht="48.75" customHeight="1">
      <c r="A346" s="211" t="s">
        <v>407</v>
      </c>
      <c r="B346" s="586" t="s">
        <v>976</v>
      </c>
      <c r="C346" s="587" t="s">
        <v>371</v>
      </c>
      <c r="D346" s="587" t="s">
        <v>372</v>
      </c>
      <c r="E346" s="588" t="s">
        <v>352</v>
      </c>
      <c r="F346" s="589"/>
      <c r="G346" s="560"/>
      <c r="H346" s="45"/>
      <c r="I346" s="199"/>
      <c r="J346" s="206"/>
      <c r="N346" s="204"/>
      <c r="O346" s="204"/>
      <c r="P346" s="204"/>
      <c r="Q346" s="204"/>
      <c r="R346" s="204"/>
      <c r="S346" s="204"/>
    </row>
    <row r="347" spans="1:22">
      <c r="A347" s="532"/>
      <c r="B347" s="532"/>
      <c r="C347" s="532"/>
      <c r="D347" s="532"/>
      <c r="E347" s="532"/>
      <c r="F347" s="532"/>
      <c r="G347" s="532"/>
    </row>
    <row r="348" spans="1:22">
      <c r="A348" s="1321" t="s">
        <v>402</v>
      </c>
      <c r="B348" s="1322"/>
      <c r="C348" s="1322"/>
      <c r="D348" s="1322"/>
      <c r="E348" s="1322"/>
      <c r="F348" s="1323"/>
      <c r="G348" s="605"/>
      <c r="H348" s="191"/>
      <c r="I348" s="191"/>
      <c r="J348" s="191"/>
      <c r="K348" s="191"/>
      <c r="L348" s="191"/>
      <c r="N348" s="204"/>
      <c r="O348" s="204"/>
      <c r="P348" s="204"/>
      <c r="Q348" s="204"/>
      <c r="R348" s="204"/>
      <c r="S348" s="204"/>
    </row>
    <row r="349" spans="1:22">
      <c r="A349" s="572" t="s">
        <v>37</v>
      </c>
      <c r="B349" s="572" t="s">
        <v>38</v>
      </c>
      <c r="C349" s="572" t="s">
        <v>39</v>
      </c>
      <c r="D349" s="572" t="s">
        <v>40</v>
      </c>
      <c r="E349" s="572" t="s">
        <v>41</v>
      </c>
      <c r="F349" s="534" t="s">
        <v>46</v>
      </c>
      <c r="G349" s="606"/>
      <c r="H349" s="201"/>
      <c r="I349" s="201"/>
      <c r="J349" s="1314"/>
      <c r="K349" s="1314"/>
      <c r="L349" s="93"/>
      <c r="M349" s="201"/>
      <c r="O349" s="204"/>
      <c r="P349" s="204"/>
      <c r="Q349" s="204"/>
      <c r="R349" s="204"/>
      <c r="S349" s="204"/>
      <c r="T349" s="204"/>
    </row>
    <row r="350" spans="1:22" ht="15" customHeight="1">
      <c r="A350" s="1207" t="s">
        <v>369</v>
      </c>
      <c r="B350" s="1180" t="s">
        <v>981</v>
      </c>
      <c r="C350" s="555" t="s">
        <v>405</v>
      </c>
      <c r="D350" s="1180" t="s">
        <v>370</v>
      </c>
      <c r="E350" s="1180"/>
      <c r="F350" s="1278" t="s">
        <v>353</v>
      </c>
      <c r="G350" s="556"/>
      <c r="H350" s="202"/>
      <c r="I350" s="202"/>
      <c r="J350" s="1209"/>
      <c r="K350" s="1209"/>
      <c r="L350" s="202"/>
      <c r="O350" s="204"/>
      <c r="P350" s="204"/>
      <c r="Q350" s="204"/>
      <c r="R350" s="204"/>
      <c r="S350" s="204"/>
      <c r="T350" s="204"/>
    </row>
    <row r="351" spans="1:22">
      <c r="A351" s="1207"/>
      <c r="B351" s="1180"/>
      <c r="C351" s="555" t="s">
        <v>295</v>
      </c>
      <c r="D351" s="555" t="s">
        <v>295</v>
      </c>
      <c r="E351" s="555" t="s">
        <v>346</v>
      </c>
      <c r="F351" s="1320"/>
      <c r="G351" s="556"/>
      <c r="H351" s="202"/>
      <c r="I351" s="202"/>
      <c r="J351" s="202"/>
      <c r="K351" s="202"/>
      <c r="L351" s="202"/>
      <c r="O351" s="204"/>
      <c r="P351" s="204"/>
      <c r="Q351" s="204"/>
      <c r="R351" s="204"/>
      <c r="S351" s="204"/>
      <c r="T351" s="204"/>
    </row>
    <row r="352" spans="1:22" ht="48.75" customHeight="1">
      <c r="A352" s="211" t="s">
        <v>403</v>
      </c>
      <c r="B352" s="586" t="s">
        <v>976</v>
      </c>
      <c r="C352" s="587" t="s">
        <v>512</v>
      </c>
      <c r="D352" s="587" t="s">
        <v>371</v>
      </c>
      <c r="E352" s="587" t="s">
        <v>372</v>
      </c>
      <c r="F352" s="588" t="s">
        <v>352</v>
      </c>
      <c r="G352" s="589"/>
      <c r="H352" s="45"/>
      <c r="I352" s="45"/>
      <c r="J352" s="199"/>
      <c r="K352" s="206"/>
      <c r="O352" s="204"/>
      <c r="P352" s="204"/>
      <c r="Q352" s="204"/>
      <c r="R352" s="204"/>
      <c r="S352" s="204"/>
      <c r="T352" s="204"/>
    </row>
    <row r="353" spans="1:20" ht="48.75" customHeight="1">
      <c r="A353" s="211" t="s">
        <v>404</v>
      </c>
      <c r="B353" s="586" t="s">
        <v>976</v>
      </c>
      <c r="C353" s="587" t="s">
        <v>513</v>
      </c>
      <c r="D353" s="587" t="s">
        <v>371</v>
      </c>
      <c r="E353" s="587" t="s">
        <v>372</v>
      </c>
      <c r="F353" s="588" t="s">
        <v>352</v>
      </c>
      <c r="G353" s="589"/>
      <c r="H353" s="45"/>
      <c r="I353" s="45"/>
      <c r="J353" s="199"/>
      <c r="K353" s="206"/>
      <c r="O353" s="204"/>
      <c r="P353" s="204"/>
      <c r="Q353" s="204"/>
      <c r="R353" s="204"/>
      <c r="S353" s="204"/>
      <c r="T353" s="204"/>
    </row>
    <row r="354" spans="1:20">
      <c r="A354" s="532"/>
      <c r="B354" s="532"/>
      <c r="C354" s="532"/>
      <c r="D354" s="532"/>
      <c r="E354" s="532"/>
      <c r="F354" s="532"/>
      <c r="G354" s="532"/>
    </row>
    <row r="363" spans="1:20">
      <c r="A363" s="1213" t="s">
        <v>515</v>
      </c>
      <c r="B363" s="1214"/>
      <c r="C363" s="1214"/>
      <c r="D363" s="1214"/>
      <c r="E363" s="1215"/>
      <c r="F363" s="191"/>
      <c r="G363" s="191"/>
      <c r="H363" s="191"/>
      <c r="I363" s="191"/>
      <c r="J363" s="191"/>
      <c r="K363" s="191"/>
      <c r="L363" s="191"/>
    </row>
    <row r="364" spans="1:20">
      <c r="A364" s="572" t="s">
        <v>37</v>
      </c>
      <c r="B364" s="572" t="s">
        <v>38</v>
      </c>
      <c r="C364" s="572" t="s">
        <v>39</v>
      </c>
      <c r="D364" s="572" t="s">
        <v>40</v>
      </c>
      <c r="E364" s="534" t="s">
        <v>41</v>
      </c>
      <c r="F364" s="263"/>
      <c r="G364" s="263"/>
      <c r="H364" s="263"/>
      <c r="I364" s="1314"/>
      <c r="J364" s="1314"/>
      <c r="K364" s="93"/>
      <c r="L364" s="263"/>
    </row>
    <row r="365" spans="1:20">
      <c r="A365" s="1207" t="s">
        <v>369</v>
      </c>
      <c r="B365" s="1180" t="s">
        <v>981</v>
      </c>
      <c r="C365" s="1180" t="s">
        <v>370</v>
      </c>
      <c r="D365" s="1180"/>
      <c r="E365" s="1180" t="s">
        <v>353</v>
      </c>
      <c r="F365" s="260"/>
      <c r="G365" s="260"/>
      <c r="H365" s="260"/>
      <c r="I365" s="1209"/>
      <c r="J365" s="1209"/>
      <c r="K365" s="260"/>
    </row>
    <row r="366" spans="1:20">
      <c r="A366" s="1207"/>
      <c r="B366" s="1180"/>
      <c r="C366" s="555" t="s">
        <v>295</v>
      </c>
      <c r="D366" s="555" t="s">
        <v>346</v>
      </c>
      <c r="E366" s="1180"/>
      <c r="F366" s="260"/>
      <c r="G366" s="260"/>
      <c r="H366" s="260"/>
      <c r="I366" s="260"/>
      <c r="J366" s="260"/>
      <c r="K366" s="260"/>
    </row>
    <row r="367" spans="1:20" ht="48.75" customHeight="1">
      <c r="A367" s="590" t="s">
        <v>516</v>
      </c>
      <c r="B367" s="586" t="s">
        <v>976</v>
      </c>
      <c r="C367" s="587" t="s">
        <v>371</v>
      </c>
      <c r="D367" s="587" t="s">
        <v>518</v>
      </c>
      <c r="E367" s="1180"/>
      <c r="F367" s="270"/>
      <c r="G367" s="45"/>
      <c r="H367" s="45"/>
      <c r="I367" s="199"/>
      <c r="J367" s="270"/>
    </row>
    <row r="368" spans="1:20" ht="60.6">
      <c r="A368" s="607" t="s">
        <v>514</v>
      </c>
      <c r="B368" s="592" t="s">
        <v>432</v>
      </c>
      <c r="C368" s="587" t="s">
        <v>517</v>
      </c>
      <c r="D368" s="587" t="s">
        <v>519</v>
      </c>
      <c r="E368" s="588" t="s">
        <v>352</v>
      </c>
      <c r="F368" s="92"/>
      <c r="G368" s="45"/>
      <c r="H368" s="45"/>
      <c r="I368" s="269"/>
      <c r="J368" s="269"/>
    </row>
    <row r="369" spans="1:19">
      <c r="A369" s="532"/>
      <c r="B369" s="532"/>
      <c r="C369" s="532"/>
      <c r="D369" s="532"/>
      <c r="E369" s="532"/>
    </row>
    <row r="370" spans="1:19">
      <c r="A370" s="532"/>
      <c r="B370" s="532"/>
      <c r="C370" s="532"/>
      <c r="D370" s="532"/>
      <c r="E370" s="532"/>
    </row>
    <row r="371" spans="1:19">
      <c r="A371" s="1324" t="s">
        <v>520</v>
      </c>
      <c r="B371" s="1325"/>
      <c r="C371" s="1325"/>
      <c r="D371" s="1325"/>
      <c r="E371" s="1326"/>
      <c r="F371" s="191"/>
      <c r="G371" s="191"/>
      <c r="H371" s="191"/>
      <c r="I371" s="191"/>
      <c r="J371" s="191"/>
      <c r="K371" s="191"/>
      <c r="L371" s="191"/>
      <c r="N371" s="268"/>
      <c r="O371" s="268"/>
      <c r="P371" s="268"/>
      <c r="Q371" s="268"/>
      <c r="R371" s="268"/>
      <c r="S371" s="268"/>
    </row>
    <row r="372" spans="1:19">
      <c r="A372" s="572" t="s">
        <v>37</v>
      </c>
      <c r="B372" s="572" t="s">
        <v>38</v>
      </c>
      <c r="C372" s="572" t="s">
        <v>39</v>
      </c>
      <c r="D372" s="572" t="s">
        <v>40</v>
      </c>
      <c r="E372" s="534" t="s">
        <v>41</v>
      </c>
      <c r="F372" s="263"/>
      <c r="G372" s="263"/>
      <c r="H372" s="263"/>
      <c r="I372" s="1314"/>
      <c r="J372" s="1314"/>
      <c r="K372" s="93"/>
      <c r="L372" s="263"/>
      <c r="N372" s="268"/>
      <c r="O372" s="268"/>
      <c r="P372" s="268"/>
      <c r="Q372" s="268"/>
      <c r="R372" s="268"/>
      <c r="S372" s="268"/>
    </row>
    <row r="373" spans="1:19" ht="15" customHeight="1">
      <c r="A373" s="1207" t="s">
        <v>369</v>
      </c>
      <c r="B373" s="1180" t="s">
        <v>981</v>
      </c>
      <c r="C373" s="1180" t="s">
        <v>370</v>
      </c>
      <c r="D373" s="1180"/>
      <c r="E373" s="1278" t="s">
        <v>353</v>
      </c>
      <c r="F373" s="260"/>
      <c r="G373" s="260"/>
      <c r="H373" s="260"/>
      <c r="I373" s="1209"/>
      <c r="J373" s="1209"/>
      <c r="K373" s="260"/>
      <c r="N373" s="268"/>
      <c r="O373" s="268"/>
      <c r="P373" s="268"/>
      <c r="Q373" s="268"/>
      <c r="R373" s="268"/>
      <c r="S373" s="268"/>
    </row>
    <row r="374" spans="1:19">
      <c r="A374" s="1207"/>
      <c r="B374" s="1180"/>
      <c r="C374" s="555" t="s">
        <v>295</v>
      </c>
      <c r="D374" s="555" t="s">
        <v>346</v>
      </c>
      <c r="E374" s="1320"/>
      <c r="F374" s="260"/>
      <c r="G374" s="260"/>
      <c r="H374" s="260"/>
      <c r="I374" s="260"/>
      <c r="J374" s="260"/>
      <c r="K374" s="260"/>
      <c r="N374" s="268"/>
      <c r="O374" s="268"/>
      <c r="P374" s="268"/>
      <c r="Q374" s="268"/>
      <c r="R374" s="268"/>
      <c r="S374" s="268"/>
    </row>
    <row r="375" spans="1:19" ht="48.75" customHeight="1">
      <c r="A375" s="211" t="s">
        <v>521</v>
      </c>
      <c r="B375" s="586" t="s">
        <v>976</v>
      </c>
      <c r="C375" s="587" t="s">
        <v>371</v>
      </c>
      <c r="D375" s="587" t="s">
        <v>372</v>
      </c>
      <c r="E375" s="588" t="s">
        <v>352</v>
      </c>
      <c r="F375" s="270"/>
      <c r="G375" s="45"/>
      <c r="H375" s="45"/>
      <c r="I375" s="199"/>
      <c r="J375" s="270"/>
      <c r="N375" s="268"/>
      <c r="O375" s="268"/>
      <c r="P375" s="268"/>
      <c r="Q375" s="268"/>
      <c r="R375" s="268"/>
      <c r="S375" s="268"/>
    </row>
  </sheetData>
  <mergeCells count="244">
    <mergeCell ref="H69:I69"/>
    <mergeCell ref="A67:M67"/>
    <mergeCell ref="A373:A374"/>
    <mergeCell ref="B373:B374"/>
    <mergeCell ref="C373:D373"/>
    <mergeCell ref="E373:E374"/>
    <mergeCell ref="I373:J373"/>
    <mergeCell ref="A363:E363"/>
    <mergeCell ref="I364:J364"/>
    <mergeCell ref="A365:A366"/>
    <mergeCell ref="B365:B366"/>
    <mergeCell ref="C365:D365"/>
    <mergeCell ref="E365:E367"/>
    <mergeCell ref="I365:J365"/>
    <mergeCell ref="A371:E371"/>
    <mergeCell ref="I372:J372"/>
    <mergeCell ref="A285:G285"/>
    <mergeCell ref="A283:A284"/>
    <mergeCell ref="B283:B284"/>
    <mergeCell ref="D283:D284"/>
    <mergeCell ref="F283:F284"/>
    <mergeCell ref="F305:F306"/>
    <mergeCell ref="H305:H306"/>
    <mergeCell ref="H72:I72"/>
    <mergeCell ref="Q18:V18"/>
    <mergeCell ref="J349:K349"/>
    <mergeCell ref="A350:A351"/>
    <mergeCell ref="B350:B351"/>
    <mergeCell ref="D350:E350"/>
    <mergeCell ref="F350:F351"/>
    <mergeCell ref="J350:K350"/>
    <mergeCell ref="A348:F348"/>
    <mergeCell ref="A308:I308"/>
    <mergeCell ref="J283:J284"/>
    <mergeCell ref="A342:E342"/>
    <mergeCell ref="I343:J343"/>
    <mergeCell ref="A344:A345"/>
    <mergeCell ref="B344:B345"/>
    <mergeCell ref="C344:D344"/>
    <mergeCell ref="E344:E345"/>
    <mergeCell ref="I344:J344"/>
    <mergeCell ref="A307:H307"/>
    <mergeCell ref="B305:B306"/>
    <mergeCell ref="A309:B309"/>
    <mergeCell ref="A305:A306"/>
    <mergeCell ref="C305:C306"/>
    <mergeCell ref="H73:I73"/>
    <mergeCell ref="D305:D306"/>
    <mergeCell ref="E305:E306"/>
    <mergeCell ref="K305:K306"/>
    <mergeCell ref="A303:A304"/>
    <mergeCell ref="C303:C304"/>
    <mergeCell ref="H303:H304"/>
    <mergeCell ref="I303:J304"/>
    <mergeCell ref="G305:G306"/>
    <mergeCell ref="A286:G286"/>
    <mergeCell ref="B303:B304"/>
    <mergeCell ref="K303:K304"/>
    <mergeCell ref="D303:D304"/>
    <mergeCell ref="E303:E304"/>
    <mergeCell ref="F303:F304"/>
    <mergeCell ref="G303:G304"/>
    <mergeCell ref="I302:J302"/>
    <mergeCell ref="A300:K300"/>
    <mergeCell ref="C301:K301"/>
    <mergeCell ref="A287:B287"/>
    <mergeCell ref="K281:L281"/>
    <mergeCell ref="C222:C223"/>
    <mergeCell ref="A240:J240"/>
    <mergeCell ref="A201:B201"/>
    <mergeCell ref="A248:G248"/>
    <mergeCell ref="J243:J244"/>
    <mergeCell ref="A245:A246"/>
    <mergeCell ref="C245:C246"/>
    <mergeCell ref="D245:D246"/>
    <mergeCell ref="G245:G246"/>
    <mergeCell ref="J245:J246"/>
    <mergeCell ref="B243:B244"/>
    <mergeCell ref="B245:B246"/>
    <mergeCell ref="A247:G247"/>
    <mergeCell ref="H197:H198"/>
    <mergeCell ref="I197:I198"/>
    <mergeCell ref="D202:E202"/>
    <mergeCell ref="A225:B225"/>
    <mergeCell ref="A199:I199"/>
    <mergeCell ref="D203:E203"/>
    <mergeCell ref="D204:E204"/>
    <mergeCell ref="A218:I218"/>
    <mergeCell ref="C219:I219"/>
    <mergeCell ref="D198:E198"/>
    <mergeCell ref="C283:C284"/>
    <mergeCell ref="H281:I281"/>
    <mergeCell ref="C280:J280"/>
    <mergeCell ref="A279:J279"/>
    <mergeCell ref="D243:D244"/>
    <mergeCell ref="E243:F243"/>
    <mergeCell ref="A224:F224"/>
    <mergeCell ref="G220:H220"/>
    <mergeCell ref="F222:F223"/>
    <mergeCell ref="I222:I223"/>
    <mergeCell ref="C241:J241"/>
    <mergeCell ref="H242:I242"/>
    <mergeCell ref="A249:B249"/>
    <mergeCell ref="G221:H221"/>
    <mergeCell ref="A222:A223"/>
    <mergeCell ref="B222:B223"/>
    <mergeCell ref="H282:I282"/>
    <mergeCell ref="A243:A244"/>
    <mergeCell ref="C243:C244"/>
    <mergeCell ref="G243:G244"/>
    <mergeCell ref="D222:D223"/>
    <mergeCell ref="J220:K220"/>
    <mergeCell ref="G283:G284"/>
    <mergeCell ref="H243:I244"/>
    <mergeCell ref="A193:L193"/>
    <mergeCell ref="L197:L198"/>
    <mergeCell ref="D189:E189"/>
    <mergeCell ref="J147:K147"/>
    <mergeCell ref="F177:G177"/>
    <mergeCell ref="D180:E180"/>
    <mergeCell ref="D183:E183"/>
    <mergeCell ref="F183:G183"/>
    <mergeCell ref="K178:L178"/>
    <mergeCell ref="F178:G178"/>
    <mergeCell ref="C179:C180"/>
    <mergeCell ref="J179:J180"/>
    <mergeCell ref="F179:G179"/>
    <mergeCell ref="F180:G180"/>
    <mergeCell ref="A181:J181"/>
    <mergeCell ref="D185:E185"/>
    <mergeCell ref="D186:E186"/>
    <mergeCell ref="D187:E187"/>
    <mergeCell ref="D190:E190"/>
    <mergeCell ref="D191:E191"/>
    <mergeCell ref="D197:E197"/>
    <mergeCell ref="A197:A198"/>
    <mergeCell ref="B197:B198"/>
    <mergeCell ref="C197:C198"/>
    <mergeCell ref="A16:I16"/>
    <mergeCell ref="J20:J26"/>
    <mergeCell ref="K20:K26"/>
    <mergeCell ref="K69:L69"/>
    <mergeCell ref="D177:E177"/>
    <mergeCell ref="A111:A112"/>
    <mergeCell ref="C111:C112"/>
    <mergeCell ref="A175:M175"/>
    <mergeCell ref="I111:I112"/>
    <mergeCell ref="C176:M176"/>
    <mergeCell ref="L111:L112"/>
    <mergeCell ref="A113:I113"/>
    <mergeCell ref="A148:A149"/>
    <mergeCell ref="B148:B149"/>
    <mergeCell ref="C148:C149"/>
    <mergeCell ref="K177:L177"/>
    <mergeCell ref="D111:D112"/>
    <mergeCell ref="E111:E112"/>
    <mergeCell ref="F111:F112"/>
    <mergeCell ref="A144:L144"/>
    <mergeCell ref="C145:L145"/>
    <mergeCell ref="J146:K146"/>
    <mergeCell ref="C68:M68"/>
    <mergeCell ref="H71:I71"/>
    <mergeCell ref="M179:M180"/>
    <mergeCell ref="I179:I180"/>
    <mergeCell ref="G70:I70"/>
    <mergeCell ref="M70:M71"/>
    <mergeCell ref="C194:L194"/>
    <mergeCell ref="J195:K195"/>
    <mergeCell ref="J196:K196"/>
    <mergeCell ref="C72:C73"/>
    <mergeCell ref="D72:D73"/>
    <mergeCell ref="J72:J73"/>
    <mergeCell ref="M72:M73"/>
    <mergeCell ref="D70:F70"/>
    <mergeCell ref="C70:C71"/>
    <mergeCell ref="D195:E195"/>
    <mergeCell ref="D196:E196"/>
    <mergeCell ref="D188:E188"/>
    <mergeCell ref="F188:G188"/>
    <mergeCell ref="F184:G184"/>
    <mergeCell ref="F185:G185"/>
    <mergeCell ref="F186:G186"/>
    <mergeCell ref="F187:G187"/>
    <mergeCell ref="D184:E184"/>
    <mergeCell ref="L148:L149"/>
    <mergeCell ref="D178:E178"/>
    <mergeCell ref="A3:L3"/>
    <mergeCell ref="A4:L4"/>
    <mergeCell ref="G5:H5"/>
    <mergeCell ref="I5:J5"/>
    <mergeCell ref="K5:L5"/>
    <mergeCell ref="G6:H6"/>
    <mergeCell ref="I6:J6"/>
    <mergeCell ref="K6:L6"/>
    <mergeCell ref="B5:D6"/>
    <mergeCell ref="A5:A6"/>
    <mergeCell ref="A7:L7"/>
    <mergeCell ref="B70:B71"/>
    <mergeCell ref="B72:B73"/>
    <mergeCell ref="A74:J74"/>
    <mergeCell ref="A75:J75"/>
    <mergeCell ref="B109:B110"/>
    <mergeCell ref="B111:B112"/>
    <mergeCell ref="B179:B180"/>
    <mergeCell ref="A14:A15"/>
    <mergeCell ref="B14:B15"/>
    <mergeCell ref="C14:C15"/>
    <mergeCell ref="H14:H15"/>
    <mergeCell ref="I14:I15"/>
    <mergeCell ref="L14:L15"/>
    <mergeCell ref="A9:L9"/>
    <mergeCell ref="C10:L10"/>
    <mergeCell ref="H148:H149"/>
    <mergeCell ref="D14:D15"/>
    <mergeCell ref="C11:L11"/>
    <mergeCell ref="J70:J71"/>
    <mergeCell ref="K70:L71"/>
    <mergeCell ref="A72:A73"/>
    <mergeCell ref="J12:K12"/>
    <mergeCell ref="J13:K13"/>
    <mergeCell ref="E14:E15"/>
    <mergeCell ref="A18:B18"/>
    <mergeCell ref="A76:B76"/>
    <mergeCell ref="A115:B115"/>
    <mergeCell ref="A152:B152"/>
    <mergeCell ref="A182:B182"/>
    <mergeCell ref="A150:I150"/>
    <mergeCell ref="A106:L106"/>
    <mergeCell ref="C107:L107"/>
    <mergeCell ref="J108:K108"/>
    <mergeCell ref="A109:A110"/>
    <mergeCell ref="C109:C110"/>
    <mergeCell ref="G109:H109"/>
    <mergeCell ref="I109:I110"/>
    <mergeCell ref="J109:K110"/>
    <mergeCell ref="L109:L110"/>
    <mergeCell ref="D109:E109"/>
    <mergeCell ref="F109:F110"/>
    <mergeCell ref="A114:I114"/>
    <mergeCell ref="I148:I149"/>
    <mergeCell ref="A70:A71"/>
    <mergeCell ref="E72:E73"/>
    <mergeCell ref="F72:F73"/>
    <mergeCell ref="D179:E179"/>
  </mergeCells>
  <pageMargins left="0.7" right="0.7" top="0.75" bottom="0.75" header="0.3" footer="0.3"/>
  <pageSetup paperSize="3" scale="93" orientation="landscape" cellComments="asDisplayed" errors="blank"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136"/>
  <sheetViews>
    <sheetView topLeftCell="C5" zoomScale="50" zoomScaleNormal="50" workbookViewId="0">
      <selection activeCell="K5" sqref="K5:L5"/>
    </sheetView>
  </sheetViews>
  <sheetFormatPr defaultColWidth="9.44140625" defaultRowHeight="14.4"/>
  <cols>
    <col min="1" max="1" width="15.5546875" style="43" customWidth="1"/>
    <col min="2" max="2" width="20.5546875" style="43" customWidth="1"/>
    <col min="3" max="3" width="15.5546875" style="43" customWidth="1"/>
    <col min="4" max="4" width="14.44140625" style="43" customWidth="1"/>
    <col min="5" max="5" width="19.44140625" style="43" customWidth="1"/>
    <col min="6" max="6" width="18.44140625" style="43" customWidth="1"/>
    <col min="7" max="7" width="15.77734375" style="43" customWidth="1"/>
    <col min="8" max="8" width="14" style="43" customWidth="1"/>
    <col min="9" max="9" width="13.5546875" style="43" customWidth="1"/>
    <col min="10" max="10" width="17.44140625" style="43" customWidth="1"/>
    <col min="11" max="11" width="10.5546875" style="43" customWidth="1"/>
    <col min="12" max="12" width="24.5546875" style="43" customWidth="1"/>
    <col min="13" max="16384" width="9.44140625" style="43"/>
  </cols>
  <sheetData>
    <row r="1" spans="1:21">
      <c r="A1" s="47"/>
      <c r="B1" s="43" t="s">
        <v>50</v>
      </c>
      <c r="C1" s="48"/>
      <c r="D1" s="43" t="s">
        <v>51</v>
      </c>
      <c r="F1" s="74"/>
      <c r="G1" s="43" t="s">
        <v>52</v>
      </c>
      <c r="K1" s="49"/>
      <c r="L1" s="43" t="s">
        <v>53</v>
      </c>
    </row>
    <row r="2" spans="1:21" ht="12.75" customHeight="1">
      <c r="N2" s="136"/>
      <c r="O2" s="136"/>
      <c r="P2" s="136"/>
      <c r="Q2" s="136"/>
      <c r="R2" s="136"/>
      <c r="S2" s="136"/>
    </row>
    <row r="3" spans="1:21" ht="15" customHeight="1">
      <c r="A3" s="1223" t="s">
        <v>522</v>
      </c>
      <c r="B3" s="1223"/>
      <c r="C3" s="1223"/>
      <c r="D3" s="1223"/>
      <c r="E3" s="1223"/>
      <c r="F3" s="1223"/>
      <c r="G3" s="1223"/>
      <c r="H3" s="1223"/>
      <c r="I3" s="1223"/>
      <c r="J3" s="1223"/>
      <c r="K3" s="1223"/>
      <c r="L3" s="1223"/>
      <c r="N3" s="136"/>
      <c r="O3" s="136"/>
      <c r="P3" s="136"/>
      <c r="Q3" s="136"/>
      <c r="R3" s="136"/>
      <c r="S3" s="136"/>
    </row>
    <row r="4" spans="1:21" s="106" customFormat="1" ht="24.6" customHeight="1">
      <c r="A4" s="1296" t="s">
        <v>1201</v>
      </c>
      <c r="B4" s="1297"/>
      <c r="C4" s="1297"/>
      <c r="D4" s="1297"/>
      <c r="E4" s="1297"/>
      <c r="F4" s="1297"/>
      <c r="G4" s="1297"/>
      <c r="H4" s="1297"/>
      <c r="I4" s="1297"/>
      <c r="J4" s="1297"/>
      <c r="K4" s="1297"/>
      <c r="L4" s="1298"/>
      <c r="N4" s="136"/>
      <c r="O4" s="136"/>
      <c r="P4" s="136"/>
      <c r="Q4" s="136"/>
      <c r="R4" s="136"/>
      <c r="S4" s="136"/>
    </row>
    <row r="5" spans="1:21" ht="16.2">
      <c r="A5" s="404" t="s">
        <v>37</v>
      </c>
      <c r="B5" s="1352" t="s">
        <v>732</v>
      </c>
      <c r="C5" s="1352"/>
      <c r="D5" s="1352"/>
      <c r="E5" s="1352"/>
      <c r="F5" s="285" t="s">
        <v>328</v>
      </c>
      <c r="G5" s="285" t="s">
        <v>524</v>
      </c>
      <c r="H5" s="696" t="s">
        <v>523</v>
      </c>
      <c r="I5" s="1182" t="s">
        <v>861</v>
      </c>
      <c r="J5" s="1182"/>
      <c r="K5" s="1348" t="s">
        <v>1251</v>
      </c>
      <c r="L5" s="1348"/>
      <c r="O5" s="136"/>
      <c r="P5" s="136"/>
      <c r="Q5" s="136"/>
      <c r="R5" s="136"/>
      <c r="S5" s="136"/>
    </row>
    <row r="6" spans="1:21" ht="15">
      <c r="A6" s="1353" t="s">
        <v>733</v>
      </c>
      <c r="B6" s="1353"/>
      <c r="C6" s="1353"/>
      <c r="D6" s="1353"/>
      <c r="E6" s="1353"/>
      <c r="F6" s="1353"/>
      <c r="G6" s="1353"/>
      <c r="H6" s="1353"/>
      <c r="I6" s="1353"/>
      <c r="J6" s="1353"/>
      <c r="K6" s="1353"/>
      <c r="L6" s="1353"/>
      <c r="N6" s="136"/>
      <c r="O6" s="136"/>
      <c r="P6" s="136"/>
      <c r="Q6" s="136"/>
      <c r="R6" s="136"/>
      <c r="S6" s="136"/>
    </row>
    <row r="7" spans="1:21">
      <c r="A7" s="417"/>
      <c r="B7" s="296"/>
      <c r="C7" s="296"/>
      <c r="D7" s="296"/>
      <c r="E7" s="298"/>
      <c r="F7" s="298"/>
      <c r="G7" s="413"/>
      <c r="H7" s="413"/>
      <c r="I7" s="413"/>
      <c r="J7" s="413"/>
      <c r="K7" s="413"/>
      <c r="L7" s="413"/>
      <c r="N7" s="136"/>
      <c r="O7" s="136"/>
      <c r="P7" s="136"/>
      <c r="Q7" s="136"/>
      <c r="R7" s="136"/>
      <c r="S7" s="136"/>
    </row>
    <row r="8" spans="1:21">
      <c r="A8" s="1163" t="s">
        <v>153</v>
      </c>
      <c r="B8" s="1163"/>
      <c r="C8" s="1163"/>
      <c r="D8" s="1163"/>
      <c r="E8" s="1163"/>
      <c r="F8" s="1163"/>
      <c r="G8" s="1163"/>
      <c r="H8" s="1163"/>
      <c r="I8" s="1163"/>
      <c r="J8" s="1163"/>
      <c r="K8" s="1163"/>
      <c r="L8" s="1163"/>
      <c r="N8" s="136"/>
      <c r="O8" s="136"/>
      <c r="P8" s="136"/>
      <c r="Q8" s="136"/>
      <c r="R8" s="136"/>
      <c r="S8" s="136"/>
    </row>
    <row r="9" spans="1:21" ht="16.2">
      <c r="A9" s="186" t="s">
        <v>37</v>
      </c>
      <c r="B9" s="184" t="s">
        <v>7</v>
      </c>
      <c r="C9" s="1349" t="s">
        <v>1218</v>
      </c>
      <c r="D9" s="1350"/>
      <c r="E9" s="1350"/>
      <c r="F9" s="1350"/>
      <c r="G9" s="1350"/>
      <c r="H9" s="1350"/>
      <c r="I9" s="1350"/>
      <c r="J9" s="1350"/>
      <c r="K9" s="1350"/>
      <c r="L9" s="1351"/>
      <c r="N9" s="136"/>
      <c r="O9" s="136"/>
      <c r="P9" s="136"/>
      <c r="Q9" s="136"/>
      <c r="R9" s="136"/>
      <c r="S9" s="136"/>
    </row>
    <row r="10" spans="1:21" ht="15" customHeight="1">
      <c r="A10" s="176" t="s">
        <v>38</v>
      </c>
      <c r="B10" s="176" t="s">
        <v>39</v>
      </c>
      <c r="C10" s="177" t="s">
        <v>40</v>
      </c>
      <c r="D10" s="176" t="s">
        <v>41</v>
      </c>
      <c r="E10" s="177" t="s">
        <v>46</v>
      </c>
      <c r="F10" s="178" t="s">
        <v>47</v>
      </c>
      <c r="G10" s="186" t="s">
        <v>48</v>
      </c>
      <c r="H10" s="186" t="s">
        <v>49</v>
      </c>
      <c r="I10" s="186" t="s">
        <v>137</v>
      </c>
      <c r="J10" s="1274" t="s">
        <v>176</v>
      </c>
      <c r="K10" s="1275"/>
      <c r="L10" s="180">
        <v>12</v>
      </c>
      <c r="N10" s="136"/>
      <c r="O10" s="136"/>
      <c r="P10" s="136"/>
      <c r="Q10" s="136"/>
      <c r="R10" s="136"/>
      <c r="S10" s="136"/>
      <c r="T10" s="136"/>
      <c r="U10" s="136"/>
    </row>
    <row r="11" spans="1:21" s="102" customFormat="1" ht="36">
      <c r="A11" s="196" t="s">
        <v>78</v>
      </c>
      <c r="B11" s="415" t="s">
        <v>737</v>
      </c>
      <c r="C11" s="190" t="s">
        <v>434</v>
      </c>
      <c r="D11" s="190" t="s">
        <v>280</v>
      </c>
      <c r="E11" s="190" t="s">
        <v>360</v>
      </c>
      <c r="F11" s="190" t="s">
        <v>308</v>
      </c>
      <c r="G11" s="190" t="s">
        <v>307</v>
      </c>
      <c r="H11" s="182" t="s">
        <v>305</v>
      </c>
      <c r="I11" s="190" t="s">
        <v>331</v>
      </c>
      <c r="J11" s="1330" t="s">
        <v>323</v>
      </c>
      <c r="K11" s="1332"/>
      <c r="L11" s="190" t="s">
        <v>329</v>
      </c>
      <c r="N11" s="136"/>
      <c r="O11" s="136"/>
      <c r="P11" s="136"/>
      <c r="Q11" s="136"/>
      <c r="R11" s="136"/>
      <c r="S11" s="136"/>
      <c r="T11" s="136"/>
      <c r="U11" s="136"/>
    </row>
    <row r="12" spans="1:21">
      <c r="A12" s="1244"/>
      <c r="B12" s="1192" t="s">
        <v>95</v>
      </c>
      <c r="C12" s="1192" t="s">
        <v>95</v>
      </c>
      <c r="D12" s="1192" t="s">
        <v>95</v>
      </c>
      <c r="E12" s="528" t="s">
        <v>95</v>
      </c>
      <c r="F12" s="528" t="s">
        <v>95</v>
      </c>
      <c r="G12" s="528" t="s">
        <v>95</v>
      </c>
      <c r="H12" s="1159" t="s">
        <v>95</v>
      </c>
      <c r="I12" s="1192" t="s">
        <v>113</v>
      </c>
      <c r="J12" s="183" t="s">
        <v>321</v>
      </c>
      <c r="K12" s="528" t="s">
        <v>113</v>
      </c>
      <c r="L12" s="1303"/>
      <c r="N12" s="136"/>
      <c r="O12" s="136"/>
      <c r="P12" s="136"/>
      <c r="Q12" s="136"/>
      <c r="R12" s="136"/>
      <c r="S12" s="136"/>
      <c r="T12" s="136"/>
      <c r="U12" s="136"/>
    </row>
    <row r="13" spans="1:21">
      <c r="A13" s="1244"/>
      <c r="B13" s="1193"/>
      <c r="C13" s="1193"/>
      <c r="D13" s="1193"/>
      <c r="E13" s="581"/>
      <c r="F13" s="582"/>
      <c r="G13" s="581"/>
      <c r="H13" s="1159"/>
      <c r="I13" s="1193"/>
      <c r="J13" s="183" t="s">
        <v>734</v>
      </c>
      <c r="K13" s="583"/>
      <c r="L13" s="1304"/>
      <c r="N13" s="136"/>
      <c r="O13" s="136"/>
      <c r="P13" s="136"/>
      <c r="Q13" s="136"/>
      <c r="R13" s="136"/>
      <c r="S13" s="136"/>
      <c r="T13" s="136"/>
      <c r="U13" s="136"/>
    </row>
    <row r="14" spans="1:21" ht="30.75" customHeight="1">
      <c r="A14" s="1025" t="s">
        <v>1215</v>
      </c>
      <c r="B14" s="1025"/>
      <c r="C14" s="1025"/>
      <c r="D14" s="1025"/>
      <c r="E14" s="1025"/>
      <c r="F14" s="1025"/>
      <c r="G14" s="1025"/>
      <c r="H14" s="1025"/>
      <c r="I14" s="1355"/>
      <c r="J14" s="185" t="s">
        <v>81</v>
      </c>
      <c r="K14" s="87" t="s">
        <v>79</v>
      </c>
      <c r="L14" s="86" t="s">
        <v>80</v>
      </c>
      <c r="N14" s="136"/>
      <c r="O14" s="136"/>
      <c r="P14" s="136"/>
      <c r="Q14" s="136"/>
      <c r="R14" s="136"/>
      <c r="S14" s="136"/>
      <c r="T14" s="136"/>
      <c r="U14" s="136"/>
    </row>
    <row r="15" spans="1:21" ht="16.5" customHeight="1">
      <c r="A15" s="1357" t="s">
        <v>1216</v>
      </c>
      <c r="B15" s="1357"/>
      <c r="C15" s="1357"/>
      <c r="D15" s="1357"/>
      <c r="E15" s="1357"/>
      <c r="F15" s="1357"/>
      <c r="G15" s="532"/>
      <c r="H15" s="532"/>
      <c r="I15" s="532"/>
      <c r="K15" s="90"/>
      <c r="N15" s="136"/>
      <c r="O15" s="136"/>
      <c r="P15" s="136"/>
      <c r="Q15" s="136"/>
      <c r="R15" s="136"/>
      <c r="S15" s="136"/>
      <c r="T15" s="136"/>
      <c r="U15" s="136"/>
    </row>
    <row r="16" spans="1:21" ht="16.5" customHeight="1">
      <c r="A16" s="175"/>
      <c r="B16" s="90"/>
      <c r="E16" s="1356"/>
      <c r="F16" s="1356"/>
      <c r="G16" s="1356"/>
      <c r="H16" s="1356"/>
      <c r="I16" s="1356"/>
      <c r="J16" s="1356"/>
      <c r="K16" s="1356"/>
      <c r="L16" s="1356"/>
      <c r="N16" s="136"/>
      <c r="O16" s="136"/>
      <c r="P16" s="136"/>
      <c r="Q16" s="136"/>
      <c r="R16" s="136"/>
      <c r="S16" s="136"/>
      <c r="T16" s="136"/>
      <c r="U16" s="136"/>
    </row>
    <row r="17" spans="1:21" ht="23.1" customHeight="1">
      <c r="A17" s="175"/>
      <c r="B17" s="802" t="s">
        <v>738</v>
      </c>
      <c r="C17" s="266" t="s">
        <v>112</v>
      </c>
      <c r="D17" s="171" t="s">
        <v>111</v>
      </c>
      <c r="E17" s="267" t="s">
        <v>525</v>
      </c>
      <c r="F17" s="253" t="s">
        <v>541</v>
      </c>
      <c r="G17" s="171" t="s">
        <v>109</v>
      </c>
      <c r="H17" s="267" t="s">
        <v>268</v>
      </c>
      <c r="I17" s="194"/>
      <c r="J17" s="194"/>
      <c r="K17" s="194"/>
      <c r="L17" s="194"/>
      <c r="N17" s="136"/>
      <c r="O17" s="136"/>
      <c r="P17" s="136"/>
      <c r="Q17" s="136"/>
      <c r="R17" s="136"/>
      <c r="S17" s="136"/>
      <c r="T17" s="136"/>
      <c r="U17" s="136"/>
    </row>
    <row r="18" spans="1:21" ht="24.6" customHeight="1">
      <c r="A18" s="175"/>
      <c r="B18" s="803" t="s">
        <v>1041</v>
      </c>
      <c r="C18" s="266" t="s">
        <v>108</v>
      </c>
      <c r="D18" s="171" t="s">
        <v>107</v>
      </c>
      <c r="E18" s="267" t="s">
        <v>362</v>
      </c>
      <c r="F18" s="286" t="s">
        <v>109</v>
      </c>
      <c r="G18" s="171" t="s">
        <v>121</v>
      </c>
      <c r="H18" s="267" t="s">
        <v>306</v>
      </c>
      <c r="I18" s="195"/>
      <c r="J18" s="195"/>
      <c r="K18" s="195"/>
      <c r="L18" s="195"/>
      <c r="N18" s="136"/>
      <c r="O18" s="136"/>
      <c r="P18" s="136"/>
      <c r="Q18" s="136"/>
      <c r="R18" s="136"/>
      <c r="S18" s="136"/>
      <c r="T18" s="136"/>
      <c r="U18" s="136"/>
    </row>
    <row r="19" spans="1:21" ht="19.5" customHeight="1">
      <c r="A19" s="175"/>
      <c r="B19" s="411" t="s">
        <v>739</v>
      </c>
      <c r="C19" s="779" t="s">
        <v>694</v>
      </c>
      <c r="D19" s="150"/>
      <c r="E19" s="267" t="s">
        <v>363</v>
      </c>
      <c r="F19" s="253" t="s">
        <v>541</v>
      </c>
      <c r="G19" s="171" t="s">
        <v>119</v>
      </c>
      <c r="H19" s="195"/>
      <c r="I19" s="195"/>
      <c r="J19" s="195"/>
      <c r="K19" s="195"/>
      <c r="L19" s="195"/>
      <c r="N19" s="136"/>
      <c r="O19" s="136"/>
      <c r="P19" s="136"/>
      <c r="Q19" s="136"/>
      <c r="R19" s="136"/>
      <c r="S19" s="136"/>
      <c r="T19" s="136"/>
      <c r="U19" s="136"/>
    </row>
    <row r="20" spans="1:21" ht="19.5" customHeight="1">
      <c r="A20" s="175"/>
      <c r="B20" s="780" t="s">
        <v>740</v>
      </c>
      <c r="C20" s="150"/>
      <c r="D20" s="150"/>
      <c r="E20" s="267" t="s">
        <v>526</v>
      </c>
      <c r="F20" s="98" t="s">
        <v>148</v>
      </c>
      <c r="G20" s="171" t="s">
        <v>118</v>
      </c>
      <c r="H20" s="195"/>
      <c r="I20" s="195"/>
      <c r="J20" s="195"/>
      <c r="K20" s="195"/>
      <c r="L20" s="195"/>
      <c r="N20" s="136"/>
      <c r="O20" s="136"/>
      <c r="P20" s="136"/>
      <c r="Q20" s="136"/>
      <c r="R20" s="136"/>
      <c r="S20" s="136"/>
      <c r="T20" s="136"/>
      <c r="U20" s="136"/>
    </row>
    <row r="21" spans="1:21" ht="19.5" customHeight="1">
      <c r="A21" s="175"/>
      <c r="B21" s="664" t="s">
        <v>1214</v>
      </c>
      <c r="C21" s="150"/>
      <c r="D21" s="150"/>
      <c r="E21" s="267" t="s">
        <v>527</v>
      </c>
      <c r="F21" s="98" t="s">
        <v>146</v>
      </c>
      <c r="G21" s="171" t="s">
        <v>125</v>
      </c>
      <c r="H21" s="195"/>
      <c r="I21" s="195"/>
      <c r="J21" s="195"/>
      <c r="K21" s="195"/>
      <c r="L21" s="195"/>
      <c r="N21" s="136"/>
      <c r="O21" s="136"/>
      <c r="P21" s="136"/>
      <c r="Q21" s="136"/>
      <c r="R21" s="136"/>
      <c r="S21" s="136"/>
      <c r="T21" s="136"/>
      <c r="U21" s="136"/>
    </row>
    <row r="22" spans="1:21" ht="19.5" customHeight="1">
      <c r="A22" s="175"/>
      <c r="B22" s="90"/>
      <c r="C22" s="150"/>
      <c r="D22" s="150"/>
      <c r="E22" s="267" t="s">
        <v>528</v>
      </c>
      <c r="F22" s="98" t="s">
        <v>144</v>
      </c>
      <c r="G22" s="171" t="s">
        <v>117</v>
      </c>
      <c r="H22" s="195"/>
      <c r="I22" s="195"/>
      <c r="J22" s="195"/>
      <c r="K22" s="195"/>
      <c r="L22" s="195"/>
      <c r="N22" s="136"/>
      <c r="O22" s="136"/>
      <c r="P22" s="136"/>
      <c r="Q22" s="136"/>
      <c r="R22" s="136"/>
      <c r="S22" s="136"/>
      <c r="T22" s="136"/>
      <c r="U22" s="136"/>
    </row>
    <row r="23" spans="1:21" ht="19.5" customHeight="1">
      <c r="A23" s="175"/>
      <c r="B23" s="90"/>
      <c r="C23" s="150"/>
      <c r="D23" s="150"/>
      <c r="E23" s="267" t="s">
        <v>365</v>
      </c>
      <c r="F23" s="253" t="s">
        <v>541</v>
      </c>
      <c r="G23" s="171" t="s">
        <v>102</v>
      </c>
      <c r="H23" s="195"/>
      <c r="I23" s="195"/>
      <c r="J23" s="195"/>
      <c r="K23" s="195"/>
      <c r="L23" s="195"/>
      <c r="N23" s="136"/>
      <c r="O23" s="136"/>
      <c r="P23" s="136"/>
      <c r="Q23" s="136"/>
      <c r="R23" s="136"/>
      <c r="S23" s="136"/>
      <c r="T23" s="136"/>
      <c r="U23" s="136"/>
    </row>
    <row r="24" spans="1:21" ht="19.5" customHeight="1">
      <c r="A24" s="175"/>
      <c r="B24" s="90"/>
      <c r="C24" s="150"/>
      <c r="D24" s="150"/>
      <c r="E24" s="267" t="s">
        <v>366</v>
      </c>
      <c r="F24" s="98" t="s">
        <v>144</v>
      </c>
      <c r="G24" s="171" t="s">
        <v>138</v>
      </c>
      <c r="H24" s="195"/>
      <c r="I24" s="195"/>
      <c r="J24" s="195"/>
      <c r="K24" s="195"/>
      <c r="L24" s="195"/>
      <c r="N24" s="136"/>
      <c r="O24" s="136"/>
      <c r="P24" s="136"/>
      <c r="Q24" s="136"/>
      <c r="R24" s="136"/>
      <c r="S24" s="136"/>
      <c r="T24" s="136"/>
      <c r="U24" s="136"/>
    </row>
    <row r="25" spans="1:21" ht="19.5" customHeight="1">
      <c r="A25" s="175"/>
      <c r="B25" s="90"/>
      <c r="C25" s="150"/>
      <c r="D25" s="150"/>
      <c r="E25" s="267" t="s">
        <v>529</v>
      </c>
      <c r="F25" s="98" t="s">
        <v>133</v>
      </c>
      <c r="G25" s="195"/>
      <c r="H25" s="195"/>
      <c r="I25" s="195"/>
      <c r="J25" s="195"/>
      <c r="K25" s="195"/>
      <c r="L25" s="195"/>
      <c r="N25" s="136"/>
      <c r="O25" s="136"/>
      <c r="P25" s="136"/>
      <c r="Q25" s="136"/>
      <c r="R25" s="136"/>
      <c r="S25" s="136"/>
      <c r="T25" s="136"/>
      <c r="U25" s="136"/>
    </row>
    <row r="26" spans="1:21" ht="19.5" customHeight="1">
      <c r="A26" s="175"/>
      <c r="B26" s="90"/>
      <c r="C26" s="150"/>
      <c r="D26" s="150"/>
      <c r="E26" s="267" t="s">
        <v>530</v>
      </c>
      <c r="F26" s="253" t="s">
        <v>541</v>
      </c>
      <c r="G26" s="195"/>
      <c r="H26" s="195"/>
      <c r="I26" s="195"/>
      <c r="J26" s="195"/>
      <c r="K26" s="195"/>
      <c r="L26" s="195"/>
      <c r="N26" s="136"/>
      <c r="O26" s="136"/>
      <c r="P26" s="136"/>
      <c r="Q26" s="136"/>
      <c r="R26" s="136"/>
      <c r="S26" s="136"/>
      <c r="T26" s="136"/>
      <c r="U26" s="136"/>
    </row>
    <row r="27" spans="1:21" ht="19.5" customHeight="1">
      <c r="A27" s="175"/>
      <c r="B27" s="90"/>
      <c r="C27" s="150"/>
      <c r="D27" s="150"/>
      <c r="E27" s="267" t="s">
        <v>531</v>
      </c>
      <c r="F27" s="98" t="s">
        <v>99</v>
      </c>
      <c r="G27" s="195"/>
      <c r="H27" s="195"/>
      <c r="I27" s="195"/>
      <c r="J27" s="195"/>
      <c r="K27" s="195"/>
      <c r="L27" s="195"/>
      <c r="N27" s="136"/>
      <c r="O27" s="136"/>
      <c r="P27" s="136"/>
      <c r="Q27" s="136"/>
      <c r="R27" s="136"/>
      <c r="S27" s="136"/>
      <c r="T27" s="136"/>
      <c r="U27" s="136"/>
    </row>
    <row r="28" spans="1:21" ht="19.5" customHeight="1">
      <c r="A28" s="175"/>
      <c r="B28" s="90"/>
      <c r="C28" s="150"/>
      <c r="D28" s="150"/>
      <c r="E28" s="267" t="s">
        <v>532</v>
      </c>
      <c r="F28" s="98" t="s">
        <v>98</v>
      </c>
      <c r="G28" s="195"/>
      <c r="H28" s="195"/>
      <c r="I28" s="195"/>
      <c r="J28" s="195"/>
      <c r="K28" s="195"/>
      <c r="L28" s="195"/>
      <c r="N28" s="136"/>
      <c r="O28" s="136"/>
      <c r="P28" s="136"/>
      <c r="Q28" s="136"/>
      <c r="R28" s="136"/>
      <c r="S28" s="136"/>
      <c r="T28" s="136"/>
      <c r="U28" s="136"/>
    </row>
    <row r="29" spans="1:21" ht="19.5" customHeight="1">
      <c r="A29" s="175"/>
      <c r="B29" s="90"/>
      <c r="C29" s="150"/>
      <c r="D29" s="150"/>
      <c r="E29" s="267" t="s">
        <v>533</v>
      </c>
      <c r="F29" s="253" t="s">
        <v>541</v>
      </c>
      <c r="G29" s="195"/>
      <c r="H29" s="195"/>
      <c r="I29" s="195"/>
      <c r="J29" s="195"/>
      <c r="K29" s="195"/>
      <c r="L29" s="195"/>
      <c r="N29" s="136"/>
      <c r="O29" s="136"/>
      <c r="P29" s="136"/>
      <c r="Q29" s="136"/>
      <c r="R29" s="136"/>
      <c r="S29" s="136"/>
      <c r="T29" s="136"/>
      <c r="U29" s="136"/>
    </row>
    <row r="30" spans="1:21" ht="19.5" customHeight="1">
      <c r="A30" s="175"/>
      <c r="B30" s="90"/>
      <c r="C30" s="150"/>
      <c r="D30" s="150"/>
      <c r="E30" s="267" t="s">
        <v>534</v>
      </c>
      <c r="F30" s="98" t="s">
        <v>98</v>
      </c>
      <c r="G30" s="195"/>
      <c r="H30" s="195"/>
      <c r="I30" s="195"/>
      <c r="J30" s="195"/>
      <c r="K30" s="195"/>
      <c r="L30" s="195"/>
      <c r="N30" s="136"/>
      <c r="O30" s="136"/>
      <c r="P30" s="136"/>
      <c r="Q30" s="136"/>
      <c r="R30" s="136"/>
      <c r="S30" s="136"/>
      <c r="T30" s="136"/>
      <c r="U30" s="136"/>
    </row>
    <row r="31" spans="1:21" ht="19.5" customHeight="1">
      <c r="A31" s="175"/>
      <c r="B31" s="90"/>
      <c r="C31" s="150"/>
      <c r="D31" s="150"/>
      <c r="E31" s="267" t="s">
        <v>535</v>
      </c>
      <c r="F31" s="253" t="s">
        <v>541</v>
      </c>
      <c r="G31" s="195"/>
      <c r="H31" s="195"/>
      <c r="I31" s="195"/>
      <c r="J31" s="195"/>
      <c r="K31" s="195"/>
      <c r="L31" s="195"/>
      <c r="N31" s="136"/>
      <c r="O31" s="136"/>
      <c r="P31" s="136"/>
      <c r="Q31" s="136"/>
      <c r="R31" s="136"/>
      <c r="S31" s="136"/>
      <c r="T31" s="136"/>
      <c r="U31" s="136"/>
    </row>
    <row r="32" spans="1:21" ht="19.5" customHeight="1">
      <c r="A32" s="175"/>
      <c r="B32" s="90"/>
      <c r="C32" s="150"/>
      <c r="D32" s="150"/>
      <c r="E32" s="267" t="s">
        <v>536</v>
      </c>
      <c r="F32" s="98" t="s">
        <v>139</v>
      </c>
      <c r="G32" s="195"/>
      <c r="H32" s="195"/>
      <c r="I32" s="195"/>
      <c r="J32" s="195"/>
      <c r="K32" s="195"/>
      <c r="L32" s="195"/>
      <c r="N32" s="136"/>
      <c r="O32" s="136"/>
      <c r="P32" s="136"/>
      <c r="Q32" s="136"/>
      <c r="R32" s="136"/>
      <c r="S32" s="136"/>
      <c r="T32" s="136"/>
      <c r="U32" s="136"/>
    </row>
    <row r="33" spans="1:21" ht="19.5" customHeight="1">
      <c r="A33" s="175"/>
      <c r="B33" s="90"/>
      <c r="C33" s="150"/>
      <c r="D33" s="150"/>
      <c r="E33" s="267" t="s">
        <v>537</v>
      </c>
      <c r="F33" s="195"/>
      <c r="G33" s="195"/>
      <c r="H33" s="195"/>
      <c r="I33" s="195"/>
      <c r="J33" s="195"/>
      <c r="K33" s="195"/>
      <c r="L33" s="195"/>
      <c r="N33" s="136"/>
      <c r="O33" s="136"/>
      <c r="P33" s="136"/>
      <c r="Q33" s="136"/>
      <c r="R33" s="136"/>
      <c r="S33" s="136"/>
      <c r="T33" s="136"/>
      <c r="U33" s="136"/>
    </row>
    <row r="34" spans="1:21" ht="19.5" customHeight="1">
      <c r="A34" s="175"/>
      <c r="B34" s="90"/>
      <c r="C34" s="150"/>
      <c r="D34" s="150"/>
      <c r="E34" s="267" t="s">
        <v>538</v>
      </c>
      <c r="F34" s="195"/>
      <c r="G34" s="195"/>
      <c r="H34" s="195"/>
      <c r="I34" s="195"/>
      <c r="J34" s="195"/>
      <c r="K34" s="195"/>
      <c r="L34" s="195"/>
      <c r="N34" s="136"/>
      <c r="O34" s="136"/>
      <c r="P34" s="136"/>
      <c r="Q34" s="136"/>
      <c r="R34" s="136"/>
      <c r="S34" s="136"/>
      <c r="T34" s="136"/>
      <c r="U34" s="136"/>
    </row>
    <row r="35" spans="1:21" ht="19.5" customHeight="1">
      <c r="A35" s="175"/>
      <c r="B35" s="90"/>
      <c r="C35" s="150"/>
      <c r="D35" s="150"/>
      <c r="E35" s="267" t="s">
        <v>539</v>
      </c>
      <c r="F35" s="195"/>
      <c r="G35" s="195"/>
      <c r="H35" s="195"/>
      <c r="I35" s="195"/>
      <c r="J35" s="195"/>
      <c r="K35" s="195"/>
      <c r="L35" s="195"/>
      <c r="N35" s="136"/>
      <c r="O35" s="136"/>
      <c r="P35" s="136"/>
      <c r="Q35" s="136"/>
      <c r="R35" s="136"/>
      <c r="S35" s="136"/>
      <c r="T35" s="136"/>
      <c r="U35" s="136"/>
    </row>
    <row r="36" spans="1:21" ht="19.5" customHeight="1">
      <c r="A36" s="175"/>
      <c r="B36" s="90"/>
      <c r="C36" s="150"/>
      <c r="D36" s="150"/>
      <c r="E36" s="267" t="s">
        <v>540</v>
      </c>
      <c r="F36" s="195"/>
      <c r="G36" s="195"/>
      <c r="H36" s="195"/>
      <c r="I36" s="195"/>
      <c r="J36" s="195"/>
      <c r="K36" s="195"/>
      <c r="L36" s="195"/>
      <c r="N36" s="136"/>
      <c r="O36" s="136"/>
      <c r="P36" s="136"/>
      <c r="Q36" s="136"/>
      <c r="R36" s="136"/>
      <c r="S36" s="136"/>
      <c r="T36" s="136"/>
      <c r="U36" s="136"/>
    </row>
    <row r="37" spans="1:21" ht="19.5" customHeight="1">
      <c r="A37" s="175"/>
      <c r="B37" s="90"/>
      <c r="C37" s="150"/>
      <c r="D37" s="150"/>
      <c r="E37" s="195"/>
      <c r="F37" s="195"/>
      <c r="G37" s="195"/>
      <c r="H37" s="195"/>
      <c r="I37" s="195"/>
      <c r="J37" s="195"/>
      <c r="K37" s="195"/>
      <c r="L37" s="195"/>
      <c r="N37" s="136"/>
      <c r="O37" s="136"/>
      <c r="P37" s="136"/>
      <c r="Q37" s="136"/>
      <c r="R37" s="136"/>
      <c r="S37" s="136"/>
      <c r="T37" s="136"/>
      <c r="U37" s="136"/>
    </row>
    <row r="38" spans="1:21" ht="19.5" customHeight="1">
      <c r="A38" s="175"/>
      <c r="B38" s="90"/>
      <c r="C38" s="150"/>
      <c r="D38" s="150"/>
      <c r="E38" s="195"/>
      <c r="F38" s="195"/>
      <c r="G38" s="195"/>
      <c r="H38" s="195"/>
      <c r="I38" s="195"/>
      <c r="J38" s="195"/>
      <c r="K38" s="195"/>
      <c r="L38" s="195"/>
      <c r="N38" s="136"/>
      <c r="O38" s="136"/>
      <c r="P38" s="136"/>
      <c r="Q38" s="136"/>
      <c r="R38" s="136"/>
      <c r="S38" s="136"/>
      <c r="T38" s="136"/>
      <c r="U38" s="136"/>
    </row>
    <row r="39" spans="1:21" ht="26.25" customHeight="1">
      <c r="A39" s="175"/>
      <c r="B39" s="90"/>
      <c r="E39" s="195"/>
      <c r="F39" s="195"/>
      <c r="G39" s="195"/>
      <c r="H39" s="195"/>
      <c r="I39" s="195"/>
      <c r="J39" s="195"/>
      <c r="K39" s="195"/>
      <c r="L39" s="195"/>
      <c r="N39" s="136"/>
      <c r="O39" s="136"/>
      <c r="P39" s="136"/>
      <c r="Q39" s="136"/>
      <c r="R39" s="136"/>
      <c r="S39" s="136"/>
      <c r="T39" s="136"/>
      <c r="U39" s="136"/>
    </row>
    <row r="40" spans="1:21" ht="17.25" customHeight="1">
      <c r="A40" s="175"/>
      <c r="B40" s="90"/>
      <c r="E40" s="1354"/>
      <c r="F40" s="1354"/>
      <c r="G40" s="1354"/>
      <c r="H40" s="1354"/>
      <c r="I40" s="1354"/>
      <c r="J40" s="1354"/>
      <c r="K40" s="1354"/>
      <c r="L40" s="1354"/>
      <c r="N40" s="136"/>
      <c r="O40" s="136"/>
      <c r="P40" s="136"/>
      <c r="Q40" s="136"/>
      <c r="R40" s="136"/>
      <c r="S40" s="136"/>
      <c r="T40" s="136"/>
      <c r="U40" s="136"/>
    </row>
    <row r="41" spans="1:21" ht="16.5" customHeight="1">
      <c r="A41" s="175"/>
      <c r="B41" s="90"/>
      <c r="K41" s="90"/>
      <c r="N41" s="136"/>
      <c r="O41" s="136"/>
      <c r="P41" s="136"/>
      <c r="Q41" s="136"/>
      <c r="R41" s="136"/>
      <c r="S41" s="136"/>
      <c r="T41" s="136"/>
      <c r="U41" s="136"/>
    </row>
    <row r="42" spans="1:21" ht="16.5" customHeight="1">
      <c r="A42" s="175"/>
      <c r="B42" s="90"/>
      <c r="K42" s="90"/>
      <c r="N42" s="136"/>
      <c r="O42" s="136"/>
      <c r="P42" s="136"/>
      <c r="Q42" s="136"/>
      <c r="R42" s="136"/>
      <c r="S42" s="136"/>
      <c r="T42" s="136"/>
      <c r="U42" s="136"/>
    </row>
    <row r="43" spans="1:21">
      <c r="A43" s="1230" t="s">
        <v>543</v>
      </c>
      <c r="B43" s="1231"/>
      <c r="C43" s="1231"/>
      <c r="D43" s="1231"/>
      <c r="E43" s="1231"/>
      <c r="F43" s="1231"/>
      <c r="G43" s="1231"/>
      <c r="H43" s="1231"/>
      <c r="I43" s="1231"/>
      <c r="J43" s="1231"/>
      <c r="K43" s="1231"/>
      <c r="L43" s="1232"/>
      <c r="N43" s="136"/>
      <c r="O43" s="136"/>
      <c r="P43" s="136"/>
      <c r="Q43" s="136"/>
      <c r="R43" s="136"/>
      <c r="S43" s="136"/>
    </row>
    <row r="44" spans="1:21" ht="16.2">
      <c r="A44" s="256" t="s">
        <v>37</v>
      </c>
      <c r="B44" s="184" t="s">
        <v>7</v>
      </c>
      <c r="C44" s="1171" t="s">
        <v>542</v>
      </c>
      <c r="D44" s="1172"/>
      <c r="E44" s="1172"/>
      <c r="F44" s="1172"/>
      <c r="G44" s="1172"/>
      <c r="H44" s="1172"/>
      <c r="I44" s="1172"/>
      <c r="J44" s="1172"/>
      <c r="K44" s="1172"/>
      <c r="L44" s="1173"/>
      <c r="N44" s="136"/>
      <c r="O44" s="136"/>
      <c r="P44" s="136"/>
      <c r="Q44" s="136"/>
      <c r="R44" s="136"/>
      <c r="S44" s="136"/>
    </row>
    <row r="45" spans="1:21">
      <c r="A45" s="176" t="s">
        <v>38</v>
      </c>
      <c r="B45" s="177" t="s">
        <v>39</v>
      </c>
      <c r="C45" s="176" t="s">
        <v>40</v>
      </c>
      <c r="D45" s="176" t="s">
        <v>41</v>
      </c>
      <c r="E45" s="177" t="s">
        <v>46</v>
      </c>
      <c r="F45" s="178" t="s">
        <v>47</v>
      </c>
      <c r="G45" s="256" t="s">
        <v>48</v>
      </c>
      <c r="H45" s="256" t="s">
        <v>49</v>
      </c>
      <c r="I45" s="256" t="s">
        <v>137</v>
      </c>
      <c r="J45" s="1274" t="s">
        <v>176</v>
      </c>
      <c r="K45" s="1302"/>
      <c r="L45" s="180">
        <v>12</v>
      </c>
      <c r="N45" s="136"/>
      <c r="O45" s="136"/>
      <c r="P45" s="136"/>
      <c r="Q45" s="136"/>
      <c r="R45" s="136"/>
      <c r="S45" s="136"/>
    </row>
    <row r="46" spans="1:21" ht="48" customHeight="1">
      <c r="A46" s="265" t="s">
        <v>78</v>
      </c>
      <c r="B46" s="409" t="s">
        <v>444</v>
      </c>
      <c r="C46" s="261" t="s">
        <v>434</v>
      </c>
      <c r="D46" s="259" t="s">
        <v>280</v>
      </c>
      <c r="E46" s="259" t="s">
        <v>136</v>
      </c>
      <c r="F46" s="261" t="s">
        <v>274</v>
      </c>
      <c r="G46" s="261" t="s">
        <v>334</v>
      </c>
      <c r="H46" s="261" t="s">
        <v>307</v>
      </c>
      <c r="I46" s="259" t="s">
        <v>741</v>
      </c>
      <c r="J46" s="1330" t="s">
        <v>323</v>
      </c>
      <c r="K46" s="1332"/>
      <c r="L46" s="259" t="s">
        <v>329</v>
      </c>
      <c r="N46" s="136"/>
      <c r="O46" s="136"/>
      <c r="P46" s="136"/>
      <c r="Q46" s="136"/>
      <c r="R46" s="136"/>
      <c r="S46" s="136"/>
    </row>
    <row r="47" spans="1:21">
      <c r="A47" s="1244"/>
      <c r="B47" s="1192" t="s">
        <v>95</v>
      </c>
      <c r="C47" s="1192" t="s">
        <v>95</v>
      </c>
      <c r="D47" s="1192" t="s">
        <v>95</v>
      </c>
      <c r="E47" s="528" t="s">
        <v>95</v>
      </c>
      <c r="F47" s="528" t="s">
        <v>95</v>
      </c>
      <c r="G47" s="528" t="s">
        <v>95</v>
      </c>
      <c r="H47" s="528" t="s">
        <v>95</v>
      </c>
      <c r="I47" s="1192" t="s">
        <v>113</v>
      </c>
      <c r="J47" s="183" t="s">
        <v>321</v>
      </c>
      <c r="K47" s="528" t="s">
        <v>113</v>
      </c>
      <c r="L47" s="1303"/>
      <c r="N47" s="136"/>
      <c r="O47" s="136"/>
      <c r="P47" s="136"/>
      <c r="Q47" s="136"/>
      <c r="R47" s="136"/>
      <c r="S47" s="136"/>
    </row>
    <row r="48" spans="1:21">
      <c r="A48" s="1244"/>
      <c r="B48" s="1193"/>
      <c r="C48" s="1193"/>
      <c r="D48" s="1193"/>
      <c r="E48" s="581"/>
      <c r="F48" s="582"/>
      <c r="G48" s="581"/>
      <c r="H48" s="581"/>
      <c r="I48" s="1193"/>
      <c r="J48" s="183" t="s">
        <v>734</v>
      </c>
      <c r="K48" s="583"/>
      <c r="L48" s="1304"/>
      <c r="N48" s="136"/>
      <c r="O48" s="136"/>
      <c r="P48" s="136"/>
      <c r="Q48" s="136"/>
      <c r="R48" s="136"/>
      <c r="S48" s="136"/>
    </row>
    <row r="49" spans="1:22" ht="30.75" customHeight="1">
      <c r="A49" s="1287" t="s">
        <v>1217</v>
      </c>
      <c r="B49" s="1287"/>
      <c r="C49" s="1287"/>
      <c r="D49" s="1287"/>
      <c r="E49" s="1287"/>
      <c r="F49" s="1287"/>
      <c r="G49" s="1287"/>
      <c r="H49" s="1287"/>
      <c r="I49" s="1288"/>
      <c r="J49" s="530" t="s">
        <v>81</v>
      </c>
      <c r="K49" s="577" t="s">
        <v>79</v>
      </c>
      <c r="L49" s="578" t="s">
        <v>80</v>
      </c>
      <c r="N49" s="136"/>
      <c r="O49" s="136"/>
      <c r="P49" s="136"/>
      <c r="Q49" s="136"/>
      <c r="R49" s="136"/>
      <c r="S49" s="136"/>
      <c r="T49" s="136"/>
      <c r="U49" s="136"/>
    </row>
    <row r="50" spans="1:22" ht="16.5" customHeight="1">
      <c r="A50" s="584"/>
      <c r="B50" s="547"/>
      <c r="C50" s="532"/>
      <c r="D50" s="532"/>
      <c r="E50" s="532"/>
      <c r="F50" s="532"/>
      <c r="G50" s="532"/>
      <c r="H50" s="532"/>
      <c r="I50" s="532"/>
      <c r="J50" s="532"/>
      <c r="K50" s="547"/>
      <c r="L50" s="532"/>
      <c r="N50" s="136"/>
      <c r="O50" s="136"/>
      <c r="P50" s="136"/>
      <c r="Q50" s="136"/>
      <c r="R50" s="136"/>
      <c r="S50" s="136"/>
      <c r="T50" s="136"/>
      <c r="U50" s="136"/>
    </row>
    <row r="51" spans="1:22" ht="16.5" customHeight="1">
      <c r="A51" s="584"/>
      <c r="B51" s="547"/>
      <c r="C51" s="532"/>
      <c r="D51" s="532"/>
      <c r="E51" s="532"/>
      <c r="F51" s="532"/>
      <c r="G51" s="532"/>
      <c r="H51" s="532"/>
      <c r="I51" s="532"/>
      <c r="J51" s="532"/>
      <c r="K51" s="547"/>
      <c r="L51" s="532"/>
      <c r="N51" s="136"/>
      <c r="O51" s="136"/>
      <c r="P51" s="136"/>
      <c r="Q51" s="136"/>
      <c r="R51" s="136"/>
      <c r="S51" s="136"/>
      <c r="T51" s="136"/>
      <c r="U51" s="136"/>
    </row>
    <row r="52" spans="1:22" ht="16.5" customHeight="1">
      <c r="A52" s="230"/>
      <c r="B52" s="233" t="s">
        <v>446</v>
      </c>
      <c r="C52" s="266" t="s">
        <v>112</v>
      </c>
      <c r="D52" s="266" t="s">
        <v>111</v>
      </c>
      <c r="E52" s="262" t="s">
        <v>135</v>
      </c>
      <c r="F52" s="262" t="s">
        <v>134</v>
      </c>
      <c r="G52" s="253" t="s">
        <v>541</v>
      </c>
      <c r="H52" s="171" t="s">
        <v>109</v>
      </c>
      <c r="L52" s="90"/>
      <c r="O52" s="136"/>
      <c r="P52" s="136"/>
      <c r="Q52" s="136"/>
      <c r="R52" s="136"/>
      <c r="S52" s="136"/>
      <c r="T52" s="136"/>
      <c r="U52" s="136"/>
      <c r="V52" s="136"/>
    </row>
    <row r="53" spans="1:22" ht="16.5" customHeight="1">
      <c r="A53" s="230"/>
      <c r="B53" s="232" t="s">
        <v>667</v>
      </c>
      <c r="C53" s="266" t="s">
        <v>108</v>
      </c>
      <c r="D53" s="266" t="s">
        <v>107</v>
      </c>
      <c r="E53" s="262" t="s">
        <v>132</v>
      </c>
      <c r="F53" s="262" t="s">
        <v>131</v>
      </c>
      <c r="G53" s="286" t="s">
        <v>133</v>
      </c>
      <c r="H53" s="171" t="s">
        <v>121</v>
      </c>
      <c r="L53" s="90"/>
      <c r="O53" s="136"/>
      <c r="P53" s="136"/>
      <c r="Q53" s="136"/>
      <c r="R53" s="136"/>
      <c r="S53" s="136"/>
      <c r="T53" s="136"/>
      <c r="U53" s="136"/>
      <c r="V53" s="136"/>
    </row>
    <row r="54" spans="1:22" ht="16.5" customHeight="1">
      <c r="A54" s="230"/>
      <c r="B54" s="686" t="s">
        <v>1043</v>
      </c>
      <c r="C54" s="801" t="s">
        <v>694</v>
      </c>
      <c r="E54" s="262" t="s">
        <v>129</v>
      </c>
      <c r="F54" s="262" t="s">
        <v>128</v>
      </c>
      <c r="G54" s="286" t="s">
        <v>127</v>
      </c>
      <c r="H54" s="171" t="s">
        <v>119</v>
      </c>
      <c r="L54" s="90"/>
      <c r="O54" s="136"/>
      <c r="P54" s="136"/>
      <c r="Q54" s="136"/>
      <c r="R54" s="136"/>
      <c r="S54" s="136"/>
      <c r="T54" s="136"/>
      <c r="U54" s="136"/>
      <c r="V54" s="136"/>
    </row>
    <row r="55" spans="1:22" ht="16.5" customHeight="1">
      <c r="A55" s="230"/>
      <c r="B55" s="232" t="s">
        <v>666</v>
      </c>
      <c r="C55" s="90"/>
      <c r="G55" s="253" t="s">
        <v>541</v>
      </c>
      <c r="H55" s="171" t="s">
        <v>118</v>
      </c>
      <c r="L55" s="90"/>
      <c r="O55" s="136"/>
      <c r="P55" s="136"/>
      <c r="Q55" s="136"/>
      <c r="R55" s="136"/>
      <c r="S55" s="136"/>
      <c r="T55" s="136"/>
      <c r="U55" s="136"/>
      <c r="V55" s="136"/>
    </row>
    <row r="56" spans="1:22" ht="16.5" customHeight="1">
      <c r="A56" s="230"/>
      <c r="B56" s="654" t="s">
        <v>995</v>
      </c>
      <c r="C56" s="90"/>
      <c r="G56" s="286" t="s">
        <v>130</v>
      </c>
      <c r="H56" s="171" t="s">
        <v>125</v>
      </c>
      <c r="L56" s="90"/>
      <c r="O56" s="136"/>
      <c r="P56" s="136"/>
      <c r="Q56" s="136"/>
      <c r="R56" s="136"/>
      <c r="S56" s="136"/>
      <c r="T56" s="136"/>
      <c r="U56" s="136"/>
      <c r="V56" s="136"/>
    </row>
    <row r="57" spans="1:22" ht="16.5" customHeight="1">
      <c r="A57" s="230"/>
      <c r="B57" s="230"/>
      <c r="C57" s="90"/>
      <c r="G57" s="253" t="s">
        <v>541</v>
      </c>
      <c r="H57" s="171" t="s">
        <v>117</v>
      </c>
      <c r="L57" s="90"/>
      <c r="O57" s="136"/>
      <c r="P57" s="136"/>
      <c r="Q57" s="136"/>
      <c r="R57" s="136"/>
      <c r="S57" s="136"/>
      <c r="T57" s="136"/>
      <c r="U57" s="136"/>
      <c r="V57" s="136"/>
    </row>
    <row r="58" spans="1:22" ht="16.5" customHeight="1">
      <c r="A58" s="230"/>
      <c r="B58" s="230"/>
      <c r="C58" s="90"/>
      <c r="G58" s="286" t="s">
        <v>126</v>
      </c>
      <c r="H58" s="171" t="s">
        <v>102</v>
      </c>
      <c r="L58" s="90"/>
      <c r="O58" s="136"/>
      <c r="P58" s="136"/>
      <c r="Q58" s="136"/>
      <c r="R58" s="136"/>
      <c r="S58" s="136"/>
      <c r="T58" s="136"/>
      <c r="U58" s="136"/>
      <c r="V58" s="136"/>
    </row>
    <row r="59" spans="1:22" ht="16.5" customHeight="1">
      <c r="A59" s="230"/>
      <c r="B59" s="230"/>
      <c r="C59" s="90"/>
      <c r="L59" s="90"/>
      <c r="O59" s="136"/>
      <c r="P59" s="136"/>
      <c r="Q59" s="136"/>
      <c r="R59" s="136"/>
      <c r="S59" s="136"/>
      <c r="T59" s="136"/>
      <c r="U59" s="136"/>
      <c r="V59" s="136"/>
    </row>
    <row r="60" spans="1:22" ht="16.5" customHeight="1">
      <c r="A60" s="175"/>
      <c r="B60" s="175"/>
      <c r="C60" s="90"/>
      <c r="L60" s="90"/>
      <c r="O60" s="136"/>
      <c r="P60" s="136"/>
      <c r="Q60" s="136"/>
      <c r="R60" s="136"/>
      <c r="S60" s="136"/>
      <c r="T60" s="136"/>
      <c r="U60" s="136"/>
      <c r="V60" s="136"/>
    </row>
    <row r="61" spans="1:22" ht="16.5" customHeight="1">
      <c r="A61" s="175"/>
      <c r="B61" s="175"/>
      <c r="C61" s="90"/>
      <c r="L61" s="90"/>
      <c r="O61" s="136"/>
      <c r="P61" s="136"/>
      <c r="Q61" s="136"/>
      <c r="R61" s="136"/>
      <c r="S61" s="136"/>
      <c r="T61" s="136"/>
      <c r="U61" s="136"/>
      <c r="V61" s="136"/>
    </row>
    <row r="62" spans="1:22" ht="16.5" customHeight="1">
      <c r="A62" s="175"/>
      <c r="B62" s="175"/>
      <c r="C62" s="90"/>
      <c r="L62" s="90"/>
      <c r="O62" s="136"/>
      <c r="P62" s="136"/>
      <c r="Q62" s="136"/>
      <c r="R62" s="136"/>
      <c r="S62" s="136"/>
      <c r="T62" s="136"/>
      <c r="U62" s="136"/>
      <c r="V62" s="136"/>
    </row>
    <row r="63" spans="1:22" ht="16.5" customHeight="1">
      <c r="A63" s="175"/>
      <c r="B63" s="90"/>
      <c r="K63" s="90"/>
      <c r="N63" s="136"/>
      <c r="O63" s="136"/>
      <c r="P63" s="136"/>
      <c r="Q63" s="136"/>
      <c r="R63" s="136"/>
      <c r="S63" s="136"/>
      <c r="T63" s="136"/>
      <c r="U63" s="136"/>
    </row>
    <row r="64" spans="1:22" ht="16.5" customHeight="1">
      <c r="A64" s="175"/>
      <c r="B64" s="90"/>
      <c r="K64" s="90"/>
      <c r="N64" s="136"/>
      <c r="O64" s="136"/>
      <c r="P64" s="136"/>
      <c r="Q64" s="136"/>
      <c r="R64" s="136"/>
      <c r="S64" s="136"/>
      <c r="T64" s="136"/>
      <c r="U64" s="136"/>
    </row>
    <row r="65" spans="1:22">
      <c r="F65" s="69"/>
      <c r="G65" s="91"/>
      <c r="J65" s="257"/>
    </row>
    <row r="66" spans="1:22">
      <c r="A66" s="1163" t="s">
        <v>124</v>
      </c>
      <c r="B66" s="1163"/>
      <c r="C66" s="1163"/>
      <c r="D66" s="1163"/>
      <c r="E66" s="1163"/>
      <c r="F66" s="1163"/>
      <c r="G66" s="1163"/>
      <c r="H66" s="1163"/>
      <c r="I66" s="1163"/>
      <c r="J66" s="1163"/>
      <c r="K66" s="1163"/>
      <c r="L66" s="1163"/>
      <c r="N66" s="136"/>
      <c r="O66" s="136"/>
      <c r="P66" s="136"/>
      <c r="Q66" s="136"/>
      <c r="R66" s="136"/>
      <c r="S66" s="136"/>
    </row>
    <row r="67" spans="1:22" ht="16.2">
      <c r="A67" s="476" t="s">
        <v>37</v>
      </c>
      <c r="B67" s="184" t="s">
        <v>7</v>
      </c>
      <c r="C67" s="1347" t="s">
        <v>544</v>
      </c>
      <c r="D67" s="1347"/>
      <c r="E67" s="1347"/>
      <c r="F67" s="1347"/>
      <c r="G67" s="1347"/>
      <c r="H67" s="1347"/>
      <c r="I67" s="1347"/>
      <c r="J67" s="1347"/>
      <c r="K67" s="1347"/>
      <c r="L67" s="1347"/>
      <c r="N67" s="136"/>
      <c r="O67" s="136"/>
      <c r="P67" s="136"/>
      <c r="Q67" s="136"/>
      <c r="R67" s="136"/>
      <c r="S67" s="136"/>
    </row>
    <row r="68" spans="1:22" ht="15" customHeight="1">
      <c r="A68" s="256" t="s">
        <v>38</v>
      </c>
      <c r="B68" s="256" t="s">
        <v>39</v>
      </c>
      <c r="C68" s="405" t="s">
        <v>40</v>
      </c>
      <c r="D68" s="256" t="s">
        <v>41</v>
      </c>
      <c r="E68" s="1185" t="s">
        <v>46</v>
      </c>
      <c r="F68" s="1185"/>
      <c r="G68" s="264" t="s">
        <v>47</v>
      </c>
      <c r="H68" s="256" t="s">
        <v>48</v>
      </c>
      <c r="I68" s="256" t="s">
        <v>49</v>
      </c>
      <c r="J68" s="1185" t="s">
        <v>137</v>
      </c>
      <c r="K68" s="1185"/>
      <c r="L68" s="264" t="s">
        <v>176</v>
      </c>
      <c r="M68" s="93"/>
      <c r="O68" s="136"/>
      <c r="P68" s="136"/>
      <c r="Q68" s="136"/>
      <c r="R68" s="136"/>
      <c r="S68" s="136"/>
      <c r="T68" s="136"/>
      <c r="U68" s="136"/>
      <c r="V68" s="136"/>
    </row>
    <row r="69" spans="1:22" s="102" customFormat="1" ht="36">
      <c r="A69" s="258" t="s">
        <v>78</v>
      </c>
      <c r="B69" s="507" t="s">
        <v>97</v>
      </c>
      <c r="C69" s="507" t="s">
        <v>737</v>
      </c>
      <c r="D69" s="555" t="s">
        <v>434</v>
      </c>
      <c r="E69" s="1180" t="s">
        <v>115</v>
      </c>
      <c r="F69" s="1180"/>
      <c r="G69" s="555" t="s">
        <v>307</v>
      </c>
      <c r="H69" s="555" t="s">
        <v>305</v>
      </c>
      <c r="I69" s="555" t="s">
        <v>974</v>
      </c>
      <c r="J69" s="1180" t="s">
        <v>323</v>
      </c>
      <c r="K69" s="1180"/>
      <c r="L69" s="555" t="s">
        <v>975</v>
      </c>
      <c r="M69" s="218"/>
      <c r="N69" s="136"/>
      <c r="O69" s="136"/>
      <c r="P69" s="136"/>
      <c r="Q69" s="136"/>
      <c r="R69" s="136"/>
      <c r="S69" s="136"/>
      <c r="T69" s="136"/>
      <c r="U69" s="136"/>
    </row>
    <row r="70" spans="1:22">
      <c r="A70" s="1182"/>
      <c r="B70" s="1244"/>
      <c r="C70" s="1192" t="s">
        <v>95</v>
      </c>
      <c r="D70" s="1192" t="s">
        <v>95</v>
      </c>
      <c r="E70" s="1159" t="s">
        <v>95</v>
      </c>
      <c r="F70" s="1159"/>
      <c r="G70" s="528" t="s">
        <v>95</v>
      </c>
      <c r="H70" s="1159" t="s">
        <v>95</v>
      </c>
      <c r="I70" s="1192" t="s">
        <v>113</v>
      </c>
      <c r="J70" s="183" t="s">
        <v>321</v>
      </c>
      <c r="K70" s="528" t="s">
        <v>113</v>
      </c>
      <c r="L70" s="1344"/>
      <c r="M70" s="45"/>
      <c r="N70" s="136"/>
      <c r="O70" s="136"/>
      <c r="P70" s="136"/>
      <c r="Q70" s="136"/>
      <c r="R70" s="136"/>
      <c r="S70" s="136"/>
      <c r="T70" s="136"/>
      <c r="U70" s="136"/>
    </row>
    <row r="71" spans="1:22">
      <c r="A71" s="1182"/>
      <c r="B71" s="1244"/>
      <c r="C71" s="1193"/>
      <c r="D71" s="1193"/>
      <c r="E71" s="1160"/>
      <c r="F71" s="1160"/>
      <c r="G71" s="581"/>
      <c r="H71" s="1159"/>
      <c r="I71" s="1193"/>
      <c r="J71" s="183" t="s">
        <v>734</v>
      </c>
      <c r="K71" s="583"/>
      <c r="L71" s="1304"/>
      <c r="N71" s="136"/>
      <c r="O71" s="136"/>
      <c r="P71" s="136"/>
      <c r="Q71" s="136"/>
      <c r="R71" s="136"/>
      <c r="S71" s="136"/>
      <c r="T71" s="136"/>
      <c r="U71" s="136"/>
    </row>
    <row r="72" spans="1:22" ht="45" customHeight="1">
      <c r="A72" s="1345" t="s">
        <v>1219</v>
      </c>
      <c r="B72" s="1345"/>
      <c r="C72" s="1345"/>
      <c r="D72" s="1345"/>
      <c r="E72" s="1345"/>
      <c r="F72" s="1345"/>
      <c r="G72" s="1345"/>
      <c r="H72" s="1345"/>
      <c r="I72" s="1346"/>
      <c r="J72" s="185" t="s">
        <v>81</v>
      </c>
      <c r="K72" s="87" t="s">
        <v>79</v>
      </c>
      <c r="L72" s="86" t="s">
        <v>80</v>
      </c>
      <c r="O72" s="136"/>
      <c r="P72" s="136"/>
      <c r="Q72" s="136"/>
      <c r="R72" s="136"/>
      <c r="S72" s="136"/>
      <c r="T72" s="136"/>
      <c r="U72" s="136"/>
      <c r="V72" s="136"/>
    </row>
    <row r="73" spans="1:22" ht="16.5" customHeight="1">
      <c r="A73" s="1158" t="s">
        <v>1220</v>
      </c>
      <c r="B73" s="1158"/>
      <c r="C73" s="1158"/>
      <c r="D73" s="1158"/>
      <c r="E73" s="1158"/>
      <c r="F73" s="1158"/>
      <c r="L73" s="90"/>
      <c r="O73" s="136"/>
      <c r="P73" s="136"/>
      <c r="Q73" s="136"/>
      <c r="R73" s="136"/>
      <c r="S73" s="136"/>
      <c r="T73" s="136"/>
      <c r="U73" s="136"/>
      <c r="V73" s="136"/>
    </row>
    <row r="74" spans="1:22" ht="16.5" customHeight="1">
      <c r="A74" s="175"/>
      <c r="B74" s="90"/>
      <c r="C74" s="90"/>
      <c r="L74" s="90"/>
      <c r="O74" s="136"/>
      <c r="P74" s="136"/>
      <c r="Q74" s="136"/>
      <c r="R74" s="136"/>
      <c r="S74" s="136"/>
      <c r="T74" s="136"/>
      <c r="U74" s="136"/>
      <c r="V74" s="136"/>
    </row>
    <row r="75" spans="1:22" ht="25.05" customHeight="1">
      <c r="A75" s="175"/>
      <c r="B75" s="90"/>
      <c r="C75" s="813" t="s">
        <v>738</v>
      </c>
      <c r="D75" s="412" t="s">
        <v>112</v>
      </c>
      <c r="E75" s="1342" t="s">
        <v>123</v>
      </c>
      <c r="F75" s="1343"/>
      <c r="G75" s="171" t="s">
        <v>109</v>
      </c>
      <c r="H75" s="267" t="s">
        <v>268</v>
      </c>
      <c r="L75" s="90"/>
      <c r="O75" s="136"/>
      <c r="P75" s="136"/>
      <c r="Q75" s="136"/>
      <c r="R75" s="136"/>
      <c r="S75" s="136"/>
      <c r="T75" s="136"/>
      <c r="U75" s="136"/>
      <c r="V75" s="136"/>
    </row>
    <row r="76" spans="1:22" ht="27" customHeight="1">
      <c r="A76" s="175"/>
      <c r="B76" s="90"/>
      <c r="C76" s="800" t="s">
        <v>1041</v>
      </c>
      <c r="D76" s="412" t="s">
        <v>108</v>
      </c>
      <c r="E76" s="1342" t="s">
        <v>122</v>
      </c>
      <c r="F76" s="1343"/>
      <c r="G76" s="171" t="s">
        <v>121</v>
      </c>
      <c r="H76" s="267" t="s">
        <v>306</v>
      </c>
      <c r="L76" s="90"/>
      <c r="O76" s="136"/>
      <c r="P76" s="136"/>
      <c r="Q76" s="136"/>
      <c r="R76" s="136"/>
      <c r="S76" s="136"/>
      <c r="T76" s="136"/>
      <c r="U76" s="136"/>
      <c r="V76" s="136"/>
    </row>
    <row r="77" spans="1:22" ht="25.5" customHeight="1">
      <c r="A77" s="175"/>
      <c r="B77" s="90"/>
      <c r="C77" s="813" t="s">
        <v>739</v>
      </c>
      <c r="D77" s="271" t="s">
        <v>694</v>
      </c>
      <c r="E77" s="1342" t="s">
        <v>120</v>
      </c>
      <c r="F77" s="1343"/>
      <c r="G77" s="171" t="s">
        <v>119</v>
      </c>
      <c r="L77" s="90"/>
      <c r="O77" s="136"/>
      <c r="P77" s="136"/>
      <c r="Q77" s="136"/>
      <c r="R77" s="136"/>
      <c r="S77" s="136"/>
      <c r="T77" s="136"/>
      <c r="U77" s="136"/>
      <c r="V77" s="136"/>
    </row>
    <row r="78" spans="1:22" ht="21.6" customHeight="1">
      <c r="A78" s="175"/>
      <c r="B78" s="90"/>
      <c r="C78" s="799" t="s">
        <v>1222</v>
      </c>
      <c r="E78" s="287"/>
      <c r="F78" s="288"/>
      <c r="G78" s="171" t="s">
        <v>118</v>
      </c>
      <c r="L78" s="90"/>
      <c r="O78" s="136"/>
      <c r="P78" s="136"/>
      <c r="Q78" s="136"/>
      <c r="R78" s="136"/>
      <c r="S78" s="136"/>
      <c r="T78" s="136"/>
      <c r="U78" s="136"/>
      <c r="V78" s="136"/>
    </row>
    <row r="79" spans="1:22" ht="36.6" customHeight="1">
      <c r="A79" s="175"/>
      <c r="B79" s="90"/>
      <c r="C79" s="800" t="s">
        <v>1221</v>
      </c>
      <c r="E79" s="287"/>
      <c r="F79" s="288"/>
      <c r="G79" s="171" t="s">
        <v>117</v>
      </c>
      <c r="L79" s="90"/>
      <c r="O79" s="136"/>
      <c r="P79" s="136"/>
      <c r="Q79" s="136"/>
      <c r="R79" s="136"/>
      <c r="S79" s="136"/>
      <c r="T79" s="136"/>
      <c r="U79" s="136"/>
      <c r="V79" s="136"/>
    </row>
    <row r="80" spans="1:22" ht="16.5" customHeight="1">
      <c r="A80" s="175"/>
      <c r="B80" s="90"/>
      <c r="C80" s="90"/>
      <c r="E80" s="287"/>
      <c r="F80" s="288"/>
      <c r="G80" s="171" t="s">
        <v>102</v>
      </c>
      <c r="L80" s="90"/>
      <c r="O80" s="136"/>
      <c r="P80" s="136"/>
      <c r="Q80" s="136"/>
      <c r="R80" s="136"/>
      <c r="S80" s="136"/>
      <c r="T80" s="136"/>
      <c r="U80" s="136"/>
      <c r="V80" s="136"/>
    </row>
    <row r="81" spans="1:22" ht="16.5" customHeight="1">
      <c r="A81" s="175"/>
      <c r="B81" s="90"/>
      <c r="C81" s="90"/>
      <c r="E81" s="287"/>
      <c r="F81" s="288"/>
      <c r="G81" s="171" t="s">
        <v>116</v>
      </c>
      <c r="L81" s="90"/>
      <c r="O81" s="136"/>
      <c r="P81" s="136"/>
      <c r="Q81" s="136"/>
      <c r="R81" s="136"/>
      <c r="S81" s="136"/>
      <c r="T81" s="136"/>
      <c r="U81" s="136"/>
      <c r="V81" s="136"/>
    </row>
    <row r="82" spans="1:22" ht="16.5" customHeight="1">
      <c r="A82" s="175"/>
      <c r="B82" s="90"/>
      <c r="C82" s="90"/>
      <c r="E82" s="287"/>
      <c r="F82" s="288"/>
      <c r="G82" s="172" t="s">
        <v>101</v>
      </c>
      <c r="L82" s="90"/>
      <c r="O82" s="136"/>
      <c r="P82" s="136"/>
      <c r="Q82" s="136"/>
      <c r="R82" s="136"/>
      <c r="S82" s="136"/>
      <c r="T82" s="136"/>
      <c r="U82" s="136"/>
      <c r="V82" s="136"/>
    </row>
    <row r="83" spans="1:22" ht="16.5" customHeight="1">
      <c r="A83" s="175"/>
      <c r="B83" s="90"/>
      <c r="C83" s="90"/>
      <c r="E83" s="287"/>
      <c r="F83" s="288"/>
      <c r="G83" s="172" t="s">
        <v>100</v>
      </c>
      <c r="L83" s="90"/>
      <c r="O83" s="136"/>
      <c r="P83" s="136"/>
      <c r="Q83" s="136"/>
      <c r="R83" s="136"/>
      <c r="S83" s="136"/>
      <c r="T83" s="136"/>
      <c r="U83" s="136"/>
      <c r="V83" s="136"/>
    </row>
    <row r="84" spans="1:22" ht="16.5" customHeight="1">
      <c r="A84" s="175"/>
      <c r="B84" s="90"/>
      <c r="C84" s="90"/>
      <c r="E84" s="287"/>
      <c r="F84" s="288"/>
      <c r="G84" s="172" t="s">
        <v>99</v>
      </c>
      <c r="L84" s="90"/>
      <c r="O84" s="136"/>
      <c r="P84" s="136"/>
      <c r="Q84" s="136"/>
      <c r="R84" s="136"/>
      <c r="S84" s="136"/>
      <c r="T84" s="136"/>
      <c r="U84" s="136"/>
      <c r="V84" s="136"/>
    </row>
    <row r="85" spans="1:22" ht="16.5" customHeight="1">
      <c r="A85" s="175"/>
      <c r="B85" s="90"/>
      <c r="C85" s="90"/>
      <c r="E85" s="287"/>
      <c r="F85" s="288"/>
      <c r="G85" s="172" t="s">
        <v>98</v>
      </c>
      <c r="L85" s="90"/>
      <c r="O85" s="136"/>
      <c r="P85" s="136"/>
      <c r="Q85" s="136"/>
      <c r="R85" s="136"/>
      <c r="S85" s="136"/>
      <c r="T85" s="136"/>
      <c r="U85" s="136"/>
      <c r="V85" s="136"/>
    </row>
    <row r="86" spans="1:22" ht="16.5" customHeight="1">
      <c r="A86" s="175"/>
      <c r="B86" s="90"/>
      <c r="D86" s="287"/>
      <c r="E86" s="288"/>
      <c r="K86" s="90"/>
      <c r="N86" s="136"/>
      <c r="O86" s="136"/>
      <c r="P86" s="136"/>
      <c r="Q86" s="136"/>
      <c r="R86" s="136"/>
      <c r="S86" s="136"/>
      <c r="T86" s="136"/>
      <c r="U86" s="136"/>
    </row>
    <row r="87" spans="1:22" ht="16.5" customHeight="1">
      <c r="A87" s="175"/>
      <c r="B87" s="90"/>
      <c r="K87" s="90"/>
      <c r="N87" s="136"/>
      <c r="O87" s="136"/>
      <c r="P87" s="136"/>
      <c r="Q87" s="136"/>
      <c r="R87" s="136"/>
      <c r="S87" s="136"/>
      <c r="T87" s="136"/>
      <c r="U87" s="136"/>
    </row>
    <row r="88" spans="1:22" ht="16.5" customHeight="1">
      <c r="A88" s="175"/>
      <c r="B88" s="90"/>
      <c r="K88" s="90"/>
      <c r="N88" s="136"/>
      <c r="O88" s="136"/>
      <c r="P88" s="136"/>
      <c r="Q88" s="136"/>
      <c r="R88" s="136"/>
      <c r="S88" s="136"/>
      <c r="T88" s="136"/>
      <c r="U88" s="136"/>
    </row>
    <row r="89" spans="1:22" ht="16.5" customHeight="1">
      <c r="A89" s="175"/>
      <c r="B89" s="90"/>
      <c r="K89" s="90"/>
      <c r="N89" s="136"/>
      <c r="O89" s="136"/>
      <c r="P89" s="136"/>
      <c r="Q89" s="136"/>
      <c r="R89" s="136"/>
      <c r="S89" s="136"/>
      <c r="T89" s="136"/>
      <c r="U89" s="136"/>
    </row>
    <row r="90" spans="1:22">
      <c r="A90" s="1358" t="s">
        <v>862</v>
      </c>
      <c r="B90" s="1231"/>
      <c r="C90" s="1231"/>
      <c r="D90" s="1231"/>
      <c r="E90" s="1231"/>
      <c r="F90" s="1231"/>
      <c r="G90" s="1231"/>
      <c r="H90" s="1231"/>
      <c r="I90" s="1231"/>
      <c r="J90" s="1231"/>
      <c r="K90" s="1231"/>
      <c r="L90" s="1232"/>
      <c r="N90" s="136"/>
      <c r="O90" s="136"/>
      <c r="P90" s="136"/>
      <c r="Q90" s="136"/>
      <c r="R90" s="136"/>
      <c r="S90" s="136"/>
    </row>
    <row r="91" spans="1:22">
      <c r="A91" s="476" t="s">
        <v>37</v>
      </c>
      <c r="B91" s="476" t="s">
        <v>38</v>
      </c>
      <c r="C91" s="1185" t="s">
        <v>39</v>
      </c>
      <c r="D91" s="1185"/>
      <c r="E91" s="476" t="s">
        <v>40</v>
      </c>
      <c r="F91" s="476" t="s">
        <v>41</v>
      </c>
      <c r="G91" s="1185" t="s">
        <v>46</v>
      </c>
      <c r="H91" s="1185"/>
      <c r="I91" s="1185" t="s">
        <v>47</v>
      </c>
      <c r="J91" s="1185"/>
      <c r="K91" s="1185" t="s">
        <v>48</v>
      </c>
      <c r="L91" s="1185"/>
      <c r="N91" s="136"/>
      <c r="O91" s="136"/>
      <c r="P91" s="136"/>
      <c r="Q91" s="136"/>
      <c r="R91" s="136"/>
      <c r="S91" s="136"/>
    </row>
    <row r="92" spans="1:22">
      <c r="A92" s="477" t="s">
        <v>78</v>
      </c>
      <c r="B92" s="507" t="s">
        <v>97</v>
      </c>
      <c r="C92" s="1183" t="s">
        <v>115</v>
      </c>
      <c r="D92" s="1183"/>
      <c r="E92" s="555" t="s">
        <v>864</v>
      </c>
      <c r="F92" s="555" t="s">
        <v>865</v>
      </c>
      <c r="G92" s="1180" t="s">
        <v>867</v>
      </c>
      <c r="H92" s="1180"/>
      <c r="I92" s="1208" t="s">
        <v>869</v>
      </c>
      <c r="J92" s="1208"/>
      <c r="K92" s="1208" t="s">
        <v>871</v>
      </c>
      <c r="L92" s="1208"/>
      <c r="M92" s="219"/>
      <c r="N92" s="478"/>
      <c r="P92" s="136"/>
      <c r="Q92" s="136"/>
      <c r="R92" s="136"/>
      <c r="S92" s="136"/>
      <c r="T92" s="136"/>
      <c r="U92" s="136"/>
    </row>
    <row r="93" spans="1:22" ht="17.100000000000001" customHeight="1">
      <c r="A93" s="1359"/>
      <c r="B93" s="1361"/>
      <c r="C93" s="1159" t="s">
        <v>95</v>
      </c>
      <c r="D93" s="1159"/>
      <c r="E93" s="506" t="s">
        <v>104</v>
      </c>
      <c r="F93" s="528" t="s">
        <v>113</v>
      </c>
      <c r="G93" s="506" t="s">
        <v>866</v>
      </c>
      <c r="H93" s="585"/>
      <c r="I93" s="1360" t="s">
        <v>870</v>
      </c>
      <c r="J93" s="1360"/>
      <c r="K93" s="1341"/>
      <c r="L93" s="1341"/>
      <c r="N93" s="136"/>
      <c r="O93" s="136"/>
      <c r="P93" s="136"/>
      <c r="Q93" s="136"/>
      <c r="R93" s="136"/>
      <c r="S93" s="136"/>
    </row>
    <row r="94" spans="1:22" ht="18.600000000000001" customHeight="1">
      <c r="A94" s="1359"/>
      <c r="B94" s="1361"/>
      <c r="C94" s="1159"/>
      <c r="D94" s="1159"/>
      <c r="E94" s="506" t="s">
        <v>106</v>
      </c>
      <c r="F94" s="528" t="s">
        <v>113</v>
      </c>
      <c r="G94" s="506" t="s">
        <v>866</v>
      </c>
      <c r="H94" s="585"/>
      <c r="I94" s="1360"/>
      <c r="J94" s="1360"/>
      <c r="K94" s="1341"/>
      <c r="L94" s="1341"/>
      <c r="N94" s="136"/>
      <c r="O94" s="136"/>
      <c r="P94" s="136"/>
      <c r="Q94" s="136"/>
      <c r="R94" s="136"/>
      <c r="S94" s="136"/>
    </row>
    <row r="95" spans="1:22" ht="30.75" customHeight="1">
      <c r="A95" s="1140"/>
      <c r="B95" s="1195"/>
      <c r="C95" s="1195"/>
      <c r="D95" s="1195"/>
      <c r="E95" s="1195"/>
      <c r="F95" s="1195"/>
      <c r="G95" s="1195"/>
      <c r="H95" s="1195"/>
      <c r="I95" s="1196"/>
      <c r="J95" s="185" t="s">
        <v>81</v>
      </c>
      <c r="K95" s="87" t="s">
        <v>79</v>
      </c>
      <c r="L95" s="86" t="s">
        <v>80</v>
      </c>
      <c r="N95" s="136"/>
      <c r="O95" s="136"/>
      <c r="P95" s="136"/>
      <c r="Q95" s="136"/>
      <c r="R95" s="136"/>
      <c r="S95" s="136"/>
      <c r="T95" s="136"/>
      <c r="U95" s="136"/>
    </row>
    <row r="97" spans="1:21">
      <c r="B97" s="129"/>
      <c r="C97" s="1337" t="s">
        <v>115</v>
      </c>
      <c r="D97" s="1337"/>
      <c r="E97" s="218"/>
      <c r="F97" s="218"/>
      <c r="G97" s="91"/>
      <c r="H97" s="479"/>
    </row>
    <row r="98" spans="1:21">
      <c r="B98" s="422"/>
      <c r="C98" s="1336" t="s">
        <v>863</v>
      </c>
      <c r="D98" s="1336"/>
      <c r="E98" s="91"/>
      <c r="F98" s="101"/>
      <c r="G98" s="91"/>
      <c r="H98" s="91"/>
    </row>
    <row r="99" spans="1:21">
      <c r="B99" s="422"/>
      <c r="C99" s="1176" t="s">
        <v>868</v>
      </c>
      <c r="D99" s="1176"/>
      <c r="E99" s="91"/>
      <c r="F99" s="101"/>
      <c r="G99" s="91"/>
      <c r="H99" s="479"/>
    </row>
    <row r="100" spans="1:21">
      <c r="B100" s="422"/>
      <c r="C100" s="150"/>
      <c r="E100" s="101"/>
      <c r="F100" s="101"/>
      <c r="G100" s="91"/>
      <c r="H100" s="91"/>
    </row>
    <row r="101" spans="1:21">
      <c r="A101" s="1329" t="s">
        <v>1233</v>
      </c>
      <c r="B101" s="1329"/>
      <c r="C101" s="150"/>
      <c r="F101" s="45"/>
      <c r="G101" s="45"/>
      <c r="H101" s="91"/>
    </row>
    <row r="102" spans="1:21">
      <c r="A102" s="1338" t="s">
        <v>1250</v>
      </c>
      <c r="B102" s="1339"/>
      <c r="C102" s="1339"/>
      <c r="D102" s="1339"/>
      <c r="E102" s="1339"/>
      <c r="F102" s="1339"/>
      <c r="G102" s="1339"/>
      <c r="H102" s="1339"/>
      <c r="I102" s="1339"/>
      <c r="J102" s="1339"/>
      <c r="K102" s="1339"/>
      <c r="L102" s="1340"/>
      <c r="N102" s="136"/>
      <c r="O102" s="136"/>
      <c r="P102" s="136"/>
      <c r="Q102" s="136"/>
      <c r="R102" s="136"/>
      <c r="S102" s="136"/>
    </row>
    <row r="103" spans="1:21">
      <c r="A103" s="808" t="s">
        <v>37</v>
      </c>
      <c r="B103" s="808" t="s">
        <v>38</v>
      </c>
      <c r="C103" s="1185" t="s">
        <v>39</v>
      </c>
      <c r="D103" s="1185"/>
      <c r="E103" s="808" t="s">
        <v>40</v>
      </c>
      <c r="F103" s="808" t="s">
        <v>41</v>
      </c>
      <c r="G103" s="808" t="s">
        <v>46</v>
      </c>
      <c r="H103" s="1274" t="s">
        <v>47</v>
      </c>
      <c r="I103" s="1302"/>
      <c r="J103" s="1275"/>
      <c r="K103" s="1185" t="s">
        <v>48</v>
      </c>
      <c r="L103" s="1185"/>
      <c r="N103" s="136"/>
      <c r="O103" s="136"/>
      <c r="P103" s="136"/>
      <c r="Q103" s="136"/>
      <c r="R103" s="136"/>
      <c r="S103" s="136"/>
    </row>
    <row r="104" spans="1:21" ht="27.6" customHeight="1">
      <c r="A104" s="809" t="s">
        <v>78</v>
      </c>
      <c r="B104" s="807" t="s">
        <v>97</v>
      </c>
      <c r="C104" s="1183" t="s">
        <v>115</v>
      </c>
      <c r="D104" s="1183"/>
      <c r="E104" s="806" t="s">
        <v>305</v>
      </c>
      <c r="F104" s="806" t="s">
        <v>481</v>
      </c>
      <c r="G104" s="806" t="s">
        <v>1249</v>
      </c>
      <c r="H104" s="1330" t="s">
        <v>1248</v>
      </c>
      <c r="I104" s="1331"/>
      <c r="J104" s="1332"/>
      <c r="K104" s="1208" t="s">
        <v>871</v>
      </c>
      <c r="L104" s="1208"/>
      <c r="M104" s="219"/>
      <c r="N104" s="812"/>
      <c r="P104" s="136"/>
      <c r="Q104" s="136"/>
      <c r="R104" s="136"/>
      <c r="S104" s="136"/>
      <c r="T104" s="136"/>
      <c r="U104" s="136"/>
    </row>
    <row r="105" spans="1:21" ht="41.55" customHeight="1">
      <c r="A105" s="810"/>
      <c r="B105" s="811"/>
      <c r="C105" s="1335" t="s">
        <v>1245</v>
      </c>
      <c r="D105" s="1335"/>
      <c r="E105" s="804" t="s">
        <v>445</v>
      </c>
      <c r="F105" s="804" t="s">
        <v>113</v>
      </c>
      <c r="G105" s="811"/>
      <c r="H105" s="1255" t="s">
        <v>1246</v>
      </c>
      <c r="I105" s="1333"/>
      <c r="J105" s="1334"/>
      <c r="K105" s="1341"/>
      <c r="L105" s="1341"/>
      <c r="N105" s="136"/>
      <c r="O105" s="136"/>
      <c r="P105" s="136"/>
      <c r="Q105" s="136"/>
      <c r="R105" s="136"/>
      <c r="S105" s="136"/>
    </row>
    <row r="107" spans="1:21">
      <c r="E107" s="804" t="s">
        <v>1247</v>
      </c>
    </row>
    <row r="108" spans="1:21">
      <c r="E108" s="805" t="s">
        <v>268</v>
      </c>
    </row>
    <row r="109" spans="1:21">
      <c r="E109" s="805" t="s">
        <v>306</v>
      </c>
    </row>
    <row r="110" spans="1:21">
      <c r="C110" s="150"/>
      <c r="F110" s="45"/>
      <c r="G110" s="45"/>
      <c r="H110" s="91"/>
    </row>
    <row r="111" spans="1:21">
      <c r="A111" s="584" t="s">
        <v>784</v>
      </c>
      <c r="C111" s="150"/>
      <c r="F111" s="45"/>
      <c r="G111" s="45"/>
      <c r="H111" s="91"/>
    </row>
    <row r="112" spans="1:21">
      <c r="C112" s="150"/>
      <c r="H112" s="91"/>
    </row>
    <row r="113" spans="1:19">
      <c r="B113" s="150"/>
      <c r="G113" s="91"/>
    </row>
    <row r="114" spans="1:19">
      <c r="A114" s="1213" t="s">
        <v>545</v>
      </c>
      <c r="B114" s="1214"/>
      <c r="C114" s="1214"/>
      <c r="D114" s="1214"/>
      <c r="E114" s="1215"/>
      <c r="F114" s="191"/>
      <c r="G114" s="191"/>
      <c r="H114" s="191"/>
      <c r="I114" s="191"/>
      <c r="J114" s="191"/>
      <c r="K114" s="191"/>
      <c r="L114" s="191"/>
      <c r="N114" s="268"/>
      <c r="O114" s="268"/>
      <c r="P114" s="268"/>
      <c r="Q114" s="268"/>
      <c r="R114" s="268"/>
      <c r="S114" s="268"/>
    </row>
    <row r="115" spans="1:19">
      <c r="A115" s="278" t="s">
        <v>37</v>
      </c>
      <c r="B115" s="278" t="s">
        <v>38</v>
      </c>
      <c r="C115" s="278" t="s">
        <v>39</v>
      </c>
      <c r="D115" s="278" t="s">
        <v>40</v>
      </c>
      <c r="E115" s="279" t="s">
        <v>41</v>
      </c>
      <c r="F115" s="274"/>
      <c r="G115" s="274"/>
      <c r="H115" s="274"/>
      <c r="I115" s="1314"/>
      <c r="J115" s="1314"/>
      <c r="K115" s="93"/>
      <c r="L115" s="274"/>
      <c r="N115" s="268"/>
      <c r="O115" s="268"/>
      <c r="P115" s="268"/>
      <c r="Q115" s="268"/>
      <c r="R115" s="268"/>
      <c r="S115" s="268"/>
    </row>
    <row r="116" spans="1:19" ht="15" customHeight="1">
      <c r="A116" s="1207" t="s">
        <v>546</v>
      </c>
      <c r="B116" s="1208" t="s">
        <v>548</v>
      </c>
      <c r="C116" s="1208" t="s">
        <v>549</v>
      </c>
      <c r="D116" s="1208"/>
      <c r="E116" s="1210" t="s">
        <v>353</v>
      </c>
      <c r="F116" s="277"/>
      <c r="G116" s="277"/>
      <c r="H116" s="277"/>
      <c r="I116" s="1209"/>
      <c r="J116" s="1209"/>
      <c r="K116" s="277"/>
      <c r="N116" s="268"/>
      <c r="O116" s="268"/>
      <c r="P116" s="268"/>
      <c r="Q116" s="268"/>
      <c r="R116" s="268"/>
      <c r="S116" s="268"/>
    </row>
    <row r="117" spans="1:19" ht="27.75" customHeight="1">
      <c r="A117" s="1207"/>
      <c r="B117" s="1208"/>
      <c r="C117" s="276" t="s">
        <v>295</v>
      </c>
      <c r="D117" s="276" t="s">
        <v>346</v>
      </c>
      <c r="E117" s="1211"/>
      <c r="F117" s="277"/>
      <c r="G117" s="277"/>
      <c r="H117" s="277"/>
      <c r="I117" s="277"/>
      <c r="J117" s="277"/>
      <c r="K117" s="277"/>
      <c r="N117" s="268"/>
      <c r="O117" s="268"/>
      <c r="P117" s="268"/>
      <c r="Q117" s="268"/>
      <c r="R117" s="268"/>
      <c r="S117" s="268"/>
    </row>
    <row r="118" spans="1:19" ht="68.25" customHeight="1">
      <c r="A118" s="211" t="s">
        <v>547</v>
      </c>
      <c r="B118" s="586" t="s">
        <v>976</v>
      </c>
      <c r="C118" s="587" t="s">
        <v>550</v>
      </c>
      <c r="D118" s="587" t="s">
        <v>551</v>
      </c>
      <c r="E118" s="588" t="s">
        <v>352</v>
      </c>
      <c r="F118" s="589"/>
      <c r="G118" s="45"/>
      <c r="H118" s="45"/>
      <c r="I118" s="199"/>
      <c r="J118" s="281"/>
      <c r="N118" s="268"/>
      <c r="O118" s="268"/>
      <c r="P118" s="268"/>
      <c r="Q118" s="268"/>
      <c r="R118" s="268"/>
      <c r="S118" s="268"/>
    </row>
    <row r="119" spans="1:19">
      <c r="B119" s="150"/>
      <c r="G119" s="91"/>
    </row>
    <row r="120" spans="1:19">
      <c r="B120" s="150"/>
      <c r="G120" s="91"/>
    </row>
    <row r="121" spans="1:19">
      <c r="A121" s="1324" t="s">
        <v>1223</v>
      </c>
      <c r="B121" s="1325"/>
      <c r="C121" s="1325"/>
      <c r="D121" s="1325"/>
      <c r="E121" s="1326"/>
      <c r="F121" s="191"/>
      <c r="G121" s="191"/>
      <c r="H121" s="191"/>
      <c r="I121" s="191"/>
      <c r="J121" s="191"/>
      <c r="K121" s="191"/>
      <c r="L121" s="191"/>
    </row>
    <row r="122" spans="1:19">
      <c r="A122" s="278" t="s">
        <v>37</v>
      </c>
      <c r="B122" s="278" t="s">
        <v>38</v>
      </c>
      <c r="C122" s="278" t="s">
        <v>39</v>
      </c>
      <c r="D122" s="278" t="s">
        <v>40</v>
      </c>
      <c r="E122" s="279" t="s">
        <v>41</v>
      </c>
      <c r="F122" s="274"/>
      <c r="G122" s="274"/>
      <c r="H122" s="274"/>
      <c r="I122" s="1314"/>
      <c r="J122" s="1314"/>
      <c r="K122" s="93"/>
      <c r="L122" s="274"/>
    </row>
    <row r="123" spans="1:19">
      <c r="A123" s="1207" t="s">
        <v>546</v>
      </c>
      <c r="B123" s="1180" t="s">
        <v>977</v>
      </c>
      <c r="C123" s="1180" t="s">
        <v>549</v>
      </c>
      <c r="D123" s="1180"/>
      <c r="E123" s="1180" t="s">
        <v>353</v>
      </c>
      <c r="F123" s="277"/>
      <c r="G123" s="277"/>
      <c r="H123" s="277"/>
      <c r="I123" s="1209"/>
      <c r="J123" s="1209"/>
      <c r="K123" s="277"/>
    </row>
    <row r="124" spans="1:19">
      <c r="A124" s="1207"/>
      <c r="B124" s="1180"/>
      <c r="C124" s="555" t="s">
        <v>295</v>
      </c>
      <c r="D124" s="555" t="s">
        <v>346</v>
      </c>
      <c r="E124" s="1180"/>
      <c r="F124" s="277"/>
      <c r="G124" s="277"/>
      <c r="H124" s="277"/>
      <c r="I124" s="277"/>
      <c r="J124" s="277"/>
      <c r="K124" s="277"/>
    </row>
    <row r="125" spans="1:19" ht="48.75" customHeight="1">
      <c r="A125" s="590" t="s">
        <v>745</v>
      </c>
      <c r="B125" s="586" t="s">
        <v>976</v>
      </c>
      <c r="C125" s="587" t="s">
        <v>550</v>
      </c>
      <c r="D125" s="587" t="s">
        <v>553</v>
      </c>
      <c r="E125" s="1180"/>
      <c r="F125" s="281"/>
      <c r="G125" s="45"/>
      <c r="H125" s="45"/>
      <c r="I125" s="199"/>
      <c r="J125" s="281"/>
    </row>
    <row r="126" spans="1:19" ht="60.6">
      <c r="A126" s="591" t="s">
        <v>552</v>
      </c>
      <c r="B126" s="592" t="s">
        <v>432</v>
      </c>
      <c r="C126" s="587" t="s">
        <v>554</v>
      </c>
      <c r="D126" s="587" t="s">
        <v>555</v>
      </c>
      <c r="E126" s="588" t="s">
        <v>352</v>
      </c>
      <c r="F126" s="92"/>
      <c r="G126" s="45"/>
      <c r="H126" s="45"/>
      <c r="I126" s="280"/>
      <c r="J126" s="280"/>
    </row>
    <row r="127" spans="1:19">
      <c r="B127" s="150"/>
    </row>
    <row r="128" spans="1:19">
      <c r="B128" s="150"/>
    </row>
    <row r="136" spans="9:9">
      <c r="I136" s="88"/>
    </row>
  </sheetData>
  <mergeCells count="95">
    <mergeCell ref="A90:L90"/>
    <mergeCell ref="A93:A94"/>
    <mergeCell ref="I91:J91"/>
    <mergeCell ref="K91:L91"/>
    <mergeCell ref="I92:J92"/>
    <mergeCell ref="I93:J94"/>
    <mergeCell ref="K92:L92"/>
    <mergeCell ref="K93:L94"/>
    <mergeCell ref="G91:H91"/>
    <mergeCell ref="G92:H92"/>
    <mergeCell ref="C93:D94"/>
    <mergeCell ref="B93:B94"/>
    <mergeCell ref="C91:D91"/>
    <mergeCell ref="C92:D92"/>
    <mergeCell ref="E40:L40"/>
    <mergeCell ref="A12:A13"/>
    <mergeCell ref="B12:B13"/>
    <mergeCell ref="C12:C13"/>
    <mergeCell ref="A66:L66"/>
    <mergeCell ref="H12:H13"/>
    <mergeCell ref="I12:I13"/>
    <mergeCell ref="L12:L13"/>
    <mergeCell ref="A14:I14"/>
    <mergeCell ref="E16:L16"/>
    <mergeCell ref="D12:D13"/>
    <mergeCell ref="A15:F15"/>
    <mergeCell ref="J11:K11"/>
    <mergeCell ref="A3:L3"/>
    <mergeCell ref="A4:L4"/>
    <mergeCell ref="K5:L5"/>
    <mergeCell ref="I5:J5"/>
    <mergeCell ref="A8:L8"/>
    <mergeCell ref="C9:L9"/>
    <mergeCell ref="J10:K10"/>
    <mergeCell ref="B5:E5"/>
    <mergeCell ref="A6:L6"/>
    <mergeCell ref="L70:L71"/>
    <mergeCell ref="C70:C71"/>
    <mergeCell ref="A72:I72"/>
    <mergeCell ref="A43:L43"/>
    <mergeCell ref="C44:L44"/>
    <mergeCell ref="J45:K45"/>
    <mergeCell ref="J46:K46"/>
    <mergeCell ref="A47:A48"/>
    <mergeCell ref="C47:C48"/>
    <mergeCell ref="I47:I48"/>
    <mergeCell ref="L47:L48"/>
    <mergeCell ref="B47:B48"/>
    <mergeCell ref="C67:L67"/>
    <mergeCell ref="A49:I49"/>
    <mergeCell ref="D47:D48"/>
    <mergeCell ref="H70:H71"/>
    <mergeCell ref="E75:F75"/>
    <mergeCell ref="E76:F76"/>
    <mergeCell ref="E77:F77"/>
    <mergeCell ref="A70:A71"/>
    <mergeCell ref="B70:B71"/>
    <mergeCell ref="D70:D71"/>
    <mergeCell ref="A73:F73"/>
    <mergeCell ref="I70:I71"/>
    <mergeCell ref="J68:K68"/>
    <mergeCell ref="E69:F69"/>
    <mergeCell ref="E68:F68"/>
    <mergeCell ref="E70:F70"/>
    <mergeCell ref="E71:F71"/>
    <mergeCell ref="J69:K69"/>
    <mergeCell ref="A95:I95"/>
    <mergeCell ref="I115:J115"/>
    <mergeCell ref="A116:A117"/>
    <mergeCell ref="B116:B117"/>
    <mergeCell ref="C116:D116"/>
    <mergeCell ref="E116:E117"/>
    <mergeCell ref="I116:J116"/>
    <mergeCell ref="C98:D98"/>
    <mergeCell ref="C99:D99"/>
    <mergeCell ref="C97:D97"/>
    <mergeCell ref="A102:L102"/>
    <mergeCell ref="C103:D103"/>
    <mergeCell ref="K105:L105"/>
    <mergeCell ref="K103:L103"/>
    <mergeCell ref="C104:D104"/>
    <mergeCell ref="K104:L104"/>
    <mergeCell ref="A123:A124"/>
    <mergeCell ref="B123:B124"/>
    <mergeCell ref="C123:D123"/>
    <mergeCell ref="E123:E125"/>
    <mergeCell ref="I123:J123"/>
    <mergeCell ref="I122:J122"/>
    <mergeCell ref="A121:E121"/>
    <mergeCell ref="A114:E114"/>
    <mergeCell ref="A101:B101"/>
    <mergeCell ref="H103:J103"/>
    <mergeCell ref="H104:J104"/>
    <mergeCell ref="H105:J105"/>
    <mergeCell ref="C105:D105"/>
  </mergeCells>
  <pageMargins left="0.7" right="0.7" top="0.75" bottom="0.75" header="0.3" footer="0.3"/>
  <pageSetup paperSize="3" scale="93" orientation="landscape" cellComments="asDisplayed" errors="blank"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20"/>
  <sheetViews>
    <sheetView topLeftCell="D1" zoomScale="76" zoomScaleNormal="76" workbookViewId="0">
      <selection activeCell="E17" sqref="E17:F17"/>
    </sheetView>
  </sheetViews>
  <sheetFormatPr defaultColWidth="9.44140625" defaultRowHeight="14.4"/>
  <cols>
    <col min="1" max="1" width="15.5546875" style="43" customWidth="1"/>
    <col min="2" max="2" width="20.5546875" style="43" customWidth="1"/>
    <col min="3" max="3" width="15.5546875" style="43" customWidth="1"/>
    <col min="4" max="4" width="24.44140625" style="43" customWidth="1"/>
    <col min="5" max="5" width="28.44140625" style="43" customWidth="1"/>
    <col min="6" max="6" width="14.5546875" style="43" customWidth="1"/>
    <col min="7" max="7" width="17.44140625" style="43" customWidth="1"/>
    <col min="8" max="8" width="12" style="43" customWidth="1"/>
    <col min="9" max="9" width="11.5546875" style="43" customWidth="1"/>
    <col min="10" max="12" width="10.5546875" style="43" customWidth="1"/>
    <col min="13" max="16384" width="9.44140625" style="43"/>
  </cols>
  <sheetData>
    <row r="1" spans="1:22">
      <c r="A1" s="47"/>
      <c r="B1" s="43" t="s">
        <v>50</v>
      </c>
      <c r="C1" s="48"/>
      <c r="D1" s="43" t="s">
        <v>51</v>
      </c>
      <c r="F1" s="74"/>
      <c r="G1" s="43" t="s">
        <v>52</v>
      </c>
      <c r="K1" s="49"/>
      <c r="L1" s="43" t="s">
        <v>53</v>
      </c>
    </row>
    <row r="2" spans="1:22" ht="18" customHeight="1">
      <c r="N2" s="136"/>
      <c r="O2" s="136"/>
      <c r="P2" s="136"/>
      <c r="Q2" s="136"/>
      <c r="R2" s="136"/>
      <c r="S2" s="136"/>
    </row>
    <row r="3" spans="1:22" ht="15" customHeight="1">
      <c r="A3" s="1365" t="s">
        <v>556</v>
      </c>
      <c r="B3" s="1365"/>
      <c r="C3" s="1365"/>
      <c r="D3" s="1365"/>
      <c r="E3" s="1365"/>
      <c r="F3" s="1365"/>
      <c r="G3" s="1365"/>
      <c r="H3" s="1365"/>
      <c r="I3" s="1365"/>
      <c r="J3" s="191"/>
      <c r="K3" s="191"/>
      <c r="L3" s="191"/>
      <c r="N3" s="136"/>
      <c r="O3" s="136"/>
      <c r="P3" s="136"/>
      <c r="Q3" s="136"/>
      <c r="R3" s="136"/>
      <c r="S3" s="136"/>
    </row>
    <row r="4" spans="1:22" s="106" customFormat="1" ht="60" customHeight="1">
      <c r="A4" s="1364" t="s">
        <v>1085</v>
      </c>
      <c r="B4" s="1364"/>
      <c r="C4" s="1364"/>
      <c r="D4" s="1364"/>
      <c r="E4" s="1364"/>
      <c r="F4" s="1364"/>
      <c r="G4" s="1364"/>
      <c r="H4" s="1364"/>
      <c r="I4" s="1364"/>
      <c r="J4" s="292"/>
      <c r="K4" s="292"/>
      <c r="L4" s="292"/>
      <c r="N4" s="136"/>
      <c r="O4" s="136"/>
      <c r="P4" s="136"/>
      <c r="Q4" s="136"/>
      <c r="R4" s="136"/>
      <c r="S4" s="136"/>
    </row>
    <row r="5" spans="1:22" ht="15" customHeight="1">
      <c r="A5" s="278" t="s">
        <v>37</v>
      </c>
      <c r="B5" s="278" t="s">
        <v>38</v>
      </c>
      <c r="C5" s="278" t="s">
        <v>39</v>
      </c>
      <c r="D5" s="407" t="s">
        <v>40</v>
      </c>
      <c r="E5" s="1185" t="s">
        <v>41</v>
      </c>
      <c r="F5" s="1185"/>
      <c r="G5" s="278" t="s">
        <v>46</v>
      </c>
      <c r="H5" s="1185" t="s">
        <v>47</v>
      </c>
      <c r="I5" s="1185"/>
      <c r="J5" s="45"/>
      <c r="K5" s="144"/>
      <c r="L5" s="144"/>
      <c r="M5" s="136"/>
      <c r="N5" s="136"/>
      <c r="O5" s="136"/>
      <c r="P5" s="136"/>
      <c r="Q5" s="136"/>
      <c r="R5" s="136"/>
    </row>
    <row r="6" spans="1:22" s="102" customFormat="1" ht="38.25" customHeight="1">
      <c r="A6" s="275" t="s">
        <v>78</v>
      </c>
      <c r="B6" s="181" t="s">
        <v>97</v>
      </c>
      <c r="C6" s="423" t="s">
        <v>444</v>
      </c>
      <c r="D6" s="415" t="s">
        <v>96</v>
      </c>
      <c r="E6" s="1330" t="s">
        <v>559</v>
      </c>
      <c r="F6" s="1332"/>
      <c r="G6" s="276" t="s">
        <v>744</v>
      </c>
      <c r="H6" s="1208" t="s">
        <v>323</v>
      </c>
      <c r="I6" s="1208"/>
      <c r="J6" s="218"/>
      <c r="K6" s="144"/>
      <c r="L6" s="144"/>
      <c r="M6" s="136"/>
      <c r="N6" s="136"/>
      <c r="O6" s="136"/>
      <c r="P6" s="136"/>
      <c r="Q6" s="136"/>
      <c r="R6" s="136"/>
    </row>
    <row r="7" spans="1:22">
      <c r="A7" s="1182"/>
      <c r="B7" s="1244"/>
      <c r="C7" s="1366" t="s">
        <v>95</v>
      </c>
      <c r="D7" s="1366" t="s">
        <v>95</v>
      </c>
      <c r="E7" s="1366" t="s">
        <v>95</v>
      </c>
      <c r="F7" s="1366"/>
      <c r="G7" s="1366" t="s">
        <v>113</v>
      </c>
      <c r="H7" s="1183" t="s">
        <v>321</v>
      </c>
      <c r="I7" s="1366" t="s">
        <v>113</v>
      </c>
      <c r="K7" s="136"/>
      <c r="L7" s="136"/>
      <c r="M7" s="136"/>
      <c r="N7" s="136"/>
      <c r="O7" s="136"/>
      <c r="P7" s="136"/>
      <c r="Q7" s="136"/>
      <c r="R7" s="136"/>
    </row>
    <row r="8" spans="1:22">
      <c r="A8" s="1182"/>
      <c r="B8" s="1244"/>
      <c r="C8" s="1366"/>
      <c r="D8" s="1366"/>
      <c r="E8" s="1366"/>
      <c r="F8" s="1366"/>
      <c r="G8" s="1366"/>
      <c r="H8" s="1183"/>
      <c r="I8" s="1366"/>
      <c r="K8" s="136"/>
      <c r="L8" s="136"/>
      <c r="M8" s="136"/>
      <c r="N8" s="136"/>
      <c r="O8" s="136"/>
      <c r="P8" s="136"/>
      <c r="Q8" s="136"/>
      <c r="R8" s="136"/>
    </row>
    <row r="9" spans="1:22">
      <c r="A9" s="224"/>
      <c r="B9" s="576"/>
      <c r="C9" s="576"/>
      <c r="D9" s="576"/>
      <c r="E9" s="576"/>
      <c r="F9" s="576"/>
      <c r="G9" s="530" t="s">
        <v>81</v>
      </c>
      <c r="H9" s="577" t="s">
        <v>79</v>
      </c>
      <c r="I9" s="578" t="s">
        <v>80</v>
      </c>
      <c r="N9" s="136"/>
      <c r="O9" s="136"/>
      <c r="P9" s="136"/>
      <c r="Q9" s="136"/>
      <c r="R9" s="136"/>
      <c r="S9" s="136"/>
      <c r="T9" s="136"/>
      <c r="U9" s="136"/>
    </row>
    <row r="10" spans="1:22" ht="16.5" customHeight="1">
      <c r="A10" s="175"/>
      <c r="B10" s="547"/>
      <c r="C10" s="233" t="s">
        <v>446</v>
      </c>
      <c r="D10" s="579" t="s">
        <v>560</v>
      </c>
      <c r="E10" s="1369" t="s">
        <v>557</v>
      </c>
      <c r="F10" s="1370"/>
      <c r="G10" s="532"/>
      <c r="H10" s="532"/>
      <c r="I10" s="532"/>
      <c r="L10" s="90"/>
      <c r="O10" s="136"/>
      <c r="P10" s="136"/>
      <c r="Q10" s="136"/>
      <c r="R10" s="136"/>
      <c r="S10" s="136"/>
      <c r="T10" s="136"/>
      <c r="U10" s="136"/>
      <c r="V10" s="136"/>
    </row>
    <row r="11" spans="1:22" ht="16.5" customHeight="1">
      <c r="A11" s="175"/>
      <c r="B11" s="547"/>
      <c r="C11" s="232" t="s">
        <v>667</v>
      </c>
      <c r="D11" s="579" t="s">
        <v>561</v>
      </c>
      <c r="E11" s="1369" t="s">
        <v>558</v>
      </c>
      <c r="F11" s="1370"/>
      <c r="G11" s="580"/>
      <c r="H11" s="580"/>
      <c r="I11" s="580"/>
      <c r="J11" s="194"/>
      <c r="K11" s="194"/>
      <c r="L11" s="194"/>
      <c r="M11" s="194"/>
      <c r="O11" s="136"/>
      <c r="P11" s="136"/>
      <c r="Q11" s="136"/>
      <c r="R11" s="136"/>
      <c r="S11" s="136"/>
      <c r="T11" s="136"/>
      <c r="U11" s="136"/>
      <c r="V11" s="136"/>
    </row>
    <row r="12" spans="1:22" ht="28.05" customHeight="1">
      <c r="A12" s="175"/>
      <c r="B12" s="90"/>
      <c r="C12" s="686" t="s">
        <v>1043</v>
      </c>
      <c r="D12" s="718" t="s">
        <v>1080</v>
      </c>
      <c r="E12" s="1367" t="s">
        <v>94</v>
      </c>
      <c r="F12" s="1368"/>
      <c r="G12" s="194"/>
      <c r="H12" s="194"/>
      <c r="I12" s="194"/>
      <c r="J12" s="194"/>
      <c r="K12" s="194"/>
      <c r="L12" s="194"/>
      <c r="M12" s="194"/>
      <c r="O12" s="136"/>
      <c r="P12" s="136"/>
      <c r="Q12" s="136"/>
      <c r="R12" s="136"/>
      <c r="S12" s="136"/>
      <c r="T12" s="136"/>
      <c r="U12" s="136"/>
      <c r="V12" s="136"/>
    </row>
    <row r="13" spans="1:22">
      <c r="A13" s="175"/>
      <c r="B13" s="90"/>
      <c r="C13" s="232" t="s">
        <v>666</v>
      </c>
      <c r="D13" s="718" t="s">
        <v>1083</v>
      </c>
      <c r="E13" s="1367" t="s">
        <v>839</v>
      </c>
      <c r="F13" s="1368"/>
      <c r="G13" s="194"/>
      <c r="H13" s="194"/>
      <c r="I13" s="194"/>
      <c r="J13" s="194"/>
      <c r="K13" s="194"/>
      <c r="L13" s="194"/>
      <c r="M13" s="194"/>
      <c r="O13" s="136"/>
      <c r="P13" s="136"/>
      <c r="Q13" s="136"/>
      <c r="R13" s="136"/>
      <c r="S13" s="136"/>
      <c r="T13" s="136"/>
      <c r="U13" s="136"/>
      <c r="V13" s="136"/>
    </row>
    <row r="14" spans="1:22" ht="27.6">
      <c r="A14" s="175"/>
      <c r="B14" s="90"/>
      <c r="C14" s="719" t="s">
        <v>1084</v>
      </c>
      <c r="D14" s="718" t="s">
        <v>1081</v>
      </c>
      <c r="E14" s="1367" t="s">
        <v>93</v>
      </c>
      <c r="F14" s="1368"/>
      <c r="G14" s="194"/>
      <c r="H14" s="194"/>
      <c r="I14" s="194"/>
      <c r="J14" s="194"/>
      <c r="K14" s="194"/>
      <c r="L14" s="194"/>
      <c r="M14" s="194"/>
      <c r="O14" s="136"/>
      <c r="P14" s="136"/>
      <c r="Q14" s="136"/>
      <c r="R14" s="136"/>
      <c r="S14" s="136"/>
      <c r="T14" s="136"/>
      <c r="U14" s="136"/>
      <c r="V14" s="136"/>
    </row>
    <row r="15" spans="1:22" ht="27" customHeight="1">
      <c r="A15" s="175"/>
      <c r="B15" s="90"/>
      <c r="C15" s="90"/>
      <c r="D15" s="718" t="s">
        <v>1082</v>
      </c>
      <c r="E15" s="1367" t="s">
        <v>92</v>
      </c>
      <c r="F15" s="1368"/>
      <c r="G15" s="194"/>
      <c r="H15" s="194"/>
      <c r="I15" s="194"/>
      <c r="J15" s="194"/>
      <c r="K15" s="194"/>
      <c r="L15" s="194"/>
      <c r="M15" s="194"/>
      <c r="O15" s="136"/>
      <c r="P15" s="136"/>
      <c r="Q15" s="136"/>
      <c r="R15" s="136"/>
      <c r="S15" s="136"/>
      <c r="T15" s="136"/>
      <c r="U15" s="136"/>
      <c r="V15" s="136"/>
    </row>
    <row r="16" spans="1:22" ht="16.5" customHeight="1">
      <c r="A16" s="175"/>
      <c r="B16" s="90"/>
      <c r="C16" s="90"/>
      <c r="E16" s="1367" t="s">
        <v>91</v>
      </c>
      <c r="F16" s="1368"/>
      <c r="L16" s="90"/>
      <c r="O16" s="136"/>
      <c r="P16" s="136"/>
      <c r="Q16" s="136"/>
      <c r="R16" s="136"/>
      <c r="S16" s="136"/>
      <c r="T16" s="136"/>
      <c r="U16" s="136"/>
      <c r="V16" s="136"/>
    </row>
    <row r="17" spans="5:10">
      <c r="E17" s="1362" t="s">
        <v>1252</v>
      </c>
      <c r="F17" s="1363"/>
      <c r="J17" s="88"/>
    </row>
    <row r="18" spans="5:10">
      <c r="I18" s="88"/>
    </row>
    <row r="19" spans="5:10">
      <c r="I19" s="88"/>
    </row>
    <row r="20" spans="5:10">
      <c r="I20" s="88"/>
    </row>
  </sheetData>
  <mergeCells count="22">
    <mergeCell ref="E14:F14"/>
    <mergeCell ref="D7:D8"/>
    <mergeCell ref="E10:F10"/>
    <mergeCell ref="E11:F11"/>
    <mergeCell ref="E12:F12"/>
    <mergeCell ref="E13:F13"/>
    <mergeCell ref="E17:F17"/>
    <mergeCell ref="A4:I4"/>
    <mergeCell ref="A3:I3"/>
    <mergeCell ref="E6:F6"/>
    <mergeCell ref="E7:F8"/>
    <mergeCell ref="G7:G8"/>
    <mergeCell ref="H7:H8"/>
    <mergeCell ref="I7:I8"/>
    <mergeCell ref="H6:I6"/>
    <mergeCell ref="H5:I5"/>
    <mergeCell ref="C7:C8"/>
    <mergeCell ref="E5:F5"/>
    <mergeCell ref="E15:F15"/>
    <mergeCell ref="E16:F16"/>
    <mergeCell ref="A7:A8"/>
    <mergeCell ref="B7:B8"/>
  </mergeCells>
  <pageMargins left="0.7" right="0.7" top="0.75" bottom="0.75" header="0.3" footer="0.3"/>
  <pageSetup paperSize="3" scale="93" orientation="landscape" cellComments="asDisplayed" errors="blank"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203"/>
  <sheetViews>
    <sheetView topLeftCell="D115" zoomScale="70" zoomScaleNormal="70" workbookViewId="0">
      <selection activeCell="F158" sqref="F158"/>
    </sheetView>
  </sheetViews>
  <sheetFormatPr defaultColWidth="9.44140625" defaultRowHeight="14.4"/>
  <cols>
    <col min="1" max="1" width="21.44140625" style="43" customWidth="1"/>
    <col min="2" max="2" width="25.44140625" style="43" customWidth="1"/>
    <col min="3" max="3" width="47.77734375" style="43" customWidth="1"/>
    <col min="4" max="4" width="27" style="43" customWidth="1"/>
    <col min="5" max="6" width="21.5546875" style="43" customWidth="1"/>
    <col min="7" max="7" width="23.5546875" style="43" customWidth="1"/>
    <col min="8" max="8" width="15.5546875" style="43" customWidth="1"/>
    <col min="9" max="9" width="16.5546875" style="43" customWidth="1"/>
    <col min="10" max="10" width="29.21875" style="43" customWidth="1"/>
    <col min="11" max="11" width="14.5546875" style="43" customWidth="1"/>
    <col min="12" max="12" width="9.44140625" style="43"/>
    <col min="13" max="13" width="13" style="43" customWidth="1"/>
    <col min="14" max="14" width="11.5546875" style="43" customWidth="1"/>
    <col min="15" max="15" width="8.5546875" style="43" customWidth="1"/>
    <col min="16" max="16" width="26.44140625" style="43" customWidth="1"/>
    <col min="17" max="16384" width="9.44140625" style="43"/>
  </cols>
  <sheetData>
    <row r="1" spans="1:19">
      <c r="A1" s="47"/>
      <c r="B1" s="43" t="s">
        <v>50</v>
      </c>
      <c r="C1" s="48"/>
      <c r="D1" s="43" t="s">
        <v>51</v>
      </c>
      <c r="E1" s="74"/>
      <c r="F1" s="43" t="s">
        <v>52</v>
      </c>
      <c r="G1" s="49"/>
      <c r="H1" s="43" t="s">
        <v>53</v>
      </c>
    </row>
    <row r="3" spans="1:19">
      <c r="A3" s="1365" t="s">
        <v>669</v>
      </c>
      <c r="B3" s="1365"/>
      <c r="C3" s="1365"/>
      <c r="D3" s="1365"/>
      <c r="E3" s="1365"/>
      <c r="F3" s="1365"/>
      <c r="G3" s="1365"/>
      <c r="H3" s="1365"/>
      <c r="I3" s="1365"/>
      <c r="J3" s="1365"/>
    </row>
    <row r="4" spans="1:19" ht="27" customHeight="1">
      <c r="A4" s="1432" t="s">
        <v>1202</v>
      </c>
      <c r="B4" s="1432"/>
      <c r="C4" s="1432"/>
      <c r="D4" s="1432"/>
      <c r="E4" s="1432"/>
      <c r="F4" s="1432"/>
      <c r="G4" s="1432"/>
      <c r="H4" s="1432"/>
      <c r="I4" s="1432"/>
      <c r="J4" s="1432"/>
    </row>
    <row r="5" spans="1:19" ht="16.2">
      <c r="A5" s="289" t="s">
        <v>37</v>
      </c>
      <c r="B5" s="1234" t="s">
        <v>785</v>
      </c>
      <c r="C5" s="1235"/>
      <c r="D5" s="1236"/>
      <c r="E5" s="427" t="s">
        <v>749</v>
      </c>
      <c r="F5" s="291" t="s">
        <v>748</v>
      </c>
      <c r="G5" s="1433" t="s">
        <v>1103</v>
      </c>
      <c r="H5" s="1433"/>
      <c r="I5" s="285" t="s">
        <v>563</v>
      </c>
      <c r="J5" s="696" t="s">
        <v>746</v>
      </c>
      <c r="K5" s="1435"/>
      <c r="L5" s="1435"/>
      <c r="N5" s="136"/>
      <c r="O5" s="136"/>
      <c r="P5" s="136"/>
      <c r="Q5" s="136"/>
      <c r="R5" s="136"/>
      <c r="S5" s="136"/>
    </row>
    <row r="6" spans="1:19" s="45" customFormat="1" ht="15">
      <c r="A6" s="1353" t="s">
        <v>747</v>
      </c>
      <c r="B6" s="1353"/>
      <c r="C6" s="1353"/>
      <c r="D6" s="1353"/>
      <c r="E6" s="1353"/>
      <c r="F6" s="1353"/>
      <c r="G6" s="1353"/>
      <c r="H6" s="1353"/>
      <c r="I6" s="1353"/>
      <c r="J6" s="1353"/>
      <c r="K6" s="434"/>
      <c r="L6" s="434"/>
      <c r="N6" s="144"/>
      <c r="O6" s="144"/>
      <c r="P6" s="144"/>
      <c r="Q6" s="144"/>
      <c r="R6" s="144"/>
      <c r="S6" s="144"/>
    </row>
    <row r="7" spans="1:19" s="108" customFormat="1" ht="18" customHeight="1">
      <c r="A7" s="71"/>
      <c r="B7" s="296"/>
      <c r="C7" s="296"/>
      <c r="D7" s="296"/>
      <c r="E7" s="296"/>
      <c r="F7" s="297"/>
      <c r="G7" s="298"/>
      <c r="H7" s="298"/>
      <c r="I7" s="295"/>
      <c r="J7" s="295"/>
      <c r="K7" s="295"/>
      <c r="L7" s="295"/>
      <c r="M7" s="43"/>
    </row>
    <row r="8" spans="1:19" s="106" customFormat="1">
      <c r="A8" s="1437" t="s">
        <v>874</v>
      </c>
      <c r="B8" s="1437"/>
      <c r="C8" s="1437"/>
      <c r="D8" s="1437"/>
      <c r="E8" s="1437"/>
      <c r="F8" s="1437"/>
      <c r="G8" s="1437"/>
      <c r="H8" s="1437"/>
      <c r="I8" s="354"/>
      <c r="J8" s="354"/>
      <c r="K8" s="43"/>
      <c r="L8" s="43"/>
      <c r="M8" s="43"/>
    </row>
    <row r="9" spans="1:19" s="106" customFormat="1">
      <c r="A9" s="1177" t="s">
        <v>37</v>
      </c>
      <c r="B9" s="1177"/>
      <c r="C9" s="425" t="s">
        <v>38</v>
      </c>
      <c r="D9" s="425" t="s">
        <v>39</v>
      </c>
      <c r="E9" s="1177" t="s">
        <v>40</v>
      </c>
      <c r="F9" s="1177"/>
      <c r="G9" s="1177" t="s">
        <v>41</v>
      </c>
      <c r="H9" s="1177"/>
      <c r="I9" s="128"/>
      <c r="J9" s="128"/>
      <c r="K9" s="43"/>
      <c r="L9" s="43"/>
      <c r="P9" s="527" t="s">
        <v>623</v>
      </c>
    </row>
    <row r="10" spans="1:19" s="106" customFormat="1" ht="30" customHeight="1">
      <c r="A10" s="1207" t="s">
        <v>771</v>
      </c>
      <c r="B10" s="1207"/>
      <c r="C10" s="424" t="s">
        <v>763</v>
      </c>
      <c r="D10" s="424" t="s">
        <v>764</v>
      </c>
      <c r="E10" s="1207" t="s">
        <v>765</v>
      </c>
      <c r="F10" s="1207"/>
      <c r="G10" s="1208" t="s">
        <v>873</v>
      </c>
      <c r="H10" s="1208"/>
      <c r="I10" s="128"/>
      <c r="J10" s="128"/>
      <c r="K10" s="43"/>
      <c r="L10" s="43"/>
      <c r="P10" s="439"/>
    </row>
    <row r="11" spans="1:19" s="106" customFormat="1">
      <c r="A11" s="1409"/>
      <c r="B11" s="1409"/>
      <c r="C11" s="528" t="s">
        <v>95</v>
      </c>
      <c r="D11" s="529">
        <v>550</v>
      </c>
      <c r="E11" s="1409">
        <v>0</v>
      </c>
      <c r="F11" s="1409"/>
      <c r="G11" s="1409">
        <v>250</v>
      </c>
      <c r="H11" s="1409"/>
      <c r="I11" s="128"/>
      <c r="J11" s="128"/>
      <c r="K11" s="43"/>
      <c r="L11" s="43"/>
      <c r="P11" s="439"/>
    </row>
    <row r="12" spans="1:19" s="106" customFormat="1">
      <c r="A12" s="1241"/>
      <c r="B12" s="1242"/>
      <c r="C12" s="1243"/>
      <c r="D12" s="530" t="s">
        <v>81</v>
      </c>
      <c r="E12" s="1411" t="s">
        <v>766</v>
      </c>
      <c r="F12" s="1411"/>
      <c r="G12" s="1410" t="s">
        <v>80</v>
      </c>
      <c r="H12" s="1410"/>
      <c r="I12" s="128"/>
      <c r="J12" s="128"/>
      <c r="K12" s="43"/>
      <c r="L12" s="43"/>
      <c r="P12" s="439"/>
    </row>
    <row r="13" spans="1:19" s="106" customFormat="1" ht="32.25" customHeight="1">
      <c r="A13" s="425" t="s">
        <v>46</v>
      </c>
      <c r="B13" s="1398" t="s">
        <v>768</v>
      </c>
      <c r="C13" s="1398"/>
      <c r="D13" s="498">
        <f>0.4*D11</f>
        <v>220</v>
      </c>
      <c r="E13" s="425" t="s">
        <v>47</v>
      </c>
      <c r="F13" s="1398" t="s">
        <v>767</v>
      </c>
      <c r="G13" s="1398"/>
      <c r="H13" s="435"/>
      <c r="I13" s="128"/>
      <c r="J13" s="128"/>
      <c r="K13" s="43"/>
      <c r="L13" s="43"/>
      <c r="P13" s="439"/>
    </row>
    <row r="14" spans="1:19" s="106" customFormat="1" ht="32.25" customHeight="1">
      <c r="A14" s="425" t="s">
        <v>48</v>
      </c>
      <c r="B14" s="1398" t="s">
        <v>769</v>
      </c>
      <c r="C14" s="1398"/>
      <c r="D14" s="435"/>
      <c r="E14" s="425" t="s">
        <v>49</v>
      </c>
      <c r="F14" s="1398" t="s">
        <v>770</v>
      </c>
      <c r="G14" s="1398"/>
      <c r="H14" s="435"/>
      <c r="I14" s="128"/>
      <c r="J14" s="128"/>
      <c r="K14" s="43"/>
      <c r="L14" s="43"/>
      <c r="P14" s="439"/>
    </row>
    <row r="15" spans="1:19" s="106" customFormat="1" ht="15" customHeight="1">
      <c r="A15" s="1382" t="s">
        <v>990</v>
      </c>
      <c r="B15" s="1382"/>
      <c r="C15" s="1382"/>
      <c r="D15" s="1382"/>
      <c r="E15" s="1382"/>
      <c r="F15" s="1382"/>
      <c r="G15" s="128"/>
      <c r="H15" s="128"/>
      <c r="I15" s="128"/>
      <c r="J15" s="128"/>
      <c r="K15" s="43"/>
      <c r="L15" s="43"/>
      <c r="P15" s="439"/>
    </row>
    <row r="16" spans="1:19" s="106" customFormat="1" ht="14.55" customHeight="1">
      <c r="A16" s="1381" t="s">
        <v>991</v>
      </c>
      <c r="B16" s="1382"/>
      <c r="C16" s="716" t="s">
        <v>1079</v>
      </c>
      <c r="D16" s="712"/>
      <c r="E16" s="712"/>
      <c r="F16" s="712"/>
      <c r="G16" s="128"/>
      <c r="H16" s="128"/>
      <c r="I16" s="128"/>
      <c r="J16" s="128"/>
      <c r="K16" s="43"/>
      <c r="L16" s="43"/>
      <c r="P16" s="439"/>
    </row>
    <row r="17" spans="1:16" s="106" customFormat="1" ht="14.55" customHeight="1">
      <c r="A17" s="1381" t="s">
        <v>875</v>
      </c>
      <c r="B17" s="1382"/>
      <c r="C17" s="713" t="s">
        <v>943</v>
      </c>
      <c r="D17" s="712"/>
      <c r="E17" s="712"/>
      <c r="F17" s="712"/>
      <c r="G17" s="128"/>
      <c r="H17" s="128"/>
      <c r="I17" s="128"/>
      <c r="J17" s="128"/>
      <c r="K17" s="43"/>
      <c r="L17" s="43"/>
      <c r="P17" s="439"/>
    </row>
    <row r="18" spans="1:16" s="106" customFormat="1">
      <c r="A18" s="688"/>
      <c r="B18" s="688"/>
      <c r="C18" s="713" t="s">
        <v>944</v>
      </c>
      <c r="D18" s="688"/>
      <c r="E18" s="688"/>
      <c r="F18" s="688"/>
      <c r="G18" s="128"/>
      <c r="H18" s="128"/>
      <c r="I18" s="128"/>
      <c r="J18" s="128"/>
      <c r="K18" s="43"/>
      <c r="L18" s="43"/>
      <c r="P18" s="439"/>
    </row>
    <row r="19" spans="1:16" s="106" customFormat="1">
      <c r="A19" s="688"/>
      <c r="B19" s="688"/>
      <c r="C19" s="713" t="s">
        <v>1077</v>
      </c>
      <c r="D19" s="688"/>
      <c r="E19" s="688"/>
      <c r="F19" s="688"/>
      <c r="G19" s="128"/>
      <c r="H19" s="128"/>
      <c r="I19" s="128"/>
      <c r="J19" s="128"/>
      <c r="K19" s="43"/>
      <c r="L19" s="43"/>
      <c r="P19" s="439"/>
    </row>
    <row r="20" spans="1:16" s="106" customFormat="1">
      <c r="A20" s="688"/>
      <c r="B20" s="688"/>
      <c r="C20" s="242" t="s">
        <v>1078</v>
      </c>
      <c r="D20" s="688"/>
      <c r="E20" s="688"/>
      <c r="F20" s="688"/>
      <c r="G20" s="128"/>
      <c r="H20" s="128"/>
      <c r="I20" s="128"/>
      <c r="J20" s="128"/>
      <c r="K20" s="43"/>
      <c r="L20" s="43"/>
      <c r="P20" s="439"/>
    </row>
    <row r="21" spans="1:16" s="106" customFormat="1">
      <c r="A21" s="1401" t="s">
        <v>1253</v>
      </c>
      <c r="B21" s="1402"/>
      <c r="C21" s="1402"/>
      <c r="D21" s="1402"/>
      <c r="E21" s="1402"/>
      <c r="F21" s="1402"/>
      <c r="G21" s="1402"/>
      <c r="H21" s="1402"/>
      <c r="I21" s="354"/>
      <c r="J21" s="354"/>
      <c r="K21" s="43"/>
      <c r="L21" s="43"/>
      <c r="M21" s="43"/>
    </row>
    <row r="22" spans="1:16" s="106" customFormat="1">
      <c r="A22" s="1403" t="s">
        <v>37</v>
      </c>
      <c r="B22" s="1403"/>
      <c r="C22" s="708" t="s">
        <v>38</v>
      </c>
      <c r="D22" s="708" t="s">
        <v>39</v>
      </c>
      <c r="E22" s="1403" t="s">
        <v>40</v>
      </c>
      <c r="F22" s="1403"/>
      <c r="G22" s="1403" t="s">
        <v>41</v>
      </c>
      <c r="H22" s="1403"/>
      <c r="I22" s="128"/>
      <c r="J22" s="128"/>
      <c r="K22" s="43"/>
      <c r="L22" s="43"/>
      <c r="P22" s="527"/>
    </row>
    <row r="23" spans="1:16" s="106" customFormat="1" ht="30" customHeight="1">
      <c r="A23" s="1393" t="s">
        <v>771</v>
      </c>
      <c r="B23" s="1393"/>
      <c r="C23" s="692" t="s">
        <v>763</v>
      </c>
      <c r="D23" s="692" t="s">
        <v>764</v>
      </c>
      <c r="E23" s="1259" t="s">
        <v>1073</v>
      </c>
      <c r="F23" s="1393"/>
      <c r="G23" s="1394" t="s">
        <v>873</v>
      </c>
      <c r="H23" s="1394"/>
      <c r="I23" s="128"/>
      <c r="J23" s="128"/>
      <c r="K23" s="43"/>
      <c r="L23" s="43"/>
      <c r="P23" s="439"/>
    </row>
    <row r="24" spans="1:16" s="106" customFormat="1">
      <c r="A24" s="1383"/>
      <c r="B24" s="1383"/>
      <c r="C24" s="656" t="s">
        <v>95</v>
      </c>
      <c r="D24" s="709"/>
      <c r="E24" s="1383">
        <v>0</v>
      </c>
      <c r="F24" s="1383"/>
      <c r="G24" s="1383"/>
      <c r="H24" s="1383"/>
      <c r="I24" s="128"/>
      <c r="J24" s="128"/>
      <c r="K24" s="43"/>
      <c r="L24" s="43"/>
      <c r="P24" s="439"/>
    </row>
    <row r="25" spans="1:16" s="106" customFormat="1">
      <c r="A25" s="1384"/>
      <c r="B25" s="1385"/>
      <c r="C25" s="1386"/>
      <c r="D25" s="710"/>
      <c r="E25" s="1387" t="s">
        <v>766</v>
      </c>
      <c r="F25" s="1387"/>
      <c r="G25" s="1387" t="s">
        <v>80</v>
      </c>
      <c r="H25" s="1387"/>
      <c r="I25" s="128"/>
      <c r="J25" s="128"/>
      <c r="K25" s="43"/>
      <c r="L25" s="43"/>
      <c r="P25" s="439"/>
    </row>
    <row r="26" spans="1:16" s="106" customFormat="1" ht="32.25" customHeight="1">
      <c r="A26" s="708" t="s">
        <v>46</v>
      </c>
      <c r="B26" s="1406" t="s">
        <v>768</v>
      </c>
      <c r="C26" s="1406"/>
      <c r="D26" s="711">
        <f>0.4*D24</f>
        <v>0</v>
      </c>
      <c r="E26" s="708" t="s">
        <v>47</v>
      </c>
      <c r="F26" s="1406" t="s">
        <v>767</v>
      </c>
      <c r="G26" s="1406"/>
      <c r="H26" s="708"/>
      <c r="I26" s="128"/>
      <c r="J26" s="128"/>
      <c r="K26" s="43"/>
      <c r="L26" s="43"/>
      <c r="P26" s="439"/>
    </row>
    <row r="27" spans="1:16" s="106" customFormat="1" ht="32.25" customHeight="1">
      <c r="A27" s="650" t="s">
        <v>48</v>
      </c>
      <c r="B27" s="1407" t="s">
        <v>1075</v>
      </c>
      <c r="C27" s="1408"/>
      <c r="D27" s="650"/>
      <c r="E27" s="650" t="s">
        <v>49</v>
      </c>
      <c r="F27" s="1407" t="s">
        <v>1076</v>
      </c>
      <c r="G27" s="1408"/>
      <c r="H27" s="650"/>
      <c r="I27" s="128"/>
      <c r="J27" s="128"/>
      <c r="K27" s="43"/>
      <c r="L27" s="43"/>
      <c r="P27" s="439"/>
    </row>
    <row r="28" spans="1:16" s="106" customFormat="1" ht="15" customHeight="1">
      <c r="A28" s="1392" t="s">
        <v>990</v>
      </c>
      <c r="B28" s="1392"/>
      <c r="C28" s="1392"/>
      <c r="D28" s="1392"/>
      <c r="E28" s="1392"/>
      <c r="F28" s="1392"/>
      <c r="G28" s="128"/>
      <c r="H28" s="128"/>
      <c r="I28" s="128"/>
      <c r="J28" s="128"/>
      <c r="K28" s="43"/>
      <c r="L28" s="43"/>
      <c r="P28" s="439"/>
    </row>
    <row r="29" spans="1:16" s="106" customFormat="1">
      <c r="A29" s="1391" t="s">
        <v>1074</v>
      </c>
      <c r="B29" s="1392"/>
      <c r="C29" s="1392"/>
      <c r="D29" s="1392"/>
      <c r="E29" s="1392"/>
      <c r="F29" s="1392"/>
      <c r="G29" s="128"/>
      <c r="H29" s="128"/>
      <c r="I29" s="128"/>
      <c r="J29" s="128"/>
      <c r="K29" s="43"/>
      <c r="L29" s="43"/>
      <c r="P29" s="439"/>
    </row>
    <row r="30" spans="1:16" s="106" customFormat="1">
      <c r="A30" s="1391" t="s">
        <v>1254</v>
      </c>
      <c r="B30" s="1392"/>
      <c r="C30" s="1392"/>
      <c r="D30" s="1392"/>
      <c r="E30" s="1392"/>
      <c r="F30" s="1392"/>
      <c r="G30" s="128"/>
      <c r="H30" s="128"/>
      <c r="I30" s="128"/>
      <c r="J30" s="128"/>
      <c r="K30" s="43"/>
      <c r="L30" s="43"/>
      <c r="P30" s="439"/>
    </row>
    <row r="31" spans="1:16" s="106" customFormat="1">
      <c r="A31" s="688"/>
      <c r="B31" s="688"/>
      <c r="C31" s="717" t="s">
        <v>1079</v>
      </c>
      <c r="D31" s="688"/>
      <c r="E31" s="688"/>
      <c r="F31" s="688"/>
      <c r="G31" s="128"/>
      <c r="H31" s="128"/>
      <c r="I31" s="128"/>
      <c r="J31" s="128"/>
      <c r="K31" s="43"/>
      <c r="L31" s="43"/>
      <c r="P31" s="439"/>
    </row>
    <row r="32" spans="1:16" s="106" customFormat="1">
      <c r="A32" s="688"/>
      <c r="B32" s="688"/>
      <c r="C32" s="714" t="s">
        <v>943</v>
      </c>
      <c r="D32" s="688"/>
      <c r="E32" s="688"/>
      <c r="F32" s="688"/>
      <c r="G32" s="128"/>
      <c r="H32" s="128"/>
      <c r="I32" s="128"/>
      <c r="J32" s="128"/>
      <c r="K32" s="43"/>
      <c r="L32" s="43"/>
      <c r="P32" s="439"/>
    </row>
    <row r="33" spans="1:34" s="106" customFormat="1">
      <c r="A33" s="688"/>
      <c r="B33" s="688"/>
      <c r="C33" s="714" t="s">
        <v>944</v>
      </c>
      <c r="D33" s="688"/>
      <c r="E33" s="688"/>
      <c r="F33" s="688"/>
      <c r="G33" s="128"/>
      <c r="H33" s="128"/>
      <c r="I33" s="128"/>
      <c r="J33" s="128"/>
      <c r="K33" s="43"/>
      <c r="L33" s="43"/>
      <c r="P33" s="747" t="s">
        <v>1139</v>
      </c>
      <c r="Q33" s="748"/>
      <c r="R33" s="748"/>
      <c r="S33" s="748"/>
      <c r="T33" s="748"/>
      <c r="U33" s="749"/>
      <c r="V33" s="749"/>
      <c r="W33" s="749"/>
      <c r="X33" s="749"/>
      <c r="Y33" s="749"/>
      <c r="Z33" s="749"/>
      <c r="AA33" s="749"/>
      <c r="AB33" s="749"/>
    </row>
    <row r="34" spans="1:34" s="106" customFormat="1">
      <c r="A34" s="128"/>
      <c r="B34" s="128"/>
      <c r="C34" s="714" t="s">
        <v>1077</v>
      </c>
      <c r="D34" s="128"/>
      <c r="E34" s="128"/>
      <c r="F34" s="128"/>
      <c r="G34" s="128"/>
      <c r="H34" s="128"/>
      <c r="I34" s="128"/>
      <c r="J34" s="128"/>
      <c r="K34" s="43"/>
      <c r="L34" s="43"/>
    </row>
    <row r="35" spans="1:34" ht="15.6">
      <c r="A35" s="314"/>
      <c r="B35" s="290"/>
      <c r="C35" s="715" t="s">
        <v>1078</v>
      </c>
      <c r="D35" s="290"/>
      <c r="E35" s="290"/>
      <c r="F35" s="116"/>
      <c r="G35" s="116"/>
      <c r="H35" s="116"/>
      <c r="I35" s="116"/>
      <c r="J35" s="315"/>
      <c r="K35" s="315"/>
      <c r="M35" s="69"/>
      <c r="N35" s="293"/>
      <c r="O35" s="293"/>
      <c r="P35" s="355" t="s">
        <v>597</v>
      </c>
      <c r="Q35" s="136"/>
      <c r="R35" s="136"/>
      <c r="S35" s="136"/>
    </row>
    <row r="36" spans="1:34">
      <c r="A36" s="1163" t="s">
        <v>930</v>
      </c>
      <c r="B36" s="1163"/>
      <c r="C36" s="1163"/>
      <c r="D36" s="1163"/>
      <c r="E36" s="1163"/>
      <c r="F36" s="1163"/>
      <c r="G36" s="1163"/>
      <c r="H36" s="1163"/>
      <c r="I36" s="1163"/>
      <c r="J36" s="1163"/>
      <c r="K36" s="1163"/>
      <c r="L36" s="191"/>
      <c r="M36" s="69"/>
      <c r="N36" s="293"/>
      <c r="O36" s="293"/>
      <c r="P36" s="293"/>
      <c r="Q36" s="136"/>
      <c r="R36" s="136"/>
      <c r="S36" s="136"/>
      <c r="AF36" s="1198" t="s">
        <v>1006</v>
      </c>
      <c r="AG36" s="1198"/>
      <c r="AH36" s="1198"/>
    </row>
    <row r="37" spans="1:34" ht="16.2">
      <c r="A37" s="307" t="s">
        <v>37</v>
      </c>
      <c r="B37" s="184" t="s">
        <v>7</v>
      </c>
      <c r="C37" s="1434" t="s">
        <v>931</v>
      </c>
      <c r="D37" s="1434"/>
      <c r="E37" s="1434"/>
      <c r="F37" s="1434"/>
      <c r="G37" s="1434"/>
      <c r="H37" s="1434"/>
      <c r="I37" s="1434"/>
      <c r="J37" s="1434"/>
      <c r="K37" s="1434"/>
      <c r="L37" s="193"/>
      <c r="M37" s="69"/>
      <c r="N37" s="293"/>
      <c r="O37" s="293"/>
      <c r="P37" s="293"/>
      <c r="Q37" s="136"/>
      <c r="R37" s="136"/>
      <c r="S37" s="136"/>
    </row>
    <row r="38" spans="1:34" ht="16.2">
      <c r="A38" s="307" t="s">
        <v>38</v>
      </c>
      <c r="B38" s="184" t="s">
        <v>7</v>
      </c>
      <c r="C38" s="1434" t="s">
        <v>932</v>
      </c>
      <c r="D38" s="1434"/>
      <c r="E38" s="1434"/>
      <c r="F38" s="1434"/>
      <c r="G38" s="1434"/>
      <c r="H38" s="1434"/>
      <c r="I38" s="1434"/>
      <c r="J38" s="1434"/>
      <c r="K38" s="1434"/>
      <c r="L38" s="193"/>
      <c r="M38" s="69"/>
      <c r="N38" s="293"/>
      <c r="O38" s="293"/>
      <c r="P38" s="293"/>
      <c r="Q38" s="136"/>
      <c r="R38" s="136"/>
      <c r="S38" s="136"/>
    </row>
    <row r="39" spans="1:34" ht="16.2">
      <c r="A39" s="307" t="s">
        <v>39</v>
      </c>
      <c r="B39" s="184" t="s">
        <v>7</v>
      </c>
      <c r="C39" s="1434" t="s">
        <v>933</v>
      </c>
      <c r="D39" s="1434"/>
      <c r="E39" s="1434"/>
      <c r="F39" s="1434"/>
      <c r="G39" s="1434"/>
      <c r="H39" s="1434"/>
      <c r="I39" s="1434"/>
      <c r="J39" s="1434"/>
      <c r="K39" s="1434"/>
      <c r="L39" s="193"/>
      <c r="M39" s="1412"/>
      <c r="N39" s="1412"/>
      <c r="O39" s="1412"/>
      <c r="P39" s="1412"/>
      <c r="Q39" s="320"/>
      <c r="R39" s="320"/>
      <c r="S39" s="69"/>
    </row>
    <row r="40" spans="1:34" ht="15" customHeight="1">
      <c r="A40" s="307" t="s">
        <v>40</v>
      </c>
      <c r="B40" s="307" t="s">
        <v>41</v>
      </c>
      <c r="C40" s="307" t="s">
        <v>46</v>
      </c>
      <c r="D40" s="308" t="s">
        <v>47</v>
      </c>
      <c r="E40" s="308" t="s">
        <v>48</v>
      </c>
      <c r="F40" s="1177" t="s">
        <v>49</v>
      </c>
      <c r="G40" s="1177"/>
      <c r="H40" s="308" t="s">
        <v>137</v>
      </c>
      <c r="I40" s="308" t="s">
        <v>176</v>
      </c>
      <c r="J40" s="308" t="s">
        <v>209</v>
      </c>
      <c r="K40" s="180">
        <v>13</v>
      </c>
      <c r="L40" s="45"/>
      <c r="M40" s="69"/>
      <c r="N40" s="69"/>
      <c r="O40" s="69"/>
      <c r="P40" s="69"/>
    </row>
    <row r="41" spans="1:34" ht="21" customHeight="1">
      <c r="A41" s="1207" t="s">
        <v>281</v>
      </c>
      <c r="B41" s="1208" t="s">
        <v>282</v>
      </c>
      <c r="C41" s="1208" t="s">
        <v>737</v>
      </c>
      <c r="D41" s="1436" t="s">
        <v>1120</v>
      </c>
      <c r="E41" s="1413" t="s">
        <v>572</v>
      </c>
      <c r="F41" s="1413" t="s">
        <v>584</v>
      </c>
      <c r="G41" s="1413"/>
      <c r="H41" s="1413" t="s">
        <v>581</v>
      </c>
      <c r="I41" s="1413" t="s">
        <v>582</v>
      </c>
      <c r="J41" s="1208" t="s">
        <v>583</v>
      </c>
      <c r="K41" s="1413" t="s">
        <v>578</v>
      </c>
      <c r="L41" s="45"/>
      <c r="M41" s="45"/>
      <c r="N41" s="45"/>
      <c r="O41" s="45"/>
    </row>
    <row r="42" spans="1:34" ht="20.100000000000001" customHeight="1">
      <c r="A42" s="1207"/>
      <c r="B42" s="1208"/>
      <c r="C42" s="1208"/>
      <c r="D42" s="1436"/>
      <c r="E42" s="1413"/>
      <c r="F42" s="1413"/>
      <c r="G42" s="1413"/>
      <c r="H42" s="1413"/>
      <c r="I42" s="1413"/>
      <c r="J42" s="1208"/>
      <c r="K42" s="1413"/>
      <c r="M42" s="137"/>
      <c r="N42" s="137"/>
      <c r="O42" s="137"/>
    </row>
    <row r="43" spans="1:34" ht="20.100000000000001" customHeight="1">
      <c r="A43" s="1244"/>
      <c r="B43" s="1159" t="s">
        <v>95</v>
      </c>
      <c r="C43" s="1159" t="s">
        <v>95</v>
      </c>
      <c r="D43" s="1159" t="s">
        <v>95</v>
      </c>
      <c r="E43" s="1159" t="s">
        <v>95</v>
      </c>
      <c r="F43" s="1159" t="s">
        <v>95</v>
      </c>
      <c r="G43" s="1159"/>
      <c r="H43" s="321" t="s">
        <v>573</v>
      </c>
      <c r="I43" s="528" t="s">
        <v>576</v>
      </c>
      <c r="J43" s="141"/>
      <c r="K43" s="1327"/>
      <c r="M43" s="137"/>
      <c r="N43" s="137"/>
      <c r="O43" s="137"/>
    </row>
    <row r="44" spans="1:34" ht="20.100000000000001" customHeight="1">
      <c r="A44" s="1244"/>
      <c r="B44" s="1159"/>
      <c r="C44" s="1159"/>
      <c r="D44" s="1159"/>
      <c r="E44" s="1159"/>
      <c r="F44" s="1159"/>
      <c r="G44" s="1159"/>
      <c r="H44" s="321" t="s">
        <v>574</v>
      </c>
      <c r="I44" s="528" t="s">
        <v>576</v>
      </c>
      <c r="J44" s="141"/>
      <c r="K44" s="1327"/>
      <c r="M44" s="137"/>
      <c r="N44" s="137"/>
      <c r="O44" s="137"/>
    </row>
    <row r="45" spans="1:34" ht="20.100000000000001" customHeight="1">
      <c r="A45" s="1244"/>
      <c r="B45" s="1159"/>
      <c r="C45" s="1159"/>
      <c r="D45" s="1159"/>
      <c r="E45" s="1159"/>
      <c r="F45" s="531" t="s">
        <v>7</v>
      </c>
      <c r="G45" s="662" t="s">
        <v>1003</v>
      </c>
      <c r="H45" s="321" t="s">
        <v>575</v>
      </c>
      <c r="I45" s="528" t="s">
        <v>576</v>
      </c>
      <c r="J45" s="143"/>
      <c r="K45" s="1327"/>
      <c r="M45" s="137"/>
      <c r="N45" s="137"/>
      <c r="O45" s="137"/>
    </row>
    <row r="46" spans="1:34" ht="20.100000000000001" customHeight="1">
      <c r="A46" s="532"/>
      <c r="B46" s="702">
        <v>14</v>
      </c>
      <c r="C46" s="705">
        <v>15</v>
      </c>
      <c r="D46" s="705">
        <v>16</v>
      </c>
      <c r="E46" s="705">
        <v>17</v>
      </c>
      <c r="F46" s="705" t="s">
        <v>270</v>
      </c>
      <c r="G46" s="705" t="s">
        <v>271</v>
      </c>
      <c r="H46" s="535"/>
      <c r="I46" s="535"/>
      <c r="J46" s="332"/>
      <c r="K46" s="333"/>
      <c r="M46" s="137"/>
      <c r="N46" s="137"/>
      <c r="O46" s="137"/>
      <c r="AC46" s="43" t="s">
        <v>918</v>
      </c>
      <c r="AD46" s="43">
        <f>AD47+(AD48*AD49)</f>
        <v>0.9900500000000001</v>
      </c>
    </row>
    <row r="47" spans="1:34" ht="22.5" customHeight="1">
      <c r="A47" s="532"/>
      <c r="B47" s="1400" t="s">
        <v>617</v>
      </c>
      <c r="C47" s="1400"/>
      <c r="D47" s="1400"/>
      <c r="E47" s="1400"/>
      <c r="F47" s="1400"/>
      <c r="G47" s="1400"/>
      <c r="H47" s="536"/>
      <c r="I47" s="536"/>
      <c r="J47" s="219"/>
      <c r="K47" s="334"/>
      <c r="M47" s="137"/>
      <c r="N47" s="137"/>
      <c r="O47" s="137"/>
      <c r="AC47" s="43" t="s">
        <v>919</v>
      </c>
      <c r="AD47" s="43">
        <v>0.437</v>
      </c>
    </row>
    <row r="48" spans="1:34" ht="24">
      <c r="A48" s="532"/>
      <c r="B48" s="700" t="s">
        <v>876</v>
      </c>
      <c r="C48" s="700" t="s">
        <v>194</v>
      </c>
      <c r="D48" s="700" t="s">
        <v>292</v>
      </c>
      <c r="E48" s="721" t="s">
        <v>581</v>
      </c>
      <c r="F48" s="722" t="s">
        <v>594</v>
      </c>
      <c r="G48" s="700" t="s">
        <v>606</v>
      </c>
      <c r="H48" s="536"/>
      <c r="I48" s="536"/>
      <c r="J48" s="219"/>
      <c r="K48" s="334"/>
      <c r="M48" s="137"/>
      <c r="N48" s="137"/>
      <c r="O48" s="137"/>
      <c r="AC48" s="43" t="s">
        <v>920</v>
      </c>
      <c r="AD48" s="43">
        <v>1.2290000000000001</v>
      </c>
    </row>
    <row r="49" spans="1:30">
      <c r="A49" s="532"/>
      <c r="B49" s="1442" t="s">
        <v>95</v>
      </c>
      <c r="C49" s="1438" t="s">
        <v>95</v>
      </c>
      <c r="D49" s="1438" t="s">
        <v>95</v>
      </c>
      <c r="E49" s="183" t="s">
        <v>268</v>
      </c>
      <c r="F49" s="324"/>
      <c r="G49" s="723" t="s">
        <v>607</v>
      </c>
      <c r="H49" s="536"/>
      <c r="I49" s="536"/>
      <c r="J49" s="219"/>
      <c r="K49" s="334"/>
      <c r="M49" s="137"/>
      <c r="N49" s="137"/>
      <c r="O49" s="137"/>
      <c r="AC49" s="43" t="s">
        <v>921</v>
      </c>
      <c r="AD49" s="43">
        <v>0.45</v>
      </c>
    </row>
    <row r="50" spans="1:30">
      <c r="A50" s="532"/>
      <c r="B50" s="1442"/>
      <c r="C50" s="1439"/>
      <c r="D50" s="1439"/>
      <c r="E50" s="183" t="s">
        <v>284</v>
      </c>
      <c r="F50" s="324"/>
      <c r="G50" s="723" t="s">
        <v>608</v>
      </c>
      <c r="H50" s="536"/>
      <c r="I50" s="536"/>
      <c r="J50" s="219"/>
      <c r="K50" s="334"/>
      <c r="M50" s="137"/>
      <c r="N50" s="137"/>
      <c r="O50" s="137"/>
    </row>
    <row r="51" spans="1:30" ht="20.100000000000001" customHeight="1">
      <c r="A51" s="532"/>
      <c r="B51" s="1442"/>
      <c r="C51" s="1440"/>
      <c r="D51" s="1440"/>
      <c r="E51" s="183" t="s">
        <v>285</v>
      </c>
      <c r="F51" s="324"/>
      <c r="G51" s="723" t="s">
        <v>609</v>
      </c>
      <c r="H51" s="538"/>
      <c r="I51" s="538"/>
      <c r="J51" s="316"/>
      <c r="K51" s="317"/>
      <c r="M51" s="137"/>
      <c r="N51" s="137"/>
      <c r="O51" s="137"/>
    </row>
    <row r="52" spans="1:30" ht="20.100000000000001" customHeight="1">
      <c r="A52" s="532"/>
      <c r="B52" s="533">
        <v>20</v>
      </c>
      <c r="C52" s="534" t="s">
        <v>599</v>
      </c>
      <c r="D52" s="534" t="s">
        <v>610</v>
      </c>
      <c r="E52" s="534" t="s">
        <v>611</v>
      </c>
      <c r="F52" s="534" t="s">
        <v>616</v>
      </c>
      <c r="G52" s="1219" t="s">
        <v>627</v>
      </c>
      <c r="H52" s="1219"/>
      <c r="I52" s="539"/>
      <c r="J52" s="329"/>
      <c r="K52" s="330"/>
      <c r="M52" s="137"/>
      <c r="N52" s="137"/>
      <c r="O52" s="137"/>
    </row>
    <row r="53" spans="1:30" ht="22.5" customHeight="1">
      <c r="A53" s="532"/>
      <c r="B53" s="1400" t="s">
        <v>618</v>
      </c>
      <c r="C53" s="1400"/>
      <c r="D53" s="1400"/>
      <c r="E53" s="1400"/>
      <c r="F53" s="1400"/>
      <c r="G53" s="1400"/>
      <c r="H53" s="1400"/>
      <c r="I53" s="540"/>
      <c r="J53" s="128"/>
      <c r="K53" s="331"/>
      <c r="M53" s="137"/>
      <c r="N53" s="137"/>
      <c r="O53" s="137"/>
    </row>
    <row r="54" spans="1:30" ht="30.75" customHeight="1">
      <c r="A54" s="532"/>
      <c r="B54" s="505" t="s">
        <v>600</v>
      </c>
      <c r="C54" s="510" t="s">
        <v>876</v>
      </c>
      <c r="D54" s="505" t="s">
        <v>194</v>
      </c>
      <c r="E54" s="505" t="s">
        <v>292</v>
      </c>
      <c r="F54" s="505" t="s">
        <v>293</v>
      </c>
      <c r="G54" s="1371" t="s">
        <v>614</v>
      </c>
      <c r="H54" s="1372"/>
      <c r="I54" s="540"/>
      <c r="J54" s="128"/>
      <c r="K54" s="331"/>
      <c r="M54" s="137"/>
      <c r="N54" s="137"/>
      <c r="O54" s="137"/>
    </row>
    <row r="55" spans="1:30" ht="24">
      <c r="A55" s="532"/>
      <c r="B55" s="1399" t="s">
        <v>95</v>
      </c>
      <c r="C55" s="1399" t="s">
        <v>95</v>
      </c>
      <c r="D55" s="1378" t="s">
        <v>95</v>
      </c>
      <c r="E55" s="1378" t="s">
        <v>95</v>
      </c>
      <c r="F55" s="1378" t="s">
        <v>95</v>
      </c>
      <c r="G55" s="321" t="s">
        <v>268</v>
      </c>
      <c r="H55" s="541" t="s">
        <v>615</v>
      </c>
      <c r="I55" s="540"/>
      <c r="J55" s="128"/>
      <c r="K55" s="331"/>
      <c r="M55" s="137"/>
      <c r="N55" s="137"/>
      <c r="O55" s="137"/>
    </row>
    <row r="56" spans="1:30" ht="24">
      <c r="A56" s="532"/>
      <c r="B56" s="1399"/>
      <c r="C56" s="1399"/>
      <c r="D56" s="1379"/>
      <c r="E56" s="1379"/>
      <c r="F56" s="1379"/>
      <c r="G56" s="321" t="s">
        <v>284</v>
      </c>
      <c r="H56" s="541" t="s">
        <v>615</v>
      </c>
      <c r="I56" s="540"/>
      <c r="J56" s="128"/>
      <c r="K56" s="331"/>
      <c r="M56" s="137"/>
      <c r="N56" s="137"/>
      <c r="O56" s="137"/>
    </row>
    <row r="57" spans="1:30" ht="20.100000000000001" customHeight="1">
      <c r="A57" s="532"/>
      <c r="B57" s="1399"/>
      <c r="C57" s="1399"/>
      <c r="D57" s="1380"/>
      <c r="E57" s="1380"/>
      <c r="F57" s="1380"/>
      <c r="G57" s="321" t="s">
        <v>285</v>
      </c>
      <c r="H57" s="541" t="s">
        <v>625</v>
      </c>
      <c r="I57" s="542"/>
      <c r="J57" s="318"/>
      <c r="K57" s="319"/>
      <c r="M57" s="137"/>
      <c r="N57" s="137"/>
      <c r="O57" s="137"/>
    </row>
    <row r="58" spans="1:30" ht="20.100000000000001" customHeight="1">
      <c r="B58" s="180">
        <v>26</v>
      </c>
      <c r="C58" s="342" t="s">
        <v>628</v>
      </c>
      <c r="D58" s="342" t="s">
        <v>629</v>
      </c>
      <c r="E58" s="342" t="s">
        <v>630</v>
      </c>
      <c r="F58" s="342" t="s">
        <v>631</v>
      </c>
      <c r="G58" s="342" t="s">
        <v>632</v>
      </c>
      <c r="H58" s="342" t="s">
        <v>634</v>
      </c>
      <c r="I58" s="329"/>
      <c r="J58" s="329"/>
      <c r="K58" s="330"/>
      <c r="M58" s="137"/>
      <c r="N58" s="137"/>
      <c r="O58" s="137"/>
    </row>
    <row r="59" spans="1:30" ht="43.5" customHeight="1">
      <c r="B59" s="1441" t="s">
        <v>1096</v>
      </c>
      <c r="C59" s="1441"/>
      <c r="D59" s="1441"/>
      <c r="E59" s="1441"/>
      <c r="F59" s="1441"/>
      <c r="G59" s="1441"/>
      <c r="H59" s="1441"/>
      <c r="I59" s="128"/>
      <c r="J59" s="128"/>
      <c r="K59" s="331"/>
      <c r="M59" s="137"/>
      <c r="N59" s="137"/>
      <c r="O59" s="137"/>
      <c r="AB59" s="43" t="s">
        <v>922</v>
      </c>
      <c r="AC59" s="43">
        <f>0.08+(0.86*AC60)</f>
        <v>0.35520000000000002</v>
      </c>
    </row>
    <row r="60" spans="1:30" ht="40.5" customHeight="1">
      <c r="B60" s="337" t="s">
        <v>633</v>
      </c>
      <c r="C60" s="648" t="s">
        <v>997</v>
      </c>
      <c r="D60" s="649" t="s">
        <v>1000</v>
      </c>
      <c r="E60" s="649" t="s">
        <v>1101</v>
      </c>
      <c r="F60" s="649" t="s">
        <v>1102</v>
      </c>
      <c r="G60" s="649" t="s">
        <v>1001</v>
      </c>
      <c r="H60" s="337" t="s">
        <v>296</v>
      </c>
      <c r="I60" s="128"/>
      <c r="J60" s="128"/>
      <c r="K60" s="331"/>
      <c r="M60" s="137"/>
      <c r="N60" s="137"/>
      <c r="O60" s="137"/>
      <c r="AB60" s="43" t="s">
        <v>923</v>
      </c>
      <c r="AC60" s="43">
        <v>0.32</v>
      </c>
    </row>
    <row r="61" spans="1:30" ht="25.5" customHeight="1">
      <c r="A61" s="532"/>
      <c r="B61" s="543"/>
      <c r="C61" s="656" t="s">
        <v>95</v>
      </c>
      <c r="D61" s="544"/>
      <c r="E61" s="544"/>
      <c r="F61" s="544"/>
      <c r="G61" s="661" t="s">
        <v>1002</v>
      </c>
      <c r="H61" s="652" t="s">
        <v>635</v>
      </c>
      <c r="I61" s="128"/>
      <c r="J61" s="128"/>
      <c r="K61" s="331"/>
    </row>
    <row r="62" spans="1:30" ht="25.5" customHeight="1">
      <c r="A62" s="650" t="s">
        <v>750</v>
      </c>
      <c r="B62" s="1417" t="s">
        <v>992</v>
      </c>
      <c r="C62" s="1418"/>
      <c r="D62" s="1418"/>
      <c r="E62" s="653" t="s">
        <v>751</v>
      </c>
      <c r="F62" s="1429" t="s">
        <v>993</v>
      </c>
      <c r="G62" s="1429"/>
      <c r="H62" s="545"/>
      <c r="I62" s="128"/>
      <c r="J62" s="128"/>
      <c r="K62" s="331"/>
    </row>
    <row r="63" spans="1:30" ht="29.25" customHeight="1">
      <c r="A63" s="1443" t="s">
        <v>965</v>
      </c>
      <c r="B63" s="1443"/>
      <c r="C63" s="1443"/>
      <c r="D63" s="1443"/>
      <c r="E63" s="1443"/>
      <c r="F63" s="1443"/>
      <c r="G63" s="1443"/>
      <c r="H63" s="1444"/>
      <c r="I63" s="185" t="s">
        <v>81</v>
      </c>
      <c r="J63" s="87" t="s">
        <v>79</v>
      </c>
      <c r="K63" s="86" t="s">
        <v>80</v>
      </c>
      <c r="M63" s="221"/>
      <c r="N63" s="145"/>
      <c r="O63" s="145"/>
    </row>
    <row r="64" spans="1:30" ht="29.25" customHeight="1">
      <c r="A64" s="1428" t="s">
        <v>1090</v>
      </c>
      <c r="B64" s="1428"/>
      <c r="C64" s="1428"/>
      <c r="D64" s="1428"/>
      <c r="E64" s="1428"/>
      <c r="F64" s="1428"/>
      <c r="G64" s="1428"/>
      <c r="H64" s="1428"/>
      <c r="I64" s="1422"/>
      <c r="J64" s="1422"/>
      <c r="K64" s="1422"/>
      <c r="L64" s="43">
        <v>0.22</v>
      </c>
      <c r="M64" s="221" t="s">
        <v>284</v>
      </c>
      <c r="N64" s="145"/>
      <c r="O64" s="145"/>
    </row>
    <row r="65" spans="1:18" ht="29.25" customHeight="1">
      <c r="A65" s="1427" t="s">
        <v>1091</v>
      </c>
      <c r="B65" s="1427"/>
      <c r="C65" s="1427"/>
      <c r="D65" s="1427"/>
      <c r="E65" s="1427"/>
      <c r="F65" s="1427"/>
      <c r="G65" s="1427"/>
      <c r="H65" s="1427"/>
      <c r="I65" s="72"/>
      <c r="J65" s="72"/>
      <c r="N65" s="145"/>
      <c r="O65" s="145"/>
    </row>
    <row r="66" spans="1:18" ht="29.25" customHeight="1">
      <c r="A66" s="1427" t="s">
        <v>1092</v>
      </c>
      <c r="B66" s="1427"/>
      <c r="C66" s="1427"/>
      <c r="D66" s="1427"/>
      <c r="E66" s="1427"/>
      <c r="F66" s="1427"/>
      <c r="G66" s="1427"/>
      <c r="H66" s="1427"/>
      <c r="I66" s="72"/>
      <c r="J66" s="72"/>
      <c r="N66" s="145"/>
      <c r="O66" s="145"/>
    </row>
    <row r="67" spans="1:18" ht="29.25" customHeight="1">
      <c r="A67" s="546"/>
      <c r="B67" s="704" t="s">
        <v>585</v>
      </c>
      <c r="C67" s="704" t="s">
        <v>586</v>
      </c>
      <c r="D67" s="704" t="s">
        <v>587</v>
      </c>
      <c r="E67" s="704" t="s">
        <v>588</v>
      </c>
      <c r="F67" s="1430" t="s">
        <v>589</v>
      </c>
      <c r="G67" s="1431"/>
      <c r="H67" s="546"/>
      <c r="I67" s="72"/>
      <c r="J67" s="72"/>
      <c r="N67" s="145"/>
      <c r="O67" s="145"/>
    </row>
    <row r="68" spans="1:18">
      <c r="A68" s="546"/>
      <c r="B68" s="549" t="s">
        <v>287</v>
      </c>
      <c r="C68" s="698" t="s">
        <v>738</v>
      </c>
      <c r="D68" s="701" t="s">
        <v>570</v>
      </c>
      <c r="E68" s="549" t="s">
        <v>570</v>
      </c>
      <c r="F68" s="1144" t="s">
        <v>286</v>
      </c>
      <c r="G68" s="1146"/>
      <c r="H68" s="546"/>
      <c r="I68" s="72"/>
      <c r="J68" s="72"/>
      <c r="L68" s="45">
        <v>2.5</v>
      </c>
      <c r="M68" s="145" t="s">
        <v>807</v>
      </c>
      <c r="N68" s="145"/>
      <c r="O68" s="145"/>
    </row>
    <row r="69" spans="1:18" ht="15" customHeight="1">
      <c r="A69" s="547"/>
      <c r="B69" s="549" t="s">
        <v>288</v>
      </c>
      <c r="C69" s="727" t="s">
        <v>1086</v>
      </c>
      <c r="D69" s="701" t="s">
        <v>571</v>
      </c>
      <c r="E69" s="699" t="s">
        <v>916</v>
      </c>
      <c r="F69" s="1144" t="s">
        <v>579</v>
      </c>
      <c r="G69" s="1146"/>
      <c r="H69" s="92"/>
      <c r="I69" s="142"/>
      <c r="J69" s="295"/>
      <c r="L69" s="45">
        <v>6</v>
      </c>
      <c r="M69" s="43" t="s">
        <v>945</v>
      </c>
    </row>
    <row r="70" spans="1:18">
      <c r="A70" s="532"/>
      <c r="B70" s="549" t="s">
        <v>289</v>
      </c>
      <c r="C70" s="698" t="s">
        <v>739</v>
      </c>
      <c r="D70" s="704" t="s">
        <v>587</v>
      </c>
      <c r="E70" s="549" t="s">
        <v>580</v>
      </c>
      <c r="F70" s="1144" t="s">
        <v>577</v>
      </c>
      <c r="G70" s="1146"/>
      <c r="H70" s="550"/>
      <c r="I70" s="313"/>
      <c r="J70" s="313"/>
    </row>
    <row r="71" spans="1:18">
      <c r="A71" s="532"/>
      <c r="B71" s="549" t="s">
        <v>290</v>
      </c>
      <c r="C71" s="699" t="s">
        <v>966</v>
      </c>
      <c r="D71" s="549" t="s">
        <v>570</v>
      </c>
      <c r="E71" s="704" t="s">
        <v>588</v>
      </c>
      <c r="F71" s="703"/>
      <c r="G71" s="703"/>
      <c r="H71" s="550"/>
      <c r="I71" s="313"/>
      <c r="J71" s="313"/>
    </row>
    <row r="72" spans="1:18">
      <c r="A72" s="532"/>
      <c r="B72" s="549" t="s">
        <v>283</v>
      </c>
      <c r="C72" s="663" t="s">
        <v>1087</v>
      </c>
      <c r="D72" s="704" t="s">
        <v>587</v>
      </c>
      <c r="E72" s="549" t="s">
        <v>570</v>
      </c>
      <c r="F72" s="1425" t="s">
        <v>589</v>
      </c>
      <c r="G72" s="1426"/>
      <c r="H72" s="550"/>
      <c r="I72" s="313"/>
      <c r="J72" s="313"/>
    </row>
    <row r="73" spans="1:18">
      <c r="A73" s="532"/>
      <c r="B73" s="552" t="s">
        <v>773</v>
      </c>
      <c r="C73" s="699" t="s">
        <v>967</v>
      </c>
      <c r="D73" s="549" t="s">
        <v>624</v>
      </c>
      <c r="E73" s="553"/>
      <c r="F73" s="1404" t="s">
        <v>286</v>
      </c>
      <c r="G73" s="1405"/>
      <c r="H73" s="550"/>
      <c r="I73" s="313"/>
    </row>
    <row r="74" spans="1:18">
      <c r="A74" s="532"/>
      <c r="B74" s="699" t="s">
        <v>934</v>
      </c>
      <c r="C74" s="663" t="s">
        <v>1116</v>
      </c>
      <c r="D74" s="532"/>
      <c r="E74" s="657" t="s">
        <v>588</v>
      </c>
      <c r="F74" s="1404" t="s">
        <v>577</v>
      </c>
      <c r="G74" s="1405"/>
      <c r="H74" s="550"/>
      <c r="I74" s="313"/>
    </row>
    <row r="75" spans="1:18" ht="24">
      <c r="A75" s="532"/>
      <c r="B75" s="670" t="s">
        <v>1106</v>
      </c>
      <c r="C75" s="699" t="s">
        <v>968</v>
      </c>
      <c r="D75" s="657" t="s">
        <v>587</v>
      </c>
      <c r="E75" s="736" t="s">
        <v>1117</v>
      </c>
      <c r="H75" s="550"/>
      <c r="I75" s="313"/>
    </row>
    <row r="76" spans="1:18" ht="24">
      <c r="A76" s="532"/>
      <c r="B76" s="670" t="s">
        <v>1107</v>
      </c>
      <c r="C76" s="663" t="s">
        <v>1088</v>
      </c>
      <c r="D76" s="728" t="s">
        <v>1117</v>
      </c>
      <c r="E76" s="736" t="s">
        <v>1121</v>
      </c>
      <c r="F76" s="551"/>
      <c r="G76" s="550"/>
      <c r="H76" s="550"/>
      <c r="I76" s="436"/>
      <c r="J76" s="46"/>
      <c r="K76" s="46"/>
    </row>
    <row r="77" spans="1:18" ht="24">
      <c r="A77" s="532"/>
      <c r="B77" s="670" t="s">
        <v>1118</v>
      </c>
      <c r="C77" s="699" t="s">
        <v>969</v>
      </c>
      <c r="D77" s="728" t="s">
        <v>571</v>
      </c>
      <c r="E77" s="737" t="s">
        <v>580</v>
      </c>
      <c r="F77" s="551"/>
      <c r="G77" s="550"/>
      <c r="H77" s="550"/>
      <c r="I77" s="436"/>
      <c r="J77" s="46"/>
      <c r="K77" s="46"/>
    </row>
    <row r="78" spans="1:18">
      <c r="A78" s="532"/>
      <c r="B78" s="554"/>
      <c r="C78" s="699" t="s">
        <v>970</v>
      </c>
      <c r="D78" s="657" t="s">
        <v>587</v>
      </c>
      <c r="E78" s="657" t="s">
        <v>588</v>
      </c>
      <c r="F78" s="551"/>
      <c r="G78" s="550"/>
      <c r="H78" s="550"/>
      <c r="I78" s="436"/>
      <c r="J78" s="46"/>
      <c r="K78" s="46"/>
      <c r="Q78" s="43" t="s">
        <v>285</v>
      </c>
      <c r="R78" s="43">
        <f>R79*R80</f>
        <v>0.78</v>
      </c>
    </row>
    <row r="79" spans="1:18">
      <c r="A79" s="532"/>
      <c r="B79" s="554"/>
      <c r="C79" s="663" t="s">
        <v>1089</v>
      </c>
      <c r="D79" s="736" t="s">
        <v>1117</v>
      </c>
      <c r="E79" s="736" t="s">
        <v>1119</v>
      </c>
      <c r="F79" s="551"/>
      <c r="G79" s="550"/>
      <c r="H79" s="550"/>
      <c r="I79" s="436"/>
      <c r="J79" s="46"/>
      <c r="K79" s="46"/>
      <c r="Q79" s="43" t="s">
        <v>924</v>
      </c>
      <c r="R79" s="43">
        <v>1</v>
      </c>
    </row>
    <row r="80" spans="1:18" ht="15" customHeight="1">
      <c r="A80" s="532"/>
      <c r="B80" s="554"/>
      <c r="C80" s="699" t="s">
        <v>971</v>
      </c>
      <c r="D80" s="736" t="s">
        <v>1119</v>
      </c>
      <c r="E80" s="532"/>
      <c r="F80" s="551"/>
      <c r="G80" s="550"/>
      <c r="H80" s="550"/>
      <c r="I80" s="436"/>
      <c r="J80" s="46"/>
      <c r="K80" s="46"/>
      <c r="Q80" s="43" t="s">
        <v>925</v>
      </c>
      <c r="R80" s="43">
        <v>0.78</v>
      </c>
    </row>
    <row r="81" spans="1:16" ht="15" customHeight="1">
      <c r="A81" s="532"/>
      <c r="B81" s="69"/>
      <c r="C81" s="973" t="s">
        <v>1108</v>
      </c>
      <c r="D81" s="657" t="s">
        <v>587</v>
      </c>
      <c r="F81" s="136"/>
      <c r="G81" s="313"/>
      <c r="H81" s="550"/>
      <c r="I81" s="436"/>
      <c r="J81" s="46"/>
      <c r="K81" s="46"/>
    </row>
    <row r="82" spans="1:16" ht="15" customHeight="1">
      <c r="A82" s="532"/>
      <c r="B82" s="69"/>
      <c r="C82" s="973" t="s">
        <v>1313</v>
      </c>
      <c r="D82" s="736" t="s">
        <v>1119</v>
      </c>
      <c r="F82" s="136"/>
      <c r="G82" s="313"/>
      <c r="H82" s="550"/>
      <c r="I82" s="436"/>
      <c r="J82" s="46"/>
      <c r="K82" s="46"/>
    </row>
    <row r="83" spans="1:16" ht="15" customHeight="1">
      <c r="A83" s="532"/>
      <c r="B83" s="69"/>
      <c r="C83" s="973" t="s">
        <v>1314</v>
      </c>
      <c r="F83" s="136"/>
      <c r="G83" s="313"/>
      <c r="H83" s="550"/>
      <c r="I83" s="436"/>
      <c r="J83" s="46"/>
      <c r="K83" s="46"/>
    </row>
    <row r="84" spans="1:16" ht="15" customHeight="1">
      <c r="A84" s="532"/>
      <c r="B84" s="69"/>
      <c r="C84" s="973" t="s">
        <v>1315</v>
      </c>
      <c r="F84" s="136"/>
      <c r="G84" s="313"/>
      <c r="H84" s="550"/>
      <c r="I84" s="436"/>
      <c r="J84" s="46"/>
      <c r="K84" s="46"/>
    </row>
    <row r="85" spans="1:16" ht="15" customHeight="1">
      <c r="A85" s="532"/>
      <c r="B85" s="69"/>
      <c r="C85" s="664" t="s">
        <v>1093</v>
      </c>
      <c r="F85" s="136"/>
      <c r="G85" s="313"/>
      <c r="H85" s="550"/>
      <c r="I85" s="436"/>
      <c r="J85" s="46"/>
      <c r="K85" s="46"/>
    </row>
    <row r="86" spans="1:16" ht="15" customHeight="1">
      <c r="B86" s="69"/>
      <c r="C86" s="664" t="s">
        <v>1112</v>
      </c>
      <c r="F86" s="136"/>
      <c r="G86" s="313"/>
      <c r="H86" s="313"/>
      <c r="I86" s="436"/>
      <c r="J86" s="46"/>
      <c r="K86" s="46"/>
    </row>
    <row r="87" spans="1:16" ht="15" customHeight="1">
      <c r="B87" s="69"/>
      <c r="C87" s="664" t="s">
        <v>1113</v>
      </c>
      <c r="F87" s="136"/>
      <c r="G87" s="313"/>
      <c r="H87" s="313"/>
      <c r="I87" s="436"/>
      <c r="J87" s="46"/>
      <c r="K87" s="46"/>
    </row>
    <row r="88" spans="1:16" ht="15" customHeight="1">
      <c r="B88" s="69"/>
      <c r="C88" s="664" t="s">
        <v>1114</v>
      </c>
      <c r="F88" s="136"/>
      <c r="G88" s="313"/>
      <c r="H88" s="313"/>
      <c r="I88" s="436"/>
      <c r="J88" s="46"/>
      <c r="K88" s="46"/>
    </row>
    <row r="89" spans="1:16" ht="15" customHeight="1">
      <c r="H89" s="313"/>
      <c r="I89" s="436"/>
      <c r="J89" s="46"/>
      <c r="K89" s="46"/>
    </row>
    <row r="90" spans="1:16" ht="15" customHeight="1">
      <c r="C90" s="734" t="s">
        <v>756</v>
      </c>
      <c r="H90" s="313"/>
      <c r="I90" s="436"/>
      <c r="J90" s="46"/>
      <c r="K90" s="46"/>
    </row>
    <row r="91" spans="1:16" ht="15" customHeight="1">
      <c r="B91" s="69"/>
      <c r="C91" s="735" t="s">
        <v>667</v>
      </c>
      <c r="F91" s="136"/>
      <c r="G91" s="313"/>
      <c r="H91" s="313"/>
      <c r="I91" s="436"/>
      <c r="J91" s="46"/>
      <c r="K91" s="46"/>
    </row>
    <row r="92" spans="1:16" ht="15" customHeight="1">
      <c r="B92" s="69"/>
      <c r="C92" s="735" t="s">
        <v>1115</v>
      </c>
      <c r="F92" s="136"/>
      <c r="G92" s="313"/>
      <c r="H92" s="313"/>
      <c r="I92" s="436"/>
      <c r="J92" s="46"/>
      <c r="K92" s="46"/>
    </row>
    <row r="93" spans="1:16" ht="15" customHeight="1">
      <c r="B93" s="69"/>
      <c r="C93" s="735" t="s">
        <v>666</v>
      </c>
      <c r="F93" s="136"/>
      <c r="G93" s="313"/>
      <c r="H93" s="313"/>
      <c r="I93" s="436"/>
      <c r="J93" s="46"/>
      <c r="K93" s="46"/>
    </row>
    <row r="94" spans="1:16" ht="31.2">
      <c r="F94" s="136"/>
      <c r="G94" s="136"/>
      <c r="H94" s="136"/>
      <c r="I94" s="437"/>
      <c r="J94" s="46"/>
      <c r="K94" s="46"/>
      <c r="P94" s="355" t="s">
        <v>598</v>
      </c>
    </row>
    <row r="95" spans="1:16">
      <c r="B95" s="704" t="s">
        <v>590</v>
      </c>
      <c r="C95" s="704" t="s">
        <v>592</v>
      </c>
      <c r="D95" s="704" t="s">
        <v>593</v>
      </c>
      <c r="I95" s="437"/>
      <c r="J95" s="437"/>
      <c r="K95" s="46"/>
    </row>
    <row r="96" spans="1:16">
      <c r="B96" s="724" t="s">
        <v>111</v>
      </c>
      <c r="C96" s="725" t="s">
        <v>591</v>
      </c>
      <c r="D96" s="725" t="s">
        <v>595</v>
      </c>
      <c r="I96" s="437"/>
      <c r="J96" s="437"/>
      <c r="K96" s="46"/>
    </row>
    <row r="97" spans="2:11">
      <c r="B97" s="724" t="s">
        <v>107</v>
      </c>
      <c r="C97" s="725" t="s">
        <v>150</v>
      </c>
      <c r="D97" s="725" t="s">
        <v>596</v>
      </c>
      <c r="I97" s="437"/>
      <c r="J97" s="437"/>
      <c r="K97" s="46"/>
    </row>
    <row r="98" spans="2:11">
      <c r="B98" s="562"/>
      <c r="C98" s="725" t="s">
        <v>604</v>
      </c>
      <c r="D98" s="562"/>
      <c r="I98" s="136"/>
      <c r="J98" s="136"/>
    </row>
    <row r="99" spans="2:11">
      <c r="E99" s="322" t="s">
        <v>613</v>
      </c>
      <c r="I99" s="136"/>
      <c r="J99" s="136"/>
    </row>
    <row r="100" spans="2:11">
      <c r="B100" s="322" t="s">
        <v>601</v>
      </c>
      <c r="C100" s="323" t="s">
        <v>605</v>
      </c>
      <c r="D100" s="322" t="s">
        <v>612</v>
      </c>
      <c r="E100" s="326" t="s">
        <v>595</v>
      </c>
      <c r="F100" s="322" t="s">
        <v>626</v>
      </c>
      <c r="I100" s="136"/>
      <c r="J100" s="136"/>
    </row>
    <row r="101" spans="2:11">
      <c r="B101" s="325" t="s">
        <v>111</v>
      </c>
      <c r="C101" s="325" t="s">
        <v>111</v>
      </c>
      <c r="D101" s="326" t="s">
        <v>591</v>
      </c>
      <c r="E101" s="326" t="s">
        <v>596</v>
      </c>
      <c r="F101" s="309" t="s">
        <v>111</v>
      </c>
      <c r="I101" s="136"/>
      <c r="J101" s="136"/>
    </row>
    <row r="102" spans="2:11">
      <c r="B102" s="325" t="s">
        <v>107</v>
      </c>
      <c r="C102" s="325" t="s">
        <v>107</v>
      </c>
      <c r="D102" s="326" t="s">
        <v>150</v>
      </c>
      <c r="E102" s="326" t="s">
        <v>602</v>
      </c>
      <c r="F102" s="309" t="s">
        <v>107</v>
      </c>
      <c r="I102" s="136"/>
      <c r="J102" s="136"/>
    </row>
    <row r="103" spans="2:11">
      <c r="D103" s="326" t="s">
        <v>604</v>
      </c>
      <c r="E103" s="326" t="s">
        <v>603</v>
      </c>
      <c r="I103" s="136"/>
      <c r="J103" s="136"/>
    </row>
    <row r="104" spans="2:11">
      <c r="E104" s="149" t="s">
        <v>291</v>
      </c>
      <c r="F104" s="488" t="s">
        <v>626</v>
      </c>
      <c r="I104" s="136"/>
      <c r="J104" s="136"/>
    </row>
    <row r="105" spans="2:11">
      <c r="C105" s="657" t="s">
        <v>998</v>
      </c>
      <c r="E105" s="322" t="s">
        <v>613</v>
      </c>
      <c r="F105" s="487" t="s">
        <v>107</v>
      </c>
      <c r="I105" s="136"/>
      <c r="J105" s="136"/>
    </row>
    <row r="106" spans="2:11" ht="14.25" customHeight="1">
      <c r="C106" s="660" t="s">
        <v>999</v>
      </c>
      <c r="E106" s="326" t="s">
        <v>596</v>
      </c>
      <c r="I106" s="136"/>
      <c r="J106" s="136"/>
    </row>
    <row r="107" spans="2:11">
      <c r="C107" s="660" t="s">
        <v>1004</v>
      </c>
      <c r="E107" s="326" t="s">
        <v>602</v>
      </c>
      <c r="F107" s="45"/>
      <c r="G107" s="658" t="s">
        <v>636</v>
      </c>
      <c r="H107" s="45"/>
      <c r="I107" s="136"/>
      <c r="J107" s="136"/>
    </row>
    <row r="108" spans="2:11">
      <c r="E108" s="326" t="s">
        <v>603</v>
      </c>
      <c r="F108" s="312"/>
      <c r="G108" s="659" t="s">
        <v>637</v>
      </c>
      <c r="H108" s="312"/>
      <c r="I108" s="136"/>
      <c r="J108" s="136"/>
    </row>
    <row r="109" spans="2:11">
      <c r="E109" s="488" t="s">
        <v>613</v>
      </c>
      <c r="F109" s="91"/>
      <c r="G109" s="659" t="s">
        <v>638</v>
      </c>
      <c r="H109" s="91"/>
      <c r="I109" s="136"/>
      <c r="J109" s="136"/>
    </row>
    <row r="110" spans="2:11">
      <c r="E110" s="326" t="s">
        <v>595</v>
      </c>
      <c r="F110" s="312"/>
      <c r="G110" s="659" t="s">
        <v>639</v>
      </c>
      <c r="H110" s="312"/>
      <c r="I110" s="136"/>
      <c r="J110" s="136"/>
    </row>
    <row r="111" spans="2:11">
      <c r="D111" s="327"/>
      <c r="E111" s="326" t="s">
        <v>596</v>
      </c>
      <c r="F111" s="328"/>
      <c r="G111" s="310"/>
      <c r="H111" s="144"/>
      <c r="I111" s="136"/>
      <c r="J111" s="136"/>
    </row>
    <row r="112" spans="2:11">
      <c r="D112" s="146"/>
      <c r="E112" s="729" t="s">
        <v>602</v>
      </c>
      <c r="F112" s="91"/>
      <c r="G112" s="147"/>
      <c r="H112" s="144"/>
      <c r="I112" s="136"/>
      <c r="J112" s="136"/>
    </row>
    <row r="113" spans="1:19" s="108" customFormat="1" ht="18" customHeight="1">
      <c r="A113" s="43"/>
      <c r="B113" s="43"/>
      <c r="C113" s="43"/>
      <c r="D113" s="145"/>
      <c r="E113" s="730" t="s">
        <v>603</v>
      </c>
      <c r="F113" s="145"/>
      <c r="G113" s="145"/>
      <c r="H113" s="144"/>
      <c r="I113" s="136"/>
      <c r="J113" s="136"/>
      <c r="K113" s="43"/>
      <c r="L113" s="43"/>
      <c r="M113" s="43"/>
    </row>
    <row r="114" spans="1:19" s="106" customFormat="1">
      <c r="A114" s="1395" t="s">
        <v>640</v>
      </c>
      <c r="B114" s="1396"/>
      <c r="C114" s="1396"/>
      <c r="D114" s="1397"/>
      <c r="E114" s="145"/>
      <c r="F114" s="354"/>
      <c r="G114" s="354"/>
      <c r="H114" s="354"/>
      <c r="I114" s="354"/>
      <c r="J114" s="354"/>
      <c r="K114" s="43"/>
      <c r="L114" s="43"/>
      <c r="M114" s="43"/>
    </row>
    <row r="115" spans="1:19" s="106" customFormat="1" ht="21.6" customHeight="1">
      <c r="A115" s="976" t="s">
        <v>1327</v>
      </c>
      <c r="B115" s="1395" t="s">
        <v>1328</v>
      </c>
      <c r="C115" s="1396"/>
      <c r="D115" s="1397"/>
      <c r="E115" s="145"/>
      <c r="F115" s="354"/>
      <c r="G115" s="354"/>
      <c r="H115" s="354"/>
      <c r="I115" s="354"/>
      <c r="J115" s="354"/>
      <c r="K115" s="43"/>
      <c r="L115" s="43"/>
      <c r="M115" s="43"/>
    </row>
    <row r="116" spans="1:19">
      <c r="A116" s="971" t="s">
        <v>37</v>
      </c>
      <c r="B116" s="342" t="s">
        <v>38</v>
      </c>
      <c r="C116" s="342" t="s">
        <v>39</v>
      </c>
      <c r="D116" s="342" t="s">
        <v>40</v>
      </c>
      <c r="E116" s="128"/>
      <c r="F116" s="128"/>
      <c r="G116" s="128"/>
      <c r="H116" s="128"/>
      <c r="I116" s="128"/>
    </row>
    <row r="117" spans="1:19" ht="39.75" customHeight="1">
      <c r="A117" s="505" t="s">
        <v>917</v>
      </c>
      <c r="B117" s="505" t="s">
        <v>972</v>
      </c>
      <c r="C117" s="555" t="s">
        <v>973</v>
      </c>
      <c r="D117" s="555" t="s">
        <v>641</v>
      </c>
      <c r="E117" s="228"/>
      <c r="F117" s="228"/>
      <c r="G117" s="228"/>
      <c r="H117" s="556"/>
      <c r="I117" s="339"/>
    </row>
    <row r="118" spans="1:19" s="46" customFormat="1" ht="27.75" customHeight="1">
      <c r="A118" s="557" t="s">
        <v>95</v>
      </c>
      <c r="B118" s="558">
        <v>50000</v>
      </c>
      <c r="C118" s="559">
        <f>B118*0.1</f>
        <v>5000</v>
      </c>
      <c r="D118" s="558"/>
      <c r="E118" s="561"/>
      <c r="F118" s="561"/>
      <c r="G118" s="561"/>
      <c r="H118" s="561"/>
      <c r="I118" s="343"/>
      <c r="J118" s="43"/>
      <c r="K118" s="43"/>
    </row>
    <row r="119" spans="1:19">
      <c r="A119" s="1423" t="s">
        <v>1104</v>
      </c>
      <c r="B119" s="1424"/>
      <c r="C119" s="1424"/>
      <c r="D119" s="1424"/>
      <c r="E119" s="1382"/>
      <c r="F119" s="1382"/>
      <c r="G119" s="562"/>
      <c r="H119" s="562"/>
      <c r="I119" s="562"/>
      <c r="J119" s="46"/>
      <c r="K119" s="46"/>
      <c r="L119" s="46"/>
    </row>
    <row r="120" spans="1:19">
      <c r="A120" s="532"/>
      <c r="B120" s="532"/>
      <c r="C120" s="532"/>
      <c r="D120" s="563"/>
      <c r="E120" s="564"/>
      <c r="F120" s="565"/>
      <c r="G120" s="566"/>
      <c r="H120" s="567"/>
      <c r="I120" s="551"/>
      <c r="J120" s="136"/>
    </row>
    <row r="121" spans="1:19">
      <c r="A121" s="548" t="s">
        <v>1329</v>
      </c>
      <c r="C121" s="532"/>
      <c r="D121" s="568"/>
      <c r="F121" s="565"/>
      <c r="G121" s="569"/>
      <c r="H121" s="560"/>
      <c r="I121" s="532"/>
      <c r="J121" s="45"/>
      <c r="K121" s="45"/>
    </row>
    <row r="122" spans="1:19">
      <c r="A122" s="570" t="s">
        <v>111</v>
      </c>
      <c r="C122" s="532"/>
      <c r="D122" s="568"/>
      <c r="F122" s="565"/>
      <c r="G122" s="571"/>
      <c r="H122" s="560"/>
      <c r="I122" s="532"/>
      <c r="J122" s="45"/>
      <c r="K122" s="45"/>
    </row>
    <row r="123" spans="1:19">
      <c r="A123" s="570" t="s">
        <v>107</v>
      </c>
      <c r="C123" s="532"/>
      <c r="D123" s="568"/>
      <c r="F123" s="565"/>
      <c r="G123" s="571"/>
      <c r="H123" s="560"/>
      <c r="I123" s="532"/>
      <c r="J123" s="45"/>
      <c r="K123" s="45"/>
    </row>
    <row r="124" spans="1:19" ht="15.6">
      <c r="A124" s="532"/>
      <c r="B124" s="532"/>
      <c r="C124" s="532"/>
      <c r="D124" s="560"/>
      <c r="E124" s="560"/>
      <c r="F124" s="560"/>
      <c r="G124" s="560"/>
      <c r="H124" s="560"/>
      <c r="I124" s="532"/>
      <c r="J124" s="45"/>
      <c r="K124" s="45"/>
      <c r="M124" s="69"/>
      <c r="N124" s="293"/>
      <c r="O124" s="293"/>
      <c r="P124" s="355"/>
      <c r="Q124" s="136"/>
      <c r="R124" s="136"/>
      <c r="S124" s="136"/>
    </row>
    <row r="125" spans="1:19">
      <c r="A125" s="1421" t="s">
        <v>642</v>
      </c>
      <c r="B125" s="1421"/>
      <c r="C125" s="1421"/>
      <c r="D125" s="1421"/>
      <c r="E125" s="1421"/>
      <c r="F125" s="1421"/>
      <c r="G125" s="1421"/>
      <c r="H125" s="1421"/>
      <c r="I125" s="1421"/>
      <c r="J125" s="191"/>
      <c r="K125" s="191"/>
      <c r="L125" s="191"/>
      <c r="M125" s="69"/>
      <c r="N125" s="293"/>
      <c r="O125" s="293"/>
      <c r="P125" s="293"/>
      <c r="Q125" s="136"/>
      <c r="R125" s="136"/>
      <c r="S125" s="136"/>
    </row>
    <row r="126" spans="1:19" ht="16.2">
      <c r="A126" s="572" t="s">
        <v>37</v>
      </c>
      <c r="B126" s="531" t="s">
        <v>7</v>
      </c>
      <c r="C126" s="1309" t="s">
        <v>643</v>
      </c>
      <c r="D126" s="1309"/>
      <c r="E126" s="1309"/>
      <c r="F126" s="1309"/>
      <c r="G126" s="1309"/>
      <c r="H126" s="1309"/>
      <c r="I126" s="1309"/>
      <c r="J126" s="193"/>
      <c r="K126" s="193"/>
      <c r="L126" s="193"/>
      <c r="M126" s="69"/>
      <c r="N126" s="293"/>
      <c r="O126" s="293"/>
      <c r="P126" s="293"/>
      <c r="Q126" s="136"/>
      <c r="R126" s="136"/>
      <c r="S126" s="136"/>
    </row>
    <row r="127" spans="1:19" ht="16.2">
      <c r="A127" s="572" t="s">
        <v>38</v>
      </c>
      <c r="B127" s="531" t="s">
        <v>7</v>
      </c>
      <c r="C127" s="1309" t="s">
        <v>645</v>
      </c>
      <c r="D127" s="1309"/>
      <c r="E127" s="1309"/>
      <c r="F127" s="1309"/>
      <c r="G127" s="1309"/>
      <c r="H127" s="1309"/>
      <c r="I127" s="1309"/>
      <c r="J127" s="193"/>
      <c r="K127" s="193"/>
      <c r="L127" s="193"/>
      <c r="M127" s="69"/>
      <c r="N127" s="293"/>
      <c r="O127" s="293"/>
      <c r="P127" s="293"/>
      <c r="Q127" s="136"/>
      <c r="R127" s="136"/>
      <c r="S127" s="136"/>
    </row>
    <row r="128" spans="1:19" ht="16.2">
      <c r="A128" s="341" t="s">
        <v>39</v>
      </c>
      <c r="B128" s="184" t="s">
        <v>7</v>
      </c>
      <c r="C128" s="1347" t="s">
        <v>644</v>
      </c>
      <c r="D128" s="1347"/>
      <c r="E128" s="1347"/>
      <c r="F128" s="1347"/>
      <c r="G128" s="1347"/>
      <c r="H128" s="1347"/>
      <c r="I128" s="1347"/>
      <c r="J128" s="193"/>
      <c r="K128" s="193"/>
      <c r="L128" s="193"/>
      <c r="M128" s="1412"/>
      <c r="N128" s="1412"/>
      <c r="O128" s="1412"/>
      <c r="P128" s="1412"/>
      <c r="Q128" s="320"/>
      <c r="R128" s="320"/>
      <c r="S128" s="69"/>
    </row>
    <row r="129" spans="1:20" ht="15" customHeight="1">
      <c r="A129" s="341" t="s">
        <v>40</v>
      </c>
      <c r="B129" s="341" t="s">
        <v>41</v>
      </c>
      <c r="C129" s="341" t="s">
        <v>46</v>
      </c>
      <c r="D129" s="974" t="s">
        <v>47</v>
      </c>
      <c r="E129" s="969" t="s">
        <v>1317</v>
      </c>
      <c r="F129" s="738" t="s">
        <v>49</v>
      </c>
      <c r="G129" s="1373" t="s">
        <v>137</v>
      </c>
      <c r="H129" s="1374"/>
      <c r="I129" s="969" t="s">
        <v>176</v>
      </c>
      <c r="J129" s="969" t="s">
        <v>209</v>
      </c>
      <c r="K129" s="128"/>
      <c r="L129" s="348"/>
      <c r="M129" s="45"/>
      <c r="N129" s="69"/>
      <c r="O129" s="69"/>
    </row>
    <row r="130" spans="1:20" ht="21" customHeight="1">
      <c r="A130" s="1207" t="s">
        <v>281</v>
      </c>
      <c r="B130" s="1208" t="s">
        <v>282</v>
      </c>
      <c r="C130" s="1208" t="s">
        <v>737</v>
      </c>
      <c r="D130" s="1413" t="s">
        <v>584</v>
      </c>
      <c r="E130" s="1413" t="s">
        <v>650</v>
      </c>
      <c r="F130" s="1261" t="s">
        <v>1129</v>
      </c>
      <c r="G130" s="1413" t="s">
        <v>581</v>
      </c>
      <c r="H130" s="1413" t="s">
        <v>582</v>
      </c>
      <c r="I130" s="1208" t="s">
        <v>583</v>
      </c>
      <c r="J130" s="1413" t="s">
        <v>578</v>
      </c>
      <c r="K130" s="45"/>
      <c r="L130" s="45"/>
      <c r="M130" s="69"/>
      <c r="N130" s="45"/>
    </row>
    <row r="131" spans="1:20" ht="20.100000000000001" customHeight="1">
      <c r="A131" s="1207"/>
      <c r="B131" s="1208"/>
      <c r="C131" s="1208"/>
      <c r="D131" s="1413"/>
      <c r="E131" s="1413"/>
      <c r="F131" s="1414"/>
      <c r="G131" s="1413"/>
      <c r="H131" s="1413"/>
      <c r="I131" s="1208"/>
      <c r="J131" s="1413"/>
      <c r="K131" s="45"/>
      <c r="L131" s="45"/>
      <c r="M131" s="45"/>
      <c r="N131" s="137"/>
    </row>
    <row r="132" spans="1:20" ht="20.100000000000001" customHeight="1">
      <c r="A132" s="1244"/>
      <c r="B132" s="1159" t="s">
        <v>95</v>
      </c>
      <c r="C132" s="1159" t="s">
        <v>95</v>
      </c>
      <c r="D132" s="1159" t="s">
        <v>95</v>
      </c>
      <c r="E132" s="1159" t="s">
        <v>95</v>
      </c>
      <c r="F132" s="1388" t="s">
        <v>1128</v>
      </c>
      <c r="G132" s="321" t="s">
        <v>573</v>
      </c>
      <c r="H132" s="528" t="s">
        <v>576</v>
      </c>
      <c r="I132" s="573"/>
      <c r="J132" s="1327"/>
      <c r="L132" s="137"/>
      <c r="M132" s="137"/>
      <c r="N132" s="137"/>
    </row>
    <row r="133" spans="1:20" ht="20.100000000000001" customHeight="1">
      <c r="A133" s="1244"/>
      <c r="B133" s="1159"/>
      <c r="C133" s="1159"/>
      <c r="D133" s="1159"/>
      <c r="E133" s="1159"/>
      <c r="F133" s="1389"/>
      <c r="G133" s="321" t="s">
        <v>649</v>
      </c>
      <c r="H133" s="528" t="s">
        <v>576</v>
      </c>
      <c r="I133" s="573"/>
      <c r="J133" s="1327"/>
      <c r="L133" s="137"/>
      <c r="M133" s="137"/>
      <c r="N133" s="137"/>
    </row>
    <row r="134" spans="1:20" ht="20.100000000000001" customHeight="1">
      <c r="A134" s="1244"/>
      <c r="B134" s="1159"/>
      <c r="C134" s="1159"/>
      <c r="D134" s="1159"/>
      <c r="E134" s="1192"/>
      <c r="F134" s="1390"/>
      <c r="G134" s="321" t="s">
        <v>575</v>
      </c>
      <c r="H134" s="528" t="s">
        <v>576</v>
      </c>
      <c r="I134" s="574"/>
      <c r="J134" s="1327"/>
      <c r="L134" s="137"/>
      <c r="M134" s="137"/>
      <c r="N134" s="137"/>
      <c r="O134" s="137"/>
      <c r="P134" s="137"/>
    </row>
    <row r="135" spans="1:20" ht="20.100000000000001" customHeight="1">
      <c r="A135" s="532"/>
      <c r="B135" s="968">
        <v>13</v>
      </c>
      <c r="C135" s="969" t="s">
        <v>263</v>
      </c>
      <c r="D135" s="969" t="s">
        <v>264</v>
      </c>
      <c r="E135" s="969" t="s">
        <v>269</v>
      </c>
      <c r="F135" s="540"/>
      <c r="G135" s="540"/>
      <c r="H135" s="535"/>
      <c r="I135" s="333"/>
      <c r="J135" s="219"/>
      <c r="K135" s="219"/>
      <c r="L135" s="69"/>
      <c r="M135" s="137"/>
      <c r="N135" s="137"/>
      <c r="O135" s="137"/>
    </row>
    <row r="136" spans="1:20" ht="22.5" customHeight="1">
      <c r="A136" s="532"/>
      <c r="B136" s="1400" t="s">
        <v>617</v>
      </c>
      <c r="C136" s="1400"/>
      <c r="D136" s="1400"/>
      <c r="E136" s="1400"/>
      <c r="F136" s="575"/>
      <c r="G136" s="575"/>
      <c r="H136" s="536"/>
      <c r="I136" s="334"/>
      <c r="J136" s="219"/>
      <c r="K136" s="219"/>
      <c r="L136" s="69"/>
      <c r="M136" s="137"/>
      <c r="N136" s="137"/>
      <c r="O136" s="137"/>
    </row>
    <row r="137" spans="1:20" ht="33" customHeight="1">
      <c r="A137" s="532"/>
      <c r="B137" s="505" t="s">
        <v>194</v>
      </c>
      <c r="C137" s="505" t="s">
        <v>581</v>
      </c>
      <c r="D137" s="505" t="s">
        <v>594</v>
      </c>
      <c r="E137" s="505" t="s">
        <v>606</v>
      </c>
      <c r="F137" s="532"/>
      <c r="G137" s="532"/>
      <c r="H137" s="536"/>
      <c r="I137" s="334"/>
      <c r="J137" s="219"/>
      <c r="K137" s="219"/>
      <c r="L137" s="69"/>
      <c r="M137" s="137"/>
      <c r="N137" s="137"/>
      <c r="O137" s="137"/>
      <c r="P137" s="644" t="s">
        <v>996</v>
      </c>
      <c r="Q137" s="644"/>
      <c r="R137" s="644"/>
      <c r="S137" s="644"/>
      <c r="T137" s="644"/>
    </row>
    <row r="138" spans="1:20">
      <c r="A138" s="532"/>
      <c r="B138" s="1399" t="s">
        <v>95</v>
      </c>
      <c r="C138" s="321" t="s">
        <v>268</v>
      </c>
      <c r="D138" s="324"/>
      <c r="E138" s="537" t="s">
        <v>607</v>
      </c>
      <c r="F138" s="532"/>
      <c r="G138" s="532"/>
      <c r="H138" s="536"/>
      <c r="I138" s="334"/>
      <c r="J138" s="219"/>
      <c r="K138" s="219"/>
      <c r="L138" s="69"/>
      <c r="M138" s="137"/>
      <c r="N138" s="137"/>
      <c r="O138" s="137"/>
    </row>
    <row r="139" spans="1:20">
      <c r="A139" s="532"/>
      <c r="B139" s="1399"/>
      <c r="C139" s="321" t="s">
        <v>284</v>
      </c>
      <c r="D139" s="324"/>
      <c r="E139" s="537" t="s">
        <v>608</v>
      </c>
      <c r="F139" s="532"/>
      <c r="G139" s="532"/>
      <c r="H139" s="536"/>
      <c r="I139" s="334"/>
      <c r="J139" s="219"/>
      <c r="K139" s="219"/>
      <c r="L139" s="69"/>
      <c r="M139" s="137"/>
      <c r="N139" s="137"/>
      <c r="O139" s="137"/>
    </row>
    <row r="140" spans="1:20" ht="20.100000000000001" customHeight="1">
      <c r="A140" s="532"/>
      <c r="B140" s="1399"/>
      <c r="C140" s="321" t="s">
        <v>285</v>
      </c>
      <c r="D140" s="324"/>
      <c r="E140" s="537" t="s">
        <v>609</v>
      </c>
      <c r="F140" s="532"/>
      <c r="G140" s="532"/>
      <c r="H140" s="536"/>
      <c r="I140" s="334"/>
      <c r="J140" s="219"/>
      <c r="K140" s="219"/>
      <c r="L140" s="69"/>
      <c r="M140" s="137"/>
      <c r="N140" s="137"/>
      <c r="O140" s="137"/>
    </row>
    <row r="141" spans="1:20" ht="20.100000000000001" customHeight="1">
      <c r="A141" s="532"/>
      <c r="B141" s="968">
        <v>17</v>
      </c>
      <c r="C141" s="969" t="s">
        <v>270</v>
      </c>
      <c r="D141" s="969" t="s">
        <v>271</v>
      </c>
      <c r="E141" s="969" t="s">
        <v>1179</v>
      </c>
      <c r="F141" s="1373" t="s">
        <v>599</v>
      </c>
      <c r="G141" s="1374"/>
      <c r="H141" s="536"/>
      <c r="I141" s="331"/>
      <c r="J141" s="128"/>
      <c r="K141" s="128"/>
      <c r="L141" s="69"/>
      <c r="M141" s="137"/>
      <c r="N141" s="137"/>
      <c r="O141" s="137"/>
    </row>
    <row r="142" spans="1:20" ht="22.5" customHeight="1">
      <c r="A142" s="532"/>
      <c r="B142" s="1375" t="s">
        <v>618</v>
      </c>
      <c r="C142" s="1376"/>
      <c r="D142" s="1376"/>
      <c r="E142" s="1376"/>
      <c r="F142" s="1376"/>
      <c r="G142" s="1377"/>
      <c r="H142" s="575"/>
      <c r="I142" s="331"/>
      <c r="J142" s="128"/>
      <c r="K142" s="128"/>
      <c r="L142" s="69"/>
      <c r="M142" s="137"/>
      <c r="N142" s="137"/>
      <c r="O142" s="137"/>
    </row>
    <row r="143" spans="1:20" ht="23.25" customHeight="1">
      <c r="A143" s="532"/>
      <c r="B143" s="505" t="s">
        <v>652</v>
      </c>
      <c r="C143" s="505" t="s">
        <v>194</v>
      </c>
      <c r="D143" s="505" t="s">
        <v>292</v>
      </c>
      <c r="E143" s="505" t="s">
        <v>293</v>
      </c>
      <c r="F143" s="1371" t="s">
        <v>614</v>
      </c>
      <c r="G143" s="1372"/>
      <c r="H143" s="560"/>
      <c r="I143" s="331"/>
      <c r="J143" s="128"/>
      <c r="K143" s="128"/>
      <c r="L143" s="69"/>
      <c r="M143" s="137"/>
      <c r="N143" s="137"/>
      <c r="O143" s="137"/>
    </row>
    <row r="144" spans="1:20" ht="26.25" customHeight="1">
      <c r="A144" s="532"/>
      <c r="B144" s="1399" t="s">
        <v>95</v>
      </c>
      <c r="C144" s="1399" t="s">
        <v>95</v>
      </c>
      <c r="D144" s="1378" t="s">
        <v>95</v>
      </c>
      <c r="E144" s="1399" t="s">
        <v>95</v>
      </c>
      <c r="F144" s="321" t="s">
        <v>268</v>
      </c>
      <c r="G144" s="541" t="s">
        <v>615</v>
      </c>
      <c r="H144" s="532"/>
      <c r="I144" s="331"/>
      <c r="J144" s="128"/>
      <c r="K144" s="128"/>
      <c r="L144" s="69"/>
      <c r="M144" s="137"/>
      <c r="N144" s="137"/>
      <c r="O144" s="137"/>
    </row>
    <row r="145" spans="1:20" ht="26.25" customHeight="1">
      <c r="A145" s="532"/>
      <c r="B145" s="1399"/>
      <c r="C145" s="1399"/>
      <c r="D145" s="1379"/>
      <c r="E145" s="1399"/>
      <c r="F145" s="321" t="s">
        <v>284</v>
      </c>
      <c r="G145" s="541" t="s">
        <v>615</v>
      </c>
      <c r="H145" s="532"/>
      <c r="I145" s="331"/>
      <c r="J145" s="128"/>
      <c r="K145" s="128"/>
      <c r="L145" s="69"/>
      <c r="M145" s="137"/>
      <c r="N145" s="137"/>
      <c r="O145" s="137"/>
    </row>
    <row r="146" spans="1:20" ht="25.5" customHeight="1">
      <c r="A146" s="532"/>
      <c r="B146" s="1399"/>
      <c r="C146" s="1399"/>
      <c r="D146" s="1380"/>
      <c r="E146" s="1399"/>
      <c r="F146" s="321" t="s">
        <v>285</v>
      </c>
      <c r="G146" s="541" t="s">
        <v>625</v>
      </c>
      <c r="H146" s="532"/>
      <c r="I146" s="319"/>
      <c r="J146" s="128"/>
      <c r="K146" s="128"/>
      <c r="L146" s="69"/>
    </row>
    <row r="147" spans="1:20" ht="25.5" customHeight="1">
      <c r="A147" s="650" t="s">
        <v>610</v>
      </c>
      <c r="B147" s="1417" t="s">
        <v>1097</v>
      </c>
      <c r="C147" s="1418"/>
      <c r="D147" s="1418"/>
      <c r="E147" s="651" t="s">
        <v>754</v>
      </c>
      <c r="F147" s="1417" t="s">
        <v>1098</v>
      </c>
      <c r="G147" s="1419"/>
      <c r="H147" s="545"/>
      <c r="I147" s="128"/>
      <c r="J147" s="128"/>
      <c r="K147" s="331"/>
    </row>
    <row r="148" spans="1:20" ht="29.25" customHeight="1">
      <c r="A148" s="1415" t="s">
        <v>935</v>
      </c>
      <c r="B148" s="1415"/>
      <c r="C148" s="1415"/>
      <c r="D148" s="1415"/>
      <c r="E148" s="1415"/>
      <c r="F148" s="1416"/>
      <c r="G148" s="185" t="s">
        <v>81</v>
      </c>
      <c r="H148" s="87" t="s">
        <v>79</v>
      </c>
      <c r="I148" s="86" t="s">
        <v>80</v>
      </c>
      <c r="M148" s="221"/>
      <c r="N148" s="145"/>
      <c r="O148" s="145"/>
    </row>
    <row r="149" spans="1:20" ht="37.5" customHeight="1">
      <c r="A149" s="1420" t="s">
        <v>1099</v>
      </c>
      <c r="B149" s="1420"/>
      <c r="C149" s="1420"/>
      <c r="D149" s="1420"/>
      <c r="E149" s="1420"/>
      <c r="F149" s="1420"/>
      <c r="G149" s="357"/>
      <c r="H149" s="357"/>
      <c r="I149" s="72"/>
      <c r="J149" s="72"/>
      <c r="M149" s="137"/>
      <c r="N149" s="137"/>
      <c r="O149" s="137"/>
    </row>
    <row r="150" spans="1:20" ht="20.100000000000001" customHeight="1">
      <c r="B150" s="348"/>
      <c r="C150" s="504" t="s">
        <v>586</v>
      </c>
      <c r="D150" s="128"/>
      <c r="E150" s="128"/>
      <c r="F150" s="128"/>
      <c r="G150" s="128"/>
      <c r="H150" s="128"/>
      <c r="I150" s="128"/>
      <c r="J150" s="128"/>
      <c r="K150" s="128"/>
      <c r="L150" s="69"/>
      <c r="M150" s="137"/>
      <c r="N150" s="137"/>
      <c r="O150" s="137"/>
    </row>
    <row r="151" spans="1:20" ht="20.100000000000001" customHeight="1">
      <c r="B151" s="348"/>
      <c r="C151" s="720" t="s">
        <v>738</v>
      </c>
      <c r="D151" s="128"/>
      <c r="E151" s="128"/>
      <c r="F151" s="128"/>
      <c r="G151" s="128"/>
      <c r="H151" s="128"/>
      <c r="I151" s="128"/>
      <c r="J151" s="128"/>
      <c r="K151" s="128"/>
      <c r="M151" s="137"/>
      <c r="N151" s="137"/>
      <c r="O151" s="137"/>
    </row>
    <row r="152" spans="1:20" ht="20.100000000000001" customHeight="1">
      <c r="B152" s="348"/>
      <c r="C152" s="499" t="s">
        <v>752</v>
      </c>
      <c r="D152" s="128"/>
      <c r="E152" s="128"/>
      <c r="F152" s="128"/>
      <c r="G152" s="128"/>
      <c r="H152" s="128"/>
      <c r="I152" s="128"/>
      <c r="J152" s="128"/>
      <c r="K152" s="128"/>
      <c r="M152" s="137"/>
      <c r="N152" s="137"/>
      <c r="O152" s="137"/>
    </row>
    <row r="153" spans="1:20" ht="20.100000000000001" customHeight="1">
      <c r="B153" s="348"/>
      <c r="C153" s="499" t="s">
        <v>840</v>
      </c>
      <c r="D153" s="128"/>
      <c r="E153" s="128"/>
      <c r="F153" s="128"/>
      <c r="G153" s="128"/>
      <c r="H153" s="128"/>
      <c r="I153" s="128"/>
      <c r="J153" s="128"/>
      <c r="K153" s="128"/>
      <c r="M153" s="137"/>
      <c r="N153" s="137"/>
      <c r="O153" s="137"/>
    </row>
    <row r="154" spans="1:20" ht="20.100000000000001" customHeight="1">
      <c r="B154" s="347" t="s">
        <v>585</v>
      </c>
      <c r="C154" s="347" t="s">
        <v>586</v>
      </c>
      <c r="D154" s="731" t="s">
        <v>1330</v>
      </c>
      <c r="E154" s="739" t="s">
        <v>1331</v>
      </c>
      <c r="F154" s="657" t="s">
        <v>589</v>
      </c>
      <c r="G154" s="128"/>
      <c r="H154" s="128"/>
      <c r="I154" s="128"/>
      <c r="J154" s="128"/>
      <c r="K154" s="128"/>
      <c r="M154" s="137"/>
      <c r="N154" s="137"/>
      <c r="O154" s="137"/>
    </row>
    <row r="155" spans="1:20" ht="20.100000000000001" customHeight="1">
      <c r="B155" s="345" t="s">
        <v>648</v>
      </c>
      <c r="C155" s="428" t="s">
        <v>738</v>
      </c>
      <c r="D155" s="340" t="s">
        <v>286</v>
      </c>
      <c r="E155" s="344" t="s">
        <v>111</v>
      </c>
      <c r="F155" s="736" t="s">
        <v>1117</v>
      </c>
      <c r="G155" s="128"/>
      <c r="H155" s="128"/>
      <c r="I155" s="128"/>
      <c r="J155" s="128"/>
      <c r="K155" s="128"/>
      <c r="M155" s="137"/>
      <c r="N155" s="137"/>
      <c r="O155" s="137"/>
    </row>
    <row r="156" spans="1:20" ht="20.100000000000001" customHeight="1">
      <c r="B156" s="345" t="s">
        <v>646</v>
      </c>
      <c r="C156" s="685" t="s">
        <v>1041</v>
      </c>
      <c r="D156" s="340" t="s">
        <v>579</v>
      </c>
      <c r="E156" s="344" t="s">
        <v>651</v>
      </c>
      <c r="F156" s="736" t="s">
        <v>1119</v>
      </c>
      <c r="G156" s="128"/>
      <c r="H156" s="128"/>
      <c r="I156" s="128"/>
      <c r="J156" s="128"/>
      <c r="K156" s="128"/>
      <c r="M156" s="137"/>
      <c r="N156" s="137"/>
      <c r="O156" s="137"/>
    </row>
    <row r="157" spans="1:20">
      <c r="B157" s="345" t="s">
        <v>647</v>
      </c>
      <c r="C157" s="421" t="s">
        <v>739</v>
      </c>
      <c r="D157" s="340" t="s">
        <v>577</v>
      </c>
      <c r="F157" s="657" t="s">
        <v>589</v>
      </c>
      <c r="G157" s="128"/>
      <c r="H157" s="128"/>
      <c r="I157" s="128"/>
      <c r="J157" s="128"/>
      <c r="K157" s="128"/>
      <c r="M157" s="137"/>
      <c r="N157" s="137"/>
      <c r="O157" s="137"/>
      <c r="P157" s="46"/>
      <c r="Q157" s="46"/>
      <c r="R157" s="46"/>
      <c r="S157" s="46"/>
      <c r="T157" s="46"/>
    </row>
    <row r="158" spans="1:20">
      <c r="B158" s="345" t="s">
        <v>283</v>
      </c>
      <c r="C158" s="490" t="s">
        <v>752</v>
      </c>
      <c r="E158" s="45"/>
      <c r="F158" s="736" t="s">
        <v>1119</v>
      </c>
      <c r="G158" s="45"/>
      <c r="H158" s="45"/>
      <c r="M158" s="137"/>
      <c r="N158" s="137"/>
      <c r="O158" s="137"/>
    </row>
    <row r="159" spans="1:20">
      <c r="B159" s="490" t="s">
        <v>774</v>
      </c>
      <c r="C159" s="726" t="s">
        <v>1094</v>
      </c>
      <c r="D159" s="45"/>
      <c r="E159" s="45"/>
      <c r="G159" s="45"/>
      <c r="H159" s="45"/>
      <c r="M159" s="137"/>
      <c r="N159" s="137"/>
      <c r="O159" s="137"/>
    </row>
    <row r="160" spans="1:20">
      <c r="C160" s="490" t="s">
        <v>753</v>
      </c>
      <c r="M160" s="137"/>
      <c r="N160" s="137"/>
      <c r="O160" s="137"/>
    </row>
    <row r="161" spans="2:15">
      <c r="B161" s="347" t="s">
        <v>755</v>
      </c>
      <c r="C161" s="490" t="s">
        <v>840</v>
      </c>
      <c r="M161" s="137"/>
      <c r="N161" s="137"/>
      <c r="O161" s="137"/>
    </row>
    <row r="162" spans="2:15">
      <c r="B162" s="326" t="s">
        <v>591</v>
      </c>
      <c r="C162" s="726" t="s">
        <v>1095</v>
      </c>
      <c r="M162" s="137"/>
      <c r="N162" s="137"/>
      <c r="O162" s="137"/>
    </row>
    <row r="163" spans="2:15">
      <c r="B163" s="326" t="s">
        <v>150</v>
      </c>
      <c r="C163" s="426" t="s">
        <v>1127</v>
      </c>
      <c r="M163" s="137"/>
      <c r="N163" s="137"/>
      <c r="O163" s="137"/>
    </row>
    <row r="164" spans="2:15">
      <c r="B164" s="326" t="s">
        <v>604</v>
      </c>
      <c r="C164" s="664" t="s">
        <v>1322</v>
      </c>
      <c r="M164" s="137"/>
      <c r="N164" s="137"/>
      <c r="O164" s="137"/>
    </row>
    <row r="165" spans="2:15">
      <c r="C165" s="973" t="s">
        <v>1108</v>
      </c>
      <c r="M165" s="137"/>
      <c r="N165" s="137"/>
      <c r="O165" s="137"/>
    </row>
    <row r="166" spans="2:15">
      <c r="C166" s="973" t="s">
        <v>1122</v>
      </c>
      <c r="M166" s="137"/>
      <c r="N166" s="137"/>
      <c r="O166" s="137"/>
    </row>
    <row r="167" spans="2:15">
      <c r="C167" s="973" t="s">
        <v>1316</v>
      </c>
      <c r="M167" s="137"/>
      <c r="N167" s="137"/>
      <c r="O167" s="137"/>
    </row>
    <row r="168" spans="2:15">
      <c r="C168" s="664" t="s">
        <v>1124</v>
      </c>
      <c r="M168" s="137"/>
      <c r="N168" s="137"/>
      <c r="O168" s="137"/>
    </row>
    <row r="169" spans="2:15">
      <c r="C169" s="664" t="s">
        <v>1125</v>
      </c>
      <c r="M169" s="137"/>
      <c r="N169" s="137"/>
      <c r="O169" s="137"/>
    </row>
    <row r="170" spans="2:15">
      <c r="C170" s="664" t="s">
        <v>1126</v>
      </c>
      <c r="M170" s="137"/>
      <c r="N170" s="137"/>
      <c r="O170" s="137"/>
    </row>
    <row r="172" spans="2:15">
      <c r="B172" s="347" t="s">
        <v>653</v>
      </c>
      <c r="C172" s="347" t="s">
        <v>656</v>
      </c>
      <c r="D172" s="347" t="s">
        <v>657</v>
      </c>
      <c r="E172" s="347" t="s">
        <v>601</v>
      </c>
      <c r="M172" s="221"/>
      <c r="N172" s="145"/>
      <c r="O172" s="145"/>
    </row>
    <row r="173" spans="2:15">
      <c r="B173" s="326" t="s">
        <v>654</v>
      </c>
      <c r="C173" s="326" t="s">
        <v>591</v>
      </c>
      <c r="D173" s="326" t="s">
        <v>595</v>
      </c>
      <c r="E173" s="346" t="s">
        <v>111</v>
      </c>
      <c r="M173" s="137"/>
      <c r="N173" s="137"/>
      <c r="O173" s="137"/>
    </row>
    <row r="174" spans="2:15">
      <c r="B174" s="326" t="s">
        <v>655</v>
      </c>
      <c r="C174" s="326" t="s">
        <v>150</v>
      </c>
      <c r="D174" s="326" t="s">
        <v>596</v>
      </c>
      <c r="E174" s="346" t="s">
        <v>107</v>
      </c>
      <c r="M174" s="137"/>
      <c r="N174" s="137"/>
      <c r="O174" s="137"/>
    </row>
    <row r="175" spans="2:15">
      <c r="C175" s="326" t="s">
        <v>604</v>
      </c>
      <c r="M175" s="137"/>
      <c r="N175" s="137"/>
      <c r="O175" s="137"/>
    </row>
    <row r="176" spans="2:15">
      <c r="C176" s="360"/>
      <c r="D176" s="488" t="s">
        <v>657</v>
      </c>
      <c r="M176" s="137"/>
      <c r="N176" s="137"/>
      <c r="O176" s="137"/>
    </row>
    <row r="177" spans="1:12" ht="20.100000000000001" customHeight="1">
      <c r="A177" s="532"/>
      <c r="C177" s="360"/>
      <c r="D177" s="326" t="s">
        <v>596</v>
      </c>
      <c r="F177" s="540"/>
      <c r="G177" s="540"/>
      <c r="H177" s="540"/>
      <c r="I177" s="540"/>
      <c r="J177" s="128"/>
      <c r="K177" s="128"/>
    </row>
    <row r="179" spans="1:12">
      <c r="A179" s="1213" t="s">
        <v>757</v>
      </c>
      <c r="B179" s="1214"/>
      <c r="C179" s="1214"/>
      <c r="D179" s="1214"/>
      <c r="E179" s="1215"/>
    </row>
    <row r="180" spans="1:12">
      <c r="A180" s="341" t="s">
        <v>37</v>
      </c>
      <c r="B180" s="341" t="s">
        <v>38</v>
      </c>
      <c r="C180" s="341" t="s">
        <v>39</v>
      </c>
      <c r="D180" s="341" t="s">
        <v>40</v>
      </c>
      <c r="E180" s="342" t="s">
        <v>41</v>
      </c>
    </row>
    <row r="181" spans="1:12">
      <c r="A181" s="1207" t="s">
        <v>581</v>
      </c>
      <c r="B181" s="1208" t="s">
        <v>620</v>
      </c>
      <c r="C181" s="1208" t="s">
        <v>622</v>
      </c>
      <c r="D181" s="1208"/>
      <c r="E181" s="1210" t="s">
        <v>353</v>
      </c>
    </row>
    <row r="182" spans="1:12">
      <c r="A182" s="1207"/>
      <c r="B182" s="1208"/>
      <c r="C182" s="338" t="s">
        <v>295</v>
      </c>
      <c r="D182" s="338" t="s">
        <v>346</v>
      </c>
      <c r="E182" s="1211"/>
    </row>
    <row r="183" spans="1:12" ht="28.8">
      <c r="A183" s="211" t="s">
        <v>619</v>
      </c>
      <c r="B183" s="335" t="s">
        <v>758</v>
      </c>
      <c r="C183" s="336" t="s">
        <v>759</v>
      </c>
      <c r="D183" s="336" t="s">
        <v>760</v>
      </c>
      <c r="E183" s="200" t="s">
        <v>352</v>
      </c>
    </row>
    <row r="184" spans="1:12" ht="28.8">
      <c r="A184" s="211" t="s">
        <v>621</v>
      </c>
      <c r="B184" s="335" t="s">
        <v>758</v>
      </c>
      <c r="C184" s="336" t="s">
        <v>759</v>
      </c>
      <c r="D184" s="336" t="s">
        <v>761</v>
      </c>
      <c r="E184" s="200" t="s">
        <v>352</v>
      </c>
    </row>
    <row r="185" spans="1:12" ht="28.8">
      <c r="A185" s="211" t="s">
        <v>285</v>
      </c>
      <c r="B185" s="335" t="s">
        <v>758</v>
      </c>
      <c r="C185" s="336" t="s">
        <v>759</v>
      </c>
      <c r="D185" s="336" t="s">
        <v>762</v>
      </c>
      <c r="E185" s="200" t="s">
        <v>352</v>
      </c>
    </row>
    <row r="186" spans="1:12">
      <c r="H186" s="191"/>
      <c r="I186" s="191"/>
      <c r="J186" s="191"/>
      <c r="K186" s="191"/>
      <c r="L186" s="191"/>
    </row>
    <row r="187" spans="1:12" ht="15" customHeight="1">
      <c r="H187" s="304"/>
      <c r="I187" s="1314"/>
      <c r="J187" s="1314"/>
      <c r="K187" s="311"/>
      <c r="L187" s="304"/>
    </row>
    <row r="188" spans="1:12" ht="27.75" customHeight="1">
      <c r="H188" s="306"/>
      <c r="I188" s="1209"/>
      <c r="J188" s="1209"/>
      <c r="K188" s="306"/>
    </row>
    <row r="189" spans="1:12" ht="51.75" customHeight="1">
      <c r="H189" s="306"/>
      <c r="I189" s="306"/>
      <c r="J189" s="306"/>
      <c r="K189" s="306"/>
    </row>
    <row r="190" spans="1:12" ht="51.75" customHeight="1">
      <c r="A190" s="1213" t="s">
        <v>658</v>
      </c>
      <c r="B190" s="1214"/>
      <c r="C190" s="1214"/>
      <c r="D190" s="1214"/>
      <c r="E190" s="1215"/>
      <c r="F190" s="191"/>
      <c r="G190" s="191"/>
      <c r="H190" s="45"/>
      <c r="I190" s="199"/>
      <c r="J190" s="312"/>
    </row>
    <row r="191" spans="1:12" ht="51.75" customHeight="1">
      <c r="A191" s="307" t="s">
        <v>37</v>
      </c>
      <c r="B191" s="307" t="s">
        <v>38</v>
      </c>
      <c r="C191" s="307" t="s">
        <v>39</v>
      </c>
      <c r="D191" s="307" t="s">
        <v>40</v>
      </c>
      <c r="E191" s="308" t="s">
        <v>41</v>
      </c>
      <c r="F191" s="304"/>
      <c r="G191" s="304"/>
      <c r="H191" s="45"/>
      <c r="I191" s="199"/>
      <c r="J191" s="312"/>
    </row>
    <row r="192" spans="1:12">
      <c r="A192" s="1207" t="s">
        <v>581</v>
      </c>
      <c r="B192" s="1208" t="s">
        <v>660</v>
      </c>
      <c r="C192" s="1208" t="s">
        <v>661</v>
      </c>
      <c r="D192" s="1208"/>
      <c r="E192" s="1210" t="s">
        <v>353</v>
      </c>
      <c r="F192" s="306"/>
      <c r="G192" s="306"/>
      <c r="H192" s="45"/>
      <c r="I192" s="199"/>
      <c r="J192" s="312"/>
    </row>
    <row r="193" spans="1:7">
      <c r="A193" s="1207"/>
      <c r="B193" s="1208"/>
      <c r="C193" s="305" t="s">
        <v>295</v>
      </c>
      <c r="D193" s="305" t="s">
        <v>346</v>
      </c>
      <c r="E193" s="1211"/>
      <c r="F193" s="306"/>
      <c r="G193" s="306"/>
    </row>
    <row r="194" spans="1:7" ht="28.8">
      <c r="A194" s="211" t="s">
        <v>619</v>
      </c>
      <c r="B194" s="335" t="s">
        <v>343</v>
      </c>
      <c r="C194" s="336" t="s">
        <v>659</v>
      </c>
      <c r="D194" s="336" t="s">
        <v>662</v>
      </c>
      <c r="E194" s="200" t="s">
        <v>352</v>
      </c>
      <c r="F194" s="312"/>
      <c r="G194" s="45"/>
    </row>
    <row r="195" spans="1:7" ht="28.8">
      <c r="A195" s="211" t="s">
        <v>621</v>
      </c>
      <c r="B195" s="335" t="s">
        <v>343</v>
      </c>
      <c r="C195" s="336" t="s">
        <v>659</v>
      </c>
      <c r="D195" s="336" t="s">
        <v>663</v>
      </c>
      <c r="E195" s="200" t="s">
        <v>352</v>
      </c>
      <c r="F195" s="312"/>
      <c r="G195" s="45"/>
    </row>
    <row r="196" spans="1:7" ht="28.8">
      <c r="A196" s="211" t="s">
        <v>285</v>
      </c>
      <c r="B196" s="335" t="s">
        <v>343</v>
      </c>
      <c r="C196" s="336" t="s">
        <v>659</v>
      </c>
      <c r="D196" s="336" t="s">
        <v>664</v>
      </c>
      <c r="E196" s="200" t="s">
        <v>352</v>
      </c>
      <c r="F196" s="312"/>
      <c r="G196" s="45"/>
    </row>
    <row r="200" spans="1:7">
      <c r="C200" s="91"/>
    </row>
    <row r="201" spans="1:7">
      <c r="C201" s="91"/>
    </row>
    <row r="202" spans="1:7">
      <c r="C202" s="91"/>
    </row>
    <row r="203" spans="1:7">
      <c r="C203" s="91"/>
    </row>
  </sheetData>
  <mergeCells count="148">
    <mergeCell ref="AF36:AH36"/>
    <mergeCell ref="A190:E190"/>
    <mergeCell ref="I187:J187"/>
    <mergeCell ref="A192:A193"/>
    <mergeCell ref="B192:B193"/>
    <mergeCell ref="C192:D192"/>
    <mergeCell ref="E192:E193"/>
    <mergeCell ref="I188:J188"/>
    <mergeCell ref="B47:G47"/>
    <mergeCell ref="C49:C51"/>
    <mergeCell ref="D49:D51"/>
    <mergeCell ref="D55:D57"/>
    <mergeCell ref="E55:E57"/>
    <mergeCell ref="B59:H59"/>
    <mergeCell ref="B49:B51"/>
    <mergeCell ref="B55:B57"/>
    <mergeCell ref="F70:G70"/>
    <mergeCell ref="A65:H65"/>
    <mergeCell ref="C55:C57"/>
    <mergeCell ref="F55:F57"/>
    <mergeCell ref="B53:H53"/>
    <mergeCell ref="G54:H54"/>
    <mergeCell ref="G52:H52"/>
    <mergeCell ref="A63:H63"/>
    <mergeCell ref="A3:J3"/>
    <mergeCell ref="A4:J4"/>
    <mergeCell ref="G5:H5"/>
    <mergeCell ref="M39:P39"/>
    <mergeCell ref="A41:A42"/>
    <mergeCell ref="B41:B42"/>
    <mergeCell ref="C41:C42"/>
    <mergeCell ref="K41:K42"/>
    <mergeCell ref="A15:F15"/>
    <mergeCell ref="C37:K37"/>
    <mergeCell ref="C38:K38"/>
    <mergeCell ref="C39:K39"/>
    <mergeCell ref="I41:I42"/>
    <mergeCell ref="J41:J42"/>
    <mergeCell ref="K5:L5"/>
    <mergeCell ref="D41:D42"/>
    <mergeCell ref="A6:J6"/>
    <mergeCell ref="B5:D5"/>
    <mergeCell ref="E41:E42"/>
    <mergeCell ref="F41:G42"/>
    <mergeCell ref="F40:G40"/>
    <mergeCell ref="A36:K36"/>
    <mergeCell ref="A8:H8"/>
    <mergeCell ref="A12:C12"/>
    <mergeCell ref="K43:K45"/>
    <mergeCell ref="H41:H42"/>
    <mergeCell ref="F43:G44"/>
    <mergeCell ref="C43:C45"/>
    <mergeCell ref="D43:D45"/>
    <mergeCell ref="E43:E45"/>
    <mergeCell ref="A125:I125"/>
    <mergeCell ref="F73:G73"/>
    <mergeCell ref="I64:K64"/>
    <mergeCell ref="A119:F119"/>
    <mergeCell ref="F72:G72"/>
    <mergeCell ref="F69:G69"/>
    <mergeCell ref="A66:H66"/>
    <mergeCell ref="A64:H64"/>
    <mergeCell ref="B62:D62"/>
    <mergeCell ref="F62:G62"/>
    <mergeCell ref="F67:G67"/>
    <mergeCell ref="F68:G68"/>
    <mergeCell ref="A148:F148"/>
    <mergeCell ref="B147:D147"/>
    <mergeCell ref="F147:G147"/>
    <mergeCell ref="A149:F149"/>
    <mergeCell ref="B144:B146"/>
    <mergeCell ref="A179:E179"/>
    <mergeCell ref="A181:A182"/>
    <mergeCell ref="B181:B182"/>
    <mergeCell ref="C181:D181"/>
    <mergeCell ref="E181:E182"/>
    <mergeCell ref="C144:C146"/>
    <mergeCell ref="E144:E146"/>
    <mergeCell ref="M128:P128"/>
    <mergeCell ref="A130:A131"/>
    <mergeCell ref="B130:B131"/>
    <mergeCell ref="C130:C131"/>
    <mergeCell ref="D130:D131"/>
    <mergeCell ref="E130:E131"/>
    <mergeCell ref="G130:G131"/>
    <mergeCell ref="H130:H131"/>
    <mergeCell ref="I130:I131"/>
    <mergeCell ref="J130:J131"/>
    <mergeCell ref="C128:I128"/>
    <mergeCell ref="F130:F131"/>
    <mergeCell ref="G129:H129"/>
    <mergeCell ref="G9:H9"/>
    <mergeCell ref="G10:H10"/>
    <mergeCell ref="G11:H11"/>
    <mergeCell ref="G12:H12"/>
    <mergeCell ref="E9:F9"/>
    <mergeCell ref="E10:F10"/>
    <mergeCell ref="E11:F11"/>
    <mergeCell ref="E12:F12"/>
    <mergeCell ref="A9:B9"/>
    <mergeCell ref="A10:B10"/>
    <mergeCell ref="A11:B11"/>
    <mergeCell ref="B13:C13"/>
    <mergeCell ref="F13:G13"/>
    <mergeCell ref="B14:C14"/>
    <mergeCell ref="F14:G14"/>
    <mergeCell ref="C127:I127"/>
    <mergeCell ref="C126:I126"/>
    <mergeCell ref="J132:J134"/>
    <mergeCell ref="B138:B140"/>
    <mergeCell ref="B136:E136"/>
    <mergeCell ref="B132:B134"/>
    <mergeCell ref="C132:C134"/>
    <mergeCell ref="D132:D134"/>
    <mergeCell ref="E132:E134"/>
    <mergeCell ref="B43:B45"/>
    <mergeCell ref="A21:H21"/>
    <mergeCell ref="A22:B22"/>
    <mergeCell ref="E22:F22"/>
    <mergeCell ref="G22:H22"/>
    <mergeCell ref="F74:G74"/>
    <mergeCell ref="B26:C26"/>
    <mergeCell ref="F26:G26"/>
    <mergeCell ref="B27:C27"/>
    <mergeCell ref="F27:G27"/>
    <mergeCell ref="A28:F28"/>
    <mergeCell ref="F143:G143"/>
    <mergeCell ref="F141:G141"/>
    <mergeCell ref="B142:G142"/>
    <mergeCell ref="D144:D146"/>
    <mergeCell ref="A17:B17"/>
    <mergeCell ref="A16:B16"/>
    <mergeCell ref="G24:H24"/>
    <mergeCell ref="A25:C25"/>
    <mergeCell ref="E25:F25"/>
    <mergeCell ref="G25:H25"/>
    <mergeCell ref="F132:F134"/>
    <mergeCell ref="A132:A134"/>
    <mergeCell ref="A43:A45"/>
    <mergeCell ref="A29:F29"/>
    <mergeCell ref="A30:F30"/>
    <mergeCell ref="A23:B23"/>
    <mergeCell ref="E23:F23"/>
    <mergeCell ref="G23:H23"/>
    <mergeCell ref="A24:B24"/>
    <mergeCell ref="E24:F24"/>
    <mergeCell ref="B115:D115"/>
    <mergeCell ref="A114:D114"/>
  </mergeCells>
  <pageMargins left="0.7" right="0.7" top="0.75" bottom="0.75" header="0.3" footer="0.3"/>
  <pageSetup paperSize="3" orientation="landscape"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767A-7444-444D-B042-353BF648F386}">
  <dimension ref="A1:AH202"/>
  <sheetViews>
    <sheetView topLeftCell="E1" zoomScale="85" zoomScaleNormal="85" workbookViewId="0">
      <selection activeCell="F153" sqref="F153"/>
    </sheetView>
  </sheetViews>
  <sheetFormatPr defaultColWidth="9.44140625" defaultRowHeight="14.4"/>
  <cols>
    <col min="1" max="1" width="21.44140625" style="43" customWidth="1"/>
    <col min="2" max="2" width="25.44140625" style="43" customWidth="1"/>
    <col min="3" max="3" width="47.77734375" style="43" customWidth="1"/>
    <col min="4" max="4" width="27" style="43" customWidth="1"/>
    <col min="5" max="6" width="21.5546875" style="43" customWidth="1"/>
    <col min="7" max="7" width="23.5546875" style="43" customWidth="1"/>
    <col min="8" max="8" width="15.5546875" style="43" customWidth="1"/>
    <col min="9" max="9" width="16.5546875" style="43" customWidth="1"/>
    <col min="10" max="10" width="29.21875" style="43" customWidth="1"/>
    <col min="11" max="11" width="14.5546875" style="43" customWidth="1"/>
    <col min="12" max="12" width="9.44140625" style="43"/>
    <col min="13" max="13" width="13" style="43" customWidth="1"/>
    <col min="14" max="14" width="11.5546875" style="43" customWidth="1"/>
    <col min="15" max="15" width="8.5546875" style="43" customWidth="1"/>
    <col min="16" max="16" width="26.44140625" style="43" customWidth="1"/>
    <col min="17" max="16384" width="9.44140625" style="43"/>
  </cols>
  <sheetData>
    <row r="1" spans="1:19">
      <c r="A1" s="47"/>
      <c r="B1" s="43" t="s">
        <v>50</v>
      </c>
      <c r="C1" s="48"/>
      <c r="D1" s="43" t="s">
        <v>51</v>
      </c>
      <c r="E1" s="135"/>
      <c r="F1" s="43" t="s">
        <v>52</v>
      </c>
      <c r="G1" s="49"/>
      <c r="H1" s="43" t="s">
        <v>53</v>
      </c>
    </row>
    <row r="3" spans="1:19">
      <c r="A3" s="1365" t="s">
        <v>669</v>
      </c>
      <c r="B3" s="1365"/>
      <c r="C3" s="1365"/>
      <c r="D3" s="1365"/>
      <c r="E3" s="1365"/>
      <c r="F3" s="1365"/>
      <c r="G3" s="1365"/>
      <c r="H3" s="1365"/>
      <c r="I3" s="1365"/>
      <c r="J3" s="1365"/>
    </row>
    <row r="4" spans="1:19" ht="27" customHeight="1">
      <c r="A4" s="1432" t="s">
        <v>1202</v>
      </c>
      <c r="B4" s="1432"/>
      <c r="C4" s="1432"/>
      <c r="D4" s="1432"/>
      <c r="E4" s="1432"/>
      <c r="F4" s="1432"/>
      <c r="G4" s="1432"/>
      <c r="H4" s="1432"/>
      <c r="I4" s="1432"/>
      <c r="J4" s="1432"/>
    </row>
    <row r="5" spans="1:19" ht="16.2">
      <c r="A5" s="837" t="s">
        <v>37</v>
      </c>
      <c r="B5" s="1234" t="s">
        <v>785</v>
      </c>
      <c r="C5" s="1235"/>
      <c r="D5" s="1236"/>
      <c r="E5" s="427" t="s">
        <v>749</v>
      </c>
      <c r="F5" s="427" t="s">
        <v>748</v>
      </c>
      <c r="G5" s="1433" t="s">
        <v>1103</v>
      </c>
      <c r="H5" s="1433"/>
      <c r="I5" s="285" t="s">
        <v>563</v>
      </c>
      <c r="J5" s="696" t="s">
        <v>746</v>
      </c>
      <c r="K5" s="1445"/>
      <c r="L5" s="1445"/>
      <c r="N5" s="136"/>
      <c r="O5" s="136"/>
      <c r="P5" s="136"/>
      <c r="Q5" s="136"/>
      <c r="R5" s="136"/>
      <c r="S5" s="136"/>
    </row>
    <row r="6" spans="1:19" ht="15">
      <c r="A6" s="1446" t="s">
        <v>747</v>
      </c>
      <c r="B6" s="1446"/>
      <c r="C6" s="1446"/>
      <c r="D6" s="1446"/>
      <c r="E6" s="1446"/>
      <c r="F6" s="1446"/>
      <c r="G6" s="1446"/>
      <c r="H6" s="1446"/>
      <c r="I6" s="1446"/>
      <c r="J6" s="1446"/>
      <c r="K6" s="890"/>
      <c r="L6" s="890"/>
      <c r="N6" s="136"/>
      <c r="O6" s="136"/>
      <c r="P6" s="136"/>
      <c r="Q6" s="136"/>
      <c r="R6" s="136"/>
      <c r="S6" s="136"/>
    </row>
    <row r="7" spans="1:19" s="895" customFormat="1" ht="18" customHeight="1">
      <c r="A7" s="891"/>
      <c r="B7" s="892"/>
      <c r="C7" s="892"/>
      <c r="D7" s="892"/>
      <c r="E7" s="892"/>
      <c r="F7" s="893"/>
      <c r="G7" s="894"/>
      <c r="H7" s="894"/>
      <c r="I7" s="90"/>
      <c r="J7" s="90"/>
      <c r="K7" s="90"/>
      <c r="L7" s="90"/>
      <c r="M7" s="43"/>
    </row>
    <row r="8" spans="1:19" s="106" customFormat="1">
      <c r="A8" s="1437" t="s">
        <v>874</v>
      </c>
      <c r="B8" s="1437"/>
      <c r="C8" s="1437"/>
      <c r="D8" s="1437"/>
      <c r="E8" s="1437"/>
      <c r="F8" s="1437"/>
      <c r="G8" s="1437"/>
      <c r="H8" s="1437"/>
      <c r="I8" s="896"/>
      <c r="J8" s="896"/>
      <c r="K8" s="43"/>
      <c r="L8" s="43"/>
      <c r="M8" s="43"/>
    </row>
    <row r="9" spans="1:19" s="106" customFormat="1">
      <c r="A9" s="1177" t="s">
        <v>37</v>
      </c>
      <c r="B9" s="1177"/>
      <c r="C9" s="844" t="s">
        <v>38</v>
      </c>
      <c r="D9" s="844" t="s">
        <v>39</v>
      </c>
      <c r="E9" s="1177" t="s">
        <v>40</v>
      </c>
      <c r="F9" s="1177"/>
      <c r="G9" s="1177" t="s">
        <v>41</v>
      </c>
      <c r="H9" s="1177"/>
      <c r="I9" s="897"/>
      <c r="J9" s="897"/>
      <c r="K9" s="43"/>
      <c r="L9" s="43"/>
      <c r="P9" s="898" t="s">
        <v>623</v>
      </c>
    </row>
    <row r="10" spans="1:19" s="106" customFormat="1" ht="30" customHeight="1">
      <c r="A10" s="1207" t="s">
        <v>771</v>
      </c>
      <c r="B10" s="1207"/>
      <c r="C10" s="848" t="s">
        <v>763</v>
      </c>
      <c r="D10" s="848" t="s">
        <v>764</v>
      </c>
      <c r="E10" s="1207" t="s">
        <v>765</v>
      </c>
      <c r="F10" s="1207"/>
      <c r="G10" s="1208" t="s">
        <v>873</v>
      </c>
      <c r="H10" s="1208"/>
      <c r="I10" s="897"/>
      <c r="J10" s="897"/>
      <c r="K10" s="43"/>
      <c r="L10" s="43"/>
      <c r="P10" s="899"/>
    </row>
    <row r="11" spans="1:19" s="106" customFormat="1">
      <c r="A11" s="1409"/>
      <c r="B11" s="1409"/>
      <c r="C11" s="845" t="s">
        <v>95</v>
      </c>
      <c r="D11" s="529">
        <v>550</v>
      </c>
      <c r="E11" s="1409">
        <v>0</v>
      </c>
      <c r="F11" s="1409"/>
      <c r="G11" s="1409">
        <v>250</v>
      </c>
      <c r="H11" s="1409"/>
      <c r="I11" s="897"/>
      <c r="J11" s="897"/>
      <c r="K11" s="43"/>
      <c r="L11" s="43"/>
      <c r="P11" s="899"/>
    </row>
    <row r="12" spans="1:19" s="106" customFormat="1">
      <c r="A12" s="1449"/>
      <c r="B12" s="1450"/>
      <c r="C12" s="1451"/>
      <c r="D12" s="530" t="s">
        <v>81</v>
      </c>
      <c r="E12" s="1411" t="s">
        <v>766</v>
      </c>
      <c r="F12" s="1411"/>
      <c r="G12" s="1410" t="s">
        <v>80</v>
      </c>
      <c r="H12" s="1410"/>
      <c r="I12" s="897"/>
      <c r="J12" s="897"/>
      <c r="K12" s="43"/>
      <c r="L12" s="43"/>
      <c r="P12" s="899"/>
    </row>
    <row r="13" spans="1:19" s="106" customFormat="1" ht="32.25" customHeight="1">
      <c r="A13" s="844" t="s">
        <v>46</v>
      </c>
      <c r="B13" s="1398" t="s">
        <v>768</v>
      </c>
      <c r="C13" s="1398"/>
      <c r="D13" s="498">
        <f>0.4*D11</f>
        <v>220</v>
      </c>
      <c r="E13" s="844" t="s">
        <v>47</v>
      </c>
      <c r="F13" s="1398" t="s">
        <v>767</v>
      </c>
      <c r="G13" s="1398"/>
      <c r="H13" s="435"/>
      <c r="I13" s="897"/>
      <c r="J13" s="897"/>
      <c r="K13" s="43"/>
      <c r="L13" s="43"/>
      <c r="P13" s="899"/>
    </row>
    <row r="14" spans="1:19" s="106" customFormat="1" ht="32.25" customHeight="1">
      <c r="A14" s="844" t="s">
        <v>48</v>
      </c>
      <c r="B14" s="1398" t="s">
        <v>769</v>
      </c>
      <c r="C14" s="1398"/>
      <c r="D14" s="435"/>
      <c r="E14" s="844" t="s">
        <v>49</v>
      </c>
      <c r="F14" s="1398" t="s">
        <v>770</v>
      </c>
      <c r="G14" s="1398"/>
      <c r="H14" s="435"/>
      <c r="I14" s="897"/>
      <c r="J14" s="897"/>
      <c r="K14" s="43"/>
      <c r="L14" s="43"/>
      <c r="P14" s="899"/>
    </row>
    <row r="15" spans="1:19" s="106" customFormat="1" ht="15" customHeight="1">
      <c r="A15" s="1447" t="s">
        <v>990</v>
      </c>
      <c r="B15" s="1447"/>
      <c r="C15" s="1447"/>
      <c r="D15" s="1447"/>
      <c r="E15" s="1447"/>
      <c r="F15" s="1447"/>
      <c r="G15" s="897"/>
      <c r="H15" s="897"/>
      <c r="I15" s="897"/>
      <c r="J15" s="897"/>
      <c r="K15" s="43"/>
      <c r="L15" s="43"/>
      <c r="P15" s="899"/>
    </row>
    <row r="16" spans="1:19" s="106" customFormat="1" ht="14.55" customHeight="1">
      <c r="A16" s="1448" t="s">
        <v>991</v>
      </c>
      <c r="B16" s="1447"/>
      <c r="C16" s="716" t="s">
        <v>1079</v>
      </c>
      <c r="D16" s="900"/>
      <c r="E16" s="900"/>
      <c r="F16" s="900"/>
      <c r="G16" s="897"/>
      <c r="H16" s="897"/>
      <c r="I16" s="897"/>
      <c r="J16" s="897"/>
      <c r="K16" s="43"/>
      <c r="L16" s="43"/>
      <c r="P16" s="899"/>
    </row>
    <row r="17" spans="1:16" s="106" customFormat="1" ht="14.55" customHeight="1">
      <c r="A17" s="1448" t="s">
        <v>875</v>
      </c>
      <c r="B17" s="1447"/>
      <c r="C17" s="901" t="s">
        <v>943</v>
      </c>
      <c r="D17" s="900"/>
      <c r="E17" s="900"/>
      <c r="F17" s="900"/>
      <c r="G17" s="897"/>
      <c r="H17" s="897"/>
      <c r="I17" s="897"/>
      <c r="J17" s="897"/>
      <c r="K17" s="43"/>
      <c r="L17" s="43"/>
      <c r="P17" s="899"/>
    </row>
    <row r="18" spans="1:16" s="106" customFormat="1">
      <c r="A18" s="902"/>
      <c r="B18" s="902"/>
      <c r="C18" s="901" t="s">
        <v>944</v>
      </c>
      <c r="D18" s="902"/>
      <c r="E18" s="902"/>
      <c r="F18" s="902"/>
      <c r="G18" s="897"/>
      <c r="H18" s="897"/>
      <c r="I18" s="897"/>
      <c r="J18" s="897"/>
      <c r="K18" s="43"/>
      <c r="L18" s="43"/>
      <c r="P18" s="899"/>
    </row>
    <row r="19" spans="1:16" s="106" customFormat="1">
      <c r="A19" s="902"/>
      <c r="B19" s="902"/>
      <c r="C19" s="901" t="s">
        <v>1077</v>
      </c>
      <c r="D19" s="902"/>
      <c r="E19" s="902"/>
      <c r="F19" s="902"/>
      <c r="G19" s="897"/>
      <c r="H19" s="897"/>
      <c r="I19" s="897"/>
      <c r="J19" s="897"/>
      <c r="K19" s="43"/>
      <c r="L19" s="43"/>
      <c r="P19" s="899"/>
    </row>
    <row r="20" spans="1:16" s="106" customFormat="1">
      <c r="A20" s="902"/>
      <c r="B20" s="902"/>
      <c r="C20" s="242" t="s">
        <v>1078</v>
      </c>
      <c r="D20" s="902"/>
      <c r="E20" s="902"/>
      <c r="F20" s="902"/>
      <c r="G20" s="897"/>
      <c r="H20" s="897"/>
      <c r="I20" s="897"/>
      <c r="J20" s="897"/>
      <c r="K20" s="43"/>
      <c r="L20" s="43"/>
      <c r="P20" s="899"/>
    </row>
    <row r="21" spans="1:16" s="106" customFormat="1">
      <c r="A21" s="1401" t="s">
        <v>1253</v>
      </c>
      <c r="B21" s="1402"/>
      <c r="C21" s="1402"/>
      <c r="D21" s="1402"/>
      <c r="E21" s="1402"/>
      <c r="F21" s="1402"/>
      <c r="G21" s="1402"/>
      <c r="H21" s="1402"/>
      <c r="I21" s="896"/>
      <c r="J21" s="896"/>
      <c r="K21" s="43"/>
      <c r="L21" s="43"/>
      <c r="M21" s="43"/>
    </row>
    <row r="22" spans="1:16" s="106" customFormat="1">
      <c r="A22" s="1403" t="s">
        <v>37</v>
      </c>
      <c r="B22" s="1403"/>
      <c r="C22" s="866" t="s">
        <v>38</v>
      </c>
      <c r="D22" s="866" t="s">
        <v>39</v>
      </c>
      <c r="E22" s="1403" t="s">
        <v>40</v>
      </c>
      <c r="F22" s="1403"/>
      <c r="G22" s="1403" t="s">
        <v>41</v>
      </c>
      <c r="H22" s="1403"/>
      <c r="I22" s="897"/>
      <c r="J22" s="897"/>
      <c r="K22" s="43"/>
      <c r="L22" s="43"/>
      <c r="P22" s="898"/>
    </row>
    <row r="23" spans="1:16" s="106" customFormat="1" ht="30" customHeight="1">
      <c r="A23" s="1393" t="s">
        <v>771</v>
      </c>
      <c r="B23" s="1393"/>
      <c r="C23" s="869" t="s">
        <v>763</v>
      </c>
      <c r="D23" s="869" t="s">
        <v>764</v>
      </c>
      <c r="E23" s="1259" t="s">
        <v>1073</v>
      </c>
      <c r="F23" s="1393"/>
      <c r="G23" s="1394" t="s">
        <v>873</v>
      </c>
      <c r="H23" s="1394"/>
      <c r="I23" s="897"/>
      <c r="J23" s="897"/>
      <c r="K23" s="43"/>
      <c r="L23" s="43"/>
      <c r="P23" s="899"/>
    </row>
    <row r="24" spans="1:16" s="106" customFormat="1">
      <c r="A24" s="1383"/>
      <c r="B24" s="1383"/>
      <c r="C24" s="656" t="s">
        <v>95</v>
      </c>
      <c r="D24" s="709"/>
      <c r="E24" s="1383">
        <v>0</v>
      </c>
      <c r="F24" s="1383"/>
      <c r="G24" s="1383"/>
      <c r="H24" s="1383"/>
      <c r="I24" s="897"/>
      <c r="J24" s="897"/>
      <c r="K24" s="43"/>
      <c r="L24" s="43"/>
      <c r="P24" s="899"/>
    </row>
    <row r="25" spans="1:16" s="106" customFormat="1">
      <c r="A25" s="1384"/>
      <c r="B25" s="1385"/>
      <c r="C25" s="1386"/>
      <c r="D25" s="868"/>
      <c r="E25" s="1387" t="s">
        <v>766</v>
      </c>
      <c r="F25" s="1387"/>
      <c r="G25" s="1387" t="s">
        <v>80</v>
      </c>
      <c r="H25" s="1387"/>
      <c r="I25" s="897"/>
      <c r="J25" s="897"/>
      <c r="K25" s="43"/>
      <c r="L25" s="43"/>
      <c r="P25" s="899"/>
    </row>
    <row r="26" spans="1:16" s="106" customFormat="1" ht="32.25" customHeight="1">
      <c r="A26" s="866" t="s">
        <v>46</v>
      </c>
      <c r="B26" s="1406" t="s">
        <v>768</v>
      </c>
      <c r="C26" s="1406"/>
      <c r="D26" s="711">
        <f>0.4*D24</f>
        <v>0</v>
      </c>
      <c r="E26" s="866" t="s">
        <v>47</v>
      </c>
      <c r="F26" s="1406" t="s">
        <v>767</v>
      </c>
      <c r="G26" s="1406"/>
      <c r="H26" s="866"/>
      <c r="I26" s="897"/>
      <c r="J26" s="897"/>
      <c r="K26" s="43"/>
      <c r="L26" s="43"/>
      <c r="P26" s="899"/>
    </row>
    <row r="27" spans="1:16" s="106" customFormat="1" ht="32.25" customHeight="1">
      <c r="A27" s="650" t="s">
        <v>48</v>
      </c>
      <c r="B27" s="1407" t="s">
        <v>1075</v>
      </c>
      <c r="C27" s="1408"/>
      <c r="D27" s="650"/>
      <c r="E27" s="650" t="s">
        <v>49</v>
      </c>
      <c r="F27" s="1407" t="s">
        <v>1076</v>
      </c>
      <c r="G27" s="1408"/>
      <c r="H27" s="650"/>
      <c r="I27" s="897"/>
      <c r="J27" s="897"/>
      <c r="K27" s="43"/>
      <c r="L27" s="43"/>
      <c r="P27" s="899"/>
    </row>
    <row r="28" spans="1:16" s="106" customFormat="1" ht="15" customHeight="1">
      <c r="A28" s="1452" t="s">
        <v>990</v>
      </c>
      <c r="B28" s="1452"/>
      <c r="C28" s="1452"/>
      <c r="D28" s="1452"/>
      <c r="E28" s="1452"/>
      <c r="F28" s="1452"/>
      <c r="G28" s="897"/>
      <c r="H28" s="897"/>
      <c r="I28" s="897"/>
      <c r="J28" s="897"/>
      <c r="K28" s="43"/>
      <c r="L28" s="43"/>
      <c r="P28" s="899"/>
    </row>
    <row r="29" spans="1:16" s="106" customFormat="1">
      <c r="A29" s="1391" t="s">
        <v>1074</v>
      </c>
      <c r="B29" s="1452"/>
      <c r="C29" s="1452"/>
      <c r="D29" s="1452"/>
      <c r="E29" s="1452"/>
      <c r="F29" s="1452"/>
      <c r="G29" s="897"/>
      <c r="H29" s="897"/>
      <c r="I29" s="897"/>
      <c r="J29" s="897"/>
      <c r="K29" s="43"/>
      <c r="L29" s="43"/>
      <c r="P29" s="899"/>
    </row>
    <row r="30" spans="1:16" s="106" customFormat="1">
      <c r="A30" s="1391" t="s">
        <v>1254</v>
      </c>
      <c r="B30" s="1452"/>
      <c r="C30" s="1452"/>
      <c r="D30" s="1452"/>
      <c r="E30" s="1452"/>
      <c r="F30" s="1452"/>
      <c r="G30" s="897"/>
      <c r="H30" s="897"/>
      <c r="I30" s="897"/>
      <c r="J30" s="897"/>
      <c r="K30" s="43"/>
      <c r="L30" s="43"/>
      <c r="P30" s="899"/>
    </row>
    <row r="31" spans="1:16" s="106" customFormat="1">
      <c r="A31" s="902"/>
      <c r="B31" s="902"/>
      <c r="C31" s="717" t="s">
        <v>1079</v>
      </c>
      <c r="D31" s="902"/>
      <c r="E31" s="902"/>
      <c r="F31" s="902"/>
      <c r="G31" s="897"/>
      <c r="H31" s="897"/>
      <c r="I31" s="897"/>
      <c r="J31" s="897"/>
      <c r="K31" s="43"/>
      <c r="L31" s="43"/>
      <c r="P31" s="899"/>
    </row>
    <row r="32" spans="1:16" s="106" customFormat="1">
      <c r="A32" s="902"/>
      <c r="B32" s="902"/>
      <c r="C32" s="714" t="s">
        <v>943</v>
      </c>
      <c r="D32" s="902"/>
      <c r="E32" s="902"/>
      <c r="F32" s="902"/>
      <c r="G32" s="897"/>
      <c r="H32" s="897"/>
      <c r="I32" s="897"/>
      <c r="J32" s="897"/>
      <c r="K32" s="43"/>
      <c r="L32" s="43"/>
      <c r="P32" s="899"/>
    </row>
    <row r="33" spans="1:34" s="106" customFormat="1">
      <c r="A33" s="902"/>
      <c r="B33" s="902"/>
      <c r="C33" s="714" t="s">
        <v>944</v>
      </c>
      <c r="D33" s="902"/>
      <c r="E33" s="902"/>
      <c r="F33" s="902"/>
      <c r="G33" s="897"/>
      <c r="H33" s="897"/>
      <c r="I33" s="897"/>
      <c r="J33" s="897"/>
      <c r="K33" s="43"/>
      <c r="L33" s="43"/>
      <c r="P33" s="747" t="s">
        <v>1139</v>
      </c>
      <c r="Q33" s="748"/>
      <c r="R33" s="748"/>
      <c r="S33" s="748"/>
      <c r="T33" s="748"/>
      <c r="U33" s="749"/>
      <c r="V33" s="749"/>
      <c r="W33" s="749"/>
      <c r="X33" s="749"/>
      <c r="Y33" s="749"/>
      <c r="Z33" s="749"/>
      <c r="AA33" s="749"/>
      <c r="AB33" s="749"/>
    </row>
    <row r="34" spans="1:34" s="106" customFormat="1">
      <c r="A34" s="897"/>
      <c r="B34" s="897"/>
      <c r="C34" s="714" t="s">
        <v>1077</v>
      </c>
      <c r="D34" s="897"/>
      <c r="E34" s="897"/>
      <c r="F34" s="897"/>
      <c r="G34" s="897"/>
      <c r="H34" s="897"/>
      <c r="I34" s="897"/>
      <c r="J34" s="897"/>
      <c r="K34" s="43"/>
      <c r="L34" s="43"/>
    </row>
    <row r="35" spans="1:34" ht="15.6">
      <c r="A35" s="903"/>
      <c r="B35" s="904"/>
      <c r="C35" s="870" t="s">
        <v>1078</v>
      </c>
      <c r="D35" s="904"/>
      <c r="E35" s="904"/>
      <c r="F35" s="905"/>
      <c r="G35" s="905"/>
      <c r="H35" s="905"/>
      <c r="I35" s="905"/>
      <c r="J35" s="906"/>
      <c r="K35" s="906"/>
      <c r="N35" s="136"/>
      <c r="O35" s="136"/>
      <c r="P35" s="907" t="s">
        <v>597</v>
      </c>
      <c r="Q35" s="136"/>
      <c r="R35" s="136"/>
      <c r="S35" s="136"/>
    </row>
    <row r="36" spans="1:34">
      <c r="A36" s="1163" t="s">
        <v>930</v>
      </c>
      <c r="B36" s="1163"/>
      <c r="C36" s="1163"/>
      <c r="D36" s="1163"/>
      <c r="E36" s="1163"/>
      <c r="F36" s="1163"/>
      <c r="G36" s="1163"/>
      <c r="H36" s="1163"/>
      <c r="I36" s="1163"/>
      <c r="J36" s="1163"/>
      <c r="K36" s="1163"/>
      <c r="L36" s="908"/>
      <c r="N36" s="136"/>
      <c r="O36" s="136"/>
      <c r="P36" s="136"/>
      <c r="Q36" s="136"/>
      <c r="R36" s="136"/>
      <c r="S36" s="136"/>
      <c r="AF36" s="1198" t="s">
        <v>1006</v>
      </c>
      <c r="AG36" s="1198"/>
      <c r="AH36" s="1198"/>
    </row>
    <row r="37" spans="1:34" ht="16.2">
      <c r="A37" s="850" t="s">
        <v>37</v>
      </c>
      <c r="B37" s="184" t="s">
        <v>7</v>
      </c>
      <c r="C37" s="1300" t="s">
        <v>931</v>
      </c>
      <c r="D37" s="1300"/>
      <c r="E37" s="1300"/>
      <c r="F37" s="1300"/>
      <c r="G37" s="1300"/>
      <c r="H37" s="1300"/>
      <c r="I37" s="1300"/>
      <c r="J37" s="1300"/>
      <c r="K37" s="1300"/>
      <c r="L37" s="106"/>
      <c r="N37" s="136"/>
      <c r="O37" s="136"/>
      <c r="P37" s="136"/>
      <c r="Q37" s="136"/>
      <c r="R37" s="136"/>
      <c r="S37" s="136"/>
    </row>
    <row r="38" spans="1:34" ht="16.2">
      <c r="A38" s="850" t="s">
        <v>38</v>
      </c>
      <c r="B38" s="184" t="s">
        <v>7</v>
      </c>
      <c r="C38" s="1300" t="s">
        <v>932</v>
      </c>
      <c r="D38" s="1300"/>
      <c r="E38" s="1300"/>
      <c r="F38" s="1300"/>
      <c r="G38" s="1300"/>
      <c r="H38" s="1300"/>
      <c r="I38" s="1300"/>
      <c r="J38" s="1300"/>
      <c r="K38" s="1300"/>
      <c r="L38" s="106"/>
      <c r="N38" s="136"/>
      <c r="O38" s="136"/>
      <c r="P38" s="136"/>
      <c r="Q38" s="136"/>
      <c r="R38" s="136"/>
      <c r="S38" s="136"/>
    </row>
    <row r="39" spans="1:34" ht="16.2">
      <c r="A39" s="850" t="s">
        <v>39</v>
      </c>
      <c r="B39" s="184" t="s">
        <v>7</v>
      </c>
      <c r="C39" s="1300" t="s">
        <v>933</v>
      </c>
      <c r="D39" s="1300"/>
      <c r="E39" s="1300"/>
      <c r="F39" s="1300"/>
      <c r="G39" s="1300"/>
      <c r="H39" s="1300"/>
      <c r="I39" s="1300"/>
      <c r="J39" s="1300"/>
      <c r="K39" s="1300"/>
      <c r="L39" s="106"/>
      <c r="M39" s="1453"/>
      <c r="N39" s="1453"/>
      <c r="O39" s="1453"/>
      <c r="P39" s="1453"/>
      <c r="Q39" s="909"/>
      <c r="R39" s="909"/>
    </row>
    <row r="40" spans="1:34" ht="15" customHeight="1">
      <c r="A40" s="850" t="s">
        <v>40</v>
      </c>
      <c r="B40" s="850" t="s">
        <v>41</v>
      </c>
      <c r="C40" s="850" t="s">
        <v>46</v>
      </c>
      <c r="D40" s="844" t="s">
        <v>47</v>
      </c>
      <c r="E40" s="844" t="s">
        <v>48</v>
      </c>
      <c r="F40" s="1177" t="s">
        <v>49</v>
      </c>
      <c r="G40" s="1177"/>
      <c r="H40" s="844" t="s">
        <v>137</v>
      </c>
      <c r="I40" s="844" t="s">
        <v>176</v>
      </c>
      <c r="J40" s="844" t="s">
        <v>209</v>
      </c>
      <c r="K40" s="180">
        <v>13</v>
      </c>
    </row>
    <row r="41" spans="1:34" ht="21" customHeight="1">
      <c r="A41" s="1207" t="s">
        <v>281</v>
      </c>
      <c r="B41" s="1208" t="s">
        <v>282</v>
      </c>
      <c r="C41" s="1208" t="s">
        <v>737</v>
      </c>
      <c r="D41" s="1436" t="s">
        <v>1120</v>
      </c>
      <c r="E41" s="1413" t="s">
        <v>572</v>
      </c>
      <c r="F41" s="1413" t="s">
        <v>584</v>
      </c>
      <c r="G41" s="1413"/>
      <c r="H41" s="1413" t="s">
        <v>581</v>
      </c>
      <c r="I41" s="1413" t="s">
        <v>582</v>
      </c>
      <c r="J41" s="1208" t="s">
        <v>583</v>
      </c>
      <c r="K41" s="1413" t="s">
        <v>578</v>
      </c>
    </row>
    <row r="42" spans="1:34" ht="20.100000000000001" customHeight="1">
      <c r="A42" s="1207"/>
      <c r="B42" s="1208"/>
      <c r="C42" s="1208"/>
      <c r="D42" s="1436"/>
      <c r="E42" s="1413"/>
      <c r="F42" s="1413"/>
      <c r="G42" s="1413"/>
      <c r="H42" s="1413"/>
      <c r="I42" s="1413"/>
      <c r="J42" s="1208"/>
      <c r="K42" s="1413"/>
      <c r="M42" s="906"/>
      <c r="N42" s="906"/>
      <c r="O42" s="906"/>
    </row>
    <row r="43" spans="1:34" ht="20.100000000000001" customHeight="1">
      <c r="A43" s="1244"/>
      <c r="B43" s="1159" t="s">
        <v>95</v>
      </c>
      <c r="C43" s="1159" t="s">
        <v>95</v>
      </c>
      <c r="D43" s="1159" t="s">
        <v>95</v>
      </c>
      <c r="E43" s="1159" t="s">
        <v>95</v>
      </c>
      <c r="F43" s="1159" t="s">
        <v>95</v>
      </c>
      <c r="G43" s="1159"/>
      <c r="H43" s="321" t="s">
        <v>573</v>
      </c>
      <c r="I43" s="845" t="s">
        <v>576</v>
      </c>
      <c r="J43" s="853"/>
      <c r="K43" s="1327"/>
      <c r="M43" s="906"/>
      <c r="N43" s="906"/>
      <c r="O43" s="906"/>
    </row>
    <row r="44" spans="1:34" ht="20.100000000000001" customHeight="1">
      <c r="A44" s="1244"/>
      <c r="B44" s="1159"/>
      <c r="C44" s="1159"/>
      <c r="D44" s="1159"/>
      <c r="E44" s="1159"/>
      <c r="F44" s="1159"/>
      <c r="G44" s="1159"/>
      <c r="H44" s="321" t="s">
        <v>574</v>
      </c>
      <c r="I44" s="845" t="s">
        <v>576</v>
      </c>
      <c r="J44" s="853"/>
      <c r="K44" s="1327"/>
      <c r="M44" s="906"/>
      <c r="N44" s="906"/>
      <c r="O44" s="906"/>
    </row>
    <row r="45" spans="1:34" ht="20.100000000000001" customHeight="1">
      <c r="A45" s="1244"/>
      <c r="B45" s="1159"/>
      <c r="C45" s="1159"/>
      <c r="D45" s="1159"/>
      <c r="E45" s="1159"/>
      <c r="F45" s="531" t="s">
        <v>7</v>
      </c>
      <c r="G45" s="662" t="s">
        <v>1003</v>
      </c>
      <c r="H45" s="321" t="s">
        <v>575</v>
      </c>
      <c r="I45" s="845" t="s">
        <v>576</v>
      </c>
      <c r="J45" s="143"/>
      <c r="K45" s="1327"/>
      <c r="M45" s="906"/>
      <c r="N45" s="906"/>
      <c r="O45" s="906"/>
    </row>
    <row r="46" spans="1:34" ht="20.100000000000001" customHeight="1">
      <c r="A46" s="532"/>
      <c r="B46" s="859">
        <v>14</v>
      </c>
      <c r="C46" s="852">
        <v>15</v>
      </c>
      <c r="D46" s="852">
        <v>16</v>
      </c>
      <c r="E46" s="852">
        <v>17</v>
      </c>
      <c r="F46" s="852" t="s">
        <v>270</v>
      </c>
      <c r="G46" s="852" t="s">
        <v>271</v>
      </c>
      <c r="H46" s="910"/>
      <c r="I46" s="910"/>
      <c r="J46" s="911"/>
      <c r="K46" s="912"/>
      <c r="M46" s="906"/>
      <c r="N46" s="906"/>
      <c r="O46" s="906"/>
      <c r="AC46" s="43" t="s">
        <v>918</v>
      </c>
      <c r="AD46" s="43">
        <f>AD47+(AD48*AD49)</f>
        <v>0.9900500000000001</v>
      </c>
    </row>
    <row r="47" spans="1:34" ht="22.5" customHeight="1">
      <c r="A47" s="532"/>
      <c r="B47" s="1400" t="s">
        <v>617</v>
      </c>
      <c r="C47" s="1400"/>
      <c r="D47" s="1400"/>
      <c r="E47" s="1400"/>
      <c r="F47" s="1400"/>
      <c r="G47" s="1400"/>
      <c r="H47" s="913"/>
      <c r="I47" s="913"/>
      <c r="J47" s="914"/>
      <c r="K47" s="915"/>
      <c r="M47" s="906"/>
      <c r="N47" s="906"/>
      <c r="O47" s="906"/>
      <c r="AC47" s="43" t="s">
        <v>919</v>
      </c>
      <c r="AD47" s="43">
        <v>0.437</v>
      </c>
    </row>
    <row r="48" spans="1:34" ht="24">
      <c r="A48" s="532"/>
      <c r="B48" s="854" t="s">
        <v>876</v>
      </c>
      <c r="C48" s="854" t="s">
        <v>194</v>
      </c>
      <c r="D48" s="854" t="s">
        <v>292</v>
      </c>
      <c r="E48" s="721" t="s">
        <v>581</v>
      </c>
      <c r="F48" s="722" t="s">
        <v>594</v>
      </c>
      <c r="G48" s="854" t="s">
        <v>606</v>
      </c>
      <c r="H48" s="913"/>
      <c r="I48" s="913"/>
      <c r="J48" s="914"/>
      <c r="K48" s="915"/>
      <c r="M48" s="906"/>
      <c r="N48" s="906"/>
      <c r="O48" s="906"/>
      <c r="AC48" s="43" t="s">
        <v>920</v>
      </c>
      <c r="AD48" s="43">
        <v>1.2290000000000001</v>
      </c>
    </row>
    <row r="49" spans="1:30">
      <c r="A49" s="532"/>
      <c r="B49" s="1442" t="s">
        <v>95</v>
      </c>
      <c r="C49" s="1438" t="s">
        <v>95</v>
      </c>
      <c r="D49" s="1438" t="s">
        <v>95</v>
      </c>
      <c r="E49" s="183" t="s">
        <v>268</v>
      </c>
      <c r="F49" s="324"/>
      <c r="G49" s="723" t="s">
        <v>607</v>
      </c>
      <c r="H49" s="913"/>
      <c r="I49" s="913"/>
      <c r="J49" s="914"/>
      <c r="K49" s="915"/>
      <c r="M49" s="906"/>
      <c r="N49" s="906"/>
      <c r="O49" s="906"/>
      <c r="AC49" s="43" t="s">
        <v>921</v>
      </c>
      <c r="AD49" s="43">
        <v>0.45</v>
      </c>
    </row>
    <row r="50" spans="1:30">
      <c r="A50" s="532"/>
      <c r="B50" s="1442"/>
      <c r="C50" s="1439"/>
      <c r="D50" s="1439"/>
      <c r="E50" s="183" t="s">
        <v>284</v>
      </c>
      <c r="F50" s="324"/>
      <c r="G50" s="723" t="s">
        <v>608</v>
      </c>
      <c r="H50" s="913"/>
      <c r="I50" s="913"/>
      <c r="J50" s="914"/>
      <c r="K50" s="915"/>
      <c r="M50" s="906"/>
      <c r="N50" s="906"/>
      <c r="O50" s="906"/>
    </row>
    <row r="51" spans="1:30" ht="20.100000000000001" customHeight="1">
      <c r="A51" s="532"/>
      <c r="B51" s="1442"/>
      <c r="C51" s="1440"/>
      <c r="D51" s="1440"/>
      <c r="E51" s="183" t="s">
        <v>285</v>
      </c>
      <c r="F51" s="324"/>
      <c r="G51" s="723" t="s">
        <v>609</v>
      </c>
      <c r="H51" s="916"/>
      <c r="I51" s="916"/>
      <c r="J51" s="917"/>
      <c r="K51" s="918"/>
      <c r="M51" s="906"/>
      <c r="N51" s="906"/>
      <c r="O51" s="906"/>
    </row>
    <row r="52" spans="1:30" ht="20.100000000000001" customHeight="1">
      <c r="A52" s="532"/>
      <c r="B52" s="846">
        <v>20</v>
      </c>
      <c r="C52" s="847" t="s">
        <v>599</v>
      </c>
      <c r="D52" s="847" t="s">
        <v>610</v>
      </c>
      <c r="E52" s="847" t="s">
        <v>611</v>
      </c>
      <c r="F52" s="847" t="s">
        <v>616</v>
      </c>
      <c r="G52" s="1219" t="s">
        <v>627</v>
      </c>
      <c r="H52" s="1219"/>
      <c r="I52" s="919"/>
      <c r="J52" s="920"/>
      <c r="K52" s="921"/>
      <c r="M52" s="906"/>
      <c r="N52" s="906"/>
      <c r="O52" s="906"/>
    </row>
    <row r="53" spans="1:30" ht="22.5" customHeight="1">
      <c r="A53" s="532"/>
      <c r="B53" s="1400" t="s">
        <v>618</v>
      </c>
      <c r="C53" s="1400"/>
      <c r="D53" s="1400"/>
      <c r="E53" s="1400"/>
      <c r="F53" s="1400"/>
      <c r="G53" s="1400"/>
      <c r="H53" s="1400"/>
      <c r="I53" s="922"/>
      <c r="J53" s="897"/>
      <c r="K53" s="923"/>
      <c r="M53" s="906"/>
      <c r="N53" s="906"/>
      <c r="O53" s="906"/>
    </row>
    <row r="54" spans="1:30" ht="30.75" customHeight="1">
      <c r="A54" s="532"/>
      <c r="B54" s="848" t="s">
        <v>600</v>
      </c>
      <c r="C54" s="854" t="s">
        <v>876</v>
      </c>
      <c r="D54" s="848" t="s">
        <v>194</v>
      </c>
      <c r="E54" s="848" t="s">
        <v>292</v>
      </c>
      <c r="F54" s="848" t="s">
        <v>293</v>
      </c>
      <c r="G54" s="1371" t="s">
        <v>614</v>
      </c>
      <c r="H54" s="1372"/>
      <c r="I54" s="922"/>
      <c r="J54" s="897"/>
      <c r="K54" s="923"/>
      <c r="M54" s="906"/>
      <c r="N54" s="906"/>
      <c r="O54" s="906"/>
    </row>
    <row r="55" spans="1:30" ht="24">
      <c r="A55" s="532"/>
      <c r="B55" s="1399" t="s">
        <v>95</v>
      </c>
      <c r="C55" s="1399" t="s">
        <v>95</v>
      </c>
      <c r="D55" s="1378" t="s">
        <v>95</v>
      </c>
      <c r="E55" s="1378" t="s">
        <v>95</v>
      </c>
      <c r="F55" s="1378" t="s">
        <v>95</v>
      </c>
      <c r="G55" s="321" t="s">
        <v>268</v>
      </c>
      <c r="H55" s="861" t="s">
        <v>615</v>
      </c>
      <c r="I55" s="922"/>
      <c r="J55" s="897"/>
      <c r="K55" s="923"/>
      <c r="M55" s="906"/>
      <c r="N55" s="906"/>
      <c r="O55" s="906"/>
    </row>
    <row r="56" spans="1:30" ht="24">
      <c r="A56" s="532"/>
      <c r="B56" s="1399"/>
      <c r="C56" s="1399"/>
      <c r="D56" s="1379"/>
      <c r="E56" s="1379"/>
      <c r="F56" s="1379"/>
      <c r="G56" s="321" t="s">
        <v>284</v>
      </c>
      <c r="H56" s="861" t="s">
        <v>615</v>
      </c>
      <c r="I56" s="922"/>
      <c r="J56" s="897"/>
      <c r="K56" s="923"/>
      <c r="M56" s="906"/>
      <c r="N56" s="906"/>
      <c r="O56" s="906"/>
    </row>
    <row r="57" spans="1:30" ht="20.100000000000001" customHeight="1">
      <c r="A57" s="532"/>
      <c r="B57" s="1399"/>
      <c r="C57" s="1399"/>
      <c r="D57" s="1380"/>
      <c r="E57" s="1380"/>
      <c r="F57" s="1380"/>
      <c r="G57" s="321" t="s">
        <v>285</v>
      </c>
      <c r="H57" s="861" t="s">
        <v>625</v>
      </c>
      <c r="I57" s="924"/>
      <c r="J57" s="925"/>
      <c r="K57" s="926"/>
      <c r="M57" s="906"/>
      <c r="N57" s="906"/>
      <c r="O57" s="906"/>
    </row>
    <row r="58" spans="1:30" ht="20.100000000000001" customHeight="1">
      <c r="B58" s="180">
        <v>26</v>
      </c>
      <c r="C58" s="844" t="s">
        <v>628</v>
      </c>
      <c r="D58" s="844" t="s">
        <v>629</v>
      </c>
      <c r="E58" s="844" t="s">
        <v>630</v>
      </c>
      <c r="F58" s="844" t="s">
        <v>631</v>
      </c>
      <c r="G58" s="844" t="s">
        <v>632</v>
      </c>
      <c r="H58" s="844" t="s">
        <v>634</v>
      </c>
      <c r="I58" s="920"/>
      <c r="J58" s="920"/>
      <c r="K58" s="921"/>
      <c r="M58" s="906"/>
      <c r="N58" s="906"/>
      <c r="O58" s="906"/>
    </row>
    <row r="59" spans="1:30" ht="43.5" customHeight="1">
      <c r="B59" s="1441" t="s">
        <v>1096</v>
      </c>
      <c r="C59" s="1441"/>
      <c r="D59" s="1441"/>
      <c r="E59" s="1441"/>
      <c r="F59" s="1441"/>
      <c r="G59" s="1441"/>
      <c r="H59" s="1441"/>
      <c r="I59" s="897"/>
      <c r="J59" s="897"/>
      <c r="K59" s="923"/>
      <c r="M59" s="906"/>
      <c r="N59" s="906"/>
      <c r="O59" s="906"/>
      <c r="AB59" s="43" t="s">
        <v>922</v>
      </c>
      <c r="AC59" s="43">
        <f>0.08+(0.86*AC60)</f>
        <v>0.35520000000000002</v>
      </c>
    </row>
    <row r="60" spans="1:30" ht="40.5" customHeight="1">
      <c r="B60" s="848" t="s">
        <v>633</v>
      </c>
      <c r="C60" s="648" t="s">
        <v>997</v>
      </c>
      <c r="D60" s="840" t="s">
        <v>1000</v>
      </c>
      <c r="E60" s="840" t="s">
        <v>1101</v>
      </c>
      <c r="F60" s="840" t="s">
        <v>1102</v>
      </c>
      <c r="G60" s="840" t="s">
        <v>1001</v>
      </c>
      <c r="H60" s="848" t="s">
        <v>296</v>
      </c>
      <c r="I60" s="897"/>
      <c r="J60" s="897"/>
      <c r="K60" s="923"/>
      <c r="M60" s="906"/>
      <c r="N60" s="906"/>
      <c r="O60" s="906"/>
      <c r="AB60" s="43" t="s">
        <v>923</v>
      </c>
      <c r="AC60" s="43">
        <v>0.32</v>
      </c>
    </row>
    <row r="61" spans="1:30" ht="25.5" customHeight="1">
      <c r="A61" s="532"/>
      <c r="B61" s="543"/>
      <c r="C61" s="656" t="s">
        <v>95</v>
      </c>
      <c r="D61" s="544"/>
      <c r="E61" s="544"/>
      <c r="F61" s="544"/>
      <c r="G61" s="661" t="s">
        <v>1002</v>
      </c>
      <c r="H61" s="652" t="s">
        <v>635</v>
      </c>
      <c r="I61" s="897"/>
      <c r="J61" s="897"/>
      <c r="K61" s="923"/>
    </row>
    <row r="62" spans="1:30" ht="25.5" customHeight="1">
      <c r="A62" s="650" t="s">
        <v>750</v>
      </c>
      <c r="B62" s="1417" t="s">
        <v>992</v>
      </c>
      <c r="C62" s="1418"/>
      <c r="D62" s="1418"/>
      <c r="E62" s="863" t="s">
        <v>751</v>
      </c>
      <c r="F62" s="1429" t="s">
        <v>993</v>
      </c>
      <c r="G62" s="1429"/>
      <c r="H62" s="927"/>
      <c r="I62" s="897"/>
      <c r="J62" s="897"/>
      <c r="K62" s="923"/>
    </row>
    <row r="63" spans="1:30" ht="29.25" customHeight="1">
      <c r="A63" s="1454" t="s">
        <v>965</v>
      </c>
      <c r="B63" s="1454"/>
      <c r="C63" s="1454"/>
      <c r="D63" s="1454"/>
      <c r="E63" s="1454"/>
      <c r="F63" s="1454"/>
      <c r="G63" s="1454"/>
      <c r="H63" s="1455"/>
      <c r="I63" s="185" t="s">
        <v>81</v>
      </c>
      <c r="J63" s="87" t="s">
        <v>79</v>
      </c>
      <c r="K63" s="86" t="s">
        <v>80</v>
      </c>
      <c r="M63" s="928"/>
      <c r="N63" s="929"/>
      <c r="O63" s="929"/>
    </row>
    <row r="64" spans="1:30" ht="29.25" customHeight="1">
      <c r="A64" s="1456" t="s">
        <v>1090</v>
      </c>
      <c r="B64" s="1456"/>
      <c r="C64" s="1456"/>
      <c r="D64" s="1456"/>
      <c r="E64" s="1456"/>
      <c r="F64" s="1456"/>
      <c r="G64" s="1456"/>
      <c r="H64" s="1456"/>
      <c r="I64" s="1457"/>
      <c r="J64" s="1457"/>
      <c r="K64" s="1457"/>
      <c r="L64" s="43">
        <v>0.22</v>
      </c>
      <c r="M64" s="928" t="s">
        <v>284</v>
      </c>
      <c r="N64" s="929"/>
      <c r="O64" s="929"/>
    </row>
    <row r="65" spans="1:18" ht="29.25" customHeight="1">
      <c r="A65" s="1461" t="s">
        <v>1091</v>
      </c>
      <c r="B65" s="1461"/>
      <c r="C65" s="1461"/>
      <c r="D65" s="1461"/>
      <c r="E65" s="1461"/>
      <c r="F65" s="1461"/>
      <c r="G65" s="1461"/>
      <c r="H65" s="1461"/>
      <c r="I65" s="6"/>
      <c r="J65" s="6"/>
      <c r="N65" s="929"/>
      <c r="O65" s="929"/>
    </row>
    <row r="66" spans="1:18" ht="29.25" customHeight="1">
      <c r="A66" s="1461" t="s">
        <v>1092</v>
      </c>
      <c r="B66" s="1461"/>
      <c r="C66" s="1461"/>
      <c r="D66" s="1461"/>
      <c r="E66" s="1461"/>
      <c r="F66" s="1461"/>
      <c r="G66" s="1461"/>
      <c r="H66" s="1461"/>
      <c r="I66" s="6"/>
      <c r="J66" s="6"/>
      <c r="N66" s="929"/>
      <c r="O66" s="929"/>
    </row>
    <row r="67" spans="1:18" ht="29.25" customHeight="1">
      <c r="A67" s="930"/>
      <c r="B67" s="704" t="s">
        <v>585</v>
      </c>
      <c r="C67" s="704" t="s">
        <v>586</v>
      </c>
      <c r="D67" s="704" t="s">
        <v>587</v>
      </c>
      <c r="E67" s="704" t="s">
        <v>588</v>
      </c>
      <c r="F67" s="1430" t="s">
        <v>589</v>
      </c>
      <c r="G67" s="1431"/>
      <c r="H67" s="930"/>
      <c r="I67" s="6"/>
      <c r="J67" s="6"/>
      <c r="N67" s="929"/>
      <c r="O67" s="929"/>
    </row>
    <row r="68" spans="1:18">
      <c r="A68" s="930"/>
      <c r="B68" s="549" t="s">
        <v>287</v>
      </c>
      <c r="C68" s="931" t="s">
        <v>1291</v>
      </c>
      <c r="D68" s="858" t="s">
        <v>570</v>
      </c>
      <c r="E68" s="549" t="s">
        <v>570</v>
      </c>
      <c r="F68" s="1369" t="s">
        <v>286</v>
      </c>
      <c r="G68" s="1370"/>
      <c r="H68" s="930"/>
      <c r="I68" s="6"/>
      <c r="J68" s="6"/>
      <c r="L68" s="43">
        <v>2.5</v>
      </c>
      <c r="M68" s="929" t="s">
        <v>807</v>
      </c>
      <c r="N68" s="929"/>
      <c r="O68" s="929"/>
    </row>
    <row r="69" spans="1:18" ht="15" customHeight="1">
      <c r="A69" s="547"/>
      <c r="B69" s="549" t="s">
        <v>288</v>
      </c>
      <c r="C69" s="727" t="s">
        <v>1086</v>
      </c>
      <c r="D69" s="858" t="s">
        <v>571</v>
      </c>
      <c r="E69" s="549" t="s">
        <v>916</v>
      </c>
      <c r="F69" s="1369" t="s">
        <v>579</v>
      </c>
      <c r="G69" s="1370"/>
      <c r="H69" s="932"/>
      <c r="I69" s="933"/>
      <c r="J69" s="90"/>
      <c r="L69" s="43">
        <v>6</v>
      </c>
      <c r="M69" s="43" t="s">
        <v>945</v>
      </c>
    </row>
    <row r="70" spans="1:18">
      <c r="A70" s="532"/>
      <c r="B70" s="549" t="s">
        <v>289</v>
      </c>
      <c r="C70" s="934" t="s">
        <v>739</v>
      </c>
      <c r="D70" s="704" t="s">
        <v>587</v>
      </c>
      <c r="E70" s="549" t="s">
        <v>580</v>
      </c>
      <c r="F70" s="1369" t="s">
        <v>577</v>
      </c>
      <c r="G70" s="1370"/>
      <c r="H70" s="550"/>
      <c r="I70" s="313"/>
      <c r="J70" s="313"/>
    </row>
    <row r="71" spans="1:18">
      <c r="A71" s="532"/>
      <c r="B71" s="549" t="s">
        <v>290</v>
      </c>
      <c r="C71" s="935" t="s">
        <v>1292</v>
      </c>
      <c r="D71" s="549" t="s">
        <v>570</v>
      </c>
      <c r="E71" s="704" t="s">
        <v>588</v>
      </c>
      <c r="F71" s="936"/>
      <c r="G71" s="936"/>
      <c r="H71" s="550"/>
      <c r="I71" s="313"/>
      <c r="J71" s="313"/>
    </row>
    <row r="72" spans="1:18">
      <c r="A72" s="532"/>
      <c r="B72" s="549" t="s">
        <v>283</v>
      </c>
      <c r="C72" s="663" t="s">
        <v>1087</v>
      </c>
      <c r="D72" s="704" t="s">
        <v>587</v>
      </c>
      <c r="E72" s="549" t="s">
        <v>570</v>
      </c>
      <c r="F72" s="1425" t="s">
        <v>589</v>
      </c>
      <c r="G72" s="1426"/>
      <c r="H72" s="550"/>
      <c r="I72" s="313"/>
      <c r="J72" s="313"/>
    </row>
    <row r="73" spans="1:18">
      <c r="A73" s="532"/>
      <c r="B73" s="937" t="s">
        <v>773</v>
      </c>
      <c r="C73" s="938" t="s">
        <v>1293</v>
      </c>
      <c r="D73" s="549" t="s">
        <v>624</v>
      </c>
      <c r="E73" s="939"/>
      <c r="F73" s="1404" t="s">
        <v>286</v>
      </c>
      <c r="G73" s="1405"/>
      <c r="H73" s="550"/>
      <c r="I73" s="313"/>
    </row>
    <row r="74" spans="1:18">
      <c r="A74" s="532"/>
      <c r="B74" s="549" t="s">
        <v>934</v>
      </c>
      <c r="C74" s="663" t="s">
        <v>1116</v>
      </c>
      <c r="D74" s="532"/>
      <c r="E74" s="657" t="s">
        <v>588</v>
      </c>
      <c r="F74" s="1404" t="s">
        <v>577</v>
      </c>
      <c r="G74" s="1405"/>
      <c r="H74" s="550"/>
      <c r="I74" s="313"/>
    </row>
    <row r="75" spans="1:18" ht="24">
      <c r="A75" s="532"/>
      <c r="B75" s="841" t="s">
        <v>1106</v>
      </c>
      <c r="C75" s="935" t="s">
        <v>1294</v>
      </c>
      <c r="D75" s="657" t="s">
        <v>587</v>
      </c>
      <c r="E75" s="736" t="s">
        <v>1117</v>
      </c>
      <c r="H75" s="550"/>
      <c r="I75" s="313"/>
    </row>
    <row r="76" spans="1:18" ht="24">
      <c r="A76" s="532"/>
      <c r="B76" s="841" t="s">
        <v>1107</v>
      </c>
      <c r="C76" s="663" t="s">
        <v>1088</v>
      </c>
      <c r="D76" s="862" t="s">
        <v>1117</v>
      </c>
      <c r="E76" s="736" t="s">
        <v>1121</v>
      </c>
      <c r="F76" s="551"/>
      <c r="G76" s="550"/>
      <c r="H76" s="550"/>
      <c r="I76" s="313"/>
    </row>
    <row r="77" spans="1:18" ht="24">
      <c r="A77" s="532"/>
      <c r="B77" s="841" t="s">
        <v>1118</v>
      </c>
      <c r="C77" s="938" t="s">
        <v>1295</v>
      </c>
      <c r="D77" s="862" t="s">
        <v>571</v>
      </c>
      <c r="E77" s="737" t="s">
        <v>580</v>
      </c>
      <c r="F77" s="551"/>
      <c r="G77" s="550"/>
      <c r="H77" s="550"/>
      <c r="I77" s="313"/>
    </row>
    <row r="78" spans="1:18">
      <c r="A78" s="532"/>
      <c r="B78" s="532"/>
      <c r="C78" s="935" t="s">
        <v>1296</v>
      </c>
      <c r="D78" s="657" t="s">
        <v>587</v>
      </c>
      <c r="E78" s="657" t="s">
        <v>588</v>
      </c>
      <c r="F78" s="551"/>
      <c r="G78" s="550"/>
      <c r="H78" s="550"/>
      <c r="I78" s="313"/>
      <c r="Q78" s="43" t="s">
        <v>285</v>
      </c>
      <c r="R78" s="43">
        <f>R79*R80</f>
        <v>0.78</v>
      </c>
    </row>
    <row r="79" spans="1:18">
      <c r="A79" s="532"/>
      <c r="B79" s="532"/>
      <c r="C79" s="663" t="s">
        <v>1089</v>
      </c>
      <c r="D79" s="736" t="s">
        <v>1117</v>
      </c>
      <c r="E79" s="736" t="s">
        <v>1119</v>
      </c>
      <c r="F79" s="551"/>
      <c r="G79" s="550"/>
      <c r="H79" s="550"/>
      <c r="I79" s="313"/>
      <c r="Q79" s="43" t="s">
        <v>924</v>
      </c>
      <c r="R79" s="43">
        <v>1</v>
      </c>
    </row>
    <row r="80" spans="1:18" ht="15" customHeight="1">
      <c r="A80" s="532"/>
      <c r="B80" s="532"/>
      <c r="C80" s="938" t="s">
        <v>1297</v>
      </c>
      <c r="D80" s="736" t="s">
        <v>1119</v>
      </c>
      <c r="E80" s="532"/>
      <c r="F80" s="551"/>
      <c r="G80" s="550"/>
      <c r="H80" s="550"/>
      <c r="I80" s="313"/>
      <c r="Q80" s="43" t="s">
        <v>925</v>
      </c>
      <c r="R80" s="43">
        <v>0.78</v>
      </c>
    </row>
    <row r="81" spans="1:16" ht="15" customHeight="1">
      <c r="A81" s="532"/>
      <c r="C81" s="664" t="s">
        <v>1108</v>
      </c>
      <c r="D81" s="657" t="s">
        <v>587</v>
      </c>
      <c r="F81" s="136"/>
      <c r="G81" s="313"/>
      <c r="H81" s="550"/>
      <c r="I81" s="313"/>
    </row>
    <row r="82" spans="1:16" ht="15" customHeight="1">
      <c r="A82" s="532"/>
      <c r="C82" s="664" t="s">
        <v>1110</v>
      </c>
      <c r="D82" s="736" t="s">
        <v>1119</v>
      </c>
      <c r="F82" s="136"/>
      <c r="G82" s="313"/>
      <c r="H82" s="550"/>
      <c r="I82" s="313"/>
    </row>
    <row r="83" spans="1:16" ht="15" customHeight="1">
      <c r="A83" s="532"/>
      <c r="C83" s="664" t="s">
        <v>1109</v>
      </c>
      <c r="F83" s="136"/>
      <c r="G83" s="313"/>
      <c r="H83" s="550"/>
      <c r="I83" s="313"/>
    </row>
    <row r="84" spans="1:16" ht="15" customHeight="1">
      <c r="A84" s="532"/>
      <c r="C84" s="664" t="s">
        <v>1111</v>
      </c>
      <c r="F84" s="136"/>
      <c r="G84" s="313"/>
      <c r="H84" s="550"/>
      <c r="I84" s="313"/>
    </row>
    <row r="85" spans="1:16" ht="15" customHeight="1">
      <c r="A85" s="532"/>
      <c r="C85" s="938" t="s">
        <v>1093</v>
      </c>
      <c r="F85" s="136"/>
      <c r="G85" s="313"/>
      <c r="H85" s="550"/>
      <c r="I85" s="313"/>
    </row>
    <row r="86" spans="1:16" ht="15" customHeight="1">
      <c r="C86" s="938" t="s">
        <v>1298</v>
      </c>
      <c r="F86" s="136"/>
      <c r="G86" s="313"/>
      <c r="H86" s="313"/>
      <c r="I86" s="313"/>
    </row>
    <row r="87" spans="1:16" ht="15" customHeight="1">
      <c r="C87" s="938" t="s">
        <v>1299</v>
      </c>
      <c r="F87" s="136"/>
      <c r="G87" s="313"/>
      <c r="H87" s="313"/>
      <c r="I87" s="313"/>
    </row>
    <row r="88" spans="1:16" ht="15" customHeight="1">
      <c r="C88" s="938" t="s">
        <v>1300</v>
      </c>
      <c r="F88" s="136"/>
      <c r="G88" s="313"/>
      <c r="H88" s="313"/>
      <c r="I88" s="313"/>
    </row>
    <row r="89" spans="1:16" ht="15" customHeight="1">
      <c r="H89" s="313"/>
      <c r="I89" s="313"/>
    </row>
    <row r="90" spans="1:16" ht="15" customHeight="1">
      <c r="C90" s="734" t="s">
        <v>756</v>
      </c>
      <c r="H90" s="313"/>
      <c r="I90" s="313"/>
    </row>
    <row r="91" spans="1:16" ht="15" customHeight="1">
      <c r="C91" s="735" t="s">
        <v>667</v>
      </c>
      <c r="F91" s="136"/>
      <c r="G91" s="313"/>
      <c r="H91" s="313"/>
      <c r="I91" s="313"/>
    </row>
    <row r="92" spans="1:16" ht="15" customHeight="1">
      <c r="C92" s="735" t="s">
        <v>1115</v>
      </c>
      <c r="F92" s="136"/>
      <c r="G92" s="313"/>
      <c r="H92" s="313"/>
      <c r="I92" s="313"/>
    </row>
    <row r="93" spans="1:16" ht="15" customHeight="1">
      <c r="C93" s="735" t="s">
        <v>666</v>
      </c>
      <c r="F93" s="136"/>
      <c r="G93" s="313"/>
      <c r="H93" s="313"/>
      <c r="I93" s="313"/>
    </row>
    <row r="94" spans="1:16" ht="31.2">
      <c r="F94" s="136"/>
      <c r="G94" s="136"/>
      <c r="H94" s="136"/>
      <c r="I94" s="136"/>
      <c r="P94" s="907" t="s">
        <v>598</v>
      </c>
    </row>
    <row r="95" spans="1:16">
      <c r="B95" s="704" t="s">
        <v>590</v>
      </c>
      <c r="C95" s="704" t="s">
        <v>592</v>
      </c>
      <c r="D95" s="704" t="s">
        <v>593</v>
      </c>
      <c r="I95" s="136"/>
      <c r="J95" s="136"/>
    </row>
    <row r="96" spans="1:16">
      <c r="B96" s="940" t="s">
        <v>111</v>
      </c>
      <c r="C96" s="941" t="s">
        <v>591</v>
      </c>
      <c r="D96" s="941" t="s">
        <v>595</v>
      </c>
      <c r="I96" s="136"/>
      <c r="J96" s="136"/>
    </row>
    <row r="97" spans="2:10">
      <c r="B97" s="940" t="s">
        <v>107</v>
      </c>
      <c r="C97" s="941" t="s">
        <v>150</v>
      </c>
      <c r="D97" s="941" t="s">
        <v>596</v>
      </c>
      <c r="I97" s="136"/>
      <c r="J97" s="136"/>
    </row>
    <row r="98" spans="2:10">
      <c r="B98" s="532"/>
      <c r="C98" s="941" t="s">
        <v>604</v>
      </c>
      <c r="D98" s="532"/>
      <c r="I98" s="136"/>
      <c r="J98" s="136"/>
    </row>
    <row r="99" spans="2:10">
      <c r="E99" s="504" t="s">
        <v>613</v>
      </c>
      <c r="I99" s="136"/>
      <c r="J99" s="136"/>
    </row>
    <row r="100" spans="2:10">
      <c r="B100" s="504" t="s">
        <v>601</v>
      </c>
      <c r="C100" s="504" t="s">
        <v>605</v>
      </c>
      <c r="D100" s="504" t="s">
        <v>612</v>
      </c>
      <c r="E100" s="851" t="s">
        <v>595</v>
      </c>
      <c r="F100" s="504" t="s">
        <v>626</v>
      </c>
      <c r="I100" s="136"/>
      <c r="J100" s="136"/>
    </row>
    <row r="101" spans="2:10">
      <c r="B101" s="325" t="s">
        <v>111</v>
      </c>
      <c r="C101" s="325" t="s">
        <v>111</v>
      </c>
      <c r="D101" s="851" t="s">
        <v>591</v>
      </c>
      <c r="E101" s="851" t="s">
        <v>596</v>
      </c>
      <c r="F101" s="856" t="s">
        <v>111</v>
      </c>
      <c r="I101" s="136"/>
      <c r="J101" s="136"/>
    </row>
    <row r="102" spans="2:10">
      <c r="B102" s="325" t="s">
        <v>107</v>
      </c>
      <c r="C102" s="325" t="s">
        <v>107</v>
      </c>
      <c r="D102" s="851" t="s">
        <v>150</v>
      </c>
      <c r="E102" s="851" t="s">
        <v>602</v>
      </c>
      <c r="F102" s="856" t="s">
        <v>107</v>
      </c>
      <c r="I102" s="136"/>
      <c r="J102" s="136"/>
    </row>
    <row r="103" spans="2:10">
      <c r="D103" s="851" t="s">
        <v>604</v>
      </c>
      <c r="E103" s="851" t="s">
        <v>603</v>
      </c>
      <c r="I103" s="136"/>
      <c r="J103" s="136"/>
    </row>
    <row r="104" spans="2:10">
      <c r="E104" s="851" t="s">
        <v>291</v>
      </c>
      <c r="F104" s="504" t="s">
        <v>626</v>
      </c>
      <c r="I104" s="136"/>
      <c r="J104" s="136"/>
    </row>
    <row r="105" spans="2:10">
      <c r="C105" s="657" t="s">
        <v>998</v>
      </c>
      <c r="E105" s="504" t="s">
        <v>613</v>
      </c>
      <c r="F105" s="856" t="s">
        <v>107</v>
      </c>
      <c r="I105" s="136"/>
      <c r="J105" s="136"/>
    </row>
    <row r="106" spans="2:10" ht="14.25" customHeight="1">
      <c r="C106" s="660" t="s">
        <v>999</v>
      </c>
      <c r="E106" s="851" t="s">
        <v>596</v>
      </c>
      <c r="I106" s="136"/>
      <c r="J106" s="136"/>
    </row>
    <row r="107" spans="2:10">
      <c r="C107" s="660" t="s">
        <v>1004</v>
      </c>
      <c r="E107" s="851" t="s">
        <v>602</v>
      </c>
      <c r="G107" s="658" t="s">
        <v>636</v>
      </c>
      <c r="I107" s="136"/>
      <c r="J107" s="136"/>
    </row>
    <row r="108" spans="2:10">
      <c r="E108" s="851" t="s">
        <v>603</v>
      </c>
      <c r="F108" s="942"/>
      <c r="G108" s="659" t="s">
        <v>637</v>
      </c>
      <c r="H108" s="942"/>
      <c r="I108" s="136"/>
      <c r="J108" s="136"/>
    </row>
    <row r="109" spans="2:10">
      <c r="E109" s="504" t="s">
        <v>613</v>
      </c>
      <c r="F109" s="99"/>
      <c r="G109" s="659" t="s">
        <v>638</v>
      </c>
      <c r="H109" s="99"/>
      <c r="I109" s="136"/>
      <c r="J109" s="136"/>
    </row>
    <row r="110" spans="2:10">
      <c r="E110" s="851" t="s">
        <v>595</v>
      </c>
      <c r="F110" s="942"/>
      <c r="G110" s="659" t="s">
        <v>639</v>
      </c>
      <c r="H110" s="942"/>
      <c r="I110" s="136"/>
      <c r="J110" s="136"/>
    </row>
    <row r="111" spans="2:10">
      <c r="D111" s="943"/>
      <c r="E111" s="851" t="s">
        <v>596</v>
      </c>
      <c r="F111" s="944"/>
      <c r="G111" s="945"/>
      <c r="H111" s="136"/>
      <c r="I111" s="136"/>
      <c r="J111" s="136"/>
    </row>
    <row r="112" spans="2:10">
      <c r="D112" s="946"/>
      <c r="E112" s="729" t="s">
        <v>602</v>
      </c>
      <c r="F112" s="99"/>
      <c r="G112" s="947"/>
      <c r="H112" s="136"/>
      <c r="I112" s="136"/>
      <c r="J112" s="136"/>
    </row>
    <row r="113" spans="1:19" s="895" customFormat="1" ht="18" customHeight="1">
      <c r="A113" s="43"/>
      <c r="B113" s="43"/>
      <c r="C113" s="43"/>
      <c r="D113" s="929"/>
      <c r="E113" s="730" t="s">
        <v>603</v>
      </c>
      <c r="F113" s="929"/>
      <c r="G113" s="929"/>
      <c r="H113" s="136"/>
      <c r="I113" s="136"/>
      <c r="J113" s="136"/>
      <c r="K113" s="43"/>
      <c r="L113" s="43"/>
      <c r="M113" s="43"/>
    </row>
    <row r="114" spans="1:19" s="106" customFormat="1">
      <c r="A114" s="1458" t="s">
        <v>640</v>
      </c>
      <c r="B114" s="1458"/>
      <c r="C114" s="1458"/>
      <c r="D114" s="1458"/>
      <c r="E114" s="1458"/>
      <c r="F114" s="896"/>
      <c r="G114" s="896"/>
      <c r="H114" s="896"/>
      <c r="I114" s="896"/>
      <c r="J114" s="896"/>
      <c r="K114" s="43"/>
      <c r="L114" s="43"/>
      <c r="M114" s="43"/>
    </row>
    <row r="115" spans="1:19">
      <c r="A115" s="969" t="s">
        <v>1318</v>
      </c>
      <c r="B115" s="975" t="s">
        <v>1319</v>
      </c>
      <c r="C115" s="844" t="s">
        <v>38</v>
      </c>
      <c r="D115" s="844" t="s">
        <v>39</v>
      </c>
      <c r="E115" s="844" t="s">
        <v>40</v>
      </c>
      <c r="F115" s="897"/>
      <c r="G115" s="897"/>
      <c r="H115" s="897"/>
      <c r="I115" s="897"/>
      <c r="J115" s="897"/>
    </row>
    <row r="116" spans="1:19" ht="39.75" customHeight="1">
      <c r="A116" s="841" t="s">
        <v>1105</v>
      </c>
      <c r="B116" s="848" t="s">
        <v>917</v>
      </c>
      <c r="C116" s="848" t="s">
        <v>972</v>
      </c>
      <c r="D116" s="843" t="s">
        <v>973</v>
      </c>
      <c r="E116" s="843" t="s">
        <v>641</v>
      </c>
      <c r="F116" s="948"/>
      <c r="G116" s="948"/>
      <c r="H116" s="948"/>
      <c r="I116" s="949"/>
      <c r="J116" s="950"/>
    </row>
    <row r="117" spans="1:19" ht="27.75" customHeight="1">
      <c r="A117" s="733" t="s">
        <v>95</v>
      </c>
      <c r="B117" s="557" t="s">
        <v>95</v>
      </c>
      <c r="C117" s="865">
        <v>50000</v>
      </c>
      <c r="D117" s="559">
        <f>C117*0.1</f>
        <v>5000</v>
      </c>
      <c r="E117" s="865"/>
      <c r="F117" s="951"/>
      <c r="G117" s="951"/>
      <c r="H117" s="951"/>
      <c r="I117" s="951"/>
      <c r="J117" s="904"/>
    </row>
    <row r="118" spans="1:19">
      <c r="A118" s="1459" t="s">
        <v>1104</v>
      </c>
      <c r="B118" s="1460"/>
      <c r="C118" s="1460"/>
      <c r="D118" s="1460"/>
      <c r="E118" s="1447"/>
      <c r="F118" s="1447"/>
      <c r="G118" s="532"/>
      <c r="H118" s="532"/>
      <c r="I118" s="532"/>
    </row>
    <row r="119" spans="1:19">
      <c r="A119" s="532"/>
      <c r="B119" s="532"/>
      <c r="C119" s="532"/>
      <c r="D119" s="952"/>
      <c r="E119" s="953"/>
      <c r="F119" s="954"/>
      <c r="G119" s="955"/>
      <c r="H119" s="551"/>
      <c r="I119" s="551"/>
      <c r="J119" s="136"/>
    </row>
    <row r="120" spans="1:19">
      <c r="A120" s="657" t="s">
        <v>1320</v>
      </c>
      <c r="B120" s="704" t="s">
        <v>1321</v>
      </c>
      <c r="C120" s="532"/>
      <c r="D120" s="956"/>
      <c r="F120" s="954"/>
      <c r="G120" s="957"/>
      <c r="H120" s="532"/>
      <c r="I120" s="532"/>
    </row>
    <row r="121" spans="1:19">
      <c r="A121" s="660" t="s">
        <v>111</v>
      </c>
      <c r="B121" s="570" t="s">
        <v>111</v>
      </c>
      <c r="C121" s="532"/>
      <c r="D121" s="956"/>
      <c r="F121" s="954"/>
      <c r="G121" s="958"/>
      <c r="H121" s="532"/>
      <c r="I121" s="532"/>
    </row>
    <row r="122" spans="1:19">
      <c r="A122" s="660" t="s">
        <v>107</v>
      </c>
      <c r="B122" s="570" t="s">
        <v>107</v>
      </c>
      <c r="C122" s="532"/>
      <c r="D122" s="956"/>
      <c r="F122" s="954"/>
      <c r="G122" s="958"/>
      <c r="H122" s="532"/>
      <c r="I122" s="532"/>
    </row>
    <row r="123" spans="1:19" ht="15.6">
      <c r="A123" s="532"/>
      <c r="B123" s="532"/>
      <c r="C123" s="532"/>
      <c r="D123" s="532"/>
      <c r="E123" s="532"/>
      <c r="F123" s="532"/>
      <c r="G123" s="532"/>
      <c r="H123" s="532"/>
      <c r="I123" s="532"/>
      <c r="N123" s="136"/>
      <c r="O123" s="136"/>
      <c r="P123" s="907"/>
      <c r="Q123" s="136"/>
      <c r="R123" s="136"/>
      <c r="S123" s="136"/>
    </row>
    <row r="124" spans="1:19">
      <c r="A124" s="1421" t="s">
        <v>642</v>
      </c>
      <c r="B124" s="1421"/>
      <c r="C124" s="1421"/>
      <c r="D124" s="1421"/>
      <c r="E124" s="1421"/>
      <c r="F124" s="1421"/>
      <c r="G124" s="1421"/>
      <c r="H124" s="1421"/>
      <c r="I124" s="1421"/>
      <c r="J124" s="908"/>
      <c r="K124" s="908"/>
      <c r="L124" s="908"/>
      <c r="N124" s="136"/>
      <c r="O124" s="136"/>
      <c r="P124" s="136"/>
      <c r="Q124" s="136"/>
      <c r="R124" s="136"/>
      <c r="S124" s="136"/>
    </row>
    <row r="125" spans="1:19" ht="16.2">
      <c r="A125" s="842" t="s">
        <v>37</v>
      </c>
      <c r="B125" s="531" t="s">
        <v>7</v>
      </c>
      <c r="C125" s="1462" t="s">
        <v>643</v>
      </c>
      <c r="D125" s="1462"/>
      <c r="E125" s="1462"/>
      <c r="F125" s="1462"/>
      <c r="G125" s="1462"/>
      <c r="H125" s="1462"/>
      <c r="I125" s="1462"/>
      <c r="J125" s="106"/>
      <c r="K125" s="106"/>
      <c r="L125" s="106"/>
      <c r="N125" s="136"/>
      <c r="O125" s="136"/>
      <c r="P125" s="136"/>
      <c r="Q125" s="136"/>
      <c r="R125" s="136"/>
      <c r="S125" s="136"/>
    </row>
    <row r="126" spans="1:19" ht="16.2">
      <c r="A126" s="842" t="s">
        <v>38</v>
      </c>
      <c r="B126" s="531" t="s">
        <v>7</v>
      </c>
      <c r="C126" s="1462" t="s">
        <v>645</v>
      </c>
      <c r="D126" s="1462"/>
      <c r="E126" s="1462"/>
      <c r="F126" s="1462"/>
      <c r="G126" s="1462"/>
      <c r="H126" s="1462"/>
      <c r="I126" s="1462"/>
      <c r="J126" s="106"/>
      <c r="K126" s="106"/>
      <c r="L126" s="106"/>
      <c r="N126" s="136"/>
      <c r="O126" s="136"/>
      <c r="P126" s="136"/>
      <c r="Q126" s="136"/>
      <c r="R126" s="136"/>
      <c r="S126" s="136"/>
    </row>
    <row r="127" spans="1:19" ht="16.2">
      <c r="A127" s="850" t="s">
        <v>39</v>
      </c>
      <c r="B127" s="184" t="s">
        <v>7</v>
      </c>
      <c r="C127" s="1463" t="s">
        <v>644</v>
      </c>
      <c r="D127" s="1463"/>
      <c r="E127" s="1463"/>
      <c r="F127" s="1463"/>
      <c r="G127" s="1463"/>
      <c r="H127" s="1463"/>
      <c r="I127" s="1463"/>
      <c r="J127" s="106"/>
      <c r="K127" s="106"/>
      <c r="L127" s="106"/>
      <c r="M127" s="1453"/>
      <c r="N127" s="1453"/>
      <c r="O127" s="1453"/>
      <c r="P127" s="1453"/>
      <c r="Q127" s="909"/>
      <c r="R127" s="909"/>
    </row>
    <row r="128" spans="1:19" ht="15" customHeight="1">
      <c r="A128" s="850" t="s">
        <v>40</v>
      </c>
      <c r="B128" s="850" t="s">
        <v>41</v>
      </c>
      <c r="C128" s="850" t="s">
        <v>46</v>
      </c>
      <c r="D128" s="867" t="s">
        <v>47</v>
      </c>
      <c r="E128" s="867" t="s">
        <v>48</v>
      </c>
      <c r="F128" s="738" t="s">
        <v>49</v>
      </c>
      <c r="G128" s="1373" t="s">
        <v>137</v>
      </c>
      <c r="H128" s="1374"/>
      <c r="I128" s="867" t="s">
        <v>1333</v>
      </c>
      <c r="J128" s="972" t="s">
        <v>209</v>
      </c>
      <c r="K128" s="897"/>
      <c r="L128" s="90"/>
    </row>
    <row r="129" spans="1:20" ht="21" customHeight="1">
      <c r="A129" s="1207" t="s">
        <v>281</v>
      </c>
      <c r="B129" s="1208" t="s">
        <v>282</v>
      </c>
      <c r="C129" s="1208" t="s">
        <v>737</v>
      </c>
      <c r="D129" s="1413" t="s">
        <v>584</v>
      </c>
      <c r="E129" s="1413" t="s">
        <v>650</v>
      </c>
      <c r="F129" s="1261" t="s">
        <v>1129</v>
      </c>
      <c r="G129" s="1413" t="s">
        <v>581</v>
      </c>
      <c r="H129" s="1413" t="s">
        <v>582</v>
      </c>
      <c r="I129" s="1208" t="s">
        <v>583</v>
      </c>
      <c r="J129" s="1413" t="s">
        <v>578</v>
      </c>
    </row>
    <row r="130" spans="1:20" ht="20.100000000000001" customHeight="1">
      <c r="A130" s="1207"/>
      <c r="B130" s="1208"/>
      <c r="C130" s="1208"/>
      <c r="D130" s="1413"/>
      <c r="E130" s="1413"/>
      <c r="F130" s="1414"/>
      <c r="G130" s="1413"/>
      <c r="H130" s="1413"/>
      <c r="I130" s="1208"/>
      <c r="J130" s="1413"/>
      <c r="N130" s="906"/>
    </row>
    <row r="131" spans="1:20" ht="20.100000000000001" customHeight="1">
      <c r="A131" s="1244"/>
      <c r="B131" s="1159" t="s">
        <v>95</v>
      </c>
      <c r="C131" s="1159" t="s">
        <v>95</v>
      </c>
      <c r="D131" s="1159" t="s">
        <v>95</v>
      </c>
      <c r="E131" s="1159" t="s">
        <v>95</v>
      </c>
      <c r="F131" s="1388" t="s">
        <v>1128</v>
      </c>
      <c r="G131" s="321" t="s">
        <v>573</v>
      </c>
      <c r="H131" s="845" t="s">
        <v>576</v>
      </c>
      <c r="I131" s="573"/>
      <c r="J131" s="1327"/>
      <c r="L131" s="906"/>
      <c r="M131" s="906"/>
      <c r="N131" s="906"/>
    </row>
    <row r="132" spans="1:20" ht="20.100000000000001" customHeight="1">
      <c r="A132" s="1244"/>
      <c r="B132" s="1159"/>
      <c r="C132" s="1159"/>
      <c r="D132" s="1159"/>
      <c r="E132" s="1159"/>
      <c r="F132" s="1389"/>
      <c r="G132" s="321" t="s">
        <v>649</v>
      </c>
      <c r="H132" s="845" t="s">
        <v>576</v>
      </c>
      <c r="I132" s="573"/>
      <c r="J132" s="1327"/>
      <c r="L132" s="906"/>
      <c r="M132" s="906"/>
      <c r="N132" s="906"/>
    </row>
    <row r="133" spans="1:20" ht="20.100000000000001" customHeight="1">
      <c r="A133" s="1244"/>
      <c r="B133" s="1159"/>
      <c r="C133" s="1159"/>
      <c r="D133" s="1159"/>
      <c r="E133" s="1192"/>
      <c r="F133" s="1390"/>
      <c r="G133" s="321" t="s">
        <v>575</v>
      </c>
      <c r="H133" s="845" t="s">
        <v>576</v>
      </c>
      <c r="I133" s="574"/>
      <c r="J133" s="1327"/>
      <c r="L133" s="906"/>
      <c r="M133" s="906"/>
      <c r="N133" s="906"/>
      <c r="O133" s="906"/>
      <c r="P133" s="906"/>
    </row>
    <row r="134" spans="1:20" ht="20.100000000000001" customHeight="1">
      <c r="A134" s="532"/>
      <c r="B134" s="855" t="s">
        <v>1130</v>
      </c>
      <c r="C134" s="867" t="s">
        <v>1131</v>
      </c>
      <c r="D134" s="867" t="s">
        <v>1132</v>
      </c>
      <c r="E134" s="867" t="s">
        <v>1133</v>
      </c>
      <c r="F134" s="922"/>
      <c r="G134" s="922"/>
      <c r="H134" s="910"/>
      <c r="I134" s="912"/>
      <c r="J134" s="914"/>
      <c r="K134" s="914"/>
      <c r="M134" s="906"/>
      <c r="N134" s="906"/>
      <c r="O134" s="906"/>
    </row>
    <row r="135" spans="1:20" ht="22.5" customHeight="1">
      <c r="A135" s="532"/>
      <c r="B135" s="1400" t="s">
        <v>617</v>
      </c>
      <c r="C135" s="1400"/>
      <c r="D135" s="1400"/>
      <c r="E135" s="1400"/>
      <c r="F135" s="898"/>
      <c r="G135" s="898"/>
      <c r="H135" s="913"/>
      <c r="I135" s="915"/>
      <c r="J135" s="914"/>
      <c r="K135" s="914"/>
      <c r="M135" s="906"/>
      <c r="N135" s="906"/>
      <c r="O135" s="906"/>
    </row>
    <row r="136" spans="1:20" ht="33" customHeight="1">
      <c r="A136" s="532"/>
      <c r="B136" s="848" t="s">
        <v>194</v>
      </c>
      <c r="C136" s="848" t="s">
        <v>581</v>
      </c>
      <c r="D136" s="848" t="s">
        <v>594</v>
      </c>
      <c r="E136" s="848" t="s">
        <v>606</v>
      </c>
      <c r="F136" s="532"/>
      <c r="G136" s="532"/>
      <c r="H136" s="913"/>
      <c r="I136" s="915"/>
      <c r="J136" s="914"/>
      <c r="K136" s="914"/>
      <c r="M136" s="906"/>
      <c r="N136" s="906"/>
      <c r="O136" s="906"/>
      <c r="P136" s="644" t="s">
        <v>996</v>
      </c>
      <c r="Q136" s="644"/>
      <c r="R136" s="644"/>
      <c r="S136" s="644"/>
      <c r="T136" s="644"/>
    </row>
    <row r="137" spans="1:20">
      <c r="A137" s="532"/>
      <c r="B137" s="1399" t="s">
        <v>95</v>
      </c>
      <c r="C137" s="321" t="s">
        <v>268</v>
      </c>
      <c r="D137" s="324"/>
      <c r="E137" s="537" t="s">
        <v>607</v>
      </c>
      <c r="F137" s="532"/>
      <c r="G137" s="532"/>
      <c r="H137" s="913"/>
      <c r="I137" s="915"/>
      <c r="J137" s="914"/>
      <c r="K137" s="914"/>
      <c r="M137" s="906"/>
      <c r="N137" s="906"/>
      <c r="O137" s="906"/>
    </row>
    <row r="138" spans="1:20">
      <c r="A138" s="532"/>
      <c r="B138" s="1399"/>
      <c r="C138" s="321" t="s">
        <v>284</v>
      </c>
      <c r="D138" s="324"/>
      <c r="E138" s="537" t="s">
        <v>608</v>
      </c>
      <c r="F138" s="532"/>
      <c r="G138" s="532"/>
      <c r="H138" s="913"/>
      <c r="I138" s="915"/>
      <c r="J138" s="914"/>
      <c r="K138" s="914"/>
      <c r="M138" s="906"/>
      <c r="N138" s="906"/>
      <c r="O138" s="906"/>
    </row>
    <row r="139" spans="1:20" ht="20.100000000000001" customHeight="1">
      <c r="A139" s="532"/>
      <c r="B139" s="1399"/>
      <c r="C139" s="321" t="s">
        <v>285</v>
      </c>
      <c r="D139" s="324"/>
      <c r="E139" s="537" t="s">
        <v>609</v>
      </c>
      <c r="F139" s="532"/>
      <c r="G139" s="532"/>
      <c r="H139" s="913"/>
      <c r="I139" s="915"/>
      <c r="J139" s="914"/>
      <c r="K139" s="914"/>
      <c r="M139" s="906"/>
      <c r="N139" s="906"/>
      <c r="O139" s="906"/>
    </row>
    <row r="140" spans="1:20" ht="20.100000000000001" customHeight="1">
      <c r="A140" s="532"/>
      <c r="B140" s="855" t="s">
        <v>1134</v>
      </c>
      <c r="C140" s="867" t="s">
        <v>1135</v>
      </c>
      <c r="D140" s="867" t="s">
        <v>1136</v>
      </c>
      <c r="E140" s="867" t="s">
        <v>1137</v>
      </c>
      <c r="F140" s="1465" t="s">
        <v>1138</v>
      </c>
      <c r="G140" s="1465"/>
      <c r="H140" s="913"/>
      <c r="I140" s="923"/>
      <c r="J140" s="897"/>
      <c r="K140" s="897"/>
      <c r="M140" s="906"/>
      <c r="N140" s="906"/>
      <c r="O140" s="906"/>
    </row>
    <row r="141" spans="1:20" ht="22.5" customHeight="1">
      <c r="A141" s="532"/>
      <c r="B141" s="1400" t="s">
        <v>618</v>
      </c>
      <c r="C141" s="1400"/>
      <c r="D141" s="1400"/>
      <c r="E141" s="1400"/>
      <c r="F141" s="1400"/>
      <c r="G141" s="1400"/>
      <c r="H141" s="898"/>
      <c r="I141" s="923"/>
      <c r="J141" s="897"/>
      <c r="K141" s="897"/>
      <c r="M141" s="906"/>
      <c r="N141" s="906"/>
      <c r="O141" s="906"/>
    </row>
    <row r="142" spans="1:20" ht="23.25" customHeight="1">
      <c r="A142" s="532"/>
      <c r="B142" s="848" t="s">
        <v>652</v>
      </c>
      <c r="C142" s="848" t="s">
        <v>194</v>
      </c>
      <c r="D142" s="848" t="s">
        <v>292</v>
      </c>
      <c r="E142" s="848" t="s">
        <v>293</v>
      </c>
      <c r="F142" s="1207" t="s">
        <v>614</v>
      </c>
      <c r="G142" s="1207"/>
      <c r="H142" s="532"/>
      <c r="I142" s="923"/>
      <c r="J142" s="897"/>
      <c r="K142" s="897"/>
      <c r="M142" s="906"/>
      <c r="N142" s="906"/>
      <c r="O142" s="906"/>
    </row>
    <row r="143" spans="1:20" ht="26.25" customHeight="1">
      <c r="A143" s="532"/>
      <c r="B143" s="1399" t="s">
        <v>95</v>
      </c>
      <c r="C143" s="1399" t="s">
        <v>95</v>
      </c>
      <c r="D143" s="1378" t="s">
        <v>95</v>
      </c>
      <c r="E143" s="1399" t="s">
        <v>95</v>
      </c>
      <c r="F143" s="321" t="s">
        <v>268</v>
      </c>
      <c r="G143" s="861" t="s">
        <v>615</v>
      </c>
      <c r="H143" s="532"/>
      <c r="I143" s="923"/>
      <c r="J143" s="897"/>
      <c r="K143" s="897"/>
      <c r="M143" s="906"/>
      <c r="N143" s="906"/>
      <c r="O143" s="906"/>
    </row>
    <row r="144" spans="1:20" ht="26.25" customHeight="1">
      <c r="A144" s="532"/>
      <c r="B144" s="1399"/>
      <c r="C144" s="1399"/>
      <c r="D144" s="1379"/>
      <c r="E144" s="1399"/>
      <c r="F144" s="321" t="s">
        <v>284</v>
      </c>
      <c r="G144" s="861" t="s">
        <v>615</v>
      </c>
      <c r="H144" s="532"/>
      <c r="I144" s="923"/>
      <c r="J144" s="897"/>
      <c r="K144" s="897"/>
      <c r="M144" s="906"/>
      <c r="N144" s="906"/>
      <c r="O144" s="906"/>
    </row>
    <row r="145" spans="1:15" ht="25.5" customHeight="1">
      <c r="A145" s="532"/>
      <c r="B145" s="1399"/>
      <c r="C145" s="1399"/>
      <c r="D145" s="1380"/>
      <c r="E145" s="1399"/>
      <c r="F145" s="321" t="s">
        <v>285</v>
      </c>
      <c r="G145" s="861" t="s">
        <v>625</v>
      </c>
      <c r="H145" s="532"/>
      <c r="I145" s="926"/>
      <c r="J145" s="897"/>
      <c r="K145" s="897"/>
    </row>
    <row r="146" spans="1:15" ht="25.5" customHeight="1">
      <c r="A146" s="650" t="s">
        <v>610</v>
      </c>
      <c r="B146" s="1417" t="s">
        <v>1097</v>
      </c>
      <c r="C146" s="1418"/>
      <c r="D146" s="1418"/>
      <c r="E146" s="864" t="s">
        <v>754</v>
      </c>
      <c r="F146" s="1464" t="s">
        <v>1098</v>
      </c>
      <c r="G146" s="1464"/>
      <c r="H146" s="927"/>
      <c r="I146" s="897"/>
      <c r="J146" s="897"/>
      <c r="K146" s="923"/>
    </row>
    <row r="147" spans="1:15" ht="29.25" customHeight="1">
      <c r="A147" s="1468" t="s">
        <v>935</v>
      </c>
      <c r="B147" s="1468"/>
      <c r="C147" s="1468"/>
      <c r="D147" s="1468"/>
      <c r="E147" s="1468"/>
      <c r="F147" s="1469"/>
      <c r="G147" s="185" t="s">
        <v>81</v>
      </c>
      <c r="H147" s="87" t="s">
        <v>79</v>
      </c>
      <c r="I147" s="86" t="s">
        <v>80</v>
      </c>
      <c r="M147" s="928"/>
      <c r="N147" s="929"/>
      <c r="O147" s="929"/>
    </row>
    <row r="148" spans="1:15" ht="37.5" customHeight="1">
      <c r="A148" s="1470" t="s">
        <v>1099</v>
      </c>
      <c r="B148" s="1470"/>
      <c r="C148" s="1470"/>
      <c r="D148" s="1470"/>
      <c r="E148" s="1470"/>
      <c r="F148" s="1470"/>
      <c r="G148" s="959"/>
      <c r="H148" s="959"/>
      <c r="I148" s="6"/>
      <c r="J148" s="6"/>
      <c r="M148" s="906"/>
      <c r="N148" s="906"/>
      <c r="O148" s="906"/>
    </row>
    <row r="149" spans="1:15" ht="20.100000000000001" customHeight="1">
      <c r="B149" s="90"/>
      <c r="C149" s="504" t="s">
        <v>586</v>
      </c>
      <c r="D149" s="897"/>
      <c r="E149" s="897"/>
      <c r="F149" s="897"/>
      <c r="G149" s="897"/>
      <c r="H149" s="897"/>
      <c r="I149" s="897"/>
      <c r="J149" s="897"/>
      <c r="K149" s="897"/>
      <c r="M149" s="906"/>
      <c r="N149" s="906"/>
      <c r="O149" s="906"/>
    </row>
    <row r="150" spans="1:15" ht="20.100000000000001" customHeight="1">
      <c r="B150" s="90"/>
      <c r="C150" s="857" t="s">
        <v>1324</v>
      </c>
      <c r="D150" s="897"/>
      <c r="E150" s="897"/>
      <c r="F150" s="897"/>
      <c r="G150" s="897"/>
      <c r="H150" s="897"/>
      <c r="I150" s="897"/>
      <c r="J150" s="897"/>
      <c r="K150" s="897"/>
      <c r="M150" s="906"/>
      <c r="N150" s="906"/>
      <c r="O150" s="906"/>
    </row>
    <row r="151" spans="1:15" ht="20.100000000000001" customHeight="1">
      <c r="B151" s="90"/>
      <c r="C151" s="857" t="s">
        <v>1325</v>
      </c>
      <c r="D151" s="897"/>
      <c r="E151" s="897"/>
      <c r="F151" s="897"/>
      <c r="G151" s="897"/>
      <c r="H151" s="897"/>
      <c r="I151" s="897"/>
      <c r="J151" s="897"/>
      <c r="K151" s="897"/>
      <c r="M151" s="906"/>
      <c r="N151" s="906"/>
      <c r="O151" s="906"/>
    </row>
    <row r="152" spans="1:15" ht="20.100000000000001" customHeight="1">
      <c r="B152" s="90"/>
      <c r="C152" s="857" t="s">
        <v>1326</v>
      </c>
      <c r="D152" s="897"/>
      <c r="E152" s="897"/>
      <c r="F152" s="897"/>
      <c r="G152" s="897"/>
      <c r="H152" s="897"/>
      <c r="I152" s="897"/>
      <c r="J152" s="897"/>
      <c r="K152" s="897"/>
      <c r="M152" s="906"/>
      <c r="N152" s="906"/>
      <c r="O152" s="906"/>
    </row>
    <row r="153" spans="1:15" ht="20.100000000000001" customHeight="1">
      <c r="B153" s="504" t="s">
        <v>585</v>
      </c>
      <c r="C153" s="504" t="s">
        <v>586</v>
      </c>
      <c r="D153" s="860" t="s">
        <v>1330</v>
      </c>
      <c r="E153" s="739" t="s">
        <v>1332</v>
      </c>
      <c r="F153" s="657" t="s">
        <v>589</v>
      </c>
      <c r="G153" s="897"/>
      <c r="H153" s="897"/>
      <c r="I153" s="897"/>
      <c r="J153" s="897"/>
      <c r="K153" s="897"/>
      <c r="M153" s="906"/>
      <c r="N153" s="906"/>
      <c r="O153" s="906"/>
    </row>
    <row r="154" spans="1:15" ht="20.100000000000001" customHeight="1">
      <c r="B154" s="857" t="s">
        <v>648</v>
      </c>
      <c r="C154" s="960" t="s">
        <v>1323</v>
      </c>
      <c r="D154" s="549" t="s">
        <v>286</v>
      </c>
      <c r="E154" s="858" t="s">
        <v>111</v>
      </c>
      <c r="F154" s="736" t="s">
        <v>1117</v>
      </c>
      <c r="G154" s="897"/>
      <c r="H154" s="897"/>
      <c r="I154" s="897"/>
      <c r="J154" s="897"/>
      <c r="K154" s="897"/>
      <c r="M154" s="906"/>
      <c r="N154" s="906"/>
      <c r="O154" s="906"/>
    </row>
    <row r="155" spans="1:15" ht="20.100000000000001" customHeight="1">
      <c r="B155" s="857" t="s">
        <v>646</v>
      </c>
      <c r="C155" s="685" t="s">
        <v>1041</v>
      </c>
      <c r="D155" s="549" t="s">
        <v>579</v>
      </c>
      <c r="E155" s="858" t="s">
        <v>651</v>
      </c>
      <c r="F155" s="736" t="s">
        <v>1119</v>
      </c>
      <c r="G155" s="897"/>
      <c r="H155" s="897"/>
      <c r="I155" s="897"/>
      <c r="J155" s="897"/>
      <c r="K155" s="897"/>
      <c r="M155" s="906"/>
      <c r="N155" s="906"/>
      <c r="O155" s="906"/>
    </row>
    <row r="156" spans="1:15">
      <c r="B156" s="857" t="s">
        <v>647</v>
      </c>
      <c r="C156" s="934" t="s">
        <v>739</v>
      </c>
      <c r="D156" s="549" t="s">
        <v>577</v>
      </c>
      <c r="F156" s="657" t="s">
        <v>589</v>
      </c>
      <c r="G156" s="897"/>
      <c r="H156" s="897"/>
      <c r="I156" s="897"/>
      <c r="J156" s="897"/>
      <c r="K156" s="897"/>
      <c r="M156" s="906"/>
      <c r="N156" s="906"/>
      <c r="O156" s="906"/>
    </row>
    <row r="157" spans="1:15">
      <c r="B157" s="857" t="s">
        <v>283</v>
      </c>
      <c r="C157" s="961" t="s">
        <v>1301</v>
      </c>
      <c r="F157" s="736" t="s">
        <v>1119</v>
      </c>
      <c r="M157" s="906"/>
      <c r="N157" s="906"/>
      <c r="O157" s="906"/>
    </row>
    <row r="158" spans="1:15">
      <c r="B158" s="857" t="s">
        <v>774</v>
      </c>
      <c r="C158" s="726" t="s">
        <v>1094</v>
      </c>
      <c r="M158" s="906"/>
      <c r="N158" s="906"/>
      <c r="O158" s="906"/>
    </row>
    <row r="159" spans="1:15">
      <c r="C159" s="938" t="s">
        <v>1302</v>
      </c>
      <c r="M159" s="906"/>
      <c r="N159" s="906"/>
      <c r="O159" s="906"/>
    </row>
    <row r="160" spans="1:15">
      <c r="B160" s="504" t="s">
        <v>755</v>
      </c>
      <c r="C160" s="961" t="s">
        <v>1303</v>
      </c>
      <c r="M160" s="906"/>
      <c r="N160" s="906"/>
      <c r="O160" s="906"/>
    </row>
    <row r="161" spans="1:15">
      <c r="B161" s="851" t="s">
        <v>591</v>
      </c>
      <c r="C161" s="726" t="s">
        <v>1095</v>
      </c>
      <c r="M161" s="906"/>
      <c r="N161" s="906"/>
      <c r="O161" s="906"/>
    </row>
    <row r="162" spans="1:15">
      <c r="B162" s="851" t="s">
        <v>150</v>
      </c>
      <c r="C162" s="938" t="s">
        <v>1304</v>
      </c>
      <c r="M162" s="906"/>
      <c r="N162" s="906"/>
      <c r="O162" s="906"/>
    </row>
    <row r="163" spans="1:15">
      <c r="B163" s="851" t="s">
        <v>604</v>
      </c>
      <c r="C163" s="664" t="s">
        <v>1322</v>
      </c>
      <c r="M163" s="906"/>
      <c r="N163" s="906"/>
      <c r="O163" s="906"/>
    </row>
    <row r="164" spans="1:15">
      <c r="C164" s="664" t="s">
        <v>1108</v>
      </c>
      <c r="M164" s="906"/>
      <c r="N164" s="906"/>
      <c r="O164" s="906"/>
    </row>
    <row r="165" spans="1:15">
      <c r="C165" s="664" t="s">
        <v>1122</v>
      </c>
      <c r="M165" s="906"/>
      <c r="N165" s="906"/>
      <c r="O165" s="906"/>
    </row>
    <row r="166" spans="1:15">
      <c r="C166" s="664" t="s">
        <v>1123</v>
      </c>
      <c r="M166" s="906"/>
      <c r="N166" s="906"/>
      <c r="O166" s="906"/>
    </row>
    <row r="167" spans="1:15">
      <c r="C167" s="938" t="s">
        <v>1124</v>
      </c>
      <c r="M167" s="906"/>
      <c r="N167" s="906"/>
      <c r="O167" s="906"/>
    </row>
    <row r="168" spans="1:15">
      <c r="C168" s="938" t="s">
        <v>1125</v>
      </c>
      <c r="M168" s="906"/>
      <c r="N168" s="906"/>
      <c r="O168" s="906"/>
    </row>
    <row r="169" spans="1:15">
      <c r="C169" s="938" t="s">
        <v>1305</v>
      </c>
      <c r="M169" s="906"/>
      <c r="N169" s="906"/>
      <c r="O169" s="906"/>
    </row>
    <row r="171" spans="1:15">
      <c r="B171" s="504" t="s">
        <v>653</v>
      </c>
      <c r="C171" s="504" t="s">
        <v>656</v>
      </c>
      <c r="D171" s="504" t="s">
        <v>657</v>
      </c>
      <c r="E171" s="504" t="s">
        <v>601</v>
      </c>
      <c r="M171" s="928"/>
      <c r="N171" s="929"/>
      <c r="O171" s="929"/>
    </row>
    <row r="172" spans="1:15">
      <c r="B172" s="851" t="s">
        <v>654</v>
      </c>
      <c r="C172" s="851" t="s">
        <v>591</v>
      </c>
      <c r="D172" s="851" t="s">
        <v>595</v>
      </c>
      <c r="E172" s="856" t="s">
        <v>111</v>
      </c>
      <c r="M172" s="906"/>
      <c r="N172" s="906"/>
      <c r="O172" s="906"/>
    </row>
    <row r="173" spans="1:15">
      <c r="B173" s="851" t="s">
        <v>655</v>
      </c>
      <c r="C173" s="851" t="s">
        <v>150</v>
      </c>
      <c r="D173" s="851" t="s">
        <v>596</v>
      </c>
      <c r="E173" s="856" t="s">
        <v>107</v>
      </c>
      <c r="M173" s="906"/>
      <c r="N173" s="906"/>
      <c r="O173" s="906"/>
    </row>
    <row r="174" spans="1:15">
      <c r="C174" s="851" t="s">
        <v>604</v>
      </c>
      <c r="M174" s="906"/>
      <c r="N174" s="906"/>
      <c r="O174" s="906"/>
    </row>
    <row r="175" spans="1:15">
      <c r="C175" s="90"/>
      <c r="D175" s="504" t="s">
        <v>657</v>
      </c>
      <c r="M175" s="906"/>
      <c r="N175" s="906"/>
      <c r="O175" s="906"/>
    </row>
    <row r="176" spans="1:15" ht="20.100000000000001" customHeight="1">
      <c r="A176" s="532"/>
      <c r="C176" s="90"/>
      <c r="D176" s="851" t="s">
        <v>596</v>
      </c>
      <c r="F176" s="922"/>
      <c r="G176" s="922"/>
      <c r="H176" s="922"/>
      <c r="I176" s="922"/>
      <c r="J176" s="897"/>
      <c r="K176" s="897"/>
    </row>
    <row r="178" spans="1:12">
      <c r="A178" s="1213" t="s">
        <v>757</v>
      </c>
      <c r="B178" s="1214"/>
      <c r="C178" s="1214"/>
      <c r="D178" s="1214"/>
      <c r="E178" s="1215"/>
    </row>
    <row r="179" spans="1:12">
      <c r="A179" s="850" t="s">
        <v>37</v>
      </c>
      <c r="B179" s="850" t="s">
        <v>38</v>
      </c>
      <c r="C179" s="850" t="s">
        <v>39</v>
      </c>
      <c r="D179" s="850" t="s">
        <v>40</v>
      </c>
      <c r="E179" s="844" t="s">
        <v>41</v>
      </c>
    </row>
    <row r="180" spans="1:12">
      <c r="A180" s="1207" t="s">
        <v>581</v>
      </c>
      <c r="B180" s="1208" t="s">
        <v>620</v>
      </c>
      <c r="C180" s="1208" t="s">
        <v>622</v>
      </c>
      <c r="D180" s="1208"/>
      <c r="E180" s="1210" t="s">
        <v>353</v>
      </c>
    </row>
    <row r="181" spans="1:12">
      <c r="A181" s="1207"/>
      <c r="B181" s="1208"/>
      <c r="C181" s="849" t="s">
        <v>295</v>
      </c>
      <c r="D181" s="849" t="s">
        <v>346</v>
      </c>
      <c r="E181" s="1211"/>
    </row>
    <row r="182" spans="1:12" ht="28.8">
      <c r="A182" s="730" t="s">
        <v>619</v>
      </c>
      <c r="B182" s="335" t="s">
        <v>758</v>
      </c>
      <c r="C182" s="336" t="s">
        <v>759</v>
      </c>
      <c r="D182" s="336" t="s">
        <v>760</v>
      </c>
      <c r="E182" s="200" t="s">
        <v>352</v>
      </c>
    </row>
    <row r="183" spans="1:12" ht="28.8">
      <c r="A183" s="730" t="s">
        <v>621</v>
      </c>
      <c r="B183" s="335" t="s">
        <v>758</v>
      </c>
      <c r="C183" s="336" t="s">
        <v>759</v>
      </c>
      <c r="D183" s="336" t="s">
        <v>761</v>
      </c>
      <c r="E183" s="200" t="s">
        <v>352</v>
      </c>
    </row>
    <row r="184" spans="1:12" ht="28.8">
      <c r="A184" s="730" t="s">
        <v>285</v>
      </c>
      <c r="B184" s="335" t="s">
        <v>758</v>
      </c>
      <c r="C184" s="336" t="s">
        <v>759</v>
      </c>
      <c r="D184" s="336" t="s">
        <v>762</v>
      </c>
      <c r="E184" s="200" t="s">
        <v>352</v>
      </c>
    </row>
    <row r="185" spans="1:12">
      <c r="H185" s="908"/>
      <c r="I185" s="908"/>
      <c r="J185" s="908"/>
      <c r="K185" s="908"/>
      <c r="L185" s="908"/>
    </row>
    <row r="186" spans="1:12" ht="15" customHeight="1">
      <c r="H186" s="962"/>
      <c r="I186" s="1466"/>
      <c r="J186" s="1466"/>
      <c r="K186" s="90"/>
      <c r="L186" s="962"/>
    </row>
    <row r="187" spans="1:12" ht="27.75" customHeight="1">
      <c r="H187" s="950"/>
      <c r="I187" s="1467"/>
      <c r="J187" s="1467"/>
      <c r="K187" s="950"/>
    </row>
    <row r="188" spans="1:12" ht="51.75" customHeight="1">
      <c r="H188" s="950"/>
      <c r="I188" s="950"/>
      <c r="J188" s="950"/>
      <c r="K188" s="950"/>
    </row>
    <row r="189" spans="1:12" ht="51.75" customHeight="1">
      <c r="A189" s="1213" t="s">
        <v>658</v>
      </c>
      <c r="B189" s="1214"/>
      <c r="C189" s="1214"/>
      <c r="D189" s="1214"/>
      <c r="E189" s="1215"/>
      <c r="F189" s="908"/>
      <c r="G189" s="908"/>
      <c r="I189" s="963"/>
      <c r="J189" s="942"/>
    </row>
    <row r="190" spans="1:12" ht="51.75" customHeight="1">
      <c r="A190" s="850" t="s">
        <v>37</v>
      </c>
      <c r="B190" s="850" t="s">
        <v>38</v>
      </c>
      <c r="C190" s="850" t="s">
        <v>39</v>
      </c>
      <c r="D190" s="850" t="s">
        <v>40</v>
      </c>
      <c r="E190" s="844" t="s">
        <v>41</v>
      </c>
      <c r="F190" s="962"/>
      <c r="G190" s="962"/>
      <c r="I190" s="963"/>
      <c r="J190" s="942"/>
    </row>
    <row r="191" spans="1:12">
      <c r="A191" s="1207" t="s">
        <v>581</v>
      </c>
      <c r="B191" s="1208" t="s">
        <v>660</v>
      </c>
      <c r="C191" s="1208" t="s">
        <v>661</v>
      </c>
      <c r="D191" s="1208"/>
      <c r="E191" s="1210" t="s">
        <v>353</v>
      </c>
      <c r="F191" s="950"/>
      <c r="G191" s="950"/>
      <c r="I191" s="963"/>
      <c r="J191" s="942"/>
    </row>
    <row r="192" spans="1:12">
      <c r="A192" s="1207"/>
      <c r="B192" s="1208"/>
      <c r="C192" s="849" t="s">
        <v>295</v>
      </c>
      <c r="D192" s="849" t="s">
        <v>346</v>
      </c>
      <c r="E192" s="1211"/>
      <c r="F192" s="950"/>
      <c r="G192" s="950"/>
    </row>
    <row r="193" spans="1:6" ht="28.8">
      <c r="A193" s="730" t="s">
        <v>619</v>
      </c>
      <c r="B193" s="335" t="s">
        <v>343</v>
      </c>
      <c r="C193" s="336" t="s">
        <v>659</v>
      </c>
      <c r="D193" s="336" t="s">
        <v>662</v>
      </c>
      <c r="E193" s="200" t="s">
        <v>352</v>
      </c>
      <c r="F193" s="942"/>
    </row>
    <row r="194" spans="1:6" ht="28.8">
      <c r="A194" s="730" t="s">
        <v>621</v>
      </c>
      <c r="B194" s="335" t="s">
        <v>343</v>
      </c>
      <c r="C194" s="336" t="s">
        <v>659</v>
      </c>
      <c r="D194" s="336" t="s">
        <v>663</v>
      </c>
      <c r="E194" s="200" t="s">
        <v>352</v>
      </c>
      <c r="F194" s="942"/>
    </row>
    <row r="195" spans="1:6" ht="28.8">
      <c r="A195" s="730" t="s">
        <v>285</v>
      </c>
      <c r="B195" s="335" t="s">
        <v>343</v>
      </c>
      <c r="C195" s="336" t="s">
        <v>659</v>
      </c>
      <c r="D195" s="336" t="s">
        <v>664</v>
      </c>
      <c r="E195" s="200" t="s">
        <v>352</v>
      </c>
      <c r="F195" s="942"/>
    </row>
    <row r="199" spans="1:6">
      <c r="C199" s="99"/>
    </row>
    <row r="200" spans="1:6">
      <c r="C200" s="99"/>
    </row>
    <row r="201" spans="1:6">
      <c r="C201" s="99"/>
    </row>
    <row r="202" spans="1:6">
      <c r="C202" s="99"/>
    </row>
  </sheetData>
  <mergeCells count="147">
    <mergeCell ref="I187:J187"/>
    <mergeCell ref="A189:E189"/>
    <mergeCell ref="A191:A192"/>
    <mergeCell ref="B191:B192"/>
    <mergeCell ref="C191:D191"/>
    <mergeCell ref="E191:E192"/>
    <mergeCell ref="A147:F147"/>
    <mergeCell ref="A148:F148"/>
    <mergeCell ref="A178:E178"/>
    <mergeCell ref="A180:A181"/>
    <mergeCell ref="B180:B181"/>
    <mergeCell ref="C180:D180"/>
    <mergeCell ref="E180:E181"/>
    <mergeCell ref="B146:D146"/>
    <mergeCell ref="F146:G146"/>
    <mergeCell ref="J131:J133"/>
    <mergeCell ref="B135:E135"/>
    <mergeCell ref="B137:B139"/>
    <mergeCell ref="F140:G140"/>
    <mergeCell ref="B141:G141"/>
    <mergeCell ref="F142:G142"/>
    <mergeCell ref="I186:J186"/>
    <mergeCell ref="A131:A133"/>
    <mergeCell ref="B131:B133"/>
    <mergeCell ref="C131:C133"/>
    <mergeCell ref="F131:F133"/>
    <mergeCell ref="D131:D133"/>
    <mergeCell ref="E131:E133"/>
    <mergeCell ref="B143:B145"/>
    <mergeCell ref="C143:C145"/>
    <mergeCell ref="D143:D145"/>
    <mergeCell ref="E143:E145"/>
    <mergeCell ref="C125:I125"/>
    <mergeCell ref="C126:I126"/>
    <mergeCell ref="C127:I127"/>
    <mergeCell ref="M127:P127"/>
    <mergeCell ref="A129:A130"/>
    <mergeCell ref="B129:B130"/>
    <mergeCell ref="C129:C130"/>
    <mergeCell ref="F129:F130"/>
    <mergeCell ref="D129:D130"/>
    <mergeCell ref="E129:E130"/>
    <mergeCell ref="G129:G130"/>
    <mergeCell ref="H129:H130"/>
    <mergeCell ref="I129:I130"/>
    <mergeCell ref="J129:J130"/>
    <mergeCell ref="G128:H128"/>
    <mergeCell ref="F72:G72"/>
    <mergeCell ref="F73:G73"/>
    <mergeCell ref="F74:G74"/>
    <mergeCell ref="A114:E114"/>
    <mergeCell ref="A118:F118"/>
    <mergeCell ref="A124:I124"/>
    <mergeCell ref="A65:H65"/>
    <mergeCell ref="A66:H66"/>
    <mergeCell ref="F67:G67"/>
    <mergeCell ref="F68:G68"/>
    <mergeCell ref="F69:G69"/>
    <mergeCell ref="F70:G70"/>
    <mergeCell ref="B59:H59"/>
    <mergeCell ref="B62:D62"/>
    <mergeCell ref="F62:G62"/>
    <mergeCell ref="A63:H63"/>
    <mergeCell ref="A64:H64"/>
    <mergeCell ref="I64:K64"/>
    <mergeCell ref="B53:H53"/>
    <mergeCell ref="G54:H54"/>
    <mergeCell ref="B55:B57"/>
    <mergeCell ref="C55:C57"/>
    <mergeCell ref="D55:D57"/>
    <mergeCell ref="E55:E57"/>
    <mergeCell ref="F55:F57"/>
    <mergeCell ref="K43:K45"/>
    <mergeCell ref="B47:G47"/>
    <mergeCell ref="B49:B51"/>
    <mergeCell ref="C49:C51"/>
    <mergeCell ref="D49:D51"/>
    <mergeCell ref="G52:H52"/>
    <mergeCell ref="H41:H42"/>
    <mergeCell ref="I41:I42"/>
    <mergeCell ref="J41:J42"/>
    <mergeCell ref="K41:K42"/>
    <mergeCell ref="A43:A45"/>
    <mergeCell ref="B43:B45"/>
    <mergeCell ref="C43:C45"/>
    <mergeCell ref="D43:D45"/>
    <mergeCell ref="E43:E45"/>
    <mergeCell ref="F43:G44"/>
    <mergeCell ref="F40:G40"/>
    <mergeCell ref="A41:A42"/>
    <mergeCell ref="B41:B42"/>
    <mergeCell ref="C41:C42"/>
    <mergeCell ref="D41:D42"/>
    <mergeCell ref="E41:E42"/>
    <mergeCell ref="F41:G42"/>
    <mergeCell ref="A30:F30"/>
    <mergeCell ref="A36:K36"/>
    <mergeCell ref="AF36:AH36"/>
    <mergeCell ref="C37:K37"/>
    <mergeCell ref="C38:K38"/>
    <mergeCell ref="C39:K39"/>
    <mergeCell ref="M39:P39"/>
    <mergeCell ref="B26:C26"/>
    <mergeCell ref="F26:G26"/>
    <mergeCell ref="B27:C27"/>
    <mergeCell ref="F27:G27"/>
    <mergeCell ref="A28:F28"/>
    <mergeCell ref="A29:F29"/>
    <mergeCell ref="A25:C25"/>
    <mergeCell ref="E25:F25"/>
    <mergeCell ref="G25:H25"/>
    <mergeCell ref="A17:B17"/>
    <mergeCell ref="A21:H21"/>
    <mergeCell ref="A22:B22"/>
    <mergeCell ref="E22:F22"/>
    <mergeCell ref="G22:H22"/>
    <mergeCell ref="A23:B23"/>
    <mergeCell ref="E23:F23"/>
    <mergeCell ref="G23:H23"/>
    <mergeCell ref="A16:B16"/>
    <mergeCell ref="A11:B11"/>
    <mergeCell ref="E11:F11"/>
    <mergeCell ref="G11:H11"/>
    <mergeCell ref="A12:C12"/>
    <mergeCell ref="E12:F12"/>
    <mergeCell ref="G12:H12"/>
    <mergeCell ref="A24:B24"/>
    <mergeCell ref="E24:F24"/>
    <mergeCell ref="G24:H24"/>
    <mergeCell ref="A3:J3"/>
    <mergeCell ref="A4:J4"/>
    <mergeCell ref="B5:D5"/>
    <mergeCell ref="G5:H5"/>
    <mergeCell ref="B13:C13"/>
    <mergeCell ref="F13:G13"/>
    <mergeCell ref="B14:C14"/>
    <mergeCell ref="F14:G14"/>
    <mergeCell ref="A15:F15"/>
    <mergeCell ref="K5:L5"/>
    <mergeCell ref="A6:J6"/>
    <mergeCell ref="A8:H8"/>
    <mergeCell ref="A9:B9"/>
    <mergeCell ref="E9:F9"/>
    <mergeCell ref="G9:H9"/>
    <mergeCell ref="A10:B10"/>
    <mergeCell ref="E10:F10"/>
    <mergeCell ref="G10:H10"/>
  </mergeCells>
  <pageMargins left="0.7" right="0.7" top="0.75" bottom="0.75" header="0.3" footer="0.3"/>
  <pageSetup paperSize="3" orientation="landscape"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P42"/>
  <sheetViews>
    <sheetView topLeftCell="D1" zoomScale="70" zoomScaleNormal="70" workbookViewId="0">
      <selection activeCell="L15" sqref="L15"/>
    </sheetView>
  </sheetViews>
  <sheetFormatPr defaultColWidth="9.44140625" defaultRowHeight="13.2"/>
  <cols>
    <col min="1" max="1" width="22.44140625" style="11" customWidth="1"/>
    <col min="2" max="2" width="36.44140625" style="11" customWidth="1"/>
    <col min="3" max="3" width="14.5546875" style="11" customWidth="1"/>
    <col min="4" max="4" width="14" style="11" customWidth="1"/>
    <col min="5" max="5" width="13.44140625" style="11" customWidth="1"/>
    <col min="6" max="8" width="14.44140625" style="10" customWidth="1"/>
    <col min="9" max="9" width="18.5546875" style="10" customWidth="1"/>
    <col min="10" max="10" width="6" style="10" customWidth="1"/>
    <col min="11" max="12" width="22.44140625" style="10" customWidth="1"/>
    <col min="13" max="13" width="18.44140625" style="10" customWidth="1"/>
    <col min="14" max="16384" width="9.44140625" style="10"/>
  </cols>
  <sheetData>
    <row r="1" spans="1:16" s="43" customFormat="1" ht="15" customHeight="1">
      <c r="A1" s="47"/>
      <c r="B1" s="43" t="s">
        <v>50</v>
      </c>
      <c r="C1" s="349"/>
      <c r="E1" s="43" t="s">
        <v>53</v>
      </c>
      <c r="M1" s="45"/>
    </row>
    <row r="3" spans="1:16" ht="15" customHeight="1">
      <c r="A3" s="1270" t="s">
        <v>670</v>
      </c>
      <c r="B3" s="1270"/>
      <c r="C3" s="1270"/>
      <c r="D3" s="1270"/>
      <c r="E3" s="1270"/>
      <c r="F3" s="1270"/>
      <c r="G3" s="1270"/>
      <c r="H3" s="1270"/>
      <c r="I3" s="1270"/>
      <c r="J3" s="1270"/>
      <c r="K3" s="1270"/>
      <c r="L3" s="1270"/>
      <c r="M3" s="51"/>
    </row>
    <row r="4" spans="1:16" ht="35.549999999999997" customHeight="1">
      <c r="A4" s="1476" t="s">
        <v>1207</v>
      </c>
      <c r="B4" s="1476"/>
      <c r="C4" s="1476"/>
      <c r="D4" s="1476"/>
      <c r="E4" s="1476"/>
      <c r="F4" s="1476"/>
      <c r="G4" s="1476"/>
      <c r="H4" s="1476"/>
      <c r="I4" s="1476"/>
      <c r="J4" s="1476"/>
      <c r="K4" s="1476"/>
      <c r="L4" s="1476"/>
      <c r="M4" s="429"/>
    </row>
    <row r="5" spans="1:16" ht="19.5" customHeight="1">
      <c r="A5" s="431" t="s">
        <v>37</v>
      </c>
      <c r="B5" s="432" t="s">
        <v>266</v>
      </c>
      <c r="C5" s="1479"/>
      <c r="D5" s="1479"/>
      <c r="E5" s="1479"/>
      <c r="F5" s="1477"/>
      <c r="G5" s="1477"/>
      <c r="H5" s="1477"/>
      <c r="I5" s="1477"/>
      <c r="J5" s="1477"/>
      <c r="K5" s="1477"/>
      <c r="L5" s="1477"/>
      <c r="M5" s="430"/>
    </row>
    <row r="6" spans="1:16" ht="28.5" customHeight="1">
      <c r="A6" s="515" t="s">
        <v>38</v>
      </c>
      <c r="B6" s="515" t="s">
        <v>39</v>
      </c>
      <c r="C6" s="515" t="s">
        <v>40</v>
      </c>
      <c r="D6" s="515" t="s">
        <v>41</v>
      </c>
      <c r="E6" s="515" t="s">
        <v>46</v>
      </c>
      <c r="F6" s="515" t="s">
        <v>47</v>
      </c>
      <c r="G6" s="515" t="s">
        <v>48</v>
      </c>
      <c r="H6" s="515" t="s">
        <v>49</v>
      </c>
      <c r="I6" s="515" t="s">
        <v>137</v>
      </c>
      <c r="J6" s="1328" t="s">
        <v>678</v>
      </c>
      <c r="K6" s="1328" t="s">
        <v>176</v>
      </c>
      <c r="L6" s="1328"/>
      <c r="M6" s="151"/>
    </row>
    <row r="7" spans="1:16" ht="28.5" customHeight="1">
      <c r="A7" s="1328" t="s">
        <v>267</v>
      </c>
      <c r="B7" s="1328" t="s">
        <v>448</v>
      </c>
      <c r="C7" s="1328" t="s">
        <v>954</v>
      </c>
      <c r="D7" s="1328" t="s">
        <v>955</v>
      </c>
      <c r="E7" s="1328" t="s">
        <v>956</v>
      </c>
      <c r="F7" s="1473" t="s">
        <v>1211</v>
      </c>
      <c r="G7" s="1473"/>
      <c r="H7" s="1328" t="s">
        <v>957</v>
      </c>
      <c r="I7" s="798" t="s">
        <v>1212</v>
      </c>
      <c r="J7" s="1328"/>
      <c r="K7" s="1478" t="s">
        <v>1213</v>
      </c>
      <c r="L7" s="1478"/>
      <c r="M7" s="151"/>
    </row>
    <row r="8" spans="1:16" s="84" customFormat="1" ht="58.5" customHeight="1">
      <c r="A8" s="1328"/>
      <c r="B8" s="1328"/>
      <c r="C8" s="1328"/>
      <c r="D8" s="1328"/>
      <c r="E8" s="1328"/>
      <c r="F8" s="515" t="s">
        <v>958</v>
      </c>
      <c r="G8" s="515" t="s">
        <v>959</v>
      </c>
      <c r="H8" s="1328"/>
      <c r="I8" s="515" t="s">
        <v>960</v>
      </c>
      <c r="J8" s="1328"/>
      <c r="K8" s="515" t="s">
        <v>961</v>
      </c>
      <c r="L8" s="515" t="s">
        <v>962</v>
      </c>
    </row>
    <row r="9" spans="1:16" s="118" customFormat="1" ht="14.4">
      <c r="A9" s="516"/>
      <c r="B9" s="517" t="s">
        <v>676</v>
      </c>
      <c r="C9" s="518">
        <v>5000</v>
      </c>
      <c r="D9" s="519">
        <v>3456</v>
      </c>
      <c r="E9" s="519">
        <v>2345</v>
      </c>
      <c r="F9" s="520">
        <f>0.75*C9</f>
        <v>3750</v>
      </c>
      <c r="G9" s="521">
        <f>D9+E9</f>
        <v>5801</v>
      </c>
      <c r="H9" s="516">
        <v>85</v>
      </c>
      <c r="I9" s="521">
        <f>(H9/D9)</f>
        <v>2.4594907407407409E-2</v>
      </c>
      <c r="J9" s="1328"/>
      <c r="K9" s="522" t="s">
        <v>952</v>
      </c>
      <c r="L9" s="523" t="s">
        <v>953</v>
      </c>
      <c r="N9" s="350"/>
      <c r="P9" s="350"/>
    </row>
    <row r="10" spans="1:16" ht="21.75" customHeight="1">
      <c r="A10" s="1472" t="s">
        <v>963</v>
      </c>
      <c r="B10" s="1472"/>
      <c r="C10" s="1472"/>
      <c r="D10" s="1472"/>
      <c r="E10" s="1472"/>
      <c r="F10" s="1472"/>
      <c r="G10" s="1472"/>
      <c r="H10" s="1472"/>
      <c r="I10" s="524" t="s">
        <v>81</v>
      </c>
      <c r="J10" s="1474" t="s">
        <v>698</v>
      </c>
      <c r="K10" s="1475"/>
      <c r="L10" s="525" t="s">
        <v>80</v>
      </c>
    </row>
    <row r="11" spans="1:16" ht="27.75" customHeight="1">
      <c r="A11" s="1472" t="s">
        <v>964</v>
      </c>
      <c r="B11" s="1472"/>
      <c r="C11" s="1472"/>
      <c r="D11" s="1472"/>
      <c r="E11" s="1472"/>
      <c r="F11" s="1472"/>
      <c r="G11" s="1472"/>
      <c r="H11" s="1472"/>
      <c r="I11" s="526"/>
      <c r="J11" s="526"/>
      <c r="K11" s="526"/>
      <c r="L11" s="526"/>
      <c r="M11" s="120"/>
    </row>
    <row r="12" spans="1:16" ht="21.75" customHeight="1">
      <c r="A12" s="1471" t="s">
        <v>1208</v>
      </c>
      <c r="B12" s="1471"/>
      <c r="C12" s="1471"/>
      <c r="D12" s="1471"/>
      <c r="E12" s="1471"/>
      <c r="F12" s="1471"/>
      <c r="G12" s="1471"/>
      <c r="H12" s="1471"/>
      <c r="I12" s="124"/>
      <c r="J12" s="124"/>
      <c r="K12" s="124"/>
      <c r="L12" s="124"/>
      <c r="M12" s="124"/>
    </row>
    <row r="13" spans="1:16" ht="22.05" customHeight="1">
      <c r="A13" s="1471" t="s">
        <v>1209</v>
      </c>
      <c r="B13" s="1471"/>
      <c r="C13" s="1471"/>
      <c r="D13" s="1471"/>
      <c r="E13" s="1471"/>
      <c r="F13" s="1471"/>
      <c r="G13" s="1471"/>
      <c r="H13" s="1471"/>
      <c r="I13" s="120"/>
      <c r="J13" s="120"/>
      <c r="K13" s="120"/>
      <c r="L13" s="120"/>
      <c r="M13" s="120"/>
    </row>
    <row r="14" spans="1:16" ht="18.75" customHeight="1">
      <c r="B14" s="353" t="s">
        <v>677</v>
      </c>
    </row>
    <row r="15" spans="1:16" ht="27.75" customHeight="1">
      <c r="B15" s="797" t="s">
        <v>1210</v>
      </c>
      <c r="C15" s="370"/>
      <c r="D15" s="370"/>
      <c r="E15" s="370"/>
    </row>
    <row r="16" spans="1:16" s="119" customFormat="1" ht="24.75" customHeight="1">
      <c r="B16" s="380" t="s">
        <v>671</v>
      </c>
      <c r="C16" s="371"/>
      <c r="D16" s="371"/>
      <c r="E16" s="371"/>
      <c r="F16" s="371"/>
      <c r="G16" s="371"/>
      <c r="H16" s="371"/>
      <c r="I16" s="371"/>
      <c r="J16" s="371"/>
      <c r="K16" s="371"/>
      <c r="L16" s="371"/>
      <c r="M16" s="371"/>
    </row>
    <row r="17" spans="2:13" s="119" customFormat="1" ht="16.5" customHeight="1">
      <c r="B17" s="380" t="s">
        <v>680</v>
      </c>
      <c r="C17" s="362"/>
      <c r="D17" s="372"/>
      <c r="E17" s="363"/>
      <c r="F17" s="373"/>
      <c r="G17" s="363"/>
      <c r="H17" s="372"/>
      <c r="I17" s="374"/>
      <c r="J17" s="375"/>
      <c r="K17" s="375"/>
      <c r="L17" s="375"/>
      <c r="M17" s="375"/>
    </row>
    <row r="18" spans="2:13" s="84" customFormat="1" ht="20.25" customHeight="1">
      <c r="B18" s="380" t="s">
        <v>681</v>
      </c>
      <c r="C18" s="351"/>
      <c r="D18" s="372"/>
      <c r="E18" s="364"/>
      <c r="F18" s="372"/>
      <c r="G18" s="364"/>
      <c r="H18" s="372"/>
      <c r="I18" s="374"/>
      <c r="J18" s="151"/>
      <c r="K18" s="151"/>
      <c r="L18" s="151"/>
      <c r="M18" s="151"/>
    </row>
    <row r="19" spans="2:13" s="119" customFormat="1" ht="24" customHeight="1">
      <c r="B19" s="380" t="s">
        <v>682</v>
      </c>
      <c r="C19" s="352"/>
      <c r="D19" s="372"/>
      <c r="E19" s="365"/>
      <c r="F19" s="372"/>
      <c r="G19" s="365"/>
      <c r="H19" s="372"/>
      <c r="I19" s="374"/>
      <c r="J19" s="376"/>
      <c r="K19" s="376"/>
      <c r="L19" s="376"/>
      <c r="M19" s="376"/>
    </row>
    <row r="20" spans="2:13" s="119" customFormat="1" ht="21" customHeight="1">
      <c r="B20" s="380" t="s">
        <v>679</v>
      </c>
      <c r="C20" s="377"/>
      <c r="D20" s="377"/>
      <c r="E20" s="377"/>
      <c r="F20" s="377"/>
      <c r="G20" s="377"/>
      <c r="H20" s="377"/>
      <c r="I20" s="377"/>
      <c r="J20" s="377"/>
      <c r="K20" s="377"/>
      <c r="L20" s="377"/>
      <c r="M20" s="377"/>
    </row>
    <row r="21" spans="2:13" s="119" customFormat="1" ht="18" customHeight="1">
      <c r="B21" s="380" t="s">
        <v>672</v>
      </c>
      <c r="C21" s="362"/>
      <c r="D21" s="366"/>
      <c r="E21" s="372"/>
      <c r="F21" s="373"/>
      <c r="G21" s="363"/>
      <c r="H21" s="372"/>
      <c r="I21" s="374"/>
      <c r="J21" s="375"/>
      <c r="K21" s="375"/>
      <c r="L21" s="375"/>
      <c r="M21" s="375"/>
    </row>
    <row r="22" spans="2:13" s="84" customFormat="1" ht="19.5" customHeight="1">
      <c r="B22" s="380" t="s">
        <v>673</v>
      </c>
      <c r="C22" s="364"/>
      <c r="D22" s="367"/>
      <c r="E22" s="372"/>
      <c r="F22" s="372"/>
      <c r="G22" s="364"/>
      <c r="H22" s="372"/>
      <c r="I22" s="374"/>
      <c r="J22" s="151"/>
      <c r="K22" s="151"/>
      <c r="L22" s="151"/>
      <c r="M22" s="151"/>
    </row>
    <row r="23" spans="2:13" s="84" customFormat="1" ht="19.5" customHeight="1">
      <c r="B23" s="380" t="s">
        <v>674</v>
      </c>
      <c r="C23" s="365"/>
      <c r="D23" s="368"/>
      <c r="E23" s="372"/>
      <c r="F23" s="372"/>
      <c r="G23" s="369"/>
      <c r="H23" s="372"/>
      <c r="I23" s="374"/>
      <c r="J23" s="378"/>
      <c r="K23" s="378"/>
      <c r="L23" s="378"/>
      <c r="M23" s="378"/>
    </row>
    <row r="24" spans="2:13" ht="19.5" customHeight="1">
      <c r="B24" s="380" t="s">
        <v>675</v>
      </c>
      <c r="C24" s="356"/>
      <c r="D24" s="356"/>
      <c r="E24" s="356"/>
      <c r="F24" s="356"/>
      <c r="G24" s="356"/>
      <c r="H24" s="356"/>
      <c r="I24" s="359"/>
      <c r="J24" s="356"/>
      <c r="K24" s="356"/>
      <c r="L24" s="356"/>
      <c r="M24" s="356"/>
    </row>
    <row r="25" spans="2:13" ht="13.8">
      <c r="C25" s="121"/>
    </row>
    <row r="26" spans="2:13" ht="12.75" customHeight="1">
      <c r="C26" s="121"/>
    </row>
    <row r="27" spans="2:13" ht="12.75" customHeight="1">
      <c r="C27" s="121"/>
      <c r="J27" s="379"/>
      <c r="K27" s="379"/>
      <c r="L27" s="379"/>
      <c r="M27" s="379"/>
    </row>
    <row r="28" spans="2:13" ht="12.75" customHeight="1">
      <c r="C28" s="121"/>
      <c r="J28" s="379"/>
      <c r="K28" s="379"/>
      <c r="L28" s="379"/>
      <c r="M28" s="379"/>
    </row>
    <row r="29" spans="2:13" ht="15" customHeight="1">
      <c r="C29" s="121"/>
      <c r="J29" s="379"/>
      <c r="K29" s="379"/>
      <c r="L29" s="379"/>
      <c r="M29" s="379"/>
    </row>
    <row r="30" spans="2:13" ht="14.25" customHeight="1">
      <c r="C30" s="121"/>
      <c r="J30" s="379"/>
      <c r="K30" s="379"/>
      <c r="L30" s="379"/>
      <c r="M30" s="379"/>
    </row>
    <row r="31" spans="2:13" ht="12.75" customHeight="1">
      <c r="C31" s="121"/>
      <c r="J31" s="379"/>
      <c r="K31" s="379"/>
      <c r="L31" s="379"/>
      <c r="M31" s="379"/>
    </row>
    <row r="32" spans="2:13" ht="12.75" customHeight="1">
      <c r="C32" s="121"/>
      <c r="J32" s="379"/>
      <c r="K32" s="379"/>
      <c r="L32" s="379"/>
      <c r="M32" s="379"/>
    </row>
    <row r="33" spans="3:13" ht="12.75" customHeight="1">
      <c r="C33" s="121"/>
      <c r="J33" s="379"/>
      <c r="K33" s="379"/>
      <c r="L33" s="379"/>
      <c r="M33" s="379"/>
    </row>
    <row r="34" spans="3:13" ht="12.75" customHeight="1">
      <c r="C34" s="122"/>
      <c r="J34" s="379"/>
      <c r="K34" s="379"/>
      <c r="L34" s="379"/>
      <c r="M34" s="379"/>
    </row>
    <row r="35" spans="3:13" ht="15" customHeight="1"/>
    <row r="37" spans="3:13">
      <c r="D37" s="116"/>
    </row>
    <row r="38" spans="3:13">
      <c r="D38" s="116"/>
    </row>
    <row r="39" spans="3:13" ht="12.75" customHeight="1">
      <c r="D39" s="116"/>
    </row>
    <row r="40" spans="3:13" ht="12.75" customHeight="1">
      <c r="D40" s="116"/>
    </row>
    <row r="41" spans="3:13" ht="12.75" customHeight="1">
      <c r="D41" s="116"/>
    </row>
    <row r="42" spans="3:13" ht="12.75" customHeight="1">
      <c r="D42" s="116"/>
    </row>
  </sheetData>
  <mergeCells count="19">
    <mergeCell ref="J10:K10"/>
    <mergeCell ref="A3:L3"/>
    <mergeCell ref="A4:L4"/>
    <mergeCell ref="F5:L5"/>
    <mergeCell ref="H7:H8"/>
    <mergeCell ref="E7:E8"/>
    <mergeCell ref="D7:D8"/>
    <mergeCell ref="C7:C8"/>
    <mergeCell ref="J6:J9"/>
    <mergeCell ref="K7:L7"/>
    <mergeCell ref="K6:L6"/>
    <mergeCell ref="C5:E5"/>
    <mergeCell ref="A12:H12"/>
    <mergeCell ref="A13:H13"/>
    <mergeCell ref="A11:H11"/>
    <mergeCell ref="B7:B8"/>
    <mergeCell ref="A7:A8"/>
    <mergeCell ref="A10:H10"/>
    <mergeCell ref="F7:G7"/>
  </mergeCells>
  <pageMargins left="0.5" right="0.5" top="0.75" bottom="0.75" header="0.3" footer="0.3"/>
  <pageSetup paperSize="3" scale="86" fitToHeight="0" orientation="landscape" horizontalDpi="1200" verticalDpi="1200"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15"/>
  <sheetViews>
    <sheetView zoomScale="66" zoomScaleNormal="100" workbookViewId="0">
      <selection activeCell="A4" sqref="A4:E4"/>
    </sheetView>
  </sheetViews>
  <sheetFormatPr defaultColWidth="9.44140625" defaultRowHeight="14.4"/>
  <cols>
    <col min="1" max="2" width="10.5546875" style="43" customWidth="1"/>
    <col min="3" max="3" width="77" style="43" customWidth="1"/>
    <col min="4" max="4" width="10.5546875" style="43" customWidth="1"/>
    <col min="5" max="5" width="11" style="43" customWidth="1"/>
    <col min="6" max="6" width="12.5546875" style="43" customWidth="1"/>
    <col min="7" max="7" width="4.5546875" style="43" customWidth="1"/>
    <col min="8" max="8" width="3.5546875" style="43" customWidth="1"/>
    <col min="9" max="9" width="25.5546875" style="43" customWidth="1"/>
    <col min="10" max="10" width="3.5546875" style="43" customWidth="1"/>
    <col min="11" max="11" width="24.5546875" style="43" customWidth="1"/>
    <col min="12" max="16384" width="9.44140625" style="43"/>
  </cols>
  <sheetData>
    <row r="1" spans="1:19">
      <c r="A1" s="47"/>
      <c r="B1" s="43" t="s">
        <v>50</v>
      </c>
      <c r="D1" s="48"/>
      <c r="E1" s="43" t="s">
        <v>51</v>
      </c>
      <c r="G1" s="992"/>
      <c r="H1" s="992"/>
      <c r="I1" s="43" t="s">
        <v>52</v>
      </c>
      <c r="L1" s="49"/>
      <c r="M1" s="43" t="s">
        <v>53</v>
      </c>
    </row>
    <row r="2" spans="1:19">
      <c r="A2" s="44"/>
      <c r="B2" s="44"/>
      <c r="C2" s="44"/>
      <c r="D2" s="44"/>
      <c r="E2" s="44"/>
      <c r="F2" s="44"/>
      <c r="G2" s="44"/>
      <c r="H2" s="44"/>
      <c r="I2" s="44"/>
      <c r="J2" s="44"/>
      <c r="K2" s="44"/>
    </row>
    <row r="3" spans="1:19" ht="15" customHeight="1">
      <c r="A3" s="1037" t="s">
        <v>1306</v>
      </c>
      <c r="B3" s="1038"/>
      <c r="C3" s="1038"/>
      <c r="D3" s="1038"/>
      <c r="E3" s="1039"/>
      <c r="F3" s="51"/>
      <c r="G3" s="51"/>
      <c r="H3" s="51"/>
      <c r="I3" s="51"/>
      <c r="J3" s="51"/>
      <c r="K3" s="51"/>
      <c r="L3" s="45"/>
      <c r="M3" s="45"/>
      <c r="N3" s="45"/>
      <c r="O3" s="45"/>
      <c r="P3" s="45"/>
      <c r="Q3" s="45"/>
      <c r="R3" s="45"/>
      <c r="S3" s="45"/>
    </row>
    <row r="4" spans="1:19" ht="15" customHeight="1">
      <c r="A4" s="1154" t="s">
        <v>1228</v>
      </c>
      <c r="B4" s="1154"/>
      <c r="C4" s="1154"/>
      <c r="D4" s="1154"/>
      <c r="E4" s="1154"/>
      <c r="F4" s="51"/>
      <c r="G4" s="51"/>
      <c r="H4" s="51"/>
      <c r="I4" s="51"/>
      <c r="J4" s="51"/>
      <c r="K4" s="51"/>
      <c r="L4" s="45"/>
      <c r="M4" s="45"/>
      <c r="N4" s="45"/>
      <c r="O4" s="45"/>
      <c r="P4" s="45"/>
      <c r="Q4" s="45"/>
      <c r="R4" s="45"/>
      <c r="S4" s="45"/>
    </row>
    <row r="5" spans="1:19" ht="60" customHeight="1">
      <c r="A5" s="1480" t="s">
        <v>1203</v>
      </c>
      <c r="B5" s="994"/>
      <c r="C5" s="994"/>
      <c r="D5" s="994"/>
      <c r="E5" s="995"/>
      <c r="F5" s="50"/>
      <c r="G5" s="50"/>
      <c r="H5" s="50"/>
      <c r="I5" s="50"/>
      <c r="J5" s="50"/>
      <c r="K5" s="50"/>
      <c r="L5" s="45"/>
      <c r="M5" s="45"/>
      <c r="N5" s="45"/>
      <c r="O5" s="45"/>
      <c r="P5" s="45"/>
      <c r="Q5" s="45"/>
      <c r="R5" s="45"/>
      <c r="S5" s="45"/>
    </row>
    <row r="6" spans="1:19">
      <c r="A6" s="1481" t="s">
        <v>60</v>
      </c>
      <c r="B6" s="1481" t="s">
        <v>61</v>
      </c>
      <c r="C6" s="1481" t="s">
        <v>62</v>
      </c>
      <c r="D6" s="1481" t="s">
        <v>57</v>
      </c>
      <c r="E6" s="1481"/>
      <c r="F6" s="44"/>
      <c r="G6" s="44"/>
      <c r="H6" s="44"/>
      <c r="I6" s="44"/>
      <c r="J6" s="44"/>
      <c r="K6" s="44"/>
    </row>
    <row r="7" spans="1:19">
      <c r="A7" s="1481"/>
      <c r="B7" s="1481"/>
      <c r="C7" s="1481"/>
      <c r="D7" s="294" t="s">
        <v>58</v>
      </c>
      <c r="E7" s="294" t="s">
        <v>59</v>
      </c>
      <c r="F7" s="44"/>
      <c r="G7" s="44"/>
      <c r="H7" s="44"/>
      <c r="I7" s="44"/>
      <c r="J7" s="44"/>
      <c r="K7" s="44"/>
    </row>
    <row r="8" spans="1:19" ht="33" customHeight="1">
      <c r="A8" s="53" t="s">
        <v>64</v>
      </c>
      <c r="B8" s="794" t="s">
        <v>63</v>
      </c>
      <c r="C8" s="795" t="s">
        <v>1204</v>
      </c>
      <c r="D8" s="52" t="s">
        <v>56</v>
      </c>
      <c r="E8" s="52" t="s">
        <v>56</v>
      </c>
      <c r="F8" s="44"/>
      <c r="G8" s="44"/>
      <c r="H8" s="44"/>
      <c r="I8" s="44"/>
      <c r="J8" s="44"/>
      <c r="K8" s="44"/>
    </row>
    <row r="9" spans="1:19">
      <c r="A9" s="44"/>
      <c r="B9" s="44"/>
      <c r="C9" s="44"/>
      <c r="D9" s="44"/>
      <c r="E9" s="44"/>
      <c r="F9" s="44"/>
      <c r="G9" s="44"/>
      <c r="H9" s="44"/>
      <c r="I9" s="44"/>
      <c r="J9" s="44"/>
      <c r="K9" s="44"/>
    </row>
    <row r="11" spans="1:19">
      <c r="B11" s="46"/>
      <c r="C11" s="46"/>
      <c r="D11" s="46"/>
      <c r="E11" s="46"/>
      <c r="F11" s="46"/>
      <c r="G11" s="46"/>
      <c r="H11" s="46"/>
      <c r="I11" s="46"/>
      <c r="J11" s="46"/>
      <c r="K11" s="46"/>
      <c r="L11" s="46"/>
      <c r="M11" s="46"/>
      <c r="N11" s="46"/>
      <c r="O11" s="46"/>
      <c r="P11" s="46"/>
      <c r="Q11" s="46"/>
    </row>
    <row r="14" spans="1:19">
      <c r="A14" s="44"/>
      <c r="B14" s="44"/>
      <c r="C14" s="44"/>
      <c r="D14" s="44"/>
      <c r="E14" s="44"/>
      <c r="F14" s="44"/>
      <c r="G14" s="44"/>
      <c r="H14" s="44"/>
      <c r="I14" s="44"/>
      <c r="J14" s="44"/>
      <c r="K14" s="44"/>
    </row>
    <row r="15" spans="1:19">
      <c r="A15" s="44"/>
      <c r="B15" s="44"/>
      <c r="C15" s="44"/>
      <c r="D15" s="44"/>
      <c r="E15" s="44"/>
      <c r="F15" s="44"/>
      <c r="G15" s="44"/>
      <c r="H15" s="44"/>
      <c r="I15" s="44"/>
      <c r="J15" s="44"/>
      <c r="K15" s="44"/>
    </row>
  </sheetData>
  <mergeCells count="8">
    <mergeCell ref="G1:H1"/>
    <mergeCell ref="A3:E3"/>
    <mergeCell ref="A5:E5"/>
    <mergeCell ref="A6:A7"/>
    <mergeCell ref="B6:B7"/>
    <mergeCell ref="C6:C7"/>
    <mergeCell ref="D6:E6"/>
    <mergeCell ref="A4:E4"/>
  </mergeCells>
  <pageMargins left="0.5" right="0.5" top="0.75" bottom="0.75" header="0.3" footer="0.3"/>
  <pageSetup orientation="landscape"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DEAA1-F935-4192-B626-2D0295BD88D9}">
  <dimension ref="A1:S13"/>
  <sheetViews>
    <sheetView zoomScaleNormal="100" workbookViewId="0">
      <selection activeCell="C17" sqref="C17"/>
    </sheetView>
  </sheetViews>
  <sheetFormatPr defaultColWidth="9.44140625" defaultRowHeight="14.4"/>
  <cols>
    <col min="1" max="2" width="10.5546875" style="43" customWidth="1"/>
    <col min="3" max="3" width="77" style="43" customWidth="1"/>
    <col min="4" max="4" width="10.5546875" style="43" customWidth="1"/>
    <col min="5" max="5" width="11" style="43" customWidth="1"/>
    <col min="6" max="6" width="12.5546875" style="43" customWidth="1"/>
    <col min="7" max="7" width="4.5546875" style="43" customWidth="1"/>
    <col min="8" max="8" width="3.5546875" style="43" customWidth="1"/>
    <col min="9" max="9" width="25.5546875" style="43" customWidth="1"/>
    <col min="10" max="10" width="3.5546875" style="43" customWidth="1"/>
    <col min="11" max="11" width="24.5546875" style="43" customWidth="1"/>
    <col min="12" max="16384" width="9.44140625" style="43"/>
  </cols>
  <sheetData>
    <row r="1" spans="1:19">
      <c r="A1" s="47"/>
      <c r="B1" s="43" t="s">
        <v>50</v>
      </c>
      <c r="D1" s="48"/>
      <c r="E1" s="43" t="s">
        <v>51</v>
      </c>
      <c r="G1" s="992"/>
      <c r="H1" s="992"/>
      <c r="I1" s="43" t="s">
        <v>52</v>
      </c>
      <c r="L1" s="49"/>
      <c r="M1" s="43" t="s">
        <v>53</v>
      </c>
    </row>
    <row r="2" spans="1:19">
      <c r="A2" s="241"/>
      <c r="B2" s="241"/>
      <c r="C2" s="241"/>
      <c r="D2" s="241"/>
      <c r="E2" s="241"/>
      <c r="F2" s="241"/>
      <c r="G2" s="241"/>
      <c r="H2" s="241"/>
      <c r="I2" s="241"/>
      <c r="J2" s="241"/>
      <c r="K2" s="241"/>
    </row>
    <row r="3" spans="1:19">
      <c r="A3" s="241"/>
      <c r="B3" s="241"/>
      <c r="C3" s="241"/>
      <c r="D3" s="241"/>
      <c r="E3" s="241"/>
      <c r="F3" s="241"/>
      <c r="G3" s="241"/>
      <c r="H3" s="241"/>
      <c r="I3" s="241"/>
      <c r="J3" s="241"/>
      <c r="K3" s="241"/>
    </row>
    <row r="4" spans="1:19" ht="15" customHeight="1">
      <c r="A4" s="1037" t="s">
        <v>1306</v>
      </c>
      <c r="B4" s="1038"/>
      <c r="C4" s="1038"/>
      <c r="D4" s="1038"/>
      <c r="E4" s="1039"/>
      <c r="F4" s="51"/>
      <c r="G4" s="51"/>
      <c r="H4" s="51"/>
      <c r="I4" s="51"/>
      <c r="J4" s="51"/>
      <c r="K4" s="51"/>
      <c r="L4" s="45"/>
      <c r="M4" s="45"/>
      <c r="N4" s="45"/>
      <c r="O4" s="45"/>
      <c r="P4" s="45"/>
      <c r="Q4" s="45"/>
      <c r="R4" s="45"/>
      <c r="S4" s="45"/>
    </row>
    <row r="5" spans="1:19">
      <c r="A5" s="1484" t="s">
        <v>1224</v>
      </c>
      <c r="B5" s="1484"/>
      <c r="C5" s="1484"/>
      <c r="D5" s="1484"/>
      <c r="E5" s="1484"/>
    </row>
    <row r="6" spans="1:19" ht="64.05" customHeight="1">
      <c r="A6" s="1485" t="s">
        <v>1229</v>
      </c>
      <c r="B6" s="1486"/>
      <c r="C6" s="1486"/>
      <c r="D6" s="1486"/>
      <c r="E6" s="1487"/>
    </row>
    <row r="7" spans="1:19">
      <c r="A7" s="1488" t="s">
        <v>60</v>
      </c>
      <c r="B7" s="1488" t="s">
        <v>61</v>
      </c>
      <c r="C7" s="1488" t="s">
        <v>62</v>
      </c>
      <c r="D7" s="1488" t="s">
        <v>57</v>
      </c>
      <c r="E7" s="1488"/>
    </row>
    <row r="8" spans="1:19">
      <c r="A8" s="1488"/>
      <c r="B8" s="1488"/>
      <c r="C8" s="1488"/>
      <c r="D8" s="870" t="s">
        <v>58</v>
      </c>
      <c r="E8" s="870" t="s">
        <v>59</v>
      </c>
    </row>
    <row r="9" spans="1:19" ht="20.399999999999999">
      <c r="A9" s="817" t="s">
        <v>64</v>
      </c>
      <c r="B9" s="815" t="s">
        <v>63</v>
      </c>
      <c r="C9" s="964" t="s">
        <v>1227</v>
      </c>
      <c r="D9" s="815" t="s">
        <v>56</v>
      </c>
      <c r="E9" s="815" t="s">
        <v>56</v>
      </c>
    </row>
    <row r="10" spans="1:19" ht="70.5" customHeight="1">
      <c r="A10" s="977"/>
      <c r="B10" s="977"/>
      <c r="C10" s="886" t="s">
        <v>1336</v>
      </c>
      <c r="D10" s="977" t="s">
        <v>56</v>
      </c>
      <c r="E10" s="977" t="s">
        <v>56</v>
      </c>
      <c r="F10" s="1482" t="s">
        <v>1338</v>
      </c>
      <c r="G10" s="1483"/>
      <c r="H10" s="1483"/>
      <c r="I10" s="1483"/>
    </row>
    <row r="11" spans="1:19" ht="67.5" customHeight="1">
      <c r="A11" s="977"/>
      <c r="B11" s="977"/>
      <c r="C11" s="886" t="s">
        <v>1337</v>
      </c>
      <c r="D11" s="977" t="s">
        <v>56</v>
      </c>
      <c r="E11" s="977" t="s">
        <v>56</v>
      </c>
      <c r="F11" s="1482"/>
      <c r="G11" s="1483"/>
      <c r="H11" s="1483"/>
      <c r="I11" s="1483"/>
    </row>
    <row r="12" spans="1:19" ht="27" customHeight="1">
      <c r="A12" s="817" t="s">
        <v>64</v>
      </c>
      <c r="B12" s="816"/>
      <c r="C12" s="965" t="s">
        <v>1307</v>
      </c>
      <c r="D12" s="815" t="s">
        <v>56</v>
      </c>
      <c r="E12" s="815" t="s">
        <v>56</v>
      </c>
    </row>
    <row r="13" spans="1:19" ht="31.5" customHeight="1">
      <c r="A13" s="817" t="s">
        <v>64</v>
      </c>
      <c r="B13" s="816"/>
      <c r="C13" s="965" t="s">
        <v>1308</v>
      </c>
      <c r="D13" s="815" t="s">
        <v>56</v>
      </c>
      <c r="E13" s="815" t="s">
        <v>56</v>
      </c>
    </row>
  </sheetData>
  <mergeCells count="9">
    <mergeCell ref="F10:I11"/>
    <mergeCell ref="G1:H1"/>
    <mergeCell ref="A4:E4"/>
    <mergeCell ref="A5:E5"/>
    <mergeCell ref="A6:E6"/>
    <mergeCell ref="A7:A8"/>
    <mergeCell ref="B7:B8"/>
    <mergeCell ref="C7:C8"/>
    <mergeCell ref="D7:E7"/>
  </mergeCells>
  <pageMargins left="0.5" right="0.5" top="0.75" bottom="0.75" header="0.3" footer="0.3"/>
  <pageSetup orientation="landscape"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20"/>
  <sheetViews>
    <sheetView zoomScaleNormal="100" workbookViewId="0">
      <selection activeCell="C15" sqref="C15"/>
    </sheetView>
  </sheetViews>
  <sheetFormatPr defaultColWidth="9.44140625" defaultRowHeight="14.4"/>
  <cols>
    <col min="1" max="2" width="10.5546875" style="43" customWidth="1"/>
    <col min="3" max="3" width="70.77734375" style="43" customWidth="1"/>
    <col min="4" max="4" width="44.77734375" style="43" customWidth="1"/>
    <col min="5" max="5" width="12.77734375" style="43" customWidth="1"/>
    <col min="6" max="6" width="12.5546875" style="43" customWidth="1"/>
    <col min="7" max="7" width="4.5546875" style="43" customWidth="1"/>
    <col min="8" max="8" width="3.5546875" style="43" customWidth="1"/>
    <col min="9" max="9" width="25.5546875" style="43" customWidth="1"/>
    <col min="10" max="10" width="3.5546875" style="43" customWidth="1"/>
    <col min="11" max="11" width="24.5546875" style="43" customWidth="1"/>
    <col min="12" max="16384" width="9.44140625" style="43"/>
  </cols>
  <sheetData>
    <row r="1" spans="1:19">
      <c r="A1" s="47"/>
      <c r="B1" s="43" t="s">
        <v>50</v>
      </c>
      <c r="D1" s="48"/>
      <c r="E1" s="43" t="s">
        <v>51</v>
      </c>
      <c r="G1" s="992"/>
      <c r="H1" s="992"/>
      <c r="I1" s="43" t="s">
        <v>52</v>
      </c>
      <c r="L1" s="49"/>
      <c r="M1" s="43" t="s">
        <v>53</v>
      </c>
    </row>
    <row r="2" spans="1:19">
      <c r="A2" s="44"/>
      <c r="B2" s="44"/>
      <c r="C2" s="44"/>
      <c r="D2" s="44"/>
      <c r="E2" s="44"/>
      <c r="F2" s="44"/>
      <c r="G2" s="44"/>
      <c r="H2" s="44"/>
      <c r="I2" s="44"/>
      <c r="J2" s="44"/>
      <c r="K2" s="44"/>
    </row>
    <row r="3" spans="1:19" ht="15" customHeight="1">
      <c r="A3" s="1037" t="s">
        <v>1349</v>
      </c>
      <c r="B3" s="1038"/>
      <c r="C3" s="1038"/>
      <c r="D3" s="1038"/>
      <c r="E3" s="1039"/>
      <c r="F3" s="51"/>
      <c r="G3" s="51"/>
      <c r="H3" s="51"/>
      <c r="I3" s="51"/>
      <c r="J3" s="51"/>
      <c r="K3" s="51"/>
      <c r="L3" s="45"/>
      <c r="M3" s="45"/>
      <c r="N3" s="45"/>
      <c r="O3" s="45"/>
      <c r="P3" s="45"/>
      <c r="Q3" s="45"/>
      <c r="R3" s="45"/>
      <c r="S3" s="45"/>
    </row>
    <row r="4" spans="1:19" ht="84" customHeight="1">
      <c r="A4" s="1491" t="s">
        <v>1205</v>
      </c>
      <c r="B4" s="1492"/>
      <c r="C4" s="1492"/>
      <c r="D4" s="1492"/>
      <c r="E4" s="1492"/>
      <c r="F4" s="1492"/>
      <c r="G4" s="50"/>
      <c r="H4" s="50"/>
      <c r="I4" s="50"/>
      <c r="J4" s="50"/>
      <c r="K4" s="50"/>
      <c r="L4" s="45"/>
      <c r="M4" s="45"/>
      <c r="N4" s="45"/>
      <c r="O4" s="45"/>
      <c r="P4" s="45"/>
      <c r="Q4" s="45"/>
      <c r="R4" s="45"/>
      <c r="S4" s="45"/>
    </row>
    <row r="5" spans="1:19">
      <c r="A5" s="1481" t="s">
        <v>60</v>
      </c>
      <c r="B5" s="1481" t="s">
        <v>61</v>
      </c>
      <c r="C5" s="1481" t="s">
        <v>62</v>
      </c>
      <c r="D5" s="1481" t="s">
        <v>929</v>
      </c>
      <c r="E5" s="1489" t="s">
        <v>57</v>
      </c>
      <c r="F5" s="1490"/>
      <c r="H5" s="44"/>
      <c r="I5" s="44"/>
      <c r="J5" s="44"/>
      <c r="K5" s="44"/>
    </row>
    <row r="6" spans="1:19">
      <c r="A6" s="1481"/>
      <c r="B6" s="1481"/>
      <c r="C6" s="1481"/>
      <c r="D6" s="1481"/>
      <c r="E6" s="489" t="s">
        <v>58</v>
      </c>
      <c r="F6" s="489" t="s">
        <v>59</v>
      </c>
      <c r="H6" s="44"/>
      <c r="I6" s="44"/>
      <c r="J6" s="44"/>
      <c r="K6" s="44"/>
    </row>
    <row r="7" spans="1:19" ht="34.5" customHeight="1">
      <c r="A7" s="53" t="s">
        <v>64</v>
      </c>
      <c r="B7" s="54" t="s">
        <v>63</v>
      </c>
      <c r="C7" s="512" t="s">
        <v>71</v>
      </c>
      <c r="D7" s="513"/>
      <c r="E7" s="52" t="s">
        <v>56</v>
      </c>
      <c r="F7" s="52" t="s">
        <v>56</v>
      </c>
      <c r="H7" s="44"/>
      <c r="I7" s="44"/>
      <c r="J7" s="44"/>
      <c r="K7" s="44"/>
    </row>
    <row r="8" spans="1:19" ht="54.75" customHeight="1">
      <c r="A8" s="459"/>
      <c r="B8" s="459"/>
      <c r="C8" s="514" t="s">
        <v>841</v>
      </c>
      <c r="D8" s="513"/>
      <c r="E8" s="459"/>
      <c r="F8" s="459"/>
      <c r="H8" s="44"/>
      <c r="I8" s="44"/>
      <c r="J8" s="44"/>
      <c r="K8" s="44"/>
    </row>
    <row r="9" spans="1:19">
      <c r="A9" s="44"/>
      <c r="B9" s="44"/>
      <c r="C9" s="44"/>
      <c r="D9" s="44"/>
      <c r="E9" s="44"/>
      <c r="F9" s="44"/>
      <c r="G9" s="44"/>
      <c r="H9" s="44"/>
      <c r="I9" s="44"/>
      <c r="J9" s="44"/>
      <c r="K9" s="44"/>
    </row>
    <row r="10" spans="1:19">
      <c r="A10" s="44"/>
      <c r="B10" s="44"/>
      <c r="C10" s="44"/>
      <c r="D10" s="44"/>
      <c r="E10" s="44"/>
      <c r="F10" s="44"/>
      <c r="G10" s="44"/>
      <c r="H10" s="44"/>
      <c r="I10" s="44"/>
      <c r="J10" s="44"/>
      <c r="K10" s="44"/>
    </row>
    <row r="11" spans="1:19">
      <c r="A11" s="44"/>
      <c r="B11" s="44"/>
      <c r="C11" s="44"/>
      <c r="D11" s="44"/>
      <c r="E11" s="44"/>
      <c r="F11" s="44"/>
      <c r="G11" s="44"/>
      <c r="H11" s="44"/>
      <c r="I11" s="44"/>
      <c r="J11" s="44"/>
      <c r="K11" s="44"/>
    </row>
    <row r="18" spans="3:3">
      <c r="C18" s="830"/>
    </row>
    <row r="20" spans="3:3">
      <c r="C20" s="830"/>
    </row>
  </sheetData>
  <mergeCells count="8">
    <mergeCell ref="G1:H1"/>
    <mergeCell ref="A3:E3"/>
    <mergeCell ref="A5:A6"/>
    <mergeCell ref="B5:B6"/>
    <mergeCell ref="C5:C6"/>
    <mergeCell ref="E5:F5"/>
    <mergeCell ref="D5:D6"/>
    <mergeCell ref="A4:F4"/>
  </mergeCells>
  <pageMargins left="0.5" right="0.5" top="0.75" bottom="0.75" header="0.3" footer="0.3"/>
  <pageSetup orientation="landscape"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167A-AFD3-4A46-B49B-FEC9DC8ACEB1}">
  <dimension ref="A1:S20"/>
  <sheetViews>
    <sheetView topLeftCell="A16" zoomScaleNormal="100" workbookViewId="0">
      <selection activeCell="C13" sqref="C13"/>
    </sheetView>
  </sheetViews>
  <sheetFormatPr defaultColWidth="9.44140625" defaultRowHeight="14.4"/>
  <cols>
    <col min="1" max="2" width="10.5546875" style="43" customWidth="1"/>
    <col min="3" max="3" width="70.77734375" style="43" customWidth="1"/>
    <col min="4" max="4" width="44.77734375" style="43" customWidth="1"/>
    <col min="5" max="5" width="12.77734375" style="43" customWidth="1"/>
    <col min="6" max="6" width="12.5546875" style="43" customWidth="1"/>
    <col min="7" max="7" width="4.5546875" style="43" customWidth="1"/>
    <col min="8" max="8" width="3.5546875" style="43" customWidth="1"/>
    <col min="9" max="9" width="25.5546875" style="43" customWidth="1"/>
    <col min="10" max="10" width="3.5546875" style="43" customWidth="1"/>
    <col min="11" max="11" width="24.5546875" style="43" customWidth="1"/>
    <col min="12" max="16384" width="9.44140625" style="43"/>
  </cols>
  <sheetData>
    <row r="1" spans="1:19">
      <c r="A1" s="47"/>
      <c r="B1" s="43" t="s">
        <v>50</v>
      </c>
      <c r="D1" s="48"/>
      <c r="E1" s="43" t="s">
        <v>51</v>
      </c>
      <c r="G1" s="992"/>
      <c r="H1" s="992"/>
      <c r="I1" s="43" t="s">
        <v>52</v>
      </c>
      <c r="L1" s="49"/>
      <c r="M1" s="43" t="s">
        <v>53</v>
      </c>
    </row>
    <row r="2" spans="1:19">
      <c r="A2" s="241"/>
      <c r="B2" s="241"/>
      <c r="C2" s="241"/>
      <c r="D2" s="241"/>
      <c r="E2" s="241"/>
      <c r="F2" s="241"/>
      <c r="G2" s="241"/>
      <c r="H2" s="241"/>
      <c r="I2" s="241"/>
      <c r="J2" s="241"/>
      <c r="K2" s="241"/>
    </row>
    <row r="3" spans="1:19" ht="15" customHeight="1">
      <c r="A3" s="1037" t="s">
        <v>1349</v>
      </c>
      <c r="B3" s="1038"/>
      <c r="C3" s="1038"/>
      <c r="D3" s="1038"/>
      <c r="E3" s="1039"/>
      <c r="F3" s="51"/>
      <c r="G3" s="51"/>
      <c r="H3" s="51"/>
      <c r="I3" s="51"/>
      <c r="J3" s="51"/>
      <c r="K3" s="51"/>
      <c r="L3" s="45"/>
      <c r="M3" s="45"/>
      <c r="N3" s="45"/>
      <c r="O3" s="45"/>
      <c r="P3" s="45"/>
      <c r="Q3" s="45"/>
      <c r="R3" s="45"/>
      <c r="S3" s="45"/>
    </row>
    <row r="4" spans="1:19" ht="84" customHeight="1">
      <c r="A4" s="1491" t="s">
        <v>1205</v>
      </c>
      <c r="B4" s="1492"/>
      <c r="C4" s="1492"/>
      <c r="D4" s="1492"/>
      <c r="E4" s="1492"/>
      <c r="F4" s="1492"/>
      <c r="G4" s="50"/>
      <c r="H4" s="50"/>
      <c r="I4" s="50"/>
      <c r="J4" s="50"/>
      <c r="K4" s="50"/>
      <c r="L4" s="45"/>
      <c r="M4" s="45"/>
      <c r="N4" s="45"/>
      <c r="O4" s="45"/>
      <c r="P4" s="45"/>
      <c r="Q4" s="45"/>
      <c r="R4" s="45"/>
      <c r="S4" s="45"/>
    </row>
    <row r="5" spans="1:19">
      <c r="A5" s="1481" t="s">
        <v>60</v>
      </c>
      <c r="B5" s="1481" t="s">
        <v>61</v>
      </c>
      <c r="C5" s="1481" t="s">
        <v>62</v>
      </c>
      <c r="D5" s="1481" t="s">
        <v>929</v>
      </c>
      <c r="E5" s="1489" t="s">
        <v>57</v>
      </c>
      <c r="F5" s="1490"/>
      <c r="H5" s="241"/>
      <c r="I5" s="241"/>
      <c r="J5" s="241"/>
      <c r="K5" s="241"/>
    </row>
    <row r="6" spans="1:19">
      <c r="A6" s="1481"/>
      <c r="B6" s="1481"/>
      <c r="C6" s="1481"/>
      <c r="D6" s="1481"/>
      <c r="E6" s="871" t="s">
        <v>58</v>
      </c>
      <c r="F6" s="871" t="s">
        <v>59</v>
      </c>
      <c r="H6" s="241"/>
      <c r="I6" s="241"/>
      <c r="J6" s="241"/>
      <c r="K6" s="241"/>
    </row>
    <row r="7" spans="1:19" ht="34.5" customHeight="1">
      <c r="A7" s="53" t="s">
        <v>64</v>
      </c>
      <c r="B7" s="54" t="s">
        <v>63</v>
      </c>
      <c r="C7" s="966" t="s">
        <v>1309</v>
      </c>
      <c r="D7" s="513"/>
      <c r="E7" s="52" t="s">
        <v>56</v>
      </c>
      <c r="F7" s="52" t="s">
        <v>56</v>
      </c>
      <c r="H7" s="241"/>
      <c r="I7" s="241"/>
      <c r="J7" s="241"/>
      <c r="K7" s="241"/>
    </row>
    <row r="8" spans="1:19" ht="54.75" customHeight="1">
      <c r="A8" s="459"/>
      <c r="B8" s="459"/>
      <c r="C8" s="967" t="s">
        <v>1310</v>
      </c>
      <c r="D8" s="513"/>
      <c r="E8" s="459"/>
      <c r="F8" s="459"/>
      <c r="H8" s="241"/>
      <c r="I8" s="241"/>
      <c r="J8" s="241"/>
      <c r="K8" s="241"/>
    </row>
    <row r="9" spans="1:19">
      <c r="A9" s="241"/>
      <c r="B9" s="241"/>
      <c r="C9" s="241"/>
      <c r="D9" s="241"/>
      <c r="E9" s="241"/>
      <c r="F9" s="241"/>
      <c r="G9" s="241"/>
      <c r="H9" s="241"/>
      <c r="I9" s="241"/>
      <c r="J9" s="241"/>
      <c r="K9" s="241"/>
    </row>
    <row r="10" spans="1:19">
      <c r="A10" s="241"/>
      <c r="B10" s="241"/>
      <c r="C10" s="241"/>
      <c r="D10" s="241"/>
      <c r="E10" s="241"/>
      <c r="F10" s="241"/>
      <c r="G10" s="241"/>
      <c r="H10" s="241"/>
      <c r="I10" s="241"/>
      <c r="J10" s="241"/>
      <c r="K10" s="241"/>
    </row>
    <row r="11" spans="1:19">
      <c r="A11" s="241"/>
      <c r="B11" s="241"/>
      <c r="C11" s="241"/>
      <c r="D11" s="241"/>
      <c r="E11" s="241"/>
      <c r="F11" s="241"/>
      <c r="G11" s="241"/>
      <c r="H11" s="241"/>
      <c r="I11" s="241"/>
      <c r="J11" s="241"/>
      <c r="K11" s="241"/>
    </row>
    <row r="18" spans="3:3">
      <c r="C18" s="830"/>
    </row>
    <row r="20" spans="3:3">
      <c r="C20" s="796" t="s">
        <v>1255</v>
      </c>
    </row>
  </sheetData>
  <mergeCells count="8">
    <mergeCell ref="G1:H1"/>
    <mergeCell ref="A3:E3"/>
    <mergeCell ref="A4:F4"/>
    <mergeCell ref="A5:A6"/>
    <mergeCell ref="B5:B6"/>
    <mergeCell ref="C5:C6"/>
    <mergeCell ref="D5:D6"/>
    <mergeCell ref="E5:F5"/>
  </mergeCells>
  <pageMargins left="0.5" right="0.5" top="0.75" bottom="0.75" header="0.3" footer="0.3"/>
  <pageSetup orientation="landscape"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A597A-FB89-40FE-B02D-93B167D6D703}">
  <dimension ref="B1:H5"/>
  <sheetViews>
    <sheetView showGridLines="0" zoomScale="85" zoomScaleNormal="85" workbookViewId="0">
      <selection activeCell="G12" sqref="G12"/>
    </sheetView>
  </sheetViews>
  <sheetFormatPr defaultColWidth="8.77734375" defaultRowHeight="14.4"/>
  <cols>
    <col min="1" max="3" width="8.77734375" style="43"/>
    <col min="4" max="4" width="62.77734375" style="43" customWidth="1"/>
    <col min="5" max="16384" width="8.77734375" style="43"/>
  </cols>
  <sheetData>
    <row r="1" spans="2:8">
      <c r="B1" s="644" t="s">
        <v>1233</v>
      </c>
      <c r="C1" s="644"/>
      <c r="D1" s="644"/>
    </row>
    <row r="3" spans="2:8">
      <c r="B3" s="1493" t="s">
        <v>1230</v>
      </c>
      <c r="C3" s="1494"/>
      <c r="D3" s="1494"/>
      <c r="E3" s="1494"/>
      <c r="F3" s="1495"/>
      <c r="G3" s="818"/>
      <c r="H3" s="818"/>
    </row>
    <row r="4" spans="2:8">
      <c r="B4" s="1480" t="s">
        <v>1232</v>
      </c>
      <c r="C4" s="994"/>
      <c r="D4" s="994"/>
      <c r="E4" s="994"/>
      <c r="F4" s="995"/>
      <c r="G4" s="818"/>
      <c r="H4" s="818"/>
    </row>
    <row r="5" spans="2:8" s="45" customFormat="1">
      <c r="B5" s="819"/>
      <c r="C5" s="819"/>
      <c r="D5" s="819"/>
      <c r="E5" s="819"/>
      <c r="F5" s="819"/>
      <c r="G5" s="820"/>
      <c r="H5" s="820"/>
    </row>
  </sheetData>
  <mergeCells count="2">
    <mergeCell ref="B4:F4"/>
    <mergeCell ref="B3:F3"/>
  </mergeCells>
  <pageMargins left="0.7" right="0.7" top="0.75" bottom="0.75" header="0.3" footer="0.3"/>
  <pageSetup orientation="portrait" verticalDpi="0"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2D55-543D-4746-BA54-30E4D7838667}">
  <dimension ref="B1:H11"/>
  <sheetViews>
    <sheetView showGridLines="0" zoomScale="85" zoomScaleNormal="85" workbookViewId="0">
      <selection activeCell="F26" sqref="F26"/>
    </sheetView>
  </sheetViews>
  <sheetFormatPr defaultColWidth="8.77734375" defaultRowHeight="14.4"/>
  <cols>
    <col min="1" max="3" width="8.77734375" style="43"/>
    <col min="4" max="4" width="62.77734375" style="43" customWidth="1"/>
    <col min="5" max="16384" width="8.77734375" style="43"/>
  </cols>
  <sheetData>
    <row r="1" spans="2:8">
      <c r="B1" s="644" t="s">
        <v>1233</v>
      </c>
      <c r="C1" s="644"/>
      <c r="D1" s="644"/>
    </row>
    <row r="3" spans="2:8">
      <c r="B3" s="1493" t="s">
        <v>1230</v>
      </c>
      <c r="C3" s="1494"/>
      <c r="D3" s="1494"/>
      <c r="E3" s="1494"/>
      <c r="F3" s="1495"/>
      <c r="G3" s="818"/>
      <c r="H3" s="818"/>
    </row>
    <row r="4" spans="2:8">
      <c r="B4" s="1496" t="s">
        <v>1259</v>
      </c>
      <c r="C4" s="1496"/>
      <c r="D4" s="1496"/>
      <c r="E4" s="1496"/>
      <c r="F4" s="1496"/>
      <c r="G4" s="818"/>
      <c r="H4" s="818"/>
    </row>
    <row r="5" spans="2:8" ht="71.55" customHeight="1">
      <c r="B5" s="1480" t="s">
        <v>1231</v>
      </c>
      <c r="C5" s="994"/>
      <c r="D5" s="994"/>
      <c r="E5" s="994"/>
      <c r="F5" s="995"/>
    </row>
    <row r="6" spans="2:8">
      <c r="B6" s="1488" t="s">
        <v>60</v>
      </c>
      <c r="C6" s="1488" t="s">
        <v>61</v>
      </c>
      <c r="D6" s="1488" t="s">
        <v>62</v>
      </c>
      <c r="E6" s="1488" t="s">
        <v>57</v>
      </c>
      <c r="F6" s="1488"/>
    </row>
    <row r="7" spans="2:8">
      <c r="B7" s="1488"/>
      <c r="C7" s="1488"/>
      <c r="D7" s="1488"/>
      <c r="E7" s="870" t="s">
        <v>58</v>
      </c>
      <c r="F7" s="870" t="s">
        <v>59</v>
      </c>
    </row>
    <row r="8" spans="2:8" ht="65.55" customHeight="1">
      <c r="B8" s="816"/>
      <c r="C8" s="816"/>
      <c r="D8" s="838" t="s">
        <v>1339</v>
      </c>
      <c r="E8" s="815" t="s">
        <v>56</v>
      </c>
      <c r="F8" s="815" t="s">
        <v>56</v>
      </c>
    </row>
    <row r="9" spans="2:8" ht="68.099999999999994" customHeight="1">
      <c r="B9" s="816"/>
      <c r="C9" s="816"/>
      <c r="D9" s="838" t="s">
        <v>1340</v>
      </c>
      <c r="E9" s="815" t="s">
        <v>56</v>
      </c>
      <c r="F9" s="815" t="s">
        <v>56</v>
      </c>
    </row>
    <row r="10" spans="2:8" ht="29.55" customHeight="1">
      <c r="B10" s="815" t="s">
        <v>63</v>
      </c>
      <c r="C10" s="815" t="s">
        <v>63</v>
      </c>
      <c r="D10" s="838" t="s">
        <v>1237</v>
      </c>
      <c r="E10" s="815" t="s">
        <v>56</v>
      </c>
      <c r="F10" s="815" t="s">
        <v>56</v>
      </c>
    </row>
    <row r="11" spans="2:8" ht="29.55" customHeight="1">
      <c r="B11" s="815" t="s">
        <v>63</v>
      </c>
      <c r="C11" s="815" t="s">
        <v>63</v>
      </c>
      <c r="D11" s="838" t="s">
        <v>1238</v>
      </c>
      <c r="E11" s="815" t="s">
        <v>56</v>
      </c>
      <c r="F11" s="815" t="s">
        <v>56</v>
      </c>
    </row>
  </sheetData>
  <mergeCells count="7">
    <mergeCell ref="B3:F3"/>
    <mergeCell ref="B4:F4"/>
    <mergeCell ref="B5:F5"/>
    <mergeCell ref="B6:B7"/>
    <mergeCell ref="C6:C7"/>
    <mergeCell ref="D6:D7"/>
    <mergeCell ref="E6:F6"/>
  </mergeCells>
  <pageMargins left="0.7" right="0.7" top="0.75" bottom="0.75" header="0.3" footer="0.3"/>
  <pageSetup orientation="portrait"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0" ma:contentTypeDescription="Create a new document." ma:contentTypeScope="" ma:versionID="9666f44ab16ed15b00f463a1ceb948f7">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3613115c6c127afe4a56fd1236c892c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85BCE82E-FF42-42BC-8AE0-C52277A68182}"/>
</file>

<file path=customXml/itemProps2.xml><?xml version="1.0" encoding="utf-8"?>
<ds:datastoreItem xmlns:ds="http://schemas.openxmlformats.org/officeDocument/2006/customXml" ds:itemID="{6555C0B2-7503-4BE1-B220-E4C576EA6DCC}"/>
</file>

<file path=customXml/itemProps3.xml><?xml version="1.0" encoding="utf-8"?>
<ds:datastoreItem xmlns:ds="http://schemas.openxmlformats.org/officeDocument/2006/customXml" ds:itemID="{CC1BF131-FB13-4FA1-885B-BB3DFE33F439}"/>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21</vt:i4>
      </vt:variant>
    </vt:vector>
  </HeadingPairs>
  <TitlesOfParts>
    <vt:vector size="48" baseType="lpstr">
      <vt:lpstr>Table Sequence</vt:lpstr>
      <vt:lpstr>Hyperlinks</vt:lpstr>
      <vt:lpstr>NRCC Headers</vt:lpstr>
      <vt:lpstr>LMCC Headers</vt:lpstr>
      <vt:lpstr>NRCC Footers</vt:lpstr>
      <vt:lpstr>LMCC Footers</vt:lpstr>
      <vt:lpstr>NRCC A. General Info</vt:lpstr>
      <vt:lpstr>LMCC A. General Info</vt:lpstr>
      <vt:lpstr>NRCC B. Project Scope</vt:lpstr>
      <vt:lpstr>LMCC B. Project Scope</vt:lpstr>
      <vt:lpstr>C. Compliance</vt:lpstr>
      <vt:lpstr>D. Exceptional Conditions</vt:lpstr>
      <vt:lpstr>E. Additional Remarks</vt:lpstr>
      <vt:lpstr>F. Roof Assembly Schedule</vt:lpstr>
      <vt:lpstr>G. Rated Cool Roof</vt:lpstr>
      <vt:lpstr>H. Wall Assembly Schedule</vt:lpstr>
      <vt:lpstr>I. Floor Assembly Schedule</vt:lpstr>
      <vt:lpstr>J. Door Schedule</vt:lpstr>
      <vt:lpstr>NRCC K. Fenestration Schedule</vt:lpstr>
      <vt:lpstr>LMCC K. Fenestration Schedule</vt:lpstr>
      <vt:lpstr>L. Daylighting</vt:lpstr>
      <vt:lpstr>M. NRCI</vt:lpstr>
      <vt:lpstr>M. LMCI</vt:lpstr>
      <vt:lpstr>N. NRCA</vt:lpstr>
      <vt:lpstr>N. LMCA</vt:lpstr>
      <vt:lpstr>O. NRCV</vt:lpstr>
      <vt:lpstr>O. LMCV</vt:lpstr>
      <vt:lpstr>'C. Compliance'!Print_Area</vt:lpstr>
      <vt:lpstr>'D. Exceptional Conditions'!Print_Area</vt:lpstr>
      <vt:lpstr>'E. Additional Remarks'!Print_Area</vt:lpstr>
      <vt:lpstr>'F. Roof Assembly Schedule'!Print_Area</vt:lpstr>
      <vt:lpstr>'G. Rated Cool Roof'!Print_Area</vt:lpstr>
      <vt:lpstr>'H. Wall Assembly Schedule'!Print_Area</vt:lpstr>
      <vt:lpstr>'I. Floor Assembly Schedule'!Print_Area</vt:lpstr>
      <vt:lpstr>'J. Door Schedule'!Print_Area</vt:lpstr>
      <vt:lpstr>'L. Daylighting'!Print_Area</vt:lpstr>
      <vt:lpstr>'LMCC A. General Info'!Print_Area</vt:lpstr>
      <vt:lpstr>'LMCC B. Project Scope'!Print_Area</vt:lpstr>
      <vt:lpstr>'LMCC Headers'!Print_Area</vt:lpstr>
      <vt:lpstr>'LMCC K. Fenestration Schedule'!Print_Area</vt:lpstr>
      <vt:lpstr>'M. LMCI'!Print_Area</vt:lpstr>
      <vt:lpstr>'M. NRCI'!Print_Area</vt:lpstr>
      <vt:lpstr>'N. LMCA'!Print_Area</vt:lpstr>
      <vt:lpstr>'N. NRCA'!Print_Area</vt:lpstr>
      <vt:lpstr>'NRCC A. General Info'!Print_Area</vt:lpstr>
      <vt:lpstr>'NRCC B. Project Scope'!Print_Area</vt:lpstr>
      <vt:lpstr>'NRCC Headers'!Print_Area</vt:lpstr>
      <vt:lpstr>'NRCC K. Fenestration Schedule'!Print_Area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Hussein, Zalmie</cp:lastModifiedBy>
  <cp:lastPrinted>2018-04-10T03:13:47Z</cp:lastPrinted>
  <dcterms:created xsi:type="dcterms:W3CDTF">2017-03-06T18:27:21Z</dcterms:created>
  <dcterms:modified xsi:type="dcterms:W3CDTF">2022-10-27T23:47:26Z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5f6713-6d19-40ac-a071-63e831bc1e58_Enabled">
    <vt:lpwstr>true</vt:lpwstr>
  </property>
  <property fmtid="{D5CDD505-2E9C-101B-9397-08002B2CF9AE}" pid="3" name="MSIP_Label_b85f6713-6d19-40ac-a071-63e831bc1e58_SetDate">
    <vt:lpwstr>2022-10-24T22:36:26Z</vt:lpwstr>
  </property>
  <property fmtid="{D5CDD505-2E9C-101B-9397-08002B2CF9AE}" pid="4" name="MSIP_Label_b85f6713-6d19-40ac-a071-63e831bc1e58_Method">
    <vt:lpwstr>Standard</vt:lpwstr>
  </property>
  <property fmtid="{D5CDD505-2E9C-101B-9397-08002B2CF9AE}" pid="5" name="MSIP_Label_b85f6713-6d19-40ac-a071-63e831bc1e58_Name">
    <vt:lpwstr>Confidential - Low</vt:lpwstr>
  </property>
  <property fmtid="{D5CDD505-2E9C-101B-9397-08002B2CF9AE}" pid="6" name="MSIP_Label_b85f6713-6d19-40ac-a071-63e831bc1e58_SiteId">
    <vt:lpwstr>36839a65-7f3f-4bac-9ea4-f571f10a9a03</vt:lpwstr>
  </property>
  <property fmtid="{D5CDD505-2E9C-101B-9397-08002B2CF9AE}" pid="7" name="MSIP_Label_b85f6713-6d19-40ac-a071-63e831bc1e58_ActionId">
    <vt:lpwstr>68e3dddd-9dc2-4454-97f7-292e8b97d7fd</vt:lpwstr>
  </property>
  <property fmtid="{D5CDD505-2E9C-101B-9397-08002B2CF9AE}" pid="8" name="MSIP_Label_b85f6713-6d19-40ac-a071-63e831bc1e58_ContentBits">
    <vt:lpwstr>0</vt:lpwstr>
  </property>
  <property fmtid="{D5CDD505-2E9C-101B-9397-08002B2CF9AE}" pid="9" name="ContentTypeId">
    <vt:lpwstr>0x01010061DC9A153AAEEE45BACE06E01F8272AC</vt:lpwstr>
  </property>
</Properties>
</file>