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7.xml" ContentType="application/vnd.openxmlformats-officedocument.spreadsheetml.comments+xml"/>
  <Override PartName="/xl/comments12.xml" ContentType="application/vnd.openxmlformats-officedocument.spreadsheetml.comments+xml"/>
  <Override PartName="/xl/comments18.xml" ContentType="application/vnd.openxmlformats-officedocument.spreadsheetml.comments+xml"/>
  <Override PartName="/xl/comments14.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10.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N:\Prj_SUS\2021\S21283 PG&amp;E CI 2021-2022\Task 1 Compliance Forms\NRCC-LTO\2022\"/>
    </mc:Choice>
  </mc:AlternateContent>
  <xr:revisionPtr revIDLastSave="0" documentId="13_ncr:1_{4623F4A7-BAB0-4503-858E-5B3584D0EA9C}" xr6:coauthVersionLast="46" xr6:coauthVersionMax="46" xr10:uidLastSave="{00000000-0000-0000-0000-000000000000}"/>
  <bookViews>
    <workbookView xWindow="28680" yWindow="-120" windowWidth="29040" windowHeight="15840" tabRatio="942" firstSheet="2" xr2:uid="{00000000-000D-0000-FFFF-FFFF00000000}"/>
  </bookViews>
  <sheets>
    <sheet name="Change Log" sheetId="55" r:id="rId1"/>
    <sheet name="Table Sequence" sheetId="17" r:id="rId2"/>
    <sheet name="Hyperlinks" sheetId="49" r:id="rId3"/>
    <sheet name="NRCC Headers" sheetId="1" r:id="rId4"/>
    <sheet name="LMCC Headers" sheetId="51" r:id="rId5"/>
    <sheet name="NRCC A. General Info" sheetId="20" r:id="rId6"/>
    <sheet name="LMCC A. General Info" sheetId="52" r:id="rId7"/>
    <sheet name="B. Project Scope" sheetId="7" r:id="rId8"/>
    <sheet name="C. Compliance" sheetId="11" r:id="rId9"/>
    <sheet name="D. Exceptional Conditions" sheetId="18" r:id="rId10"/>
    <sheet name="E. Additional Remarks" sheetId="19" r:id="rId11"/>
    <sheet name="F. Lighting Schedule" sheetId="12" r:id="rId12"/>
    <sheet name="G. BUG" sheetId="34" r:id="rId13"/>
    <sheet name="H. Lighting Controls" sheetId="15" r:id="rId14"/>
    <sheet name="I. Allowance General " sheetId="50" r:id="rId15"/>
    <sheet name="J. Per Application" sheetId="45" r:id="rId16"/>
    <sheet name="K. Sales Frontage" sheetId="46" r:id="rId17"/>
    <sheet name="L. Ornamental" sheetId="47" r:id="rId18"/>
    <sheet name="M. Per Specific Area" sheetId="48" r:id="rId19"/>
    <sheet name="N. Exist. Cond." sheetId="35" r:id="rId20"/>
    <sheet name="O. NRCI" sheetId="43" r:id="rId21"/>
    <sheet name="O. LMCI" sheetId="53" r:id="rId22"/>
    <sheet name="P. NRCA" sheetId="42" r:id="rId23"/>
    <sheet name="P. LMCA" sheetId="54" r:id="rId24"/>
  </sheets>
  <externalReferences>
    <externalReference r:id="rId25"/>
    <externalReference r:id="rId26"/>
    <externalReference r:id="rId27"/>
  </externalReferences>
  <definedNames>
    <definedName name="CalcMethod" localSheetId="2">'B. Project Scope'!#REF!</definedName>
    <definedName name="CalcMethod" localSheetId="14">'B. Project Scope'!#REF!</definedName>
    <definedName name="CalcMethod" localSheetId="15">'[1]B. Project Scope'!#REF!</definedName>
    <definedName name="CalcMethod" localSheetId="16">'[1]B. Project Scope'!#REF!</definedName>
    <definedName name="CalcMethod" localSheetId="17">'[1]B. Project Scope'!#REF!</definedName>
    <definedName name="CalcMethod" localSheetId="4">'[2]B. Project Scope'!#REF!</definedName>
    <definedName name="CalcMethod" localSheetId="18">'[1]B. Project Scope'!#REF!</definedName>
    <definedName name="CalcMethod" localSheetId="19">'B. Project Scope'!#REF!</definedName>
    <definedName name="CalcMethod" localSheetId="21">'[1]B. Project Scope'!#REF!</definedName>
    <definedName name="CalcMethod" localSheetId="20">'[1]B. Project Scope'!#REF!</definedName>
    <definedName name="CalcMethod" localSheetId="23">'[1]B. Project Scope'!#REF!</definedName>
    <definedName name="CalcMethod" localSheetId="22">'[1]B. Project Scope'!#REF!</definedName>
    <definedName name="CalcMethod">'B. Project Scope'!#REF!</definedName>
    <definedName name="_xlnm.Print_Area" localSheetId="7">'B. Project Scope'!$A$2:$I$16</definedName>
    <definedName name="_xlnm.Print_Area" localSheetId="8">'C. Compliance'!$A$3:$P$14</definedName>
    <definedName name="_xlnm.Print_Area" localSheetId="9">'D. Exceptional Conditions'!$A$2:$K$7</definedName>
    <definedName name="_xlnm.Print_Area" localSheetId="10">'E. Additional Remarks'!$A$2:$K$7</definedName>
    <definedName name="_xlnm.Print_Area" localSheetId="12">'G. BUG'!$A$2:$AS$13</definedName>
    <definedName name="_xlnm.Print_Area" localSheetId="13">'H. Lighting Controls'!$A$2:$X$2</definedName>
    <definedName name="_xlnm.Print_Area" localSheetId="14">'I. Allowance General '!$A$2:$J$2</definedName>
    <definedName name="_xlnm.Print_Area" localSheetId="15">'J. Per Application'!$A$2:$J$3</definedName>
    <definedName name="_xlnm.Print_Area" localSheetId="16">'K. Sales Frontage'!$A$2:$I$3</definedName>
    <definedName name="_xlnm.Print_Area" localSheetId="17">'L. Ornamental'!$A$2:$I$3</definedName>
    <definedName name="_xlnm.Print_Area" localSheetId="6">'LMCC A. General Info'!$A$2:$K$9</definedName>
    <definedName name="_xlnm.Print_Area" localSheetId="4">'LMCC Headers'!$A$3:$K$24</definedName>
    <definedName name="_xlnm.Print_Area" localSheetId="18">'M. Per Specific Area'!$A$2:$J$3</definedName>
    <definedName name="_xlnm.Print_Area" localSheetId="5">'NRCC A. General Info'!$A$2:$K$9</definedName>
    <definedName name="_xlnm.Print_Area" localSheetId="3">'NRCC Headers'!$A$3:$K$24</definedName>
    <definedName name="_xlnm.Print_Area" localSheetId="21">'O. LMCI'!$A$2:$K$5</definedName>
    <definedName name="_xlnm.Print_Area" localSheetId="20">'O. NRCI'!$A$2:$K$5</definedName>
    <definedName name="_xlnm.Print_Area" localSheetId="23">'P. LMCA'!$A$2:$K$5</definedName>
    <definedName name="_xlnm.Print_Area" localSheetId="22">'P. NRCA'!$A$2:$K$5</definedName>
    <definedName name="TEST">'[3]B. Project Scope'!#REF!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2" i="50" l="1"/>
  <c r="G22" i="50"/>
  <c r="K22" i="50"/>
  <c r="O10" i="11"/>
  <c r="I10" i="11"/>
  <c r="G10" i="11"/>
  <c r="E10" i="11"/>
  <c r="C10" i="11"/>
  <c r="J9" i="35"/>
  <c r="I9" i="48"/>
  <c r="H9" i="47"/>
  <c r="H9" i="46"/>
  <c r="I9" i="45"/>
  <c r="I13" i="50"/>
  <c r="F13" i="50"/>
  <c r="J13" i="50"/>
  <c r="B8" i="47"/>
  <c r="D8" i="47"/>
  <c r="I8" i="48"/>
  <c r="E8" i="48"/>
  <c r="H8" i="47"/>
  <c r="H8" i="46"/>
  <c r="D8" i="46"/>
  <c r="I8" i="45"/>
  <c r="E8" i="45"/>
  <c r="K10" i="11"/>
  <c r="M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3" authorId="0" shapeId="0" xr:uid="{47BE8E04-C60C-45BD-93B2-6089BBA6F1A7}">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BCB3E293-B572-4CB9-B38D-1B3249F71FD1}">
      <text>
        <r>
          <rPr>
            <b/>
            <sz val="9"/>
            <color indexed="10"/>
            <rFont val="Tahoma"/>
            <family val="2"/>
          </rPr>
          <t>11.3.21:</t>
        </r>
        <r>
          <rPr>
            <sz val="9"/>
            <color indexed="10"/>
            <rFont val="Tahoma"/>
            <family val="2"/>
          </rPr>
          <t xml:space="preserve">
Changed text to make it clear this form is used for LRMF/LRMU only.</t>
        </r>
      </text>
    </comment>
    <comment ref="B23" authorId="0" shapeId="0" xr:uid="{1638B390-B35B-4B19-967F-0567DA3B1591}">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4" authorId="0" shapeId="0" xr:uid="{00000000-0006-0000-0300-000001000000}">
      <text>
        <r>
          <rPr>
            <b/>
            <sz val="9"/>
            <color indexed="81"/>
            <rFont val="Tahoma"/>
            <family val="2"/>
          </rPr>
          <t>Sally Blair:</t>
        </r>
        <r>
          <rPr>
            <sz val="9"/>
            <color indexed="81"/>
            <rFont val="Tahoma"/>
            <family val="2"/>
          </rPr>
          <t xml:space="preserve">
is used in Table L if Table L is applicable.</t>
        </r>
      </text>
    </comment>
    <comment ref="B6" authorId="0" shapeId="0" xr:uid="{00000000-0006-0000-0300-000002000000}">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00000000-0006-0000-0300-000003000000}">
      <text>
        <r>
          <rPr>
            <b/>
            <sz val="9"/>
            <color indexed="81"/>
            <rFont val="Tahoma"/>
            <family val="2"/>
          </rPr>
          <t>Sally Blair:</t>
        </r>
        <r>
          <rPr>
            <sz val="9"/>
            <color indexed="81"/>
            <rFont val="Tahoma"/>
            <family val="2"/>
          </rPr>
          <t xml:space="preserve">
triggers note on Row 13 of Table D tab</t>
        </r>
      </text>
    </comment>
    <comment ref="A9" authorId="0" shapeId="0" xr:uid="{646F9496-6834-4CE9-A03D-A7154810EA06}">
      <text>
        <r>
          <rPr>
            <b/>
            <sz val="9"/>
            <color indexed="81"/>
            <rFont val="Tahoma"/>
            <family val="2"/>
          </rPr>
          <t>7.2.21:</t>
        </r>
        <r>
          <rPr>
            <sz val="9"/>
            <color indexed="81"/>
            <rFont val="Tahoma"/>
            <family val="2"/>
          </rPr>
          <t xml:space="preserve">
Occupancy types are select all that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4" authorId="0" shapeId="0" xr:uid="{720BA2FA-715A-4C78-9E03-D91D0EEBEE75}">
      <text>
        <r>
          <rPr>
            <b/>
            <sz val="9"/>
            <color indexed="81"/>
            <rFont val="Tahoma"/>
            <family val="2"/>
          </rPr>
          <t>Sally Blair:</t>
        </r>
        <r>
          <rPr>
            <sz val="9"/>
            <color indexed="81"/>
            <rFont val="Tahoma"/>
            <family val="2"/>
          </rPr>
          <t xml:space="preserve">
is used in Table L if Table L is applicable.</t>
        </r>
      </text>
    </comment>
    <comment ref="B6" authorId="0" shapeId="0" xr:uid="{7DF02182-CF32-4630-A0A8-CC9A33956557}">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E936E672-2050-428C-B056-C6CE60134052}">
      <text>
        <r>
          <rPr>
            <b/>
            <sz val="9"/>
            <color indexed="81"/>
            <rFont val="Tahoma"/>
            <family val="2"/>
          </rPr>
          <t>Sally Blair:</t>
        </r>
        <r>
          <rPr>
            <sz val="9"/>
            <color indexed="81"/>
            <rFont val="Tahoma"/>
            <family val="2"/>
          </rPr>
          <t xml:space="preserve">
triggers note on Row 13 of Table D tab</t>
        </r>
      </text>
    </comment>
    <comment ref="A9" authorId="0" shapeId="0" xr:uid="{C766AC8E-19F7-4EF0-8109-3A1F19EE2CDE}">
      <text>
        <r>
          <rPr>
            <b/>
            <sz val="9"/>
            <color indexed="81"/>
            <rFont val="Tahoma"/>
            <family val="2"/>
          </rPr>
          <t>7.2.21:</t>
        </r>
        <r>
          <rPr>
            <sz val="9"/>
            <color indexed="81"/>
            <rFont val="Tahoma"/>
            <family val="2"/>
          </rPr>
          <t xml:space="preserve">
Occupancy types are select all that apply.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00000000-0006-0000-0400-000001000000}">
      <text>
        <r>
          <rPr>
            <b/>
            <sz val="9"/>
            <color indexed="81"/>
            <rFont val="Tahoma"/>
            <family val="2"/>
          </rPr>
          <t>Sally Blair:</t>
        </r>
        <r>
          <rPr>
            <sz val="9"/>
            <color indexed="81"/>
            <rFont val="Tahoma"/>
            <family val="2"/>
          </rPr>
          <t xml:space="preserve">
can select New or Altered, but not both.</t>
        </r>
      </text>
    </comment>
    <comment ref="A7" authorId="0" shapeId="0" xr:uid="{00000000-0006-0000-0400-000002000000}">
      <text>
        <r>
          <rPr>
            <b/>
            <sz val="9"/>
            <color indexed="81"/>
            <rFont val="Tahoma"/>
            <family val="2"/>
          </rPr>
          <t>Sally Blair:</t>
        </r>
        <r>
          <rPr>
            <sz val="9"/>
            <color indexed="81"/>
            <rFont val="Tahoma"/>
            <family val="2"/>
          </rPr>
          <t xml:space="preserve">
triggers Table F/H/I.</t>
        </r>
      </text>
    </comment>
    <comment ref="A8" authorId="0" shapeId="0" xr:uid="{00000000-0006-0000-0400-000003000000}">
      <text>
        <r>
          <rPr>
            <b/>
            <sz val="9"/>
            <color indexed="81"/>
            <rFont val="Tahoma"/>
            <family val="2"/>
          </rPr>
          <t>Sally Blair:</t>
        </r>
        <r>
          <rPr>
            <sz val="9"/>
            <color indexed="81"/>
            <rFont val="Tahoma"/>
            <family val="2"/>
          </rPr>
          <t xml:space="preserve">
</t>
        </r>
        <r>
          <rPr>
            <sz val="9"/>
            <color indexed="81"/>
            <rFont val="Tahoma"/>
            <family val="2"/>
          </rPr>
          <t>Only triggers Table F.</t>
        </r>
      </text>
    </comment>
    <comment ref="H8" authorId="0" shapeId="0" xr:uid="{00000000-0006-0000-0400-000004000000}">
      <text>
        <r>
          <rPr>
            <b/>
            <sz val="9"/>
            <color indexed="81"/>
            <rFont val="Tahoma"/>
            <family val="2"/>
          </rPr>
          <t>Sally Blair:</t>
        </r>
        <r>
          <rPr>
            <sz val="9"/>
            <color indexed="81"/>
            <rFont val="Tahoma"/>
            <family val="2"/>
          </rPr>
          <t xml:space="preserve">
If the user clicks Y, Table I is triggered because they have to comply w Allowance per S140.7/§170.2(e)6.
This also trigger the note in row 12 directing the user to proceed to Table F to input fixtures.
This would also trigger Table H.</t>
        </r>
      </text>
    </comment>
    <comment ref="I8" authorId="0" shapeId="0" xr:uid="{00000000-0006-0000-0400-000005000000}">
      <text>
        <r>
          <rPr>
            <b/>
            <sz val="9"/>
            <color indexed="81"/>
            <rFont val="Tahoma"/>
            <family val="2"/>
          </rPr>
          <t>Sally Blair:</t>
        </r>
        <r>
          <rPr>
            <sz val="9"/>
            <color indexed="81"/>
            <rFont val="Tahoma"/>
            <family val="2"/>
          </rPr>
          <t xml:space="preserve">
If user clicks N, rows 9-11 are triggered to get more info on scope.</t>
        </r>
      </text>
    </comment>
    <comment ref="A10" authorId="0" shapeId="0" xr:uid="{00000000-0006-0000-0400-000006000000}">
      <text>
        <r>
          <rPr>
            <b/>
            <sz val="9"/>
            <color indexed="81"/>
            <rFont val="Tahoma"/>
            <family val="2"/>
          </rPr>
          <t>Sally Blair:</t>
        </r>
        <r>
          <rPr>
            <sz val="9"/>
            <color indexed="81"/>
            <rFont val="Tahoma"/>
            <family val="2"/>
          </rPr>
          <t xml:space="preserve">
Determines allowance in Table N.</t>
        </r>
      </text>
    </comment>
    <comment ref="C11" authorId="0" shapeId="0" xr:uid="{00000000-0006-0000-0400-000007000000}">
      <text>
        <r>
          <rPr>
            <b/>
            <sz val="9"/>
            <color indexed="81"/>
            <rFont val="Tahoma"/>
            <family val="2"/>
          </rPr>
          <t>Sally Blair:</t>
        </r>
        <r>
          <rPr>
            <sz val="9"/>
            <color indexed="81"/>
            <rFont val="Tahoma"/>
            <family val="2"/>
          </rPr>
          <t xml:space="preserve">
This checkbox triggers Table H if col 04 &gt; 5.  So does the "&gt; 50%" checkbox if col 04 &gt; 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0" authorId="0" shapeId="0" xr:uid="{00000000-0006-0000-0500-000001000000}">
      <text>
        <r>
          <rPr>
            <b/>
            <sz val="9"/>
            <color indexed="81"/>
            <rFont val="Tahoma"/>
            <family val="2"/>
          </rPr>
          <t>2019 Update:</t>
        </r>
        <r>
          <rPr>
            <sz val="9"/>
            <color indexed="81"/>
            <rFont val="Tahoma"/>
            <family val="2"/>
          </rPr>
          <t xml:space="preserve">
= Total General Hardscape Allowance in Table I, cell depends on which table is triggered.
</t>
        </r>
        <r>
          <rPr>
            <b/>
            <sz val="9"/>
            <color indexed="10"/>
            <rFont val="Tahoma"/>
            <family val="2"/>
          </rPr>
          <t>6.25.21:</t>
        </r>
        <r>
          <rPr>
            <sz val="9"/>
            <color indexed="10"/>
            <rFont val="Tahoma"/>
            <family val="2"/>
          </rPr>
          <t xml:space="preserve">
Logic hasn't changed but second subtable in Table I has so schema may need to be adjusted.</t>
        </r>
      </text>
    </comment>
    <comment ref="I10" authorId="0" shapeId="0" xr:uid="{00000000-0006-0000-0500-000002000000}">
      <text>
        <r>
          <rPr>
            <b/>
            <sz val="9"/>
            <color indexed="81"/>
            <rFont val="Tahoma"/>
            <family val="2"/>
          </rPr>
          <t>Sally Blair:</t>
        </r>
        <r>
          <rPr>
            <sz val="9"/>
            <color indexed="81"/>
            <rFont val="Tahoma"/>
            <family val="2"/>
          </rPr>
          <t xml:space="preserve">
Gray out any of these cells  that do not hold a value</t>
        </r>
      </text>
    </comment>
    <comment ref="P10" authorId="0" shapeId="0" xr:uid="{00000000-0006-0000-0500-000003000000}">
      <text>
        <r>
          <rPr>
            <b/>
            <sz val="9"/>
            <color indexed="81"/>
            <rFont val="Tahoma"/>
            <family val="2"/>
          </rPr>
          <t>Sally Blair:</t>
        </r>
        <r>
          <rPr>
            <sz val="9"/>
            <color indexed="81"/>
            <rFont val="Tahoma"/>
            <family val="2"/>
          </rPr>
          <t xml:space="preserve">
Says "COMPLIES" if 07 &gt;= 08, otherwise says "DOES NOT COMPLY"</t>
        </r>
      </text>
    </comment>
    <comment ref="P11" authorId="0" shapeId="0" xr:uid="{00000000-0006-0000-0500-000004000000}">
      <text>
        <r>
          <rPr>
            <b/>
            <sz val="9"/>
            <color indexed="81"/>
            <rFont val="Tahoma"/>
            <family val="2"/>
          </rPr>
          <t>12/8/21</t>
        </r>
        <r>
          <rPr>
            <sz val="9"/>
            <color indexed="81"/>
            <rFont val="Tahoma"/>
            <family val="2"/>
          </rPr>
          <t xml:space="preserve">
If G04 &gt;</t>
        </r>
        <r>
          <rPr>
            <b/>
            <sz val="9"/>
            <color indexed="10"/>
            <rFont val="Tahoma"/>
            <family val="2"/>
          </rPr>
          <t>=</t>
        </r>
        <r>
          <rPr>
            <sz val="9"/>
            <color indexed="81"/>
            <rFont val="Tahoma"/>
            <family val="2"/>
          </rPr>
          <t xml:space="preserve"> G05 (or G04 says "No Limit") and G07 &gt;</t>
        </r>
        <r>
          <rPr>
            <b/>
            <sz val="9"/>
            <color indexed="10"/>
            <rFont val="Tahoma"/>
            <family val="2"/>
          </rPr>
          <t>=</t>
        </r>
        <r>
          <rPr>
            <sz val="9"/>
            <color indexed="81"/>
            <rFont val="Tahoma"/>
            <family val="2"/>
          </rPr>
          <t xml:space="preserve"> G08 and G10 &gt;</t>
        </r>
        <r>
          <rPr>
            <b/>
            <sz val="9"/>
            <color indexed="10"/>
            <rFont val="Tahoma"/>
            <family val="2"/>
          </rPr>
          <t>=</t>
        </r>
        <r>
          <rPr>
            <sz val="9"/>
            <color indexed="81"/>
            <rFont val="Tahoma"/>
            <family val="2"/>
          </rPr>
          <t xml:space="preserve"> G11, then this says "Complies", otherwise, if Table G is triggered, it will say "DOES NOT COMPLY".  If Table G is not triggered, it says "Not Applicable" (and turns grey like on LTI)</t>
        </r>
      </text>
    </comment>
    <comment ref="P12" authorId="0" shapeId="0" xr:uid="{00000000-0006-0000-0500-000005000000}">
      <text>
        <r>
          <rPr>
            <b/>
            <sz val="9"/>
            <color indexed="81"/>
            <rFont val="Tahoma"/>
            <family val="2"/>
          </rPr>
          <t>6.25.21:</t>
        </r>
        <r>
          <rPr>
            <sz val="9"/>
            <color indexed="81"/>
            <rFont val="Tahoma"/>
            <family val="2"/>
          </rPr>
          <t xml:space="preserve">
says "COMPLIES"
If columns 02-04 are filled out in Table H </t>
        </r>
        <r>
          <rPr>
            <b/>
            <sz val="9"/>
            <color indexed="10"/>
            <rFont val="Tahoma"/>
            <family val="2"/>
          </rPr>
          <t>Nonresidential/ Garage/ Common Area subtable AND
If columns 01-03 are completed in Table H Dwelling Unit subtable if subtable is triggered.</t>
        </r>
        <r>
          <rPr>
            <sz val="9"/>
            <color indexed="81"/>
            <rFont val="Tahoma"/>
            <family val="2"/>
          </rPr>
          <t xml:space="preserve">
Otherwise says "Does Not Comply"
</t>
        </r>
        <r>
          <rPr>
            <b/>
            <strike/>
            <sz val="9"/>
            <color indexed="10"/>
            <rFont val="Tahoma"/>
            <family val="2"/>
          </rPr>
          <t xml:space="preserve"> If notes are used "COMPLIES with Exceptional Conditions".  If notes are triggered but not filled out, or if all columns in all rows are not filled out "DOES NOT COMPLY".  If a row is added then deleted, and all other rows are completed, should say "COMPLIES".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800-000001000000}">
      <text>
        <r>
          <rPr>
            <b/>
            <sz val="9"/>
            <color indexed="81"/>
            <rFont val="Tahoma"/>
            <family val="2"/>
          </rPr>
          <t>2019 UPDATE:</t>
        </r>
        <r>
          <rPr>
            <sz val="9"/>
            <color indexed="81"/>
            <rFont val="Tahoma"/>
            <family val="2"/>
          </rPr>
          <t xml:space="preserve">
if checked in ANY row, trigger note in row 16 on Table D.</t>
        </r>
      </text>
    </comment>
    <comment ref="K9" authorId="0" shapeId="0" xr:uid="{00000000-0006-0000-0800-000002000000}">
      <text>
        <r>
          <rPr>
            <b/>
            <sz val="9"/>
            <color indexed="81"/>
            <rFont val="Tahoma"/>
            <family val="2"/>
          </rPr>
          <t>Sally Blair:</t>
        </r>
        <r>
          <rPr>
            <sz val="9"/>
            <color indexed="81"/>
            <rFont val="Tahoma"/>
            <family val="2"/>
          </rPr>
          <t xml:space="preserve">
If checked, column 08 blanks and greys out</t>
        </r>
      </text>
    </comment>
    <comment ref="M9" authorId="0" shapeId="0" xr:uid="{00000000-0006-0000-0800-000003000000}">
      <text>
        <r>
          <rPr>
            <b/>
            <sz val="9"/>
            <color indexed="81"/>
            <rFont val="Tahoma"/>
            <family val="2"/>
          </rPr>
          <t>Sally Blair:</t>
        </r>
        <r>
          <rPr>
            <sz val="9"/>
            <color indexed="81"/>
            <rFont val="Tahoma"/>
            <family val="2"/>
          </rPr>
          <t xml:space="preserve">
cell greys out if column column 06 is "Exist. Remain" or "Exist. Reinstall"</t>
        </r>
      </text>
    </comment>
    <comment ref="J19" authorId="0" shapeId="0" xr:uid="{00000000-0006-0000-0800-000004000000}">
      <text>
        <r>
          <rPr>
            <b/>
            <sz val="9"/>
            <color indexed="81"/>
            <rFont val="Tahoma"/>
            <family val="2"/>
          </rPr>
          <t>Sally Blair:</t>
        </r>
        <r>
          <rPr>
            <sz val="9"/>
            <color indexed="81"/>
            <rFont val="Tahoma"/>
            <family val="2"/>
          </rPr>
          <t xml:space="preserve">
If Table B column 01 says "New Lighitng System" the only choice in this dropdown should be "new"
If B.01 = "altered" then F.06 should show all four options
If Table B column 05 says "Reduced Existing Power Method" OR "Maintain Existing Power Method" the only choices for this dropdown should be "New" and "Altered".
If Table B column 05 says "Calculated ALlowance per S140.7" all 4 choices here will be in dropdown.
</t>
        </r>
      </text>
    </comment>
    <comment ref="M23" authorId="0" shapeId="0" xr:uid="{00000000-0006-0000-0800-000006000000}">
      <text>
        <r>
          <rPr>
            <b/>
            <sz val="9"/>
            <color indexed="81"/>
            <rFont val="Tahoma"/>
            <family val="2"/>
          </rPr>
          <t>6.25.21:</t>
        </r>
        <r>
          <rPr>
            <sz val="9"/>
            <color indexed="81"/>
            <rFont val="Tahoma"/>
            <family val="2"/>
          </rPr>
          <t xml:space="preserve">
When any of these "NA:" options are selected, Table G does not trigger (or this fixture is not listed in Table 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C14" authorId="0" shapeId="0" xr:uid="{A05914A3-33FA-42B6-AA47-6684A7A6439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Depending on selection made, Max Allowable ratings from Table 5.106.8 will autopopulate, based on LZ entered in Table A.</t>
        </r>
      </text>
    </comment>
    <comment ref="H14" authorId="0" shapeId="0" xr:uid="{00000000-0006-0000-0900-000005000000}">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 ref="L14" authorId="0" shapeId="0" xr:uid="{ED0DD740-16D4-484D-A83C-E7B5D0D04F3E}">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4" authorId="0" shapeId="0" xr:uid="{DC0FBD47-652C-47CE-8806-DA880D01C9B8}">
      <text>
        <r>
          <rPr>
            <b/>
            <sz val="9"/>
            <color indexed="81"/>
            <rFont val="Tahoma"/>
            <family val="2"/>
          </rPr>
          <t>6.25.21:</t>
        </r>
        <r>
          <rPr>
            <sz val="9"/>
            <color indexed="81"/>
            <rFont val="Tahoma"/>
            <family val="2"/>
          </rPr>
          <t xml:space="preserve">
Remove * Note feature for 2022, we are listing exceptions in dropdowns instead</t>
        </r>
      </text>
    </comment>
    <comment ref="B20" authorId="0" shapeId="0" xr:uid="{01DBF23E-E621-4363-A08A-60BDD3C3ED25}">
      <text>
        <r>
          <rPr>
            <b/>
            <sz val="9"/>
            <color indexed="81"/>
            <rFont val="Tahoma"/>
            <family val="2"/>
          </rPr>
          <t>6.25.21:</t>
        </r>
        <r>
          <rPr>
            <sz val="9"/>
            <color indexed="81"/>
            <rFont val="Tahoma"/>
            <family val="2"/>
          </rPr>
          <t xml:space="preserve">
Delete "Exempt*" &amp; "Other*" and replace with new "NA:" options for 2022.</t>
        </r>
      </text>
    </comment>
    <comment ref="M42" authorId="0" shapeId="0" xr:uid="{B596B7B4-7E9B-4841-A2CF-5DC9F2F194E5}">
      <text>
        <r>
          <rPr>
            <b/>
            <sz val="9"/>
            <color indexed="81"/>
            <rFont val="Tahoma"/>
            <family val="2"/>
          </rPr>
          <t>6.25.21:</t>
        </r>
        <r>
          <rPr>
            <sz val="9"/>
            <color indexed="81"/>
            <rFont val="Tahoma"/>
            <family val="2"/>
          </rPr>
          <t xml:space="preserve">
This is like B06 on the NRCC-ELC where it's a static note that only appears once and does not repeat for every row.</t>
        </r>
      </text>
    </comment>
    <comment ref="B45" authorId="0" shapeId="0" xr:uid="{E7870338-D4B4-46FB-B58E-301F4DD01ED9}">
      <text>
        <r>
          <rPr>
            <b/>
            <sz val="9"/>
            <color indexed="81"/>
            <rFont val="Tahoma"/>
            <family val="2"/>
          </rPr>
          <t>6.25.21:</t>
        </r>
        <r>
          <rPr>
            <sz val="9"/>
            <color indexed="81"/>
            <rFont val="Tahoma"/>
            <family val="2"/>
          </rPr>
          <t xml:space="preserve">
This is select all that apply.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Rebecca Rice</author>
  </authors>
  <commentList>
    <comment ref="F5" authorId="0" shapeId="0" xr:uid="{00000000-0006-0000-0B00-000001000000}">
      <text>
        <r>
          <rPr>
            <b/>
            <sz val="9"/>
            <color indexed="81"/>
            <rFont val="Tahoma"/>
            <family val="2"/>
          </rPr>
          <t>6.25.21:</t>
        </r>
        <r>
          <rPr>
            <sz val="9"/>
            <color indexed="81"/>
            <rFont val="Tahoma"/>
            <family val="2"/>
          </rPr>
          <t xml:space="preserve">
This will trigger rows 9-15 in this table to expand for user input </t>
        </r>
        <r>
          <rPr>
            <b/>
            <sz val="9"/>
            <color indexed="10"/>
            <rFont val="Tahoma"/>
            <family val="2"/>
          </rPr>
          <t>if Multifamily is NOT selected in A05. Rows 17-23 open if Multifamily IS selected in A05.</t>
        </r>
      </text>
    </comment>
    <comment ref="G6" authorId="1" shapeId="0" xr:uid="{00000000-0006-0000-0B00-000002000000}">
      <text>
        <r>
          <rPr>
            <b/>
            <sz val="9"/>
            <color indexed="81"/>
            <rFont val="Tahoma"/>
            <family val="2"/>
          </rPr>
          <t>Benjamin Park:</t>
        </r>
        <r>
          <rPr>
            <sz val="9"/>
            <color indexed="81"/>
            <rFont val="Tahoma"/>
            <family val="2"/>
          </rPr>
          <t xml:space="preserve">
"Per Application" triggers Table J.
"Sales Frontage" triggers Table K.
"Ornamental" triggers Table L.
"Per Specific Area" triggers Table M.</t>
        </r>
      </text>
    </comment>
    <comment ref="J6" authorId="0" shapeId="0" xr:uid="{00000000-0006-0000-0B00-000003000000}">
      <text>
        <r>
          <rPr>
            <b/>
            <sz val="9"/>
            <color indexed="81"/>
            <rFont val="Tahoma"/>
            <family val="2"/>
          </rPr>
          <t>6.25.21:</t>
        </r>
        <r>
          <rPr>
            <sz val="9"/>
            <color indexed="81"/>
            <rFont val="Tahoma"/>
            <family val="2"/>
          </rPr>
          <t xml:space="preserve">
These will grey out based on the LZ selected in Table A.  For LZ0- all except general allowance grey out. For LZ1, Sales Frontage and Ornamental grey out.
</t>
        </r>
        <r>
          <rPr>
            <b/>
            <sz val="9"/>
            <color indexed="10"/>
            <rFont val="Tahoma"/>
            <family val="2"/>
          </rPr>
          <t>Sales Frontage also greys out if "Multifamily" selected in A05</t>
        </r>
      </text>
    </comment>
    <comment ref="A9" authorId="2" shapeId="0" xr:uid="{00000000-0006-0000-0B00-000004000000}">
      <text>
        <r>
          <rPr>
            <b/>
            <sz val="9"/>
            <color indexed="81"/>
            <rFont val="Tahoma"/>
            <family val="2"/>
          </rPr>
          <t xml:space="preserve">6.25.21: </t>
        </r>
        <r>
          <rPr>
            <sz val="9"/>
            <color indexed="81"/>
            <rFont val="Tahoma"/>
            <family val="2"/>
          </rPr>
          <t xml:space="preserve"> We are removing the second subtable, so this subtable opens if General Hardscape Allowance is selected in I01 and it is not dependent on LZ in Table A.</t>
        </r>
      </text>
    </comment>
    <comment ref="E13" authorId="0" shapeId="0" xr:uid="{00000000-0006-0000-0B00-000007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t>
        </r>
      </text>
    </comment>
    <comment ref="H13" authorId="0" shapeId="0" xr:uid="{00000000-0006-0000-0B00-000008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t>
        </r>
      </text>
    </comment>
    <comment ref="A14" authorId="0" shapeId="0" xr:uid="{1FEFDBB2-9D49-4693-BB94-F87C736410DA}">
      <text>
        <r>
          <rPr>
            <b/>
            <sz val="9"/>
            <color indexed="10"/>
            <rFont val="Tahoma"/>
            <family val="2"/>
          </rPr>
          <t>10.11.21:</t>
        </r>
        <r>
          <rPr>
            <sz val="9"/>
            <color indexed="10"/>
            <rFont val="Tahoma"/>
            <family val="2"/>
          </rPr>
          <t xml:space="preserve">
Added 10.11.21</t>
        </r>
      </text>
    </comment>
    <comment ref="J14" authorId="0" shapeId="0" xr:uid="{00000000-0006-0000-0B00-000009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 (see list below for values).
Please note, this does not populate if "General Hardscape Allowance" isn't checked above.
LZ 0: 15 (allowed in Footnote 1 of 140.7-A table)
LZ 1: </t>
        </r>
        <r>
          <rPr>
            <b/>
            <strike/>
            <sz val="9"/>
            <color indexed="10"/>
            <rFont val="Tahoma"/>
            <family val="2"/>
          </rPr>
          <t>180</t>
        </r>
        <r>
          <rPr>
            <b/>
            <sz val="9"/>
            <color indexed="10"/>
            <rFont val="Tahoma"/>
            <family val="2"/>
          </rPr>
          <t xml:space="preserve"> 150</t>
        </r>
        <r>
          <rPr>
            <sz val="9"/>
            <color indexed="81"/>
            <rFont val="Tahoma"/>
            <family val="2"/>
          </rPr>
          <t xml:space="preserve">
LZ 2: </t>
        </r>
        <r>
          <rPr>
            <b/>
            <strike/>
            <sz val="9"/>
            <color indexed="10"/>
            <rFont val="Tahoma"/>
            <family val="2"/>
          </rPr>
          <t>250</t>
        </r>
        <r>
          <rPr>
            <b/>
            <sz val="9"/>
            <color indexed="10"/>
            <rFont val="Tahoma"/>
            <family val="2"/>
          </rPr>
          <t xml:space="preserve"> 200</t>
        </r>
        <r>
          <rPr>
            <sz val="9"/>
            <color indexed="81"/>
            <rFont val="Tahoma"/>
            <family val="2"/>
          </rPr>
          <t xml:space="preserve">
LZ 3: </t>
        </r>
        <r>
          <rPr>
            <b/>
            <strike/>
            <sz val="9"/>
            <color indexed="10"/>
            <rFont val="Tahoma"/>
            <family val="2"/>
          </rPr>
          <t>350</t>
        </r>
        <r>
          <rPr>
            <b/>
            <sz val="9"/>
            <color indexed="10"/>
            <rFont val="Tahoma"/>
            <family val="2"/>
          </rPr>
          <t xml:space="preserve"> 250</t>
        </r>
        <r>
          <rPr>
            <sz val="9"/>
            <color indexed="81"/>
            <rFont val="Tahoma"/>
            <family val="2"/>
          </rPr>
          <t xml:space="preserve">
LZ 4: </t>
        </r>
        <r>
          <rPr>
            <b/>
            <strike/>
            <sz val="9"/>
            <color indexed="10"/>
            <rFont val="Tahoma"/>
            <family val="2"/>
          </rPr>
          <t>400</t>
        </r>
        <r>
          <rPr>
            <b/>
            <sz val="9"/>
            <color indexed="10"/>
            <rFont val="Tahoma"/>
            <family val="2"/>
          </rPr>
          <t xml:space="preserve"> 320</t>
        </r>
        <r>
          <rPr>
            <sz val="9"/>
            <color indexed="81"/>
            <rFont val="Tahoma"/>
            <family val="2"/>
          </rPr>
          <t xml:space="preserve">
Also needs to blank out &amp; turn grey if "Altered Lighting System" is checked in Table B column 01
</t>
        </r>
      </text>
    </comment>
    <comment ref="J15" authorId="0" shapeId="0" xr:uid="{2BAEC0E5-9937-47A6-BB53-2F1A6661B1C3}">
      <text>
        <r>
          <rPr>
            <b/>
            <sz val="9"/>
            <color indexed="10"/>
            <rFont val="Tahoma"/>
            <family val="2"/>
          </rPr>
          <t>10.11.21:</t>
        </r>
        <r>
          <rPr>
            <sz val="9"/>
            <color indexed="10"/>
            <rFont val="Tahoma"/>
            <family val="2"/>
          </rPr>
          <t xml:space="preserve">
LZ 0 allows 15W per instance, so need to add this field for LZ 0 in A03 only. Blank/gray all other LZ.</t>
        </r>
      </text>
    </comment>
    <comment ref="A22" authorId="0" shapeId="0" xr:uid="{C6082935-A34A-44AC-9A30-CEC71EC7A968}">
      <text>
        <r>
          <rPr>
            <b/>
            <sz val="9"/>
            <color indexed="81"/>
            <rFont val="Tahoma"/>
            <family val="2"/>
          </rPr>
          <t>6.25.21:</t>
        </r>
        <r>
          <rPr>
            <sz val="9"/>
            <color indexed="81"/>
            <rFont val="Tahoma"/>
            <family val="2"/>
          </rPr>
          <t xml:space="preserve">
This subtable was for LZ 2 &amp; 3 but we're going to repurpose it for MF because general hardscape no longer depends on surface type so LZ doesn't matter. 
Table triggers if General Lighting is selected above in 01 &amp; A05 includes "Multifamily"</t>
        </r>
      </text>
    </comment>
    <comment ref="F22" authorId="0" shapeId="0" xr:uid="{A008F239-89C8-4CFA-B4A6-A49772381C69}">
      <text>
        <r>
          <rPr>
            <b/>
            <sz val="9"/>
            <color indexed="81"/>
            <rFont val="Tahoma"/>
            <family val="2"/>
          </rPr>
          <t>6.25.21:</t>
        </r>
        <r>
          <rPr>
            <sz val="9"/>
            <color indexed="81"/>
            <rFont val="Tahoma"/>
            <family val="2"/>
          </rPr>
          <t xml:space="preserve">
This can be populated by </t>
        </r>
        <r>
          <rPr>
            <b/>
            <sz val="9"/>
            <color indexed="81"/>
            <rFont val="Tahoma"/>
            <family val="2"/>
          </rPr>
          <t>Table 170.2-R</t>
        </r>
        <r>
          <rPr>
            <sz val="9"/>
            <color indexed="81"/>
            <rFont val="Tahoma"/>
            <family val="2"/>
          </rPr>
          <t xml:space="preserve"> based on LZ specified in Table A of this form.</t>
        </r>
      </text>
    </comment>
    <comment ref="A23" authorId="0" shapeId="0" xr:uid="{46AA1388-8465-4BAB-9CAF-E9196F2A3ACA}">
      <text>
        <r>
          <rPr>
            <b/>
            <sz val="9"/>
            <color indexed="10"/>
            <rFont val="Tahoma"/>
            <family val="2"/>
          </rPr>
          <t>10.11.21:</t>
        </r>
        <r>
          <rPr>
            <sz val="9"/>
            <color indexed="10"/>
            <rFont val="Tahoma"/>
            <family val="2"/>
          </rPr>
          <t xml:space="preserve">
Added 10.11.21</t>
        </r>
      </text>
    </comment>
    <comment ref="G23" authorId="0" shapeId="0" xr:uid="{24E08329-09B7-4CB5-ACEA-94E68B133691}">
      <text>
        <r>
          <rPr>
            <b/>
            <sz val="9"/>
            <color indexed="81"/>
            <rFont val="Tahoma"/>
            <family val="2"/>
          </rPr>
          <t>6.25.21:</t>
        </r>
        <r>
          <rPr>
            <sz val="9"/>
            <color indexed="81"/>
            <rFont val="Tahoma"/>
            <family val="2"/>
          </rPr>
          <t xml:space="preserve">
This can be populated by </t>
        </r>
        <r>
          <rPr>
            <b/>
            <sz val="9"/>
            <color indexed="81"/>
            <rFont val="Tahoma"/>
            <family val="2"/>
          </rPr>
          <t>Table 170.2-R</t>
        </r>
        <r>
          <rPr>
            <sz val="9"/>
            <color indexed="81"/>
            <rFont val="Tahoma"/>
            <family val="2"/>
          </rPr>
          <t xml:space="preserve"> based on LZ specified in Table A of this form (see list below for values).
Please note, this does not populate if "General Hardscape Allowance" isn't checked above.
LZ 0: 15 (allowed in Footnote 1 of 170.2-R table)
LZ 1: 300
LZ 2: 350
LZ 3: 400
LZ 4: 450
Also needs to blank out &amp; turn grey if "Altered Lighting System" is checked in Table B column 01</t>
        </r>
      </text>
    </comment>
    <comment ref="G24" authorId="0" shapeId="0" xr:uid="{C26045E6-B796-4FB4-ABD5-852C0284715F}">
      <text>
        <r>
          <rPr>
            <b/>
            <sz val="9"/>
            <color indexed="10"/>
            <rFont val="Tahoma"/>
            <family val="2"/>
          </rPr>
          <t>10.11.21:</t>
        </r>
        <r>
          <rPr>
            <sz val="9"/>
            <color indexed="10"/>
            <rFont val="Tahoma"/>
            <family val="2"/>
          </rPr>
          <t xml:space="preserve">
LZ 0 allows 15W per instance, so need to add this field for LZ 0 in A03 only. Blank/gray all other LZ.</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C00-000002000000}">
      <text>
        <r>
          <rPr>
            <b/>
            <sz val="9"/>
            <color indexed="81"/>
            <rFont val="Tahoma"/>
            <family val="2"/>
          </rPr>
          <t>Sally Blair:</t>
        </r>
        <r>
          <rPr>
            <sz val="9"/>
            <color indexed="81"/>
            <rFont val="Tahoma"/>
            <family val="2"/>
          </rPr>
          <t xml:space="preserve">
Row 9 is what it looks like if "Add Luminaire" is used.</t>
        </r>
      </text>
    </comment>
    <comment ref="I11" authorId="0" shapeId="0" xr:uid="{00000000-0006-0000-0C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D00-000002000000}">
      <text>
        <r>
          <rPr>
            <b/>
            <sz val="9"/>
            <color indexed="81"/>
            <rFont val="Tahoma"/>
            <family val="2"/>
          </rPr>
          <t>Sally Blair:</t>
        </r>
        <r>
          <rPr>
            <sz val="9"/>
            <color indexed="81"/>
            <rFont val="Tahoma"/>
            <family val="2"/>
          </rPr>
          <t xml:space="preserve">
This is what it looks like if "Add Luminaire" is used.</t>
        </r>
      </text>
    </comment>
    <comment ref="H11" authorId="0" shapeId="0" xr:uid="{00000000-0006-0000-0D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2000000}">
      <text>
        <r>
          <rPr>
            <b/>
            <sz val="9"/>
            <color indexed="81"/>
            <rFont val="Tahoma"/>
            <family val="2"/>
          </rPr>
          <t>Sally Blair:</t>
        </r>
        <r>
          <rPr>
            <sz val="9"/>
            <color indexed="81"/>
            <rFont val="Tahoma"/>
            <family val="2"/>
          </rPr>
          <t xml:space="preserve">
What it looks like if "Add Luminaire" is used.</t>
        </r>
      </text>
    </comment>
    <comment ref="H11" authorId="0" shapeId="0" xr:uid="{00000000-0006-0000-0E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A8C831C2-FDA1-4994-B1B8-9DA719550443}">
      <text>
        <r>
          <rPr>
            <b/>
            <sz val="9"/>
            <color indexed="81"/>
            <rFont val="Tahoma"/>
            <family val="2"/>
          </rPr>
          <t>6.25.21:</t>
        </r>
        <r>
          <rPr>
            <sz val="9"/>
            <color indexed="81"/>
            <rFont val="Tahoma"/>
            <family val="2"/>
          </rPr>
          <t xml:space="preserve">
Add new allowance for security cameras in LZ2, 3, 4.  Allowance from Table 140.7-B to the right.</t>
        </r>
      </text>
    </comment>
    <comment ref="J9" authorId="0" shapeId="0" xr:uid="{00000000-0006-0000-0F00-000002000000}">
      <text>
        <r>
          <rPr>
            <b/>
            <sz val="9"/>
            <color indexed="81"/>
            <rFont val="Tahoma"/>
            <family val="2"/>
          </rPr>
          <t>Sally Blair:</t>
        </r>
        <r>
          <rPr>
            <sz val="9"/>
            <color indexed="81"/>
            <rFont val="Tahoma"/>
            <family val="2"/>
          </rPr>
          <t xml:space="preserve">
What it looks like when "Add Luminaire" is used</t>
        </r>
      </text>
    </comment>
    <comment ref="I11" authorId="0" shapeId="0" xr:uid="{00000000-0006-0000-0F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 ref="B14" authorId="0" shapeId="0" xr:uid="{00000000-0006-0000-0F00-000004000000}">
      <text>
        <r>
          <rPr>
            <b/>
            <sz val="9"/>
            <color indexed="81"/>
            <rFont val="Tahoma"/>
            <family val="2"/>
          </rPr>
          <t>Sally Blair:</t>
        </r>
        <r>
          <rPr>
            <sz val="9"/>
            <color indexed="81"/>
            <rFont val="Tahoma"/>
            <family val="2"/>
          </rPr>
          <t xml:space="preserve">
This list actually needs to customize for LZ1 and LZ4.</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11" authorId="0" shapeId="0" xr:uid="{00000000-0006-0000-1000-000001000000}">
      <text>
        <r>
          <rPr>
            <b/>
            <sz val="9"/>
            <color indexed="81"/>
            <rFont val="Tahoma"/>
            <family val="2"/>
          </rPr>
          <t>Sally Blair:</t>
        </r>
        <r>
          <rPr>
            <sz val="9"/>
            <color indexed="81"/>
            <rFont val="Tahoma"/>
            <family val="2"/>
          </rPr>
          <t xml:space="preserve">
If Table B column 03 has "&gt;=10% and &lt;50%" clicked, this cell = Total Existing Watts.
If Table B column 03 has "&gt;=50%%" clicked, this cell = Total Existing Watts x 0.60.
This # transfers to Table C.</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CA09B4C-3DB9-4E0F-8264-4630723E7341}">
      <text>
        <r>
          <rPr>
            <sz val="9"/>
            <color indexed="81"/>
            <rFont val="Tahoma"/>
            <family val="2"/>
          </rPr>
          <t>Need to include new URL for Cert of install forms.</t>
        </r>
      </text>
    </comment>
    <comment ref="A7" authorId="0" shapeId="0" xr:uid="{00000000-0006-0000-1100-000002000000}">
      <text>
        <r>
          <rPr>
            <b/>
            <sz val="9"/>
            <color indexed="81"/>
            <rFont val="Tahoma"/>
            <family val="2"/>
          </rPr>
          <t>Sally Blair:</t>
        </r>
        <r>
          <rPr>
            <sz val="9"/>
            <color indexed="81"/>
            <rFont val="Tahoma"/>
            <family val="2"/>
          </rPr>
          <t xml:space="preserve">
</t>
        </r>
        <r>
          <rPr>
            <strike/>
            <sz val="9"/>
            <color indexed="10"/>
            <rFont val="Tahoma"/>
            <family val="2"/>
          </rPr>
          <t>Both of these NRCI form</t>
        </r>
        <r>
          <rPr>
            <sz val="9"/>
            <color indexed="81"/>
            <rFont val="Tahoma"/>
            <family val="2"/>
          </rPr>
          <t xml:space="preserve"> default to "Yes" but user can change.  If user moves to "No" need to include note in Table D.</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48E52885-9C4B-4F2D-ACFB-2688F0240922}">
      <text>
        <r>
          <rPr>
            <sz val="9"/>
            <color indexed="81"/>
            <rFont val="Tahoma"/>
            <family val="2"/>
          </rPr>
          <t>Need to include new URL for Cert of install forms.</t>
        </r>
      </text>
    </comment>
    <comment ref="A7" authorId="0" shapeId="0" xr:uid="{CF27A36E-9820-4A1F-A213-0DCE2F20B589}">
      <text>
        <r>
          <rPr>
            <b/>
            <sz val="9"/>
            <color indexed="81"/>
            <rFont val="Tahoma"/>
            <family val="2"/>
          </rPr>
          <t>Sally Blair:</t>
        </r>
        <r>
          <rPr>
            <sz val="9"/>
            <color indexed="81"/>
            <rFont val="Tahoma"/>
            <family val="2"/>
          </rPr>
          <t xml:space="preserve">
</t>
        </r>
        <r>
          <rPr>
            <strike/>
            <sz val="9"/>
            <color indexed="10"/>
            <rFont val="Tahoma"/>
            <family val="2"/>
          </rPr>
          <t>Both of these NRCI form</t>
        </r>
        <r>
          <rPr>
            <sz val="9"/>
            <color indexed="81"/>
            <rFont val="Tahoma"/>
            <family val="2"/>
          </rPr>
          <t xml:space="preserve"> default to "Yes" but user can change.  If user moves to "No" need to include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00000000-0006-0000-1200-000001000000}">
      <text>
        <r>
          <rPr>
            <b/>
            <sz val="9"/>
            <color indexed="81"/>
            <rFont val="Tahoma"/>
            <family val="2"/>
          </rPr>
          <t>Sally Blair:</t>
        </r>
        <r>
          <rPr>
            <sz val="9"/>
            <color indexed="81"/>
            <rFont val="Tahoma"/>
            <family val="2"/>
          </rPr>
          <t xml:space="preserve">
If user moves to "No" need to include note in Table 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38E43BB6-9782-44AE-BB5F-43DAEA0C1F42}">
      <text>
        <r>
          <rPr>
            <b/>
            <sz val="9"/>
            <color indexed="81"/>
            <rFont val="Tahoma"/>
            <family val="2"/>
          </rPr>
          <t>Sally Blair:</t>
        </r>
        <r>
          <rPr>
            <sz val="9"/>
            <color indexed="81"/>
            <rFont val="Tahoma"/>
            <family val="2"/>
          </rPr>
          <t xml:space="preserve">
If user moves to "No" need to include note in Table D.</t>
        </r>
      </text>
    </comment>
  </commentList>
</comments>
</file>

<file path=xl/sharedStrings.xml><?xml version="1.0" encoding="utf-8"?>
<sst xmlns="http://schemas.openxmlformats.org/spreadsheetml/2006/main" count="971" uniqueCount="491">
  <si>
    <t>Project Name:</t>
  </si>
  <si>
    <t>Page 1 of ??</t>
  </si>
  <si>
    <t>Project Address:</t>
  </si>
  <si>
    <t>Date Prepared:</t>
  </si>
  <si>
    <t>Climate Zone</t>
  </si>
  <si>
    <t>Project Location (city)</t>
  </si>
  <si>
    <t>Report Page:</t>
  </si>
  <si>
    <t xml:space="preserve">CALIFORNIA ENERGY COMMISSION                       </t>
  </si>
  <si>
    <t>Calculation Method</t>
  </si>
  <si>
    <t>=</t>
  </si>
  <si>
    <t>Area Description</t>
  </si>
  <si>
    <t>How Wattage is Determined</t>
  </si>
  <si>
    <t xml:space="preserve">Complete Luminaire Description </t>
  </si>
  <si>
    <t>Name or Item Tag</t>
  </si>
  <si>
    <t>New Lighting System</t>
  </si>
  <si>
    <t>Altered Lighting System</t>
  </si>
  <si>
    <t>¨</t>
  </si>
  <si>
    <t>C. COMPLIANCE RESULTS</t>
  </si>
  <si>
    <t>A. GENERAL INFORMATION</t>
  </si>
  <si>
    <t>D. EXCEPTIONAL CONDITIONS</t>
  </si>
  <si>
    <t>E. ADDITIONAL REMARKS</t>
  </si>
  <si>
    <t>B. PROJECT SCOPE</t>
  </si>
  <si>
    <t>Exempt*</t>
  </si>
  <si>
    <t>* NOTES: Controls with a * require a note in the space below explaining how compliance is achieved.</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</si>
  <si>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</si>
  <si>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</si>
  <si>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</si>
  <si>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</si>
  <si>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</si>
  <si>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</si>
  <si>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</si>
  <si>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</si>
  <si>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</si>
  <si>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</si>
  <si>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</si>
  <si>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</si>
  <si>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</si>
  <si>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</si>
  <si>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</si>
  <si>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</si>
  <si>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</si>
  <si>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</si>
  <si>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</si>
  <si>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</si>
  <si>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Table M</t>
  </si>
  <si>
    <t>Table N</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</si>
  <si>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</si>
  <si>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</si>
  <si>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</si>
  <si>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</si>
  <si>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</si>
  <si>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</si>
  <si>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</si>
  <si>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</si>
  <si>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</si>
  <si>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</si>
  <si>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</si>
  <si>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L)</t>
  </si>
  <si>
    <t>(See Table K)</t>
  </si>
  <si>
    <t>(See Table J)</t>
  </si>
  <si>
    <t>(See Table I)</t>
  </si>
  <si>
    <t>06</t>
  </si>
  <si>
    <t>07</t>
  </si>
  <si>
    <t>08</t>
  </si>
  <si>
    <t>09</t>
  </si>
  <si>
    <t>(See Table F)</t>
  </si>
  <si>
    <t>Other*</t>
  </si>
  <si>
    <t>(autofill from     Table F)</t>
  </si>
  <si>
    <t>(autofill from Table F)</t>
  </si>
  <si>
    <t>User input</t>
  </si>
  <si>
    <t>auto calculated</t>
  </si>
  <si>
    <t>From another Table</t>
  </si>
  <si>
    <t>From look up table</t>
  </si>
  <si>
    <t>+</t>
  </si>
  <si>
    <t>CERTIFICATE OF COMPLIANCE</t>
  </si>
  <si>
    <t>Outdoor Lighting Controls</t>
  </si>
  <si>
    <t>Outdoor Lighting Fixture Schedule</t>
  </si>
  <si>
    <t>Outdoor Lighting</t>
  </si>
  <si>
    <r>
      <t>Total Illuminated Hardscape Area (ft</t>
    </r>
    <r>
      <rPr>
        <vertAlign val="superscript"/>
        <sz val="10"/>
        <color theme="1"/>
        <rFont val="Calibri"/>
        <family val="2"/>
        <scheme val="minor"/>
      </rPr>
      <t>2</t>
    </r>
    <r>
      <rPr>
        <sz val="10"/>
        <color theme="1"/>
        <rFont val="Calibri"/>
        <family val="2"/>
        <scheme val="minor"/>
      </rPr>
      <t>)</t>
    </r>
  </si>
  <si>
    <t>LZ-0: Very Low- Undeveloped Parkland</t>
  </si>
  <si>
    <t>LZ-3: Moderately High- Urban Areas</t>
  </si>
  <si>
    <t>Outdoor Lighting Zone per Title 24, Part 1 §10-114 or as designated by Authority Having Jurisdiction (AHJ):</t>
  </si>
  <si>
    <t>Is your alteration increasing the connected lighting load (Watts)?</t>
  </si>
  <si>
    <r>
      <rPr>
        <sz val="10"/>
        <color theme="1"/>
        <rFont val="Wingdings"/>
        <charset val="2"/>
      </rPr>
      <t>o</t>
    </r>
    <r>
      <rPr>
        <sz val="10"/>
        <color theme="1"/>
        <rFont val="Calibri"/>
        <family val="2"/>
      </rPr>
      <t xml:space="preserve"> No</t>
    </r>
  </si>
  <si>
    <r>
      <rPr>
        <sz val="10"/>
        <color theme="1"/>
        <rFont val="Wingdings"/>
        <charset val="2"/>
      </rPr>
      <t xml:space="preserve">  o</t>
    </r>
    <r>
      <rPr>
        <sz val="10"/>
        <color theme="1"/>
        <rFont val="Calibri"/>
        <family val="2"/>
      </rPr>
      <t xml:space="preserve"> Yes</t>
    </r>
  </si>
  <si>
    <t>Dropdown, see below for list</t>
  </si>
  <si>
    <t>Calculation Method Dropdown</t>
  </si>
  <si>
    <t>&lt;&lt; triggers Table I.</t>
  </si>
  <si>
    <r>
      <t xml:space="preserve">Total Allowed </t>
    </r>
    <r>
      <rPr>
        <sz val="11"/>
        <rFont val="Calibri"/>
        <family val="2"/>
      </rPr>
      <t xml:space="preserve">(Watts) </t>
    </r>
  </si>
  <si>
    <t>&gt;</t>
  </si>
  <si>
    <t>"COMPLIES with Exceptional Conditions" or "COMPLIES" or "DOES NOT COMPLY"</t>
  </si>
  <si>
    <t>F. OUTDOOR LIGHTING FIXTURE SCHEDULE</t>
  </si>
  <si>
    <t>Design Watts</t>
  </si>
  <si>
    <t>o</t>
  </si>
  <si>
    <t>Dropdown, See below for list.</t>
  </si>
  <si>
    <t>How Wattage is Determined Dropdown</t>
  </si>
  <si>
    <t>NA8 Default</t>
  </si>
  <si>
    <r>
      <t>Mfr. Spec</t>
    </r>
    <r>
      <rPr>
        <vertAlign val="superscript"/>
        <sz val="10"/>
        <color rgb="FF000000"/>
        <rFont val="Calibri"/>
        <family val="2"/>
        <scheme val="minor"/>
      </rPr>
      <t>1</t>
    </r>
  </si>
  <si>
    <t>Field Inspector</t>
  </si>
  <si>
    <t>Pass</t>
  </si>
  <si>
    <t>Fail</t>
  </si>
  <si>
    <t>Table L</t>
  </si>
  <si>
    <t>H. OUTDOOR LIGHTING CONTROLS</t>
  </si>
  <si>
    <t>§130.2(c)1</t>
  </si>
  <si>
    <t>§130.2(c)2</t>
  </si>
  <si>
    <t>Motion Sensor</t>
  </si>
  <si>
    <t xml:space="preserve">Shut-Off </t>
  </si>
  <si>
    <t xml:space="preserve">Auto-Schedule </t>
  </si>
  <si>
    <t>EX: Not permitted by health &amp; safety to be turned off; EXCEPTION 1 to §130.2(c).</t>
  </si>
  <si>
    <t>Motion Sensor Dropdown</t>
  </si>
  <si>
    <t>See dropdown</t>
  </si>
  <si>
    <t>Yes</t>
  </si>
  <si>
    <t>Shutoff Dropdown</t>
  </si>
  <si>
    <t>Auto-schedule Dropdown</t>
  </si>
  <si>
    <t>Photocontrol</t>
  </si>
  <si>
    <r>
      <rPr>
        <sz val="10"/>
        <rFont val="Wingdings"/>
        <charset val="2"/>
      </rPr>
      <t>¨</t>
    </r>
    <r>
      <rPr>
        <sz val="10"/>
        <rFont val="Calibri"/>
        <family val="2"/>
      </rPr>
      <t xml:space="preserve"> Per Application</t>
    </r>
  </si>
  <si>
    <r>
      <rPr>
        <sz val="10"/>
        <rFont val="Wingdings"/>
        <charset val="2"/>
      </rPr>
      <t>¨</t>
    </r>
    <r>
      <rPr>
        <sz val="10"/>
        <rFont val="Calibri"/>
        <family val="2"/>
      </rPr>
      <t xml:space="preserve"> Sales Frontage</t>
    </r>
  </si>
  <si>
    <r>
      <rPr>
        <sz val="10"/>
        <rFont val="Wingdings"/>
        <charset val="2"/>
      </rPr>
      <t>¨</t>
    </r>
    <r>
      <rPr>
        <sz val="10"/>
        <rFont val="Calibri"/>
        <family val="2"/>
      </rPr>
      <t xml:space="preserve"> Ornamental</t>
    </r>
  </si>
  <si>
    <r>
      <rPr>
        <sz val="10"/>
        <rFont val="Wingdings"/>
        <charset val="2"/>
      </rPr>
      <t>¨</t>
    </r>
    <r>
      <rPr>
        <sz val="10"/>
        <rFont val="Calibri"/>
        <family val="2"/>
      </rPr>
      <t xml:space="preserve"> Per Specific Area</t>
    </r>
  </si>
  <si>
    <t>Additional Lighting Allowance: Per Application</t>
  </si>
  <si>
    <t>Additional Lighting Allowance: Sales Frontage</t>
  </si>
  <si>
    <t>Additional Lighting Allowance: Ornamental</t>
  </si>
  <si>
    <t>Additional Lighting Allowance: Per Specific Area</t>
  </si>
  <si>
    <t>&lt;&lt; triggers Table N.</t>
  </si>
  <si>
    <t>(See Table M)</t>
  </si>
  <si>
    <t>(See Table N)</t>
  </si>
  <si>
    <t>Controls Compliance (See Table H for Details)</t>
  </si>
  <si>
    <t xml:space="preserve">Existing Conditions Wattage: </t>
  </si>
  <si>
    <t>Total Existing Watts :</t>
  </si>
  <si>
    <t>Existing Watts</t>
  </si>
  <si>
    <t>YES</t>
  </si>
  <si>
    <t>NO</t>
  </si>
  <si>
    <t>Form/Title</t>
  </si>
  <si>
    <t>m</t>
  </si>
  <si>
    <t>●</t>
  </si>
  <si>
    <t>Yes-EMCS</t>
  </si>
  <si>
    <t>NRCI-LTO-02-E- Must be submitted for a lighting control system; or for an Energy Management Control System (EMCS), to be recognized for compliance.</t>
  </si>
  <si>
    <t>Extra Allowance (Watts)</t>
  </si>
  <si>
    <r>
      <t>Illuminated 
Area (ft</t>
    </r>
    <r>
      <rPr>
        <vertAlign val="superscript"/>
        <sz val="10"/>
        <color theme="1"/>
        <rFont val="Calibri"/>
        <family val="2"/>
        <scheme val="minor"/>
      </rPr>
      <t>2</t>
    </r>
    <r>
      <rPr>
        <sz val="10"/>
        <color theme="1"/>
        <rFont val="Calibri"/>
        <family val="2"/>
        <scheme val="minor"/>
      </rPr>
      <t>)</t>
    </r>
  </si>
  <si>
    <r>
      <t>Allowed Density (W/ft</t>
    </r>
    <r>
      <rPr>
        <vertAlign val="superscript"/>
        <sz val="10"/>
        <color theme="1"/>
        <rFont val="Calibri"/>
        <family val="2"/>
        <scheme val="minor"/>
      </rPr>
      <t>2</t>
    </r>
    <r>
      <rPr>
        <sz val="10"/>
        <color theme="1"/>
        <rFont val="Calibri"/>
        <family val="2"/>
        <scheme val="minor"/>
      </rPr>
      <t>)</t>
    </r>
  </si>
  <si>
    <t>Area Wattage Allowance (AWA)</t>
  </si>
  <si>
    <t>Perimeter Length (lf)</t>
  </si>
  <si>
    <t>Allowed Density (W/lf)</t>
  </si>
  <si>
    <t>Linear Wattage Allowance (LWA)</t>
  </si>
  <si>
    <t>Initial Wattage Allowance for Entire Site (Watts):</t>
  </si>
  <si>
    <t># of Locations</t>
  </si>
  <si>
    <t>CALCULATED ALLOWANCE (Watts)</t>
  </si>
  <si>
    <t>Luminaire Name or Item Tag</t>
  </si>
  <si>
    <t>From table F.</t>
  </si>
  <si>
    <t>DESIGN WATTS</t>
  </si>
  <si>
    <t>Additional Allowance (Watts)</t>
  </si>
  <si>
    <t>Total Design Watts for this Area:</t>
  </si>
  <si>
    <t>Add Luminaire</t>
  </si>
  <si>
    <t>10</t>
  </si>
  <si>
    <t>Application per Table 140.7-B dropdown</t>
  </si>
  <si>
    <r>
      <t>Application per Table 140.7-B</t>
    </r>
    <r>
      <rPr>
        <vertAlign val="superscript"/>
        <sz val="10"/>
        <color rgb="FF231F20"/>
        <rFont val="Calibri"/>
        <family val="2"/>
      </rPr>
      <t>1</t>
    </r>
  </si>
  <si>
    <t>Drive up Window</t>
  </si>
  <si>
    <t>Uncovered Fuel Dispenser</t>
  </si>
  <si>
    <t>ATM Machine</t>
  </si>
  <si>
    <t>Bldg Entrance/ Exit</t>
  </si>
  <si>
    <t>sum of column 09 for the area</t>
  </si>
  <si>
    <t>Linear ft. of Sales Frontage (lf)</t>
  </si>
  <si>
    <r>
      <t>Watts per Luminaire</t>
    </r>
    <r>
      <rPr>
        <vertAlign val="superscript"/>
        <sz val="10"/>
        <rFont val="Calibri"/>
        <family val="2"/>
      </rPr>
      <t>1</t>
    </r>
  </si>
  <si>
    <t>Spec. Area per Table 140.7-B dropdown</t>
  </si>
  <si>
    <t>Bldg Façade</t>
  </si>
  <si>
    <t>Outdoor Sales Lot</t>
  </si>
  <si>
    <t>Service Station Hardscape</t>
  </si>
  <si>
    <t>Service Station Canopy</t>
  </si>
  <si>
    <t>Sales Canopies</t>
  </si>
  <si>
    <t>Non-sales Canopies/ Tunnels</t>
  </si>
  <si>
    <t>Guard Stations</t>
  </si>
  <si>
    <t>Student Pick-up/ Drop-off</t>
  </si>
  <si>
    <t>Outdoor Dining</t>
  </si>
  <si>
    <t>Area Allowance (Watts)</t>
  </si>
  <si>
    <t>Linear Allowance (Watts)</t>
  </si>
  <si>
    <t xml:space="preserve">Total General Hardscape Allowance (Watts): </t>
  </si>
  <si>
    <t>Total General AWA + LWA (Watts)</t>
  </si>
  <si>
    <t>§130.2(c)3</t>
  </si>
  <si>
    <t>Astronomical Timer</t>
  </si>
  <si>
    <t xml:space="preserve">LZ-4: High-Must be reviewed by CA Energy Commission for Approval </t>
  </si>
  <si>
    <r>
      <rPr>
        <sz val="9"/>
        <color theme="1"/>
        <rFont val="Wingdings"/>
        <charset val="2"/>
      </rPr>
      <t>o</t>
    </r>
    <r>
      <rPr>
        <sz val="9"/>
        <color theme="1"/>
        <rFont val="Calibri"/>
        <family val="2"/>
      </rPr>
      <t xml:space="preserve"> &lt; 10%</t>
    </r>
  </si>
  <si>
    <r>
      <rPr>
        <sz val="9"/>
        <color theme="1"/>
        <rFont val="Wingdings"/>
        <charset val="2"/>
      </rPr>
      <t>o</t>
    </r>
    <r>
      <rPr>
        <sz val="9"/>
        <color theme="1"/>
        <rFont val="Calibri"/>
        <family val="2"/>
      </rPr>
      <t xml:space="preserve"> ≥ 50%</t>
    </r>
  </si>
  <si>
    <t>Complete Luminaire Description</t>
  </si>
  <si>
    <t>Primary Entrance (Special)</t>
  </si>
  <si>
    <t>Security for Retail Parking &amp; Pedestrian Hardscape</t>
  </si>
  <si>
    <t>Specific Area Type per Table 140.7-B</t>
  </si>
  <si>
    <r>
      <t>Specific
Area (ft</t>
    </r>
    <r>
      <rPr>
        <vertAlign val="superscript"/>
        <sz val="10"/>
        <color theme="1"/>
        <rFont val="Calibri"/>
        <family val="2"/>
        <scheme val="minor"/>
      </rPr>
      <t>2</t>
    </r>
    <r>
      <rPr>
        <sz val="10"/>
        <color theme="1"/>
        <rFont val="Calibri"/>
        <family val="2"/>
        <scheme val="minor"/>
      </rPr>
      <t>)</t>
    </r>
    <r>
      <rPr>
        <vertAlign val="superscript"/>
        <sz val="10"/>
        <color theme="1"/>
        <rFont val="Calibri"/>
        <family val="2"/>
        <scheme val="minor"/>
      </rPr>
      <t>1</t>
    </r>
  </si>
  <si>
    <r>
      <rPr>
        <sz val="9"/>
        <color theme="1"/>
        <rFont val="Wingdings"/>
        <charset val="2"/>
      </rPr>
      <t>o</t>
    </r>
    <r>
      <rPr>
        <sz val="9"/>
        <color theme="1"/>
        <rFont val="Calibri"/>
        <family val="2"/>
      </rPr>
      <t xml:space="preserve"> ≥ 10% and &lt; 50%</t>
    </r>
  </si>
  <si>
    <t>* NOTES: Selections with a * require a note in the space below explaining how compliance is achieved.</t>
  </si>
  <si>
    <t>EX: Luminaire is lighting a statue; EXCEPTION 2 to §130.2(b).</t>
  </si>
  <si>
    <t>Tables</t>
  </si>
  <si>
    <t>§110.9</t>
  </si>
  <si>
    <t>§130.0</t>
  </si>
  <si>
    <t>§130.2</t>
  </si>
  <si>
    <t>§140.7</t>
  </si>
  <si>
    <t>§141.0(b)2L</t>
  </si>
  <si>
    <t>1st page Header</t>
  </si>
  <si>
    <t>Ch. 6 of Nonresidential Compliance Manual</t>
  </si>
  <si>
    <t>Table Tip for Table A</t>
  </si>
  <si>
    <t>1st page Header, F, G, H</t>
  </si>
  <si>
    <t>1st page Header, B, C, F, I, J, K, L, M</t>
  </si>
  <si>
    <t>1st page Header, B, C, N</t>
  </si>
  <si>
    <t xml:space="preserve">Designed Wattage: </t>
  </si>
  <si>
    <t>Total Designed Watts:</t>
  </si>
  <si>
    <r>
      <t>% of Existing Luminaires Being Altered</t>
    </r>
    <r>
      <rPr>
        <vertAlign val="superscript"/>
        <sz val="11"/>
        <color rgb="FF231F20"/>
        <rFont val="Calibri"/>
        <family val="2"/>
      </rPr>
      <t>1</t>
    </r>
  </si>
  <si>
    <t>Luminaire Status Dropdown</t>
  </si>
  <si>
    <t>New</t>
  </si>
  <si>
    <t>&lt;&lt; triggers Table G.</t>
  </si>
  <si>
    <t>General Hardscape Lighting Power Allowance (per §140.7)</t>
  </si>
  <si>
    <t>"COMPLIES" or "DOES NOT COMPLY" or "Not Applicable"</t>
  </si>
  <si>
    <t>Exist. Remain</t>
  </si>
  <si>
    <t>Exist. Reinstalled</t>
  </si>
  <si>
    <t>does not show up for LZ1&gt;&gt;</t>
  </si>
  <si>
    <t>does not show up for LZ1 or LZ4&gt;&gt;</t>
  </si>
  <si>
    <t>does not show up for LZ4&gt;&gt;</t>
  </si>
  <si>
    <t>If LZ4 is selected in Table A, this note appears "Table A indicates LZ-4 as the lighting zone for this project.  This designation requires approval by the CA Energy Commission."</t>
  </si>
  <si>
    <t>Reduced Wattage: Existing Conditions Power Allowance (Alterations Only)</t>
  </si>
  <si>
    <t>Please proceed to Table F. Outdoor Lighting Fixture Schedule to define the project's luminaires.</t>
  </si>
  <si>
    <t>Add a check for Table A column 04 and the sum of all rows in Table I column 03- but this only applies if Table I is triggered.  If these numbers don't match, we'll need a note in Table D: "Total Hardscape Area in Table A does not match the areas entered in Table I.  Please review for compliance."</t>
  </si>
  <si>
    <t>Total Illuminated Hardscape Area for the Site</t>
  </si>
  <si>
    <t>"Use it or lose it" Allowances (select all that apply)</t>
  </si>
  <si>
    <t>Table I (below)</t>
  </si>
  <si>
    <r>
      <rPr>
        <sz val="10"/>
        <rFont val="Wingdings"/>
        <charset val="2"/>
      </rPr>
      <t>¨</t>
    </r>
    <r>
      <rPr>
        <sz val="10"/>
        <rFont val="Calibri"/>
        <family val="2"/>
      </rPr>
      <t xml:space="preserve"> General Hardscape Allowance</t>
    </r>
  </si>
  <si>
    <t>J. LIGHTING ALLOWANCE: PER APPLICATION</t>
  </si>
  <si>
    <t>K. LIGHTING ALLOWANCE: SALES FRONTAGE</t>
  </si>
  <si>
    <t>L. LIGHTING ALLOWANCE: ORNAMENTAL</t>
  </si>
  <si>
    <t>M. LIGHTING ALLOWANCE: PER SPECIFIC AREA</t>
  </si>
  <si>
    <r>
      <t>Allowance per Location (Watts)</t>
    </r>
    <r>
      <rPr>
        <vertAlign val="superscript"/>
        <sz val="10"/>
        <color rgb="FF231F20"/>
        <rFont val="Calibri"/>
        <family val="2"/>
      </rPr>
      <t>2</t>
    </r>
  </si>
  <si>
    <t>Sales Frontage §140.7(d)2</t>
  </si>
  <si>
    <t>Total Allowance (Watts) All Areas:</t>
  </si>
  <si>
    <t>Total Allowance (Watts) Ornamental:</t>
  </si>
  <si>
    <t xml:space="preserve">Sum Total of Luminaires Being Added or Altered </t>
  </si>
  <si>
    <r>
      <rPr>
        <i/>
        <vertAlign val="superscript"/>
        <sz val="9"/>
        <color theme="1"/>
        <rFont val="Calibri"/>
        <family val="2"/>
        <scheme val="minor"/>
      </rPr>
      <t>1</t>
    </r>
    <r>
      <rPr>
        <i/>
        <sz val="9"/>
        <color theme="1"/>
        <rFont val="Calibri"/>
        <family val="2"/>
        <scheme val="minor"/>
      </rPr>
      <t xml:space="preserve"> FOOTNOTES: % of Existing Luminaires Being Altered = (Sum Total of Luminaires Being Added or Altered / Existing Luminaires within the Scope of the Permit Application) x 100</t>
    </r>
  </si>
  <si>
    <t>Dropdown, see below for list (custom)</t>
  </si>
  <si>
    <t>Altered</t>
  </si>
  <si>
    <t>N. EXISTING CONDITIONS POWER ALLOWANCE (alterations only)</t>
  </si>
  <si>
    <t>Here is the not that should show up in Table D if the * Note in Table F is not entered by the user: "Table D. indicates a dropdown selection with a * requiring a note describing the compliance approach, but no notes have been entered."</t>
  </si>
  <si>
    <t>Here is the not that should show up in Table D if the * Note in Table N is not entered by the user: "Table N. indicates a dropdown selection with a * requiring a note describing the compliance approach, but no notes have been entered."</t>
  </si>
  <si>
    <t>OR</t>
  </si>
  <si>
    <r>
      <t xml:space="preserve">Total Actual </t>
    </r>
    <r>
      <rPr>
        <sz val="11"/>
        <rFont val="Calibri"/>
        <family val="2"/>
      </rPr>
      <t xml:space="preserve">(Watts) </t>
    </r>
  </si>
  <si>
    <r>
      <t xml:space="preserve">07 Must be </t>
    </r>
    <r>
      <rPr>
        <b/>
        <u/>
        <sz val="11"/>
        <rFont val="Calibri"/>
        <family val="2"/>
      </rPr>
      <t>&gt;</t>
    </r>
    <r>
      <rPr>
        <b/>
        <sz val="11"/>
        <rFont val="Calibri"/>
        <family val="2"/>
      </rPr>
      <t xml:space="preserve"> 08</t>
    </r>
  </si>
  <si>
    <r>
      <t xml:space="preserve">NRCA-LTO-02-A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</si>
  <si>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My project consists of:</t>
  </si>
  <si>
    <t>sum of column 08</t>
  </si>
  <si>
    <t xml:space="preserve">CALCULATED ALLOWANCE (Watts) </t>
  </si>
  <si>
    <t>This is a heading.  The project name, address and date prepared should be a user input on the first page, but that should populate the heading on all other pages.</t>
  </si>
  <si>
    <t>Comment:</t>
  </si>
  <si>
    <t>This box should work just like the one on the indoor lighting form except the text in the notes box when it's triggered should read "Explain here why item with asterisk complies"</t>
  </si>
  <si>
    <t>If the users select options with a *, the Name or Item Tag (uneditable) should show up in Notes section.  If users unselect options with a *, the note should dissapear.</t>
  </si>
  <si>
    <t>If the users select options with a *, the Area Description (uneditable) should show up in Notes section.  If users unselect options with a *, the note should dissapear.</t>
  </si>
  <si>
    <t>Dropdown from Table F.</t>
  </si>
  <si>
    <t>See Table 140.7-B</t>
  </si>
  <si>
    <t>EX: Photograph of existing luminaire</t>
  </si>
  <si>
    <t>The * conditions in the controls table H need to show up here.  Here is the note that should show up in Table D- "Table H. indicates a control requiring a note describing the compliance approach, but no notes have been entered."</t>
  </si>
  <si>
    <t>sum of column 10 (J10)</t>
  </si>
  <si>
    <t>sum of column 10 (M10)</t>
  </si>
  <si>
    <t>sum of column 06 (N06)</t>
  </si>
  <si>
    <t>All Other (including decorative)</t>
  </si>
  <si>
    <t>&gt; 2 MH from property line</t>
  </si>
  <si>
    <r>
      <rPr>
        <b/>
        <u/>
        <sz val="9"/>
        <rFont val="Calibri"/>
        <family val="2"/>
        <scheme val="minor"/>
      </rPr>
      <t xml:space="preserve">Cutoff Req. </t>
    </r>
    <r>
      <rPr>
        <b/>
        <sz val="9"/>
        <rFont val="Calibri"/>
        <family val="2"/>
        <scheme val="minor"/>
      </rPr>
      <t>≥ 6,200 initial lumen output
§130.2(b)</t>
    </r>
    <r>
      <rPr>
        <b/>
        <vertAlign val="superscript"/>
        <sz val="9"/>
        <rFont val="Calibri"/>
        <family val="2"/>
        <scheme val="minor"/>
      </rPr>
      <t>3</t>
    </r>
  </si>
  <si>
    <t xml:space="preserve"> </t>
  </si>
  <si>
    <t>Mounting Height drop down</t>
  </si>
  <si>
    <t>Back hemisphere &lt; 0.5 MH from prop line</t>
  </si>
  <si>
    <t>Backlight Rating Per Design</t>
  </si>
  <si>
    <t>Glare Rating Per Design</t>
  </si>
  <si>
    <t>dropdown</t>
  </si>
  <si>
    <t>Area Lighting</t>
  </si>
  <si>
    <t>Lighting Type</t>
  </si>
  <si>
    <r>
      <t xml:space="preserve">Uplight Rating </t>
    </r>
    <r>
      <rPr>
        <vertAlign val="superscript"/>
        <sz val="9"/>
        <rFont val="Calibri"/>
        <family val="2"/>
        <scheme val="minor"/>
      </rPr>
      <t>2</t>
    </r>
  </si>
  <si>
    <r>
      <t>Glare Rating</t>
    </r>
    <r>
      <rPr>
        <vertAlign val="superscript"/>
        <sz val="9"/>
        <rFont val="Calibri"/>
        <family val="2"/>
        <scheme val="minor"/>
      </rPr>
      <t>2</t>
    </r>
  </si>
  <si>
    <t>Uplight Rating Per Design</t>
  </si>
  <si>
    <r>
      <t>Watts per luminaire</t>
    </r>
    <r>
      <rPr>
        <vertAlign val="superscript"/>
        <sz val="9"/>
        <rFont val="Calibri"/>
        <family val="2"/>
      </rPr>
      <t>1, 2</t>
    </r>
  </si>
  <si>
    <r>
      <t>Luminaire Status</t>
    </r>
    <r>
      <rPr>
        <vertAlign val="superscript"/>
        <sz val="9"/>
        <rFont val="Calibri"/>
        <family val="2"/>
      </rPr>
      <t>3</t>
    </r>
  </si>
  <si>
    <r>
      <rPr>
        <i/>
        <vertAlign val="superscript"/>
        <sz val="10"/>
        <color rgb="FF000000"/>
        <rFont val="Calibri"/>
        <family val="2"/>
        <scheme val="minor"/>
      </rPr>
      <t>2</t>
    </r>
    <r>
      <rPr>
        <i/>
        <sz val="10"/>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</si>
  <si>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rPr>
        <i/>
        <vertAlign val="superscript"/>
        <sz val="10"/>
        <color rgb="FF000000"/>
        <rFont val="Calibri"/>
        <family val="2"/>
        <scheme val="minor"/>
      </rPr>
      <t>3</t>
    </r>
    <r>
      <rPr>
        <i/>
        <sz val="10"/>
        <color rgb="FF000000"/>
        <rFont val="Calibri"/>
        <family val="2"/>
        <scheme val="minor"/>
      </rPr>
      <t xml:space="preserve"> Select “New” for new luminaires in a new outdoor lighting project or for added luminaires in an alteration.  Select “Altered” for replacement luminaires in an alteration.  Select “Existing to Remain” for existing luminaires within the project scope that are not being altered and are remaining.  Select “Existing Reinstalled” for existing luminaires which are being removed and reinstalled as part of the project scope</t>
    </r>
  </si>
  <si>
    <r>
      <t>Total Number Luminaires</t>
    </r>
    <r>
      <rPr>
        <vertAlign val="superscript"/>
        <sz val="9"/>
        <rFont val="Calibri"/>
        <family val="2"/>
      </rPr>
      <t>2</t>
    </r>
  </si>
  <si>
    <t>If "Linear" checkbox is checked for any fixture in Table F column 02, trigger this note: "Linear lighting has been indicated on Table F.  For these luminaires, wattage reported in F03 is in “W/lf” and Total Number Luminaires reported in F05 indicates total linear feet (lf) of that luminaire type.”</t>
  </si>
  <si>
    <t>§140.7(d)1</t>
  </si>
  <si>
    <t>§140.7(d)2</t>
  </si>
  <si>
    <t>H</t>
  </si>
  <si>
    <t>C</t>
  </si>
  <si>
    <t>I</t>
  </si>
  <si>
    <t>Table 140.7-A</t>
  </si>
  <si>
    <t>Table 140.7-B</t>
  </si>
  <si>
    <t>J</t>
  </si>
  <si>
    <t>K</t>
  </si>
  <si>
    <t>L</t>
  </si>
  <si>
    <t>M</t>
  </si>
  <si>
    <t>N</t>
  </si>
  <si>
    <t>§141.0(b)2Lii</t>
  </si>
  <si>
    <t>§141.0(b)2Liii</t>
  </si>
  <si>
    <t>NRCI location on CEC website</t>
  </si>
  <si>
    <t>O</t>
  </si>
  <si>
    <t>NA: &lt;6,200 lumens</t>
  </si>
  <si>
    <t>Surface Type</t>
  </si>
  <si>
    <t>Allowed Density 
(W/lf)</t>
  </si>
  <si>
    <r>
      <rPr>
        <i/>
        <vertAlign val="superscript"/>
        <sz val="10"/>
        <color theme="1"/>
        <rFont val="Calibri"/>
        <family val="2"/>
        <scheme val="minor"/>
      </rPr>
      <t>1</t>
    </r>
    <r>
      <rPr>
        <i/>
        <sz val="10"/>
        <color theme="1"/>
        <rFont val="Calibri"/>
        <family val="2"/>
        <scheme val="minor"/>
      </rPr>
      <t xml:space="preserve"> FOOTNOTES: Primary entrance applications are only available for senior care facilities, healthcare facilities, police stations, hospitals, fire stations, and emergency vehicle facilities.</t>
    </r>
  </si>
  <si>
    <t>sum of column 08 for the area</t>
  </si>
  <si>
    <t>sum of column 09 (K09)</t>
  </si>
  <si>
    <t xml:space="preserve">smaller of L04 or L08 </t>
  </si>
  <si>
    <t>sum of column 09 (L09)</t>
  </si>
  <si>
    <t>Back hemisphere 1-2 MH from prop line</t>
  </si>
  <si>
    <t>Back hemisphere 0.5-1 MH from prop line</t>
  </si>
  <si>
    <t>smaller of K04 or total design watts for area (K08)</t>
  </si>
  <si>
    <r>
      <t># of Luminaires</t>
    </r>
    <r>
      <rPr>
        <vertAlign val="superscript"/>
        <sz val="10"/>
        <rFont val="Calibri"/>
        <family val="2"/>
      </rPr>
      <t>3</t>
    </r>
  </si>
  <si>
    <r>
      <rPr>
        <i/>
        <vertAlign val="superscript"/>
        <sz val="10"/>
        <color theme="1"/>
        <rFont val="Calibri"/>
        <family val="2"/>
        <scheme val="minor"/>
      </rPr>
      <t>3</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</si>
  <si>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t>Watts per Luminaire</t>
    </r>
    <r>
      <rPr>
        <vertAlign val="superscript"/>
        <sz val="10"/>
        <rFont val="Calibri"/>
        <family val="2"/>
      </rPr>
      <t>3</t>
    </r>
  </si>
  <si>
    <r>
      <t># of Luminaires</t>
    </r>
    <r>
      <rPr>
        <vertAlign val="superscript"/>
        <sz val="10"/>
        <rFont val="Calibri"/>
        <family val="2"/>
      </rPr>
      <t>1</t>
    </r>
  </si>
  <si>
    <r>
      <t>Watts per Luminaire</t>
    </r>
    <r>
      <rPr>
        <vertAlign val="superscript"/>
        <sz val="10"/>
        <rFont val="Calibri"/>
        <family val="2"/>
      </rPr>
      <t>1,2</t>
    </r>
  </si>
  <si>
    <r>
      <t># of Luminaires</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</si>
  <si>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06 is W/lf instead of Watts/luminaire.  Total linear feet for the luminaire should be indicated in column 07 instead of number of luminaires.</t>
    </r>
  </si>
  <si>
    <r>
      <t>Watts per Luminaire</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</si>
  <si>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</si>
  <si>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rPr>
        <i/>
        <vertAlign val="superscript"/>
        <sz val="9"/>
        <color rgb="FF000000"/>
        <rFont val="Calibri"/>
        <family val="2"/>
        <scheme val="minor"/>
      </rPr>
      <t>2</t>
    </r>
    <r>
      <rPr>
        <i/>
        <sz val="9"/>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</si>
  <si>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t>Watts per luminaire</t>
    </r>
    <r>
      <rPr>
        <b/>
        <vertAlign val="superscript"/>
        <sz val="9"/>
        <rFont val="Calibri"/>
        <family val="2"/>
      </rPr>
      <t>1,2</t>
    </r>
  </si>
  <si>
    <r>
      <t># of Luminaires Being Replaced</t>
    </r>
    <r>
      <rPr>
        <b/>
        <vertAlign val="superscript"/>
        <sz val="9"/>
        <rFont val="Calibri"/>
        <family val="2"/>
      </rPr>
      <t>2</t>
    </r>
  </si>
  <si>
    <t>NA: Ltg Zone LZ-0</t>
  </si>
  <si>
    <t>Title 24 Part 1 §10-114</t>
  </si>
  <si>
    <t>§140.7(a)</t>
  </si>
  <si>
    <t>§130.0(c)</t>
  </si>
  <si>
    <t>§130.2b</t>
  </si>
  <si>
    <t>NA: Wall &gt; 24ft</t>
  </si>
  <si>
    <t xml:space="preserve">NA: Façade, etc. &gt; 24ft </t>
  </si>
  <si>
    <t>NA: Signage</t>
  </si>
  <si>
    <t>NA: Not permitted by H&amp;LS</t>
  </si>
  <si>
    <t>NA: Temporary lighting</t>
  </si>
  <si>
    <t>NA: Illuminate public right-of-way</t>
  </si>
  <si>
    <t>NA: Controlled by dwelling unit/guest rm</t>
  </si>
  <si>
    <t>NA: Lighting in Tunnels</t>
  </si>
  <si>
    <t xml:space="preserve">NA: Each Luminaires &lt; 40 Watts </t>
  </si>
  <si>
    <t>NA: Temporary Lighting</t>
  </si>
  <si>
    <t>NA: Regulated by FAA or Coast Guard</t>
  </si>
  <si>
    <t>NA: Lighting for Public Roadways</t>
  </si>
  <si>
    <t>NA: Athletic Fields/Playground Lighting</t>
  </si>
  <si>
    <t>NA: Industrial Sites Lighting</t>
  </si>
  <si>
    <t>NA: Public Monument Lighting</t>
  </si>
  <si>
    <t>NA: Sign Lighting</t>
  </si>
  <si>
    <t>NA: Landscape Lighting</t>
  </si>
  <si>
    <t>NA: Stairs, Wheelchair Lift/Ramp Lighting</t>
  </si>
  <si>
    <t>NA: Theme Park Special Effect Lighting</t>
  </si>
  <si>
    <t>NA: Historical Building Lighting</t>
  </si>
  <si>
    <r>
      <t>o</t>
    </r>
    <r>
      <rPr>
        <sz val="9"/>
        <rFont val="Calibri"/>
        <family val="2"/>
        <scheme val="minor"/>
      </rPr>
      <t xml:space="preserve"> Linear</t>
    </r>
  </si>
  <si>
    <t>STATE OF CALIFORNIA</t>
  </si>
  <si>
    <r>
      <t xml:space="preserve">This is the dropdown if </t>
    </r>
    <r>
      <rPr>
        <b/>
        <i/>
        <u/>
        <sz val="11"/>
        <rFont val="Calibri"/>
        <family val="2"/>
        <scheme val="minor"/>
      </rPr>
      <t>&gt;</t>
    </r>
    <r>
      <rPr>
        <b/>
        <i/>
        <sz val="11"/>
        <rFont val="Calibri"/>
        <family val="2"/>
        <scheme val="minor"/>
      </rPr>
      <t xml:space="preserve"> 50% is clicked in column 03 &gt;&gt;</t>
    </r>
  </si>
  <si>
    <r>
      <t>This is the dropdown if "</t>
    </r>
    <r>
      <rPr>
        <b/>
        <i/>
        <u/>
        <sz val="11"/>
        <rFont val="Calibri"/>
        <family val="2"/>
        <scheme val="minor"/>
      </rPr>
      <t>&gt;</t>
    </r>
    <r>
      <rPr>
        <b/>
        <i/>
        <sz val="11"/>
        <rFont val="Calibri"/>
        <family val="2"/>
        <scheme val="minor"/>
      </rPr>
      <t xml:space="preserve"> 10% and &lt; 50%" or "&lt;10%" is clicked in column 03 &gt;&gt;</t>
    </r>
  </si>
  <si>
    <r>
      <t>Backlight Rating</t>
    </r>
    <r>
      <rPr>
        <vertAlign val="superscript"/>
        <sz val="9"/>
        <rFont val="Calibri"/>
        <family val="2"/>
        <scheme val="minor"/>
      </rPr>
      <t>2</t>
    </r>
  </si>
  <si>
    <r>
      <t>Mounting Height from Property Line</t>
    </r>
    <r>
      <rPr>
        <vertAlign val="superscript"/>
        <sz val="9"/>
        <rFont val="Calibri"/>
        <family val="2"/>
        <scheme val="minor"/>
      </rPr>
      <t>1</t>
    </r>
  </si>
  <si>
    <r>
      <t>Max Allowable Backlight Rating</t>
    </r>
    <r>
      <rPr>
        <vertAlign val="superscript"/>
        <sz val="9"/>
        <rFont val="Calibri"/>
        <family val="2"/>
        <scheme val="minor"/>
      </rPr>
      <t>3</t>
    </r>
  </si>
  <si>
    <r>
      <t>Max Allowable Uplight Rating</t>
    </r>
    <r>
      <rPr>
        <vertAlign val="superscript"/>
        <sz val="9"/>
        <rFont val="Calibri"/>
        <family val="2"/>
        <scheme val="minor"/>
      </rPr>
      <t>3</t>
    </r>
  </si>
  <si>
    <r>
      <t>Max Allowable Glare Rating</t>
    </r>
    <r>
      <rPr>
        <vertAlign val="superscript"/>
        <sz val="9"/>
        <rFont val="Calibri"/>
        <family val="2"/>
        <scheme val="minor"/>
      </rPr>
      <t>3</t>
    </r>
  </si>
  <si>
    <r>
      <rPr>
        <i/>
        <vertAlign val="superscript"/>
        <sz val="10"/>
        <rFont val="Calibri"/>
        <family val="2"/>
        <scheme val="minor"/>
      </rPr>
      <t>1</t>
    </r>
    <r>
      <rPr>
        <i/>
        <sz val="10"/>
        <rFont val="Calibri"/>
        <family val="2"/>
        <scheme val="minor"/>
      </rPr>
      <t xml:space="preserve"> FOOTNOTES:  Mounting Height is labeled MH in this table</t>
    </r>
  </si>
  <si>
    <r>
      <t xml:space="preserve">3 </t>
    </r>
    <r>
      <rPr>
        <i/>
        <sz val="9"/>
        <rFont val="Calibri"/>
        <family val="2"/>
        <scheme val="minor"/>
      </rPr>
      <t>BUG ratings with a lower number than the 'Max Allowable' are compliant. Ex. If Max Allowable is Bug Rating is B4, then B0, B1, B2, B3 and B4 are all compliant.</t>
    </r>
  </si>
  <si>
    <r>
      <rPr>
        <i/>
        <vertAlign val="superscript"/>
        <sz val="10"/>
        <rFont val="Calibri"/>
        <family val="2"/>
        <scheme val="minor"/>
      </rPr>
      <t>1</t>
    </r>
    <r>
      <rPr>
        <i/>
        <sz val="10"/>
        <rFont val="Calibri"/>
        <family val="2"/>
        <scheme val="minor"/>
      </rPr>
      <t xml:space="preserve"> FOOTNOTES: For luminaires indicated in Table F as linear, wattage in column 06 is W/lf instead of Watts/luminaire.  Total linear feet for the luminaire should be indicated in column 07 instead of number of luminaires.</t>
    </r>
  </si>
  <si>
    <r>
      <t xml:space="preserve">G. </t>
    </r>
    <r>
      <rPr>
        <b/>
        <strike/>
        <sz val="11"/>
        <color rgb="FFFF0000"/>
        <rFont val="Calibri"/>
        <family val="2"/>
        <scheme val="minor"/>
      </rPr>
      <t>CUTOFF</t>
    </r>
    <r>
      <rPr>
        <b/>
        <sz val="11"/>
        <color rgb="FFFF0000"/>
        <rFont val="Calibri"/>
        <family val="2"/>
        <scheme val="minor"/>
      </rPr>
      <t xml:space="preserve"> SHIELDING</t>
    </r>
    <r>
      <rPr>
        <b/>
        <sz val="11"/>
        <color theme="1"/>
        <rFont val="Calibri"/>
        <family val="2"/>
        <scheme val="minor"/>
      </rPr>
      <t xml:space="preserve"> REQUIREMENTS (BUG)</t>
    </r>
  </si>
  <si>
    <r>
      <t>This table includes fixtures of  ≥ 6,200 initial luminaire lumens  indicated on Table F as needing to comply with</t>
    </r>
    <r>
      <rPr>
        <i/>
        <sz val="10"/>
        <color rgb="FFFF0000"/>
        <rFont val="Calibri"/>
        <family val="2"/>
        <scheme val="minor"/>
      </rPr>
      <t xml:space="preserve"> </t>
    </r>
    <r>
      <rPr>
        <b/>
        <i/>
        <strike/>
        <sz val="10"/>
        <color rgb="FFFF0000"/>
        <rFont val="Calibri"/>
        <family val="2"/>
        <scheme val="minor"/>
      </rPr>
      <t>Cutoff</t>
    </r>
    <r>
      <rPr>
        <b/>
        <i/>
        <sz val="10"/>
        <color rgb="FFFF0000"/>
        <rFont val="Calibri"/>
        <family val="2"/>
        <scheme val="minor"/>
      </rPr>
      <t xml:space="preserve"> Shielding</t>
    </r>
    <r>
      <rPr>
        <b/>
        <i/>
        <sz val="10"/>
        <color theme="1"/>
        <rFont val="Calibri"/>
        <family val="2"/>
        <scheme val="minor"/>
      </rPr>
      <t xml:space="preserve"> </t>
    </r>
    <r>
      <rPr>
        <i/>
        <sz val="10"/>
        <color theme="1"/>
        <rFont val="Calibri"/>
        <family val="2"/>
        <scheme val="minor"/>
      </rPr>
      <t>Requirements.  Maximum lumens can be found in Title 24, Part 11, Section 5.106.8.</t>
    </r>
    <r>
      <rPr>
        <b/>
        <sz val="10"/>
        <color rgb="FF00B050"/>
        <rFont val="Calibri"/>
        <family val="2"/>
        <scheme val="minor"/>
      </rPr>
      <t xml:space="preserve"> </t>
    </r>
  </si>
  <si>
    <t>Remove this field on all but first page header</t>
  </si>
  <si>
    <t>Footer for every page:</t>
  </si>
  <si>
    <t>No changes to BUG ratings in Table from 2019 Part 6 to 2022 Part 6</t>
  </si>
  <si>
    <r>
      <rPr>
        <b/>
        <strike/>
        <sz val="11"/>
        <color rgb="FFFF0000"/>
        <rFont val="Calibri"/>
        <family val="2"/>
      </rPr>
      <t>Cutoff</t>
    </r>
    <r>
      <rPr>
        <b/>
        <sz val="11"/>
        <rFont val="Calibri"/>
        <family val="2"/>
      </rPr>
      <t xml:space="preserve"> </t>
    </r>
    <r>
      <rPr>
        <b/>
        <sz val="11"/>
        <color rgb="FFFF0000"/>
        <rFont val="Calibri"/>
        <family val="2"/>
      </rPr>
      <t>Shielding</t>
    </r>
    <r>
      <rPr>
        <b/>
        <sz val="11"/>
        <rFont val="Calibri"/>
        <family val="2"/>
      </rPr>
      <t xml:space="preserve"> Compliance (See Table G for Details)</t>
    </r>
  </si>
  <si>
    <t>Other Control Technology</t>
  </si>
  <si>
    <t xml:space="preserve">NA: Parking Lot Each Luminaires &lt; 78 Watts </t>
  </si>
  <si>
    <t>NA: Outdoor Theatre</t>
  </si>
  <si>
    <t>VALUES IN TABLE 140.7-A changed for 2022. Please update accordingly. (This is from 45 day language, need to confirm once adopted)</t>
  </si>
  <si>
    <t xml:space="preserve">This table includes areas using the wattage allowance for Outdoor Sales Frontage from Table-140.7-B.  This allowance may be used for one or two frontage side(s) per site. </t>
  </si>
  <si>
    <r>
      <rPr>
        <i/>
        <vertAlign val="superscript"/>
        <sz val="10"/>
        <color theme="1"/>
        <rFont val="Calibri"/>
        <family val="2"/>
        <scheme val="minor"/>
      </rPr>
      <t>1</t>
    </r>
    <r>
      <rPr>
        <i/>
        <sz val="10"/>
        <color theme="1"/>
        <rFont val="Calibri"/>
        <family val="2"/>
        <scheme val="minor"/>
      </rPr>
      <t xml:space="preserve"> FOOTNOTES: Luminaires qualifying for this allowance shall be rated </t>
    </r>
    <r>
      <rPr>
        <i/>
        <u/>
        <sz val="10"/>
        <color theme="1"/>
        <rFont val="Calibri"/>
        <family val="2"/>
        <scheme val="minor"/>
      </rPr>
      <t>&lt;</t>
    </r>
    <r>
      <rPr>
        <i/>
        <sz val="10"/>
        <color theme="1"/>
        <rFont val="Calibri"/>
        <family val="2"/>
        <scheme val="minor"/>
      </rPr>
      <t xml:space="preserve"> </t>
    </r>
    <r>
      <rPr>
        <b/>
        <i/>
        <strike/>
        <sz val="10"/>
        <color rgb="FFFF0000"/>
        <rFont val="Calibri"/>
        <family val="2"/>
        <scheme val="minor"/>
      </rPr>
      <t>100</t>
    </r>
    <r>
      <rPr>
        <b/>
        <i/>
        <sz val="10"/>
        <color rgb="FFFF0000"/>
        <rFont val="Calibri"/>
        <family val="2"/>
        <scheme val="minor"/>
      </rPr>
      <t xml:space="preserve"> 50</t>
    </r>
    <r>
      <rPr>
        <i/>
        <sz val="10"/>
        <color theme="1"/>
        <rFont val="Calibri"/>
        <family val="2"/>
        <scheme val="minor"/>
      </rPr>
      <t>W and shall be post-top luminaires, lanterns, pendants or chandeliers.</t>
    </r>
  </si>
  <si>
    <t>Security Camera in General Hardscape &gt; 10ft from Bldg</t>
  </si>
  <si>
    <t>Occupancy Types within Project:</t>
  </si>
  <si>
    <t>Office</t>
  </si>
  <si>
    <t>Parking Garage</t>
  </si>
  <si>
    <t>NA: Replacement of pole-mounted per §130.2(b)/§160.5(c)</t>
  </si>
  <si>
    <r>
      <t>Illuminated 
Area (ft</t>
    </r>
    <r>
      <rPr>
        <vertAlign val="superscript"/>
        <sz val="10"/>
        <rFont val="Calibri"/>
        <family val="2"/>
        <scheme val="minor"/>
      </rPr>
      <t>2</t>
    </r>
    <r>
      <rPr>
        <sz val="10"/>
        <rFont val="Calibri"/>
        <family val="2"/>
        <scheme val="minor"/>
      </rPr>
      <t>)</t>
    </r>
  </si>
  <si>
    <r>
      <t>Allowed Density 
(W/ft</t>
    </r>
    <r>
      <rPr>
        <vertAlign val="superscript"/>
        <sz val="10"/>
        <rFont val="Calibri"/>
        <family val="2"/>
        <scheme val="minor"/>
      </rPr>
      <t>2</t>
    </r>
    <r>
      <rPr>
        <sz val="10"/>
        <rFont val="Calibri"/>
        <family val="2"/>
        <scheme val="minor"/>
      </rPr>
      <t>)</t>
    </r>
  </si>
  <si>
    <r>
      <t xml:space="preserve">Calculated General Hardscape Lighting Power Allowance per Table 140.7-A </t>
    </r>
    <r>
      <rPr>
        <b/>
        <strike/>
        <sz val="11"/>
        <color rgb="FFFF0000"/>
        <rFont val="Calibri"/>
        <family val="2"/>
        <scheme val="minor"/>
      </rPr>
      <t>(LZ 0, 1 &amp; 4)</t>
    </r>
    <r>
      <rPr>
        <b/>
        <sz val="11"/>
        <color rgb="FFFF0000"/>
        <rFont val="Calibri"/>
        <family val="2"/>
        <scheme val="minor"/>
      </rPr>
      <t xml:space="preserve"> for Nonresidential &amp; Hotel/Motel</t>
    </r>
  </si>
  <si>
    <r>
      <rPr>
        <b/>
        <strike/>
        <sz val="10"/>
        <color rgb="FFFF0000"/>
        <rFont val="Calibri"/>
        <family val="2"/>
      </rPr>
      <t>04</t>
    </r>
    <r>
      <rPr>
        <b/>
        <sz val="10"/>
        <color rgb="FFFF0000"/>
        <rFont val="Calibri"/>
        <family val="2"/>
      </rPr>
      <t xml:space="preserve"> 03</t>
    </r>
  </si>
  <si>
    <r>
      <rPr>
        <b/>
        <strike/>
        <sz val="10"/>
        <color rgb="FFFF0000"/>
        <rFont val="Calibri"/>
        <family val="2"/>
      </rPr>
      <t>05</t>
    </r>
    <r>
      <rPr>
        <b/>
        <sz val="10"/>
        <color rgb="FFFF0000"/>
        <rFont val="Calibri"/>
        <family val="2"/>
      </rPr>
      <t xml:space="preserve"> 04</t>
    </r>
  </si>
  <si>
    <r>
      <rPr>
        <b/>
        <strike/>
        <sz val="10"/>
        <color rgb="FFFF0000"/>
        <rFont val="Calibri"/>
        <family val="2"/>
      </rPr>
      <t>06</t>
    </r>
    <r>
      <rPr>
        <b/>
        <sz val="10"/>
        <color rgb="FFFF0000"/>
        <rFont val="Calibri"/>
        <family val="2"/>
      </rPr>
      <t xml:space="preserve"> 05</t>
    </r>
  </si>
  <si>
    <t xml:space="preserve">10 </t>
  </si>
  <si>
    <t>NO UPDATES FOR 2022 &amp; SAME FOR MF</t>
  </si>
  <si>
    <t>NO VALUE UPDATES FOR 2022, ONLY CHANGE FOR FOOTNOTE 1 &amp; SAME FOR MF</t>
  </si>
  <si>
    <t>ADDED ALLOWANCE FOR SECURITY CAMERAS FOR 2022, SEE LAST IN TABLE. SAME FOR MF!</t>
  </si>
  <si>
    <r>
      <t>This table includes areas using the wattage allowance per application from Table-140.7-B</t>
    </r>
    <r>
      <rPr>
        <b/>
        <i/>
        <sz val="10"/>
        <color rgb="FFFF0000"/>
        <rFont val="Calibri"/>
        <family val="2"/>
        <scheme val="minor"/>
      </rPr>
      <t>/Table 170.2-S</t>
    </r>
    <r>
      <rPr>
        <i/>
        <sz val="10"/>
        <color theme="1"/>
        <rFont val="Calibri"/>
        <family val="2"/>
        <scheme val="minor"/>
      </rPr>
      <t>.</t>
    </r>
    <r>
      <rPr>
        <b/>
        <sz val="10"/>
        <color rgb="FF00B050"/>
        <rFont val="Calibri"/>
        <family val="2"/>
        <scheme val="minor"/>
      </rPr>
      <t xml:space="preserve"> </t>
    </r>
  </si>
  <si>
    <t>NO UPDATES FOR 2022 &amp; DOES NOT APPLY TO MF</t>
  </si>
  <si>
    <r>
      <t>This table includes all ornamental luminaires within the scope of the permit application to calculate the allowance per Table 140.7-B</t>
    </r>
    <r>
      <rPr>
        <b/>
        <i/>
        <sz val="10"/>
        <color rgb="FFFF0000"/>
        <rFont val="Calibri"/>
        <family val="2"/>
        <scheme val="minor"/>
      </rPr>
      <t>/Table 170.2-S</t>
    </r>
    <r>
      <rPr>
        <i/>
        <sz val="10"/>
        <color theme="1"/>
        <rFont val="Calibri"/>
        <family val="2"/>
        <scheme val="minor"/>
      </rPr>
      <t xml:space="preserve">. </t>
    </r>
  </si>
  <si>
    <r>
      <t>This table includes areas using the wattage allowance per specific area type from Table 140.7-B</t>
    </r>
    <r>
      <rPr>
        <b/>
        <i/>
        <sz val="10"/>
        <color rgb="FFFF0000"/>
        <rFont val="Calibri"/>
        <family val="2"/>
        <scheme val="minor"/>
      </rPr>
      <t>/Table 170.2-S</t>
    </r>
    <r>
      <rPr>
        <i/>
        <sz val="10"/>
        <color theme="1"/>
        <rFont val="Calibri"/>
        <family val="2"/>
        <scheme val="minor"/>
      </rPr>
      <t xml:space="preserve">.  More than one specific area allowance may be taken in a single project, if applicable.  However, multiple specific area allowances may not be taken for the exact same area on the site. </t>
    </r>
  </si>
  <si>
    <r>
      <t xml:space="preserve">1 </t>
    </r>
    <r>
      <rPr>
        <i/>
        <sz val="10"/>
        <color theme="1"/>
        <rFont val="Calibri"/>
        <family val="2"/>
        <scheme val="minor"/>
      </rPr>
      <t>FOOTNOTES: See Table 140.7-B</t>
    </r>
    <r>
      <rPr>
        <b/>
        <i/>
        <sz val="10"/>
        <color rgb="FFFF0000"/>
        <rFont val="Calibri"/>
        <family val="2"/>
        <scheme val="minor"/>
      </rPr>
      <t>/Table 170.2-S</t>
    </r>
    <r>
      <rPr>
        <i/>
        <sz val="10"/>
        <color theme="1"/>
        <rFont val="Calibri"/>
        <family val="2"/>
        <scheme val="minor"/>
      </rPr>
      <t xml:space="preserve"> for the rules for calculating the specific areas (ft</t>
    </r>
    <r>
      <rPr>
        <i/>
        <vertAlign val="superscript"/>
        <sz val="10"/>
        <color theme="1"/>
        <rFont val="Calibri"/>
        <family val="2"/>
        <scheme val="minor"/>
      </rPr>
      <t>2</t>
    </r>
    <r>
      <rPr>
        <i/>
        <sz val="10"/>
        <color theme="1"/>
        <rFont val="Calibri"/>
        <family val="2"/>
        <scheme val="minor"/>
      </rPr>
      <t xml:space="preserve">) for these additional lighting allowances. </t>
    </r>
  </si>
  <si>
    <r>
      <rPr>
        <i/>
        <vertAlign val="superscript"/>
        <sz val="10"/>
        <color theme="1"/>
        <rFont val="Calibri"/>
        <family val="2"/>
        <scheme val="minor"/>
      </rPr>
      <t>2</t>
    </r>
    <r>
      <rPr>
        <i/>
        <sz val="10"/>
        <color theme="1"/>
        <rFont val="Calibri"/>
        <family val="2"/>
        <scheme val="minor"/>
      </rPr>
      <t xml:space="preserve">  The Allowance per Location for ATMs is  100W for the first ATM and 35W for each additional per Table 140.7-B</t>
    </r>
    <r>
      <rPr>
        <b/>
        <i/>
        <sz val="10"/>
        <color rgb="FFFF0000"/>
        <rFont val="Calibri"/>
        <family val="2"/>
        <scheme val="minor"/>
      </rPr>
      <t>/Table 170.2-S</t>
    </r>
    <r>
      <rPr>
        <i/>
        <sz val="10"/>
        <color theme="1"/>
        <rFont val="Calibri"/>
        <family val="2"/>
        <scheme val="minor"/>
      </rPr>
      <t>.</t>
    </r>
  </si>
  <si>
    <r>
      <t>I. LIGHTING POWER ALLOWANCE (per §140.7</t>
    </r>
    <r>
      <rPr>
        <b/>
        <sz val="11"/>
        <color rgb="FFFF0000"/>
        <rFont val="Calibri"/>
        <family val="2"/>
      </rPr>
      <t>/170.2(e)</t>
    </r>
    <r>
      <rPr>
        <b/>
        <sz val="11"/>
        <color rgb="FF231F20"/>
        <rFont val="Calibri"/>
        <family val="2"/>
      </rPr>
      <t>)</t>
    </r>
  </si>
  <si>
    <r>
      <t>§130.2(c)2</t>
    </r>
    <r>
      <rPr>
        <b/>
        <sz val="9"/>
        <color rgb="FFFF0000"/>
        <rFont val="Calibri"/>
        <family val="2"/>
        <scheme val="minor"/>
      </rPr>
      <t>/§160.5(c)</t>
    </r>
  </si>
  <si>
    <r>
      <t>§130.2(c)3</t>
    </r>
    <r>
      <rPr>
        <b/>
        <sz val="9"/>
        <color rgb="FFFF0000"/>
        <rFont val="Calibri"/>
        <family val="2"/>
        <scheme val="minor"/>
      </rPr>
      <t>/§160.5(c)</t>
    </r>
  </si>
  <si>
    <r>
      <rPr>
        <vertAlign val="superscript"/>
        <sz val="11"/>
        <rFont val="Calibri"/>
        <family val="2"/>
        <scheme val="minor"/>
      </rPr>
      <t>2</t>
    </r>
    <r>
      <rPr>
        <sz val="11"/>
        <rFont val="Calibri"/>
        <family val="2"/>
        <scheme val="minor"/>
      </rPr>
      <t xml:space="preserve">  </t>
    </r>
    <r>
      <rPr>
        <i/>
        <sz val="10"/>
        <rFont val="Calibri"/>
        <family val="2"/>
        <scheme val="minor"/>
      </rPr>
      <t>Authority having jurisdiction may ask for luminaire cut sheets or other documentation to confirm luminaire type, backlight,</t>
    </r>
    <r>
      <rPr>
        <i/>
        <u/>
        <sz val="10"/>
        <rFont val="Calibri"/>
        <family val="2"/>
        <scheme val="minor"/>
      </rPr>
      <t xml:space="preserve"> </t>
    </r>
    <r>
      <rPr>
        <i/>
        <sz val="10"/>
        <rFont val="Calibri"/>
        <family val="2"/>
        <scheme val="minor"/>
      </rPr>
      <t>uplight,and glare ratings used for compliance per §130.2(b)</t>
    </r>
    <r>
      <rPr>
        <b/>
        <i/>
        <sz val="10"/>
        <color rgb="FFFF0000"/>
        <rFont val="Calibri"/>
        <family val="2"/>
        <scheme val="minor"/>
      </rPr>
      <t>/§160.5(c)</t>
    </r>
    <r>
      <rPr>
        <i/>
        <sz val="10"/>
        <rFont val="Calibri"/>
        <family val="2"/>
        <scheme val="minor"/>
      </rPr>
      <t>.</t>
    </r>
  </si>
  <si>
    <r>
      <t>Excluded per 
§140.7(a)</t>
    </r>
    <r>
      <rPr>
        <b/>
        <sz val="9"/>
        <color rgb="FFFF0000"/>
        <rFont val="Calibri"/>
        <family val="2"/>
      </rPr>
      <t>/
§170.2(e)6A</t>
    </r>
  </si>
  <si>
    <r>
      <rPr>
        <i/>
        <vertAlign val="superscript"/>
        <sz val="10"/>
        <color rgb="FF000000"/>
        <rFont val="Calibri"/>
        <family val="2"/>
        <scheme val="minor"/>
      </rPr>
      <t>1</t>
    </r>
    <r>
      <rPr>
        <i/>
        <sz val="10"/>
        <color rgb="FF000000"/>
        <rFont val="Calibri"/>
        <family val="2"/>
        <scheme val="minor"/>
      </rPr>
      <t xml:space="preserve"> FOOTNOTES: Authority Having Jurisdiction may ask for Luminaire cut sheets to confirm wattage used for compliance per </t>
    </r>
    <r>
      <rPr>
        <sz val="10"/>
        <color rgb="FF000000"/>
        <rFont val="Calibri"/>
        <family val="2"/>
        <scheme val="minor"/>
      </rPr>
      <t>§</t>
    </r>
    <r>
      <rPr>
        <i/>
        <sz val="10"/>
        <color rgb="FF000000"/>
        <rFont val="Calibri"/>
        <family val="2"/>
        <scheme val="minor"/>
      </rPr>
      <t>130.0(c)</t>
    </r>
    <r>
      <rPr>
        <b/>
        <i/>
        <sz val="10"/>
        <color rgb="FFFF0000"/>
        <rFont val="Calibri"/>
        <family val="2"/>
        <scheme val="minor"/>
      </rPr>
      <t>/§160.5(b)</t>
    </r>
    <r>
      <rPr>
        <i/>
        <sz val="10"/>
        <color rgb="FF000000"/>
        <rFont val="Calibri"/>
        <family val="2"/>
        <scheme val="minor"/>
      </rPr>
      <t>.</t>
    </r>
  </si>
  <si>
    <r>
      <rPr>
        <i/>
        <vertAlign val="superscript"/>
        <sz val="10"/>
        <color rgb="FF000000"/>
        <rFont val="Calibri"/>
        <family val="2"/>
        <scheme val="minor"/>
      </rPr>
      <t>4</t>
    </r>
    <r>
      <rPr>
        <i/>
        <sz val="10"/>
        <color rgb="FF000000"/>
        <rFont val="Calibri"/>
        <family val="2"/>
        <scheme val="minor"/>
      </rPr>
      <t xml:space="preserve"> Compliance with mandatory </t>
    </r>
    <r>
      <rPr>
        <b/>
        <i/>
        <strike/>
        <sz val="10"/>
        <color rgb="FFFF0000"/>
        <rFont val="Calibri"/>
        <family val="2"/>
        <scheme val="minor"/>
      </rPr>
      <t>cutoff</t>
    </r>
    <r>
      <rPr>
        <b/>
        <i/>
        <sz val="10"/>
        <color rgb="FFFF0000"/>
        <rFont val="Calibri"/>
        <family val="2"/>
        <scheme val="minor"/>
      </rPr>
      <t xml:space="preserve"> shielding</t>
    </r>
    <r>
      <rPr>
        <i/>
        <sz val="10"/>
        <color rgb="FF000000"/>
        <rFont val="Calibri"/>
        <family val="2"/>
        <scheme val="minor"/>
      </rPr>
      <t xml:space="preserve"> requirements is required for luminaires with initial lumen output ≥ 6,200 unless exempted by §130.2(b)</t>
    </r>
    <r>
      <rPr>
        <b/>
        <i/>
        <sz val="10"/>
        <color rgb="FFFF0000"/>
        <rFont val="Calibri"/>
        <family val="2"/>
        <scheme val="minor"/>
      </rPr>
      <t>/§160.5(c)</t>
    </r>
    <r>
      <rPr>
        <i/>
        <sz val="10"/>
        <color rgb="FF000000"/>
        <rFont val="Calibri"/>
        <family val="2"/>
        <scheme val="minor"/>
      </rPr>
      <t>.</t>
    </r>
  </si>
  <si>
    <r>
      <t>General Hardscape Allowance §140.7(d)1</t>
    </r>
    <r>
      <rPr>
        <b/>
        <sz val="10"/>
        <color rgb="FFFF0000"/>
        <rFont val="Calibri"/>
        <family val="2"/>
      </rPr>
      <t>/
§170.2(e)6</t>
    </r>
  </si>
  <si>
    <r>
      <t>Per Application §140.7(d)2</t>
    </r>
    <r>
      <rPr>
        <b/>
        <sz val="10"/>
        <color rgb="FFFF0000"/>
        <rFont val="Calibri"/>
        <family val="2"/>
      </rPr>
      <t>/
§170.2(e)6</t>
    </r>
  </si>
  <si>
    <r>
      <t>Ornamental §140.7(d)2</t>
    </r>
    <r>
      <rPr>
        <b/>
        <sz val="10"/>
        <color rgb="FFFF0000"/>
        <rFont val="Calibri"/>
        <family val="2"/>
      </rPr>
      <t>/
§170.2(e)6</t>
    </r>
  </si>
  <si>
    <r>
      <t>Per Specific Area §140.7(d)2</t>
    </r>
    <r>
      <rPr>
        <b/>
        <sz val="10"/>
        <color rgb="FFFF0000"/>
        <rFont val="Calibri"/>
        <family val="2"/>
      </rPr>
      <t>/
§170.2(e)6</t>
    </r>
  </si>
  <si>
    <r>
      <t>Must Comply with Allowances from §140.7</t>
    </r>
    <r>
      <rPr>
        <b/>
        <sz val="11"/>
        <color rgb="FFFF0000"/>
        <rFont val="Calibri"/>
        <family val="2"/>
        <scheme val="minor"/>
      </rPr>
      <t>/§170.2(e)6</t>
    </r>
    <r>
      <rPr>
        <sz val="11"/>
        <color theme="1"/>
        <rFont val="Calibri"/>
        <family val="2"/>
        <scheme val="minor"/>
      </rPr>
      <t>.</t>
    </r>
  </si>
  <si>
    <r>
      <t>Calculated Allowance per §140.7</t>
    </r>
    <r>
      <rPr>
        <b/>
        <sz val="10"/>
        <color rgb="FFFF0000"/>
        <rFont val="Calibri"/>
        <family val="2"/>
        <scheme val="minor"/>
      </rPr>
      <t>/§170.2(e)6</t>
    </r>
  </si>
  <si>
    <r>
      <t>This table includes outdoor lighting systems that are within the scope of the permit application and are demonstrating compliance using the prescriptive path outlined in §140.7</t>
    </r>
    <r>
      <rPr>
        <b/>
        <i/>
        <sz val="10"/>
        <color rgb="FFFF0000"/>
        <rFont val="Calibri"/>
        <family val="2"/>
      </rPr>
      <t>/§170.2(e)6</t>
    </r>
    <r>
      <rPr>
        <i/>
        <sz val="10"/>
        <color rgb="FF231F20"/>
        <rFont val="Calibri"/>
        <family val="2"/>
      </rPr>
      <t xml:space="preserve"> or §141.0(b)2L</t>
    </r>
    <r>
      <rPr>
        <b/>
        <i/>
        <sz val="10"/>
        <color rgb="FFFF0000"/>
        <rFont val="Calibri"/>
        <family val="2"/>
      </rPr>
      <t>/§180.2(b)4Bv</t>
    </r>
    <r>
      <rPr>
        <i/>
        <sz val="10"/>
        <color rgb="FF231F20"/>
        <rFont val="Calibri"/>
        <family val="2"/>
      </rPr>
      <t xml:space="preserve"> for alterations.</t>
    </r>
  </si>
  <si>
    <r>
      <t>40% Reduced Wattage Exception per §141.0(b)2L</t>
    </r>
    <r>
      <rPr>
        <b/>
        <sz val="10"/>
        <color rgb="FFFF0000"/>
        <rFont val="Calibri"/>
        <family val="2"/>
        <scheme val="minor"/>
      </rPr>
      <t>/§180.2(b)4Bv</t>
    </r>
  </si>
  <si>
    <r>
      <t>Calculation of Total Allowed Lighting Power (Watts) §140.7</t>
    </r>
    <r>
      <rPr>
        <b/>
        <sz val="11"/>
        <color rgb="FFFF0000"/>
        <rFont val="Calibri"/>
        <family val="2"/>
      </rPr>
      <t>/§170.2(e)6</t>
    </r>
    <r>
      <rPr>
        <b/>
        <sz val="11"/>
        <rFont val="Calibri"/>
        <family val="2"/>
      </rPr>
      <t xml:space="preserve"> or §141.0(b)2L</t>
    </r>
    <r>
      <rPr>
        <b/>
        <sz val="11"/>
        <color rgb="FFFF0000"/>
        <rFont val="Calibri"/>
        <family val="2"/>
      </rPr>
      <t>/§180.2(b)4Bv</t>
    </r>
  </si>
  <si>
    <r>
      <t>Existing Power Allowance 
§141.0(b)2L</t>
    </r>
    <r>
      <rPr>
        <b/>
        <sz val="10"/>
        <color rgb="FFFF0000"/>
        <rFont val="Calibri"/>
        <family val="2"/>
      </rPr>
      <t>/
§180.2(b)4Bv</t>
    </r>
  </si>
  <si>
    <r>
      <t>Allowance per §141.0(b)2L</t>
    </r>
    <r>
      <rPr>
        <b/>
        <sz val="10"/>
        <color rgb="FFFF0000"/>
        <rFont val="Calibri"/>
        <family val="2"/>
        <scheme val="minor"/>
      </rPr>
      <t>/§180.2(b)4Bv</t>
    </r>
    <r>
      <rPr>
        <b/>
        <sz val="10"/>
        <color rgb="FF000000"/>
        <rFont val="Calibri"/>
        <family val="2"/>
        <scheme val="minor"/>
      </rPr>
      <t>:</t>
    </r>
  </si>
  <si>
    <r>
      <rPr>
        <i/>
        <vertAlign val="superscript"/>
        <sz val="9"/>
        <rFont val="Calibri"/>
        <family val="2"/>
      </rPr>
      <t xml:space="preserve">1 </t>
    </r>
    <r>
      <rPr>
        <i/>
        <sz val="9"/>
        <rFont val="Calibri"/>
        <family val="2"/>
      </rPr>
      <t>FOOTNOTES: Authority Having Jurisdiction may ask for Luminaire cut sheets to confirm wattage used for compliance per §130.0(c)</t>
    </r>
    <r>
      <rPr>
        <b/>
        <i/>
        <sz val="9"/>
        <color rgb="FFFF0000"/>
        <rFont val="Calibri"/>
        <family val="2"/>
      </rPr>
      <t>/§160.5(b)</t>
    </r>
    <r>
      <rPr>
        <i/>
        <sz val="9"/>
        <rFont val="Calibri"/>
        <family val="2"/>
      </rPr>
      <t xml:space="preserve">. </t>
    </r>
  </si>
  <si>
    <r>
      <t>NRCI-LTO</t>
    </r>
    <r>
      <rPr>
        <b/>
        <strike/>
        <sz val="10"/>
        <color rgb="FFFF0000"/>
        <rFont val="Calibri"/>
        <family val="2"/>
        <scheme val="minor"/>
      </rPr>
      <t>-01</t>
    </r>
    <r>
      <rPr>
        <sz val="10"/>
        <color theme="1"/>
        <rFont val="Calibri"/>
        <family val="2"/>
        <scheme val="minor"/>
      </rPr>
      <t>-E - Must be submitted for all buildings.</t>
    </r>
  </si>
  <si>
    <r>
      <rPr>
        <i/>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t>
    </r>
    <r>
      <rPr>
        <i/>
        <u/>
        <sz val="10"/>
        <color rgb="FF0070C0"/>
        <rFont val="Calibri"/>
        <family val="2"/>
      </rPr>
      <t xml:space="preserve"> http://www.energy.ca.gov/title24/attcp/providers.html.</t>
    </r>
  </si>
  <si>
    <r>
      <rPr>
        <b/>
        <strike/>
        <sz val="11"/>
        <color rgb="FFFF0000"/>
        <rFont val="Arial"/>
        <family val="2"/>
      </rPr>
      <t>Cutoff</t>
    </r>
    <r>
      <rPr>
        <b/>
        <sz val="11"/>
        <color rgb="FFFF0000"/>
        <rFont val="Arial"/>
        <family val="2"/>
      </rPr>
      <t xml:space="preserve"> Shielding </t>
    </r>
    <r>
      <rPr>
        <sz val="11"/>
        <color theme="1"/>
        <rFont val="Arial"/>
        <family val="2"/>
      </rPr>
      <t>Requirements (BUG)</t>
    </r>
  </si>
  <si>
    <t>Retail</t>
  </si>
  <si>
    <t>Warehouse</t>
  </si>
  <si>
    <t>Hotel/Motel</t>
  </si>
  <si>
    <t>School</t>
  </si>
  <si>
    <t>Healthcare</t>
  </si>
  <si>
    <t>Shut-Off</t>
  </si>
  <si>
    <t>Compliant Light Sources Dropdown</t>
  </si>
  <si>
    <t>Space Name</t>
  </si>
  <si>
    <t>see dropdown below</t>
  </si>
  <si>
    <t>Shut-Off Dropdown</t>
  </si>
  <si>
    <t>Manual + Astrn. Time-switch</t>
  </si>
  <si>
    <t>EMCS</t>
  </si>
  <si>
    <t>COMPLIES or 
DOES NOT COMPLY</t>
  </si>
  <si>
    <r>
      <rPr>
        <i/>
        <vertAlign val="superscript"/>
        <sz val="10"/>
        <color rgb="FF000000"/>
        <rFont val="Calibri"/>
        <family val="2"/>
        <scheme val="minor"/>
      </rPr>
      <t>1</t>
    </r>
    <r>
      <rPr>
        <i/>
        <sz val="10"/>
        <color rgb="FF000000"/>
        <rFont val="Calibri"/>
        <family val="2"/>
        <scheme val="minor"/>
      </rPr>
      <t xml:space="preserve"> FOOTNOTE: Text has been abbreviated, please refer to Table 160.5-A to confirm compliance with the specific light source technologies listed. </t>
    </r>
  </si>
  <si>
    <r>
      <rPr>
        <i/>
        <vertAlign val="superscript"/>
        <sz val="10"/>
        <color rgb="FF000000"/>
        <rFont val="Calibri"/>
        <family val="2"/>
        <scheme val="minor"/>
      </rPr>
      <t>2</t>
    </r>
    <r>
      <rPr>
        <i/>
        <sz val="10"/>
        <color rgb="FF000000"/>
        <rFont val="Calibri"/>
        <family val="2"/>
        <scheme val="minor"/>
      </rPr>
      <t xml:space="preserve"> Authority having jurisdiction may ask for cutsheets or other documentation to confirm compliance of light source.</t>
    </r>
  </si>
  <si>
    <t>LED</t>
  </si>
  <si>
    <t>Pin-based linear flourescent/ CFL w electronic ballast</t>
  </si>
  <si>
    <t>HID (inc. pulse-start metal halide &amp; high pressure sodium)</t>
  </si>
  <si>
    <t>w hardwired high frequency generator &amp; induction lamp</t>
  </si>
  <si>
    <t>NA: Night, step or path light &lt; 5W</t>
  </si>
  <si>
    <r>
      <t>Compliant Light Sources</t>
    </r>
    <r>
      <rPr>
        <b/>
        <vertAlign val="superscript"/>
        <sz val="9"/>
        <rFont val="Calibri"/>
        <family val="2"/>
      </rPr>
      <t>1,2</t>
    </r>
    <r>
      <rPr>
        <b/>
        <sz val="9"/>
        <rFont val="Calibri"/>
        <family val="2"/>
      </rPr>
      <t xml:space="preserve">
§160.5(a)1</t>
    </r>
  </si>
  <si>
    <r>
      <t>Recessed Downlights</t>
    </r>
    <r>
      <rPr>
        <b/>
        <vertAlign val="superscript"/>
        <sz val="9"/>
        <rFont val="Calibri"/>
        <family val="2"/>
      </rPr>
      <t>3</t>
    </r>
    <r>
      <rPr>
        <b/>
        <sz val="9"/>
        <rFont val="Calibri"/>
        <family val="2"/>
      </rPr>
      <t xml:space="preserve">
§160.5(a)1C</t>
    </r>
  </si>
  <si>
    <r>
      <rPr>
        <i/>
        <vertAlign val="superscript"/>
        <sz val="10"/>
        <color rgb="FF000000"/>
        <rFont val="Calibri"/>
        <family val="2"/>
        <scheme val="minor"/>
      </rPr>
      <t>3</t>
    </r>
    <r>
      <rPr>
        <i/>
        <sz val="10"/>
        <color rgb="FF000000"/>
        <rFont val="Calibri"/>
        <family val="2"/>
        <scheme val="minor"/>
      </rPr>
      <t xml:space="preserve"> Recessed luminaires marked for use in fire-rated installations, and recessed luminaires installed in non-insulated ceilings are excepted from ii and iii.</t>
    </r>
  </si>
  <si>
    <t>Mandatory Controls §160.5(a)</t>
  </si>
  <si>
    <t>11</t>
  </si>
  <si>
    <t>12</t>
  </si>
  <si>
    <t>Front hemisphere 1-2 MH from prop line</t>
  </si>
  <si>
    <t>Front hemisphere 0.5-1 MH from prop line</t>
  </si>
  <si>
    <t>If user selects MF occupancy, (even if mixed-use) the MF subtable in I is the only ones that applies.</t>
  </si>
  <si>
    <t>i. Shall not contain screw base lamp sockets; and
ii. Have a label that certifies the luminaire is airtight with air leakage less than 2.0 cfm at 75 Pascals when tested in accordance with ASTM E283. An exhaust fan housing with integral light shall not be required to be certified airtight; and
iii.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iv. Meet the clearance and installation requirements of California Electrical Code Section 410.116 for recessed luminaires; and
v.  Lamps and other separable light sources that are not compliant with the JA8 elevated temperature requirements, including marking requirements, shall not be installed in enclosed or recessed luminaires.</t>
  </si>
  <si>
    <r>
      <t xml:space="preserve">This document is used to demonstrate compliance with requirements in §110.9, §130.0, §130.2, §140.7, and §141.0(b)2L for outdoor lighting scopes using the prescriptive path </t>
    </r>
    <r>
      <rPr>
        <b/>
        <i/>
        <sz val="10"/>
        <color rgb="FFFF0000"/>
        <rFont val="Calibri"/>
        <family val="2"/>
      </rPr>
      <t>for nonresidential and hotel/motel occupancies</t>
    </r>
    <r>
      <rPr>
        <i/>
        <sz val="10"/>
        <rFont val="Calibri"/>
        <family val="2"/>
      </rPr>
      <t xml:space="preserve">. </t>
    </r>
    <r>
      <rPr>
        <b/>
        <i/>
        <sz val="10"/>
        <color rgb="FFFF0000"/>
        <rFont val="Calibri"/>
        <family val="2"/>
      </rPr>
      <t>It is also used to document compliance with requirements in §160.5, §170.2(e)6, §180.1(a) and §180.2(b)4Bv for outdoor lighting scopes using the prescriptive path for multifamily and mixed-use occupancies. Multifamily includes dormitory and senior living facilities.</t>
    </r>
  </si>
  <si>
    <r>
      <t xml:space="preserve">LZ-2: Moderate- </t>
    </r>
    <r>
      <rPr>
        <b/>
        <strike/>
        <sz val="10"/>
        <color rgb="FFFF0000"/>
        <rFont val="Calibri"/>
        <family val="2"/>
        <scheme val="minor"/>
      </rPr>
      <t>Rural Areas</t>
    </r>
    <r>
      <rPr>
        <b/>
        <sz val="10"/>
        <color rgb="FFFF0000"/>
        <rFont val="Calibri"/>
        <family val="2"/>
        <scheme val="minor"/>
      </rPr>
      <t xml:space="preserve"> Urban Clusters</t>
    </r>
  </si>
  <si>
    <r>
      <t xml:space="preserve">LZ-1: Low- </t>
    </r>
    <r>
      <rPr>
        <b/>
        <strike/>
        <sz val="10"/>
        <color rgb="FFFF0000"/>
        <rFont val="Calibri"/>
        <family val="2"/>
        <scheme val="minor"/>
      </rPr>
      <t>Developed Parkland</t>
    </r>
    <r>
      <rPr>
        <b/>
        <sz val="10"/>
        <color rgb="FFFF0000"/>
        <rFont val="Calibri"/>
        <family val="2"/>
        <scheme val="minor"/>
      </rPr>
      <t xml:space="preserve"> Rural Areas</t>
    </r>
  </si>
  <si>
    <r>
      <rPr>
        <b/>
        <sz val="10"/>
        <color rgb="FFFF0000"/>
        <rFont val="Calibri"/>
        <family val="2"/>
        <scheme val="minor"/>
      </rPr>
      <t xml:space="preserve">Not Increasing </t>
    </r>
    <r>
      <rPr>
        <b/>
        <strike/>
        <sz val="10"/>
        <color rgb="FFFF0000"/>
        <rFont val="Calibri"/>
        <family val="2"/>
        <scheme val="minor"/>
      </rPr>
      <t>Maintain</t>
    </r>
    <r>
      <rPr>
        <sz val="10"/>
        <color theme="1"/>
        <rFont val="Calibri"/>
        <family val="2"/>
        <scheme val="minor"/>
      </rPr>
      <t xml:space="preserve"> Existing Power Method per §141.0(b)2L</t>
    </r>
    <r>
      <rPr>
        <b/>
        <sz val="10"/>
        <color rgb="FFFF0000"/>
        <rFont val="Calibri"/>
        <family val="2"/>
        <scheme val="minor"/>
      </rPr>
      <t>/§180.2(b)4Bv</t>
    </r>
  </si>
  <si>
    <t>NA: Integral to garage door opener</t>
  </si>
  <si>
    <r>
      <t xml:space="preserve">Mandatory Controls </t>
    </r>
    <r>
      <rPr>
        <b/>
        <sz val="11"/>
        <color rgb="FFFF0000"/>
        <rFont val="Calibri"/>
        <family val="2"/>
        <scheme val="minor"/>
      </rPr>
      <t>for Nonresidential Occupancies, Parking Garages &amp; Common Service Areas in Multifamily Buildings</t>
    </r>
  </si>
  <si>
    <r>
      <t xml:space="preserve">This table demonstrates compliance with controls requirements for all new or altered luminaires installed as part of the permit application.  For alteration projects, luminaires which are existing to remain (ie untouched) and luminaires which are removed and reinstalled (wiring only) do not need to be included in this table even if they are within the spaces covered by the permit application.
</t>
    </r>
    <r>
      <rPr>
        <b/>
        <i/>
        <sz val="10"/>
        <color rgb="FFFF0000"/>
        <rFont val="Calibri"/>
        <family val="2"/>
        <scheme val="minor"/>
      </rPr>
      <t>Outdoor lighting for nonresidential buildings, parking garages and common service areas in multifamily buildings must be documented seperately from outdoor lighting attached to multifamily buildings and controlled from the inside of a dwelling unit.</t>
    </r>
    <r>
      <rPr>
        <i/>
        <sz val="10"/>
        <color theme="1"/>
        <rFont val="Calibri"/>
        <family val="2"/>
        <scheme val="minor"/>
      </rPr>
      <t xml:space="preserve">
</t>
    </r>
    <r>
      <rPr>
        <b/>
        <strike/>
        <sz val="10"/>
        <color rgb="FFFF0000"/>
        <rFont val="Calibri"/>
        <family val="2"/>
        <scheme val="minor"/>
      </rPr>
      <t xml:space="preserve">When an option having a * is selected, the notes section of this table must be completed. The lighting controls section of the Compliance Summary Table on the first page will show "DOES NOT COMPLY" if the notes are left blank. </t>
    </r>
  </si>
  <si>
    <t>Outdoor Lighting Controlled from Inside Multifamily Dwelling Units</t>
  </si>
  <si>
    <r>
      <t>§130.2(c)1</t>
    </r>
    <r>
      <rPr>
        <b/>
        <sz val="9"/>
        <color rgb="FFFF0000"/>
        <rFont val="Calibri"/>
        <family val="2"/>
        <scheme val="minor"/>
      </rPr>
      <t>/§160.5(c)</t>
    </r>
  </si>
  <si>
    <t>NA: MF Complying w §160.5(a)</t>
  </si>
  <si>
    <t>This table documents compliance with mandatory requirements for outdoor lighting attached to multifamily buildings and controlled from the inside of a dwelling unit per §160.5(a). Outdoor lighting systems in common use areas providing shared provisions for living, eating, cooking, or sanitation to dwelling units that would otherwise lack these provisions may document compliance with §160.5(a) in this table or may document compliance with outdoor lighting for nonresidential occupancies.</t>
  </si>
  <si>
    <t>THIS ENTIRE SUBTABLE IS NEW FOR 2022 and is triggered if user selects "Multifamily/Mixed-use" in A05</t>
  </si>
  <si>
    <r>
      <t xml:space="preserve">Calculated General Hardscape Lighting Power Allowance per Table </t>
    </r>
    <r>
      <rPr>
        <b/>
        <strike/>
        <sz val="11"/>
        <color rgb="FFFF0000"/>
        <rFont val="Calibri"/>
        <family val="2"/>
        <scheme val="minor"/>
      </rPr>
      <t>140.7-A (LZ 2 &amp; 3)</t>
    </r>
    <r>
      <rPr>
        <sz val="11"/>
        <rFont val="Calibri"/>
        <family val="2"/>
        <scheme val="minor"/>
      </rPr>
      <t xml:space="preserve"> </t>
    </r>
    <r>
      <rPr>
        <b/>
        <sz val="11"/>
        <color rgb="FFFF0000"/>
        <rFont val="Calibri"/>
        <family val="2"/>
        <scheme val="minor"/>
      </rPr>
      <t>170.2-R for Multifamily &amp; Multifamily Mixed-Use</t>
    </r>
  </si>
  <si>
    <t>O. DECLARATION OF REQUIRED CERTIFICATES OF INSTALLATION</t>
  </si>
  <si>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u/>
        <sz val="10"/>
        <color rgb="FFFF0000"/>
        <rFont val="Calibri"/>
        <family val="2"/>
      </rPr>
      <t xml:space="preserve">https://www.energy.ca.gov/title24/2019standards/2019_compliance_documents/Nonresidential_Documents/NRCI/ </t>
    </r>
  </si>
  <si>
    <r>
      <rPr>
        <b/>
        <sz val="11"/>
        <rFont val="Calibri"/>
        <family val="2"/>
      </rPr>
      <t xml:space="preserve">P. </t>
    </r>
    <r>
      <rPr>
        <b/>
        <sz val="11"/>
        <color rgb="FF231F20"/>
        <rFont val="Calibri"/>
        <family val="2"/>
      </rPr>
      <t>DECLARATION OF REQUIRED CERTIFICATES OF ACCEPTANCE</t>
    </r>
  </si>
  <si>
    <r>
      <t xml:space="preserve"> For new or altered lighting systems demonstrating compliance with §140.7</t>
    </r>
    <r>
      <rPr>
        <b/>
        <i/>
        <sz val="9"/>
        <color rgb="FFFF0000"/>
        <rFont val="Calibri"/>
        <family val="2"/>
      </rPr>
      <t>/§170.2(e)6</t>
    </r>
    <r>
      <rPr>
        <i/>
        <sz val="9"/>
        <rFont val="Calibri"/>
        <family val="2"/>
      </rPr>
      <t xml:space="preserve"> all luminaires being installed and any existing luminaires remaining or being moved within the spaces covered by the permit application are included in the Table below.  For altered lighting systems using the Existing Power method per §141.0(b)2L, only new luminaires being installed and replacement luminaires being installed as part of the project scope are included (ie, existing luminaires remaining or existing luminaires being moved are not included).</t>
    </r>
    <r>
      <rPr>
        <b/>
        <sz val="9"/>
        <color rgb="FF00B050"/>
        <rFont val="Calibri"/>
        <family val="2"/>
      </rPr>
      <t xml:space="preserve"> </t>
    </r>
    <r>
      <rPr>
        <i/>
        <sz val="9"/>
        <rFont val="Calibri"/>
        <family val="2"/>
      </rPr>
      <t xml:space="preserve">
</t>
    </r>
    <r>
      <rPr>
        <b/>
        <i/>
        <sz val="9"/>
        <color rgb="FFFF0000"/>
        <rFont val="Calibri"/>
        <family val="2"/>
      </rPr>
      <t>Outdoor lighting attached to multifamily buildings and controlled from the inside of a dwelling unit are included in Table H. and are not included here. All other multifamily outdoor lighting is included here.</t>
    </r>
  </si>
  <si>
    <r>
      <t>Results in this table are automatically calculated from data input and calculations in Tables G through</t>
    </r>
    <r>
      <rPr>
        <i/>
        <sz val="10"/>
        <rFont val="Calibri"/>
        <family val="2"/>
      </rPr>
      <t xml:space="preserve"> N.</t>
    </r>
    <r>
      <rPr>
        <i/>
        <sz val="10"/>
        <color rgb="FF231F20"/>
        <rFont val="Calibri"/>
        <family val="2"/>
      </rPr>
      <t xml:space="preserve">
Note: If any cell on this table says "COMPLIES with Exceptional Conditions" refer to Table D. Exceptional Conditions for guidance or see the applicable Table referenced below.</t>
    </r>
    <r>
      <rPr>
        <b/>
        <sz val="10"/>
        <color rgb="FF00B050"/>
        <rFont val="Calibri"/>
        <family val="2"/>
      </rPr>
      <t xml:space="preserve"> </t>
    </r>
  </si>
  <si>
    <r>
      <t xml:space="preserve">CA Building Energy Efficiency Standards - </t>
    </r>
    <r>
      <rPr>
        <b/>
        <strike/>
        <sz val="10"/>
        <color rgb="FFFF0000"/>
        <rFont val="Calibri"/>
        <family val="2"/>
        <scheme val="minor"/>
      </rPr>
      <t>2022 Nonresidential Compliance: http://www.energy.ca.gov/title24/2022standards</t>
    </r>
  </si>
  <si>
    <t xml:space="preserve">Table O </t>
  </si>
  <si>
    <t xml:space="preserve">Table P </t>
  </si>
  <si>
    <t>NRCC-LTO-E</t>
  </si>
  <si>
    <r>
      <t>NRCC-LTO-E</t>
    </r>
    <r>
      <rPr>
        <sz val="8"/>
        <color rgb="FFFF0000"/>
        <rFont val="Calibri"/>
        <family val="2"/>
        <scheme val="minor"/>
      </rPr>
      <t xml:space="preserve"> </t>
    </r>
    <r>
      <rPr>
        <strike/>
        <sz val="8"/>
        <color rgb="FFFF0000"/>
        <rFont val="Calibri"/>
        <family val="2"/>
        <scheme val="minor"/>
      </rPr>
      <t>(Created M/YY)</t>
    </r>
  </si>
  <si>
    <r>
      <t xml:space="preserve">NRCC-LTO-E </t>
    </r>
    <r>
      <rPr>
        <b/>
        <strike/>
        <sz val="8"/>
        <color rgb="FFFF0000"/>
        <rFont val="Calibri"/>
        <family val="2"/>
        <scheme val="minor"/>
      </rPr>
      <t>(Created M/YY)</t>
    </r>
  </si>
  <si>
    <r>
      <rPr>
        <u/>
        <sz val="9"/>
        <rFont val="Calibri"/>
        <family val="2"/>
        <scheme val="minor"/>
      </rPr>
      <t xml:space="preserve">Cutoff Req. </t>
    </r>
    <r>
      <rPr>
        <sz val="9"/>
        <rFont val="Calibri"/>
        <family val="2"/>
        <scheme val="minor"/>
      </rPr>
      <t>≥ 6,200 initial lumen output
§130.2(b)</t>
    </r>
    <r>
      <rPr>
        <b/>
        <sz val="9"/>
        <color rgb="FFFF0000"/>
        <rFont val="Calibri"/>
        <family val="2"/>
        <scheme val="minor"/>
      </rPr>
      <t>/§160.5(c)1</t>
    </r>
    <r>
      <rPr>
        <vertAlign val="superscript"/>
        <sz val="9"/>
        <rFont val="Calibri"/>
        <family val="2"/>
        <scheme val="minor"/>
      </rPr>
      <t>4</t>
    </r>
  </si>
  <si>
    <r>
      <rPr>
        <i/>
        <sz val="10"/>
        <rFont val="Calibri"/>
        <family val="2"/>
        <scheme val="minor"/>
      </rPr>
      <t>sum of col09+(IWA</t>
    </r>
    <r>
      <rPr>
        <b/>
        <i/>
        <sz val="10"/>
        <color rgb="FFFF0000"/>
        <rFont val="Calibri"/>
        <family val="2"/>
        <scheme val="minor"/>
      </rPr>
      <t>*instances)</t>
    </r>
  </si>
  <si>
    <r>
      <t>Instances of Initial Wattage Allowance (LZ 0 only)</t>
    </r>
    <r>
      <rPr>
        <b/>
        <vertAlign val="superscript"/>
        <sz val="11"/>
        <color rgb="FFFF0000"/>
        <rFont val="Calibri"/>
        <family val="2"/>
        <scheme val="minor"/>
      </rPr>
      <t>1</t>
    </r>
  </si>
  <si>
    <r>
      <t>sum of col05 (AWA) + (G22 (IWA)</t>
    </r>
    <r>
      <rPr>
        <i/>
        <sz val="10"/>
        <color rgb="FFFF0000"/>
        <rFont val="Calibri"/>
        <family val="2"/>
        <scheme val="minor"/>
      </rPr>
      <t>*instances)</t>
    </r>
  </si>
  <si>
    <r>
      <rPr>
        <b/>
        <i/>
        <vertAlign val="superscript"/>
        <sz val="10"/>
        <color rgb="FFFF0000"/>
        <rFont val="Calibri"/>
        <family val="2"/>
        <scheme val="minor"/>
      </rPr>
      <t>1</t>
    </r>
    <r>
      <rPr>
        <b/>
        <i/>
        <sz val="10"/>
        <color rgb="FFFF0000"/>
        <rFont val="Calibri"/>
        <family val="2"/>
        <scheme val="minor"/>
      </rPr>
      <t xml:space="preserve"> FOOTNOTES: Number of entrances to parking areas, trail heads, fee payment kiosks, outhouses and toilet facilities on site where lighting is within project scope. </t>
    </r>
  </si>
  <si>
    <r>
      <rPr>
        <b/>
        <vertAlign val="superscript"/>
        <sz val="10"/>
        <color rgb="FFFF0000"/>
        <rFont val="Calibri"/>
        <family val="2"/>
        <scheme val="minor"/>
      </rPr>
      <t>1</t>
    </r>
    <r>
      <rPr>
        <b/>
        <sz val="10"/>
        <color rgb="FFFF0000"/>
        <rFont val="Calibri"/>
        <family val="2"/>
        <scheme val="minor"/>
      </rPr>
      <t xml:space="preserve"> FOOTNOTES: Number of entrances to parking areas, trail heads, fee payment kiosks, outhouses and toilet facilities on site where lighting is within project scope. </t>
    </r>
  </si>
  <si>
    <t>Multifamily/ MF Mixed-use &gt;= 4 stories
(includes dormitory, senior living)</t>
  </si>
  <si>
    <r>
      <t xml:space="preserve">Multifamily/ MF Mixed-use </t>
    </r>
    <r>
      <rPr>
        <sz val="10"/>
        <color rgb="FF0070C0"/>
        <rFont val="Calibri"/>
        <family val="2"/>
        <scheme val="minor"/>
      </rPr>
      <t>&lt;</t>
    </r>
    <r>
      <rPr>
        <sz val="10"/>
        <color rgb="FFFF0000"/>
        <rFont val="Calibri"/>
        <family val="2"/>
        <scheme val="minor"/>
      </rPr>
      <t xml:space="preserve"> 4 stories
(includes dormitory, senior living)</t>
    </r>
  </si>
  <si>
    <r>
      <rPr>
        <sz val="10"/>
        <color rgb="FF0070C0"/>
        <rFont val="Calibri"/>
        <family val="2"/>
        <scheme val="minor"/>
      </rPr>
      <t>LM</t>
    </r>
    <r>
      <rPr>
        <sz val="10"/>
        <color theme="1"/>
        <rFont val="Calibri"/>
        <family val="2"/>
        <scheme val="minor"/>
      </rPr>
      <t>CI-LTO</t>
    </r>
    <r>
      <rPr>
        <b/>
        <strike/>
        <sz val="10"/>
        <color rgb="FFFF0000"/>
        <rFont val="Calibri"/>
        <family val="2"/>
        <scheme val="minor"/>
      </rPr>
      <t>-01</t>
    </r>
    <r>
      <rPr>
        <sz val="10"/>
        <color theme="1"/>
        <rFont val="Calibri"/>
        <family val="2"/>
        <scheme val="minor"/>
      </rPr>
      <t>-E - Must be submitted for all buildings.</t>
    </r>
  </si>
  <si>
    <r>
      <rPr>
        <sz val="10"/>
        <color rgb="FF0070C0"/>
        <rFont val="Calibri"/>
        <family val="2"/>
        <scheme val="minor"/>
      </rPr>
      <t>LM</t>
    </r>
    <r>
      <rPr>
        <sz val="10"/>
        <color theme="1"/>
        <rFont val="Calibri"/>
        <family val="2"/>
        <scheme val="minor"/>
      </rPr>
      <t xml:space="preserve">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</si>
  <si>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May need to circle back if more LMCA forms are added for 2022</t>
  </si>
  <si>
    <t>May need to circle back if more NRCA forms are added for 2022</t>
  </si>
  <si>
    <t xml:space="preserve">The note about making changes in the NRCI/NRCA tables need to show up. </t>
  </si>
  <si>
    <r>
      <t>This table includes areas using the allowance calculations per §140.7</t>
    </r>
    <r>
      <rPr>
        <b/>
        <i/>
        <sz val="10"/>
        <color rgb="FFFF0000"/>
        <rFont val="Calibri"/>
        <family val="2"/>
        <scheme val="minor"/>
      </rPr>
      <t>/§170.2(e)6</t>
    </r>
    <r>
      <rPr>
        <i/>
        <sz val="10"/>
        <color theme="1"/>
        <rFont val="Calibri"/>
        <family val="2"/>
        <scheme val="minor"/>
      </rPr>
      <t>.  General Hardscape Allowance is per Table 140.7-A</t>
    </r>
    <r>
      <rPr>
        <b/>
        <i/>
        <sz val="10"/>
        <color rgb="FFFF0000"/>
        <rFont val="Calibri"/>
        <family val="2"/>
        <scheme val="minor"/>
      </rPr>
      <t>/ Table 170.2-R</t>
    </r>
    <r>
      <rPr>
        <i/>
        <sz val="10"/>
        <color theme="1"/>
        <rFont val="Calibri"/>
        <family val="2"/>
        <scheme val="minor"/>
      </rPr>
      <t xml:space="preserve"> while "Use it or lose it" Allowances are per Table 140.7-B</t>
    </r>
    <r>
      <rPr>
        <b/>
        <i/>
        <sz val="10"/>
        <color rgb="FFFF0000"/>
        <rFont val="Calibri"/>
        <family val="2"/>
        <scheme val="minor"/>
      </rPr>
      <t>/Table 170.2-S</t>
    </r>
    <r>
      <rPr>
        <i/>
        <sz val="10"/>
        <color theme="1"/>
        <rFont val="Calibri"/>
        <family val="2"/>
        <scheme val="minor"/>
      </rPr>
      <t>. Luminaires that qualify for one of the "Use it or lose it" allowances shall not qualify for another "Use it or lose it" allowance.</t>
    </r>
    <r>
      <rPr>
        <b/>
        <sz val="10"/>
        <color rgb="FF00B050"/>
        <rFont val="Calibri"/>
        <family val="2"/>
        <scheme val="minor"/>
      </rPr>
      <t xml:space="preserve"> </t>
    </r>
    <r>
      <rPr>
        <i/>
        <sz val="10"/>
        <color theme="1"/>
        <rFont val="Calibri"/>
        <family val="2"/>
        <scheme val="minor"/>
      </rPr>
      <t xml:space="preserve">
</t>
    </r>
    <r>
      <rPr>
        <b/>
        <i/>
        <sz val="10"/>
        <color rgb="FFFF0000"/>
        <rFont val="Calibri"/>
        <family val="2"/>
        <scheme val="minor"/>
      </rPr>
      <t>Outdoor lighting attached to multifamily buildings and controlled from the inside of a dwelling unit are included in Table H. and are not included here. All other multifamily outdoor lighting is included here.</t>
    </r>
  </si>
  <si>
    <r>
      <t>This table includes all existing luminaires being replaced to establish the lighting power allowance per §141.0(b)2Lii</t>
    </r>
    <r>
      <rPr>
        <b/>
        <i/>
        <sz val="9"/>
        <color rgb="FFFF0000"/>
        <rFont val="Calibri"/>
        <family val="2"/>
      </rPr>
      <t>,</t>
    </r>
    <r>
      <rPr>
        <i/>
        <sz val="9"/>
        <rFont val="Calibri"/>
        <family val="2"/>
      </rPr>
      <t xml:space="preserve"> </t>
    </r>
    <r>
      <rPr>
        <b/>
        <i/>
        <strike/>
        <sz val="9"/>
        <color rgb="FFFF0000"/>
        <rFont val="Calibri"/>
        <family val="2"/>
      </rPr>
      <t xml:space="preserve">or </t>
    </r>
    <r>
      <rPr>
        <i/>
        <sz val="9"/>
        <rFont val="Calibri"/>
        <family val="2"/>
      </rPr>
      <t xml:space="preserve">§141.0(b)2Liii </t>
    </r>
    <r>
      <rPr>
        <b/>
        <i/>
        <sz val="9"/>
        <color rgb="FFFF0000"/>
        <rFont val="Calibri"/>
        <family val="2"/>
      </rPr>
      <t>or §180.2(b)4Bvb and §180.2(b)4Bvc</t>
    </r>
    <r>
      <rPr>
        <i/>
        <sz val="9"/>
        <rFont val="Calibri"/>
        <family val="2"/>
      </rPr>
      <t xml:space="preserve">.  Existing luminaires that are remaining or being moved should NOT be included.
</t>
    </r>
    <r>
      <rPr>
        <b/>
        <i/>
        <sz val="9"/>
        <color rgb="FFFF0000"/>
        <rFont val="Calibri"/>
        <family val="2"/>
      </rPr>
      <t>Outdoor lighting attached to multifamily buildings and controlled from the inside of a dwelling unit are included in Table H. and are not included here. All other multifamily outdoor lighting is included here.</t>
    </r>
  </si>
  <si>
    <r>
      <t xml:space="preserve">This document is used to demonstrate compliance with requirements in §110.9, §130.0, §130.2, §140.7, and §141.0(b)2L for outdoor lighting scopes using the prescriptive path </t>
    </r>
    <r>
      <rPr>
        <b/>
        <i/>
        <sz val="10"/>
        <color rgb="FFFF0000"/>
        <rFont val="Calibri"/>
        <family val="2"/>
      </rPr>
      <t xml:space="preserve">for nonresidential and hotel/motel occupancies </t>
    </r>
    <r>
      <rPr>
        <b/>
        <i/>
        <sz val="10"/>
        <color rgb="FF0070C0"/>
        <rFont val="Calibri"/>
        <family val="2"/>
      </rPr>
      <t>in low-rise multifamily mixed-use buildings</t>
    </r>
    <r>
      <rPr>
        <i/>
        <sz val="10"/>
        <rFont val="Calibri"/>
        <family val="2"/>
      </rPr>
      <t xml:space="preserve">. </t>
    </r>
    <r>
      <rPr>
        <b/>
        <i/>
        <sz val="10"/>
        <color rgb="FFFF0000"/>
        <rFont val="Calibri"/>
        <family val="2"/>
      </rPr>
      <t xml:space="preserve">It is also used to document compliance with requirements in §160.5, §170.2(e)6, §180.1(a) and §180.2(b)4Bv for outdoor lighting scopes using the prescriptive path for </t>
    </r>
    <r>
      <rPr>
        <b/>
        <i/>
        <sz val="10"/>
        <color rgb="FF0070C0"/>
        <rFont val="Calibri"/>
        <family val="2"/>
      </rPr>
      <t>low-rise</t>
    </r>
    <r>
      <rPr>
        <b/>
        <i/>
        <sz val="10"/>
        <color rgb="FFFF0000"/>
        <rFont val="Calibri"/>
        <family val="2"/>
      </rPr>
      <t xml:space="preserve"> multifamily </t>
    </r>
    <r>
      <rPr>
        <b/>
        <i/>
        <strike/>
        <sz val="10"/>
        <color rgb="FF0070C0"/>
        <rFont val="Calibri"/>
        <family val="2"/>
      </rPr>
      <t>and mixed-use</t>
    </r>
    <r>
      <rPr>
        <b/>
        <i/>
        <sz val="10"/>
        <color rgb="FFFF0000"/>
        <rFont val="Calibri"/>
        <family val="2"/>
      </rPr>
      <t xml:space="preserve"> occupancies. Multifamily includes dormitory and senior living facilities.</t>
    </r>
  </si>
  <si>
    <t>smaller of J05 or total design watts for area (J09)</t>
  </si>
  <si>
    <t>smaller of M05 or total design watts for area (M09)</t>
  </si>
  <si>
    <r>
      <rPr>
        <b/>
        <sz val="8"/>
        <color rgb="FF0070C0"/>
        <rFont val="Calibri"/>
        <family val="2"/>
        <scheme val="minor"/>
      </rPr>
      <t>LM</t>
    </r>
    <r>
      <rPr>
        <sz val="8"/>
        <rFont val="Calibri"/>
        <family val="2"/>
        <scheme val="minor"/>
      </rPr>
      <t>CC-LTO</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M/YY)</t>
    </r>
  </si>
  <si>
    <r>
      <rPr>
        <b/>
        <sz val="11"/>
        <color rgb="FF0070C0"/>
        <rFont val="Calibri"/>
        <family val="2"/>
        <scheme val="minor"/>
      </rPr>
      <t>LM</t>
    </r>
    <r>
      <rPr>
        <sz val="11"/>
        <rFont val="Calibri"/>
        <family val="2"/>
        <scheme val="minor"/>
      </rPr>
      <t>CC-LTO</t>
    </r>
    <r>
      <rPr>
        <b/>
        <sz val="11"/>
        <color rgb="FF0070C0"/>
        <rFont val="Calibri"/>
        <family val="2"/>
        <scheme val="minor"/>
      </rPr>
      <t>-01</t>
    </r>
    <r>
      <rPr>
        <sz val="11"/>
        <rFont val="Calibri"/>
        <family val="2"/>
        <scheme val="minor"/>
      </rPr>
      <t>-E</t>
    </r>
  </si>
  <si>
    <r>
      <t>NA: Façade, monument, art, statue, bridge</t>
    </r>
    <r>
      <rPr>
        <b/>
        <sz val="10"/>
        <rFont val="Calibri"/>
        <family val="2"/>
        <scheme val="minor"/>
      </rPr>
      <t>, public art</t>
    </r>
  </si>
  <si>
    <r>
      <t xml:space="preserve">Manual + Photocontrol </t>
    </r>
    <r>
      <rPr>
        <b/>
        <sz val="10"/>
        <color rgb="FF000000"/>
        <rFont val="Calibri"/>
        <family val="2"/>
        <scheme val="minor"/>
      </rPr>
      <t>&amp; motion sensor</t>
    </r>
  </si>
  <si>
    <r>
      <t xml:space="preserve">Manual + </t>
    </r>
    <r>
      <rPr>
        <b/>
        <sz val="10"/>
        <color rgb="FF000000"/>
        <rFont val="Calibri"/>
        <family val="2"/>
        <scheme val="minor"/>
      </rPr>
      <t>Photocell &amp;</t>
    </r>
    <r>
      <rPr>
        <sz val="10"/>
        <color rgb="FF000000"/>
        <rFont val="Calibri"/>
        <family val="2"/>
        <scheme val="minor"/>
      </rPr>
      <t xml:space="preserve"> Auto Time-swtich</t>
    </r>
  </si>
  <si>
    <t>3.15.22</t>
  </si>
  <si>
    <t>Date</t>
  </si>
  <si>
    <t>Table</t>
  </si>
  <si>
    <t>Color</t>
  </si>
  <si>
    <t>F, H</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</si>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</sst>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3">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b/>
      <sz val="12"/>
      <name val="Arial"/>
      <family val="2"/>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b/>
      <sz val="10"/>
      <color rgb="FFFF0000"/>
      <name val="Calibri"/>
      <family val="2"/>
      <scheme val="minor"/>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8"/>
      <name val="Calibri"/>
      <family val="2"/>
      <scheme val="minor"/>
    </font>
    <font>
      <b/>
      <sz val="10"/>
      <color rgb="FFFF0000"/>
      <name val="Calibri"/>
      <family val="2"/>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vertAlign val="superscript"/>
      <sz val="10"/>
      <color rgb="FF000000"/>
      <name val="Calibri"/>
      <family val="2"/>
      <scheme val="minor"/>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i/>
      <u/>
      <sz val="10"/>
      <color rgb="FF0070C0"/>
      <name val="Calibri"/>
      <family val="2"/>
    </font>
    <font>
      <u/>
      <sz val="10"/>
      <color theme="1"/>
      <name val="Calibri"/>
      <family val="2"/>
      <scheme val="minor"/>
    </font>
    <font>
      <b/>
      <sz val="10"/>
      <color rgb="FF231F20"/>
      <name val="Calibri"/>
      <family val="2"/>
    </font>
    <font>
      <vertAlign val="superscript"/>
      <sz val="10"/>
      <color rgb="FF231F20"/>
      <name val="Calibri"/>
      <family val="2"/>
    </font>
    <font>
      <vertAlign val="superscript"/>
      <sz val="10"/>
      <name val="Calibri"/>
      <family val="2"/>
    </font>
    <font>
      <sz val="12"/>
      <name val="Calibri Light"/>
      <family val="1"/>
      <scheme val="major"/>
    </font>
    <font>
      <sz val="9"/>
      <color theme="1"/>
      <name val="Calibri"/>
      <family val="2"/>
    </font>
    <font>
      <sz val="9"/>
      <color theme="1"/>
      <name val="Wingdings"/>
      <charset val="2"/>
    </font>
    <font>
      <vertAlign val="superscript"/>
      <sz val="11"/>
      <color rgb="FF231F20"/>
      <name val="Calibri"/>
      <family val="2"/>
    </font>
    <font>
      <i/>
      <vertAlign val="superscript"/>
      <sz val="9"/>
      <color theme="1"/>
      <name val="Calibri"/>
      <family val="2"/>
      <scheme val="minor"/>
    </font>
    <font>
      <b/>
      <sz val="10"/>
      <color rgb="FF000000"/>
      <name val="Calibri"/>
      <family val="2"/>
      <scheme val="minor"/>
    </font>
    <font>
      <i/>
      <vertAlign val="superscript"/>
      <sz val="10"/>
      <color theme="1"/>
      <name val="Calibri"/>
      <family val="2"/>
      <scheme val="minor"/>
    </font>
    <font>
      <sz val="11"/>
      <color theme="1"/>
      <name val="AvenirNext LT Pro Regular"/>
      <family val="2"/>
    </font>
    <font>
      <i/>
      <vertAlign val="superscript"/>
      <sz val="9"/>
      <name val="Calibri"/>
      <family val="2"/>
    </font>
    <font>
      <u/>
      <sz val="11"/>
      <name val="Calibri"/>
      <family val="2"/>
    </font>
    <font>
      <b/>
      <sz val="11"/>
      <color rgb="FF000000"/>
      <name val="Calibri"/>
      <family val="2"/>
    </font>
    <font>
      <b/>
      <sz val="10"/>
      <color rgb="FF000000"/>
      <name val="Calibri"/>
      <family val="2"/>
    </font>
    <font>
      <vertAlign val="superscript"/>
      <sz val="9"/>
      <name val="Calibri"/>
      <family val="2"/>
    </font>
    <font>
      <vertAlign val="superscript"/>
      <sz val="9"/>
      <name val="Calibri"/>
      <family val="2"/>
      <scheme val="minor"/>
    </font>
    <font>
      <sz val="9"/>
      <color rgb="FF000000"/>
      <name val="Calibri"/>
      <family val="2"/>
    </font>
    <font>
      <strike/>
      <sz val="9"/>
      <name val="Calibri"/>
      <family val="2"/>
      <scheme val="minor"/>
    </font>
    <font>
      <u/>
      <sz val="9"/>
      <name val="Calibri"/>
      <family val="2"/>
      <scheme val="minor"/>
    </font>
    <font>
      <b/>
      <u/>
      <sz val="9"/>
      <name val="Calibri"/>
      <family val="2"/>
      <scheme val="minor"/>
    </font>
    <font>
      <b/>
      <vertAlign val="superscript"/>
      <sz val="9"/>
      <name val="Calibri"/>
      <family val="2"/>
      <scheme val="minor"/>
    </font>
    <font>
      <i/>
      <u/>
      <sz val="10"/>
      <color theme="1"/>
      <name val="Calibri"/>
      <family val="2"/>
      <scheme val="minor"/>
    </font>
    <font>
      <b/>
      <strike/>
      <sz val="9"/>
      <color theme="1"/>
      <name val="Calibri"/>
      <family val="2"/>
      <scheme val="minor"/>
    </font>
    <font>
      <sz val="10"/>
      <color rgb="FFFF0000"/>
      <name val="Times New Roman"/>
      <family val="1"/>
    </font>
    <font>
      <i/>
      <sz val="9"/>
      <color rgb="FF000000"/>
      <name val="Calibri"/>
      <family val="2"/>
      <scheme val="minor"/>
    </font>
    <font>
      <i/>
      <vertAlign val="superscript"/>
      <sz val="9"/>
      <color rgb="FF000000"/>
      <name val="Calibri"/>
      <family val="2"/>
      <scheme val="minor"/>
    </font>
    <font>
      <b/>
      <sz val="10"/>
      <color rgb="FF00B050"/>
      <name val="Calibri"/>
      <family val="2"/>
      <scheme val="minor"/>
    </font>
    <font>
      <b/>
      <sz val="10"/>
      <color rgb="FF00B050"/>
      <name val="Calibri"/>
      <family val="2"/>
    </font>
    <font>
      <b/>
      <sz val="9"/>
      <color rgb="FF00B050"/>
      <name val="Calibri"/>
      <family val="2"/>
    </font>
    <font>
      <sz val="10"/>
      <name val="Calibri Light"/>
      <family val="2"/>
      <scheme val="major"/>
    </font>
    <font>
      <b/>
      <i/>
      <sz val="10"/>
      <name val="Calibri"/>
      <family val="2"/>
      <scheme val="minor"/>
    </font>
    <font>
      <b/>
      <i/>
      <sz val="11"/>
      <name val="Calibri"/>
      <family val="2"/>
      <scheme val="minor"/>
    </font>
    <font>
      <i/>
      <sz val="9"/>
      <name val="Calibri"/>
      <family val="2"/>
      <scheme val="minor"/>
    </font>
    <font>
      <b/>
      <i/>
      <u/>
      <sz val="11"/>
      <name val="Calibri"/>
      <family val="2"/>
      <scheme val="minor"/>
    </font>
    <font>
      <sz val="10"/>
      <name val="Times New Roman"/>
      <family val="1"/>
    </font>
    <font>
      <i/>
      <sz val="11"/>
      <name val="Calibri"/>
      <family val="2"/>
    </font>
    <font>
      <sz val="11"/>
      <name val="Wingdings"/>
      <charset val="2"/>
    </font>
    <font>
      <b/>
      <i/>
      <sz val="8"/>
      <name val="Calibri"/>
      <family val="2"/>
    </font>
    <font>
      <sz val="12"/>
      <name val="Calibri"/>
      <family val="2"/>
      <scheme val="minor"/>
    </font>
    <font>
      <b/>
      <strike/>
      <sz val="9"/>
      <name val="Calibri"/>
      <family val="2"/>
      <scheme val="minor"/>
    </font>
    <font>
      <i/>
      <sz val="10"/>
      <name val="Calibri"/>
      <family val="2"/>
      <scheme val="minor"/>
    </font>
    <font>
      <i/>
      <vertAlign val="superscript"/>
      <sz val="10"/>
      <name val="Calibri"/>
      <family val="2"/>
      <scheme val="minor"/>
    </font>
    <font>
      <strike/>
      <sz val="11"/>
      <name val="Calibri"/>
      <family val="2"/>
      <scheme val="minor"/>
    </font>
    <font>
      <vertAlign val="superscript"/>
      <sz val="11"/>
      <name val="Calibri"/>
      <family val="2"/>
      <scheme val="minor"/>
    </font>
    <font>
      <i/>
      <u/>
      <sz val="10"/>
      <name val="Calibri"/>
      <family val="2"/>
      <scheme val="minor"/>
    </font>
    <font>
      <i/>
      <vertAlign val="superscript"/>
      <sz val="11"/>
      <name val="Calibri"/>
      <family val="2"/>
      <scheme val="minor"/>
    </font>
    <font>
      <b/>
      <sz val="11"/>
      <color rgb="FFFF0000"/>
      <name val="Calibri"/>
      <family val="2"/>
      <scheme val="minor"/>
    </font>
    <font>
      <b/>
      <strike/>
      <sz val="11"/>
      <color rgb="FFFF0000"/>
      <name val="Calibri"/>
      <family val="2"/>
      <scheme val="minor"/>
    </font>
    <font>
      <b/>
      <i/>
      <sz val="10"/>
      <color theme="1"/>
      <name val="Calibri"/>
      <family val="2"/>
      <scheme val="minor"/>
    </font>
    <font>
      <i/>
      <sz val="10"/>
      <color rgb="FFFF0000"/>
      <name val="Calibri"/>
      <family val="2"/>
      <scheme val="minor"/>
    </font>
    <font>
      <b/>
      <i/>
      <strike/>
      <sz val="10"/>
      <color rgb="FFFF0000"/>
      <name val="Calibri"/>
      <family val="2"/>
      <scheme val="minor"/>
    </font>
    <font>
      <b/>
      <i/>
      <sz val="10"/>
      <color rgb="FFFF0000"/>
      <name val="Calibri"/>
      <family val="2"/>
      <scheme val="minor"/>
    </font>
    <font>
      <b/>
      <strike/>
      <sz val="10"/>
      <color rgb="FFFF0000"/>
      <name val="Calibri"/>
      <family val="2"/>
      <scheme val="minor"/>
    </font>
    <font>
      <b/>
      <i/>
      <sz val="10"/>
      <color rgb="FFFF0000"/>
      <name val="Calibri"/>
      <family val="2"/>
    </font>
    <font>
      <strike/>
      <sz val="10"/>
      <color rgb="FFFF0000"/>
      <name val="Calibri"/>
      <family val="2"/>
      <scheme val="minor"/>
    </font>
    <font>
      <b/>
      <sz val="11"/>
      <color rgb="FFFF0000"/>
      <name val="Calibri"/>
      <family val="2"/>
    </font>
    <font>
      <b/>
      <strike/>
      <sz val="11"/>
      <color rgb="FFFF0000"/>
      <name val="Calibri"/>
      <family val="2"/>
    </font>
    <font>
      <b/>
      <sz val="9"/>
      <color indexed="10"/>
      <name val="Tahoma"/>
      <family val="2"/>
    </font>
    <font>
      <b/>
      <strike/>
      <sz val="9"/>
      <color indexed="10"/>
      <name val="Tahoma"/>
      <family val="2"/>
    </font>
    <font>
      <b/>
      <strike/>
      <sz val="12"/>
      <color rgb="FFFF0000"/>
      <name val="Calibri"/>
      <family val="2"/>
      <scheme val="minor"/>
    </font>
    <font>
      <b/>
      <strike/>
      <sz val="12"/>
      <color rgb="FFFF0000"/>
      <name val="Calibri Light"/>
      <family val="1"/>
      <scheme val="major"/>
    </font>
    <font>
      <b/>
      <i/>
      <strike/>
      <sz val="9"/>
      <color rgb="FFFF0000"/>
      <name val="Calibri"/>
      <family val="2"/>
      <scheme val="minor"/>
    </font>
    <font>
      <b/>
      <strike/>
      <sz val="8"/>
      <color rgb="FFFF0000"/>
      <name val="Calibri"/>
      <family val="2"/>
      <scheme val="minor"/>
    </font>
    <font>
      <strike/>
      <sz val="11"/>
      <color rgb="FFFF0000"/>
      <name val="Calibri"/>
      <family val="2"/>
      <scheme val="minor"/>
    </font>
    <font>
      <strike/>
      <sz val="10"/>
      <color rgb="FFFF0000"/>
      <name val="Calibri"/>
      <family val="2"/>
    </font>
    <font>
      <vertAlign val="superscript"/>
      <sz val="10"/>
      <name val="Calibri"/>
      <family val="2"/>
      <scheme val="minor"/>
    </font>
    <font>
      <b/>
      <strike/>
      <sz val="10"/>
      <color rgb="FFFF0000"/>
      <name val="Calibri"/>
      <family val="2"/>
    </font>
    <font>
      <b/>
      <i/>
      <strike/>
      <sz val="11"/>
      <color rgb="FFFF0000"/>
      <name val="Calibri"/>
      <family val="2"/>
      <scheme val="minor"/>
    </font>
    <font>
      <b/>
      <sz val="9"/>
      <color rgb="FFFF0000"/>
      <name val="Calibri"/>
      <family val="2"/>
      <scheme val="minor"/>
    </font>
    <font>
      <b/>
      <i/>
      <sz val="9"/>
      <color rgb="FFFF0000"/>
      <name val="Calibri"/>
      <family val="2"/>
    </font>
    <font>
      <b/>
      <sz val="9"/>
      <color rgb="FFFF0000"/>
      <name val="Calibri"/>
      <family val="2"/>
    </font>
    <font>
      <b/>
      <i/>
      <strike/>
      <sz val="9"/>
      <color rgb="FFFF0000"/>
      <name val="Calibri"/>
      <family val="2"/>
    </font>
    <font>
      <strike/>
      <sz val="16"/>
      <color rgb="FFFF0000"/>
      <name val="Arial"/>
      <family val="2"/>
    </font>
    <font>
      <strike/>
      <sz val="10"/>
      <color rgb="FFFF0000"/>
      <name val="Wingdings"/>
      <charset val="2"/>
    </font>
    <font>
      <strike/>
      <sz val="9"/>
      <color indexed="10"/>
      <name val="Tahoma"/>
      <family val="2"/>
    </font>
    <font>
      <b/>
      <sz val="11"/>
      <color rgb="FFFF0000"/>
      <name val="Arial"/>
      <family val="2"/>
    </font>
    <font>
      <b/>
      <strike/>
      <sz val="11"/>
      <color rgb="FFFF0000"/>
      <name val="Arial"/>
      <family val="2"/>
    </font>
    <font>
      <i/>
      <sz val="8"/>
      <color rgb="FFFF0000"/>
      <name val="Calibri"/>
      <family val="2"/>
    </font>
    <font>
      <b/>
      <sz val="10"/>
      <color rgb="FFFF0000"/>
      <name val="Times New Roman"/>
      <family val="1"/>
    </font>
    <font>
      <sz val="10"/>
      <color rgb="FFFF0000"/>
      <name val="Wingdings"/>
      <charset val="2"/>
    </font>
    <font>
      <sz val="9"/>
      <color indexed="10"/>
      <name val="Tahoma"/>
      <family val="2"/>
    </font>
    <font>
      <b/>
      <i/>
      <strike/>
      <u/>
      <sz val="10"/>
      <color rgb="FFFF0000"/>
      <name val="Calibri"/>
      <family val="2"/>
    </font>
    <font>
      <strike/>
      <sz val="8"/>
      <color rgb="FFFF0000"/>
      <name val="Calibri"/>
      <family val="2"/>
      <scheme val="minor"/>
    </font>
    <font>
      <b/>
      <vertAlign val="superscript"/>
      <sz val="11"/>
      <color rgb="FFFF0000"/>
      <name val="Calibri"/>
      <family val="2"/>
      <scheme val="minor"/>
    </font>
    <font>
      <b/>
      <i/>
      <vertAlign val="superscript"/>
      <sz val="10"/>
      <color rgb="FFFF0000"/>
      <name val="Calibri"/>
      <family val="2"/>
      <scheme val="minor"/>
    </font>
    <font>
      <b/>
      <vertAlign val="superscript"/>
      <sz val="10"/>
      <color rgb="FFFF0000"/>
      <name val="Calibri"/>
      <family val="2"/>
      <scheme val="minor"/>
    </font>
    <font>
      <b/>
      <sz val="8"/>
      <color rgb="FF0070C0"/>
      <name val="Calibri"/>
      <family val="2"/>
      <scheme val="minor"/>
    </font>
    <font>
      <b/>
      <sz val="11"/>
      <color rgb="FF0070C0"/>
      <name val="Calibri"/>
      <family val="2"/>
      <scheme val="minor"/>
    </font>
    <font>
      <sz val="10"/>
      <color rgb="FF0070C0"/>
      <name val="Calibri"/>
      <family val="2"/>
      <scheme val="minor"/>
    </font>
    <font>
      <b/>
      <i/>
      <sz val="10"/>
      <color rgb="FF0070C0"/>
      <name val="Calibri"/>
      <family val="2"/>
    </font>
    <font>
      <b/>
      <i/>
      <strike/>
      <sz val="10"/>
      <color rgb="FF0070C0"/>
      <name val="Calibri"/>
      <family val="2"/>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rgb="FFCC99FF"/>
        <bgColor indexed="64"/>
      </patternFill>
    </fill>
    <fill>
      <patternFill patternType="solid">
        <fgColor rgb="FFFF00FF"/>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s>
  <cellStyleXfs count="15">
    <xf numFmtId="0" fontId="0" fillId="0" borderId="0"/>
    <xf numFmtId="0" fontId="30" fillId="0" borderId="0"/>
    <xf numFmtId="0" fontId="34" fillId="0" borderId="0"/>
    <xf numFmtId="0" fontId="36" fillId="0" borderId="0"/>
    <xf numFmtId="0" fontId="10" fillId="0" borderId="0"/>
    <xf numFmtId="0" fontId="8" fillId="0" borderId="0"/>
    <xf numFmtId="0" fontId="56" fillId="0" borderId="0"/>
    <xf numFmtId="0" fontId="7" fillId="0" borderId="0"/>
    <xf numFmtId="0" fontId="30" fillId="0" borderId="0"/>
    <xf numFmtId="0" fontId="7" fillId="0" borderId="0"/>
    <xf numFmtId="0" fontId="5" fillId="0" borderId="0"/>
    <xf numFmtId="0" fontId="5" fillId="0" borderId="0"/>
    <xf numFmtId="0" fontId="30" fillId="0" borderId="0"/>
    <xf numFmtId="0" fontId="5" fillId="0" borderId="0"/>
    <xf numFmtId="0" fontId="5" fillId="0" borderId="0"/>
  </cellStyleXfs>
  <cellXfs count="764">
    <xf numFmtId="0" fontId="0" fillId="0" borderId="0" xfId="0"/>
    <xf numFmtId="0" fontId="13" fillId="0" borderId="0" xfId="0" applyFont="1" applyFill="1" applyBorder="1" applyAlignment="1">
      <alignment horizontal="left" vertical="top"/>
    </xf>
    <xf numFmtId="0" fontId="16" fillId="0" borderId="0" xfId="0" applyFont="1"/>
    <xf numFmtId="0" fontId="18" fillId="0" borderId="0" xfId="0" applyFont="1" applyFill="1" applyBorder="1" applyAlignment="1">
      <alignment horizontal="left" vertical="top" wrapText="1"/>
    </xf>
    <xf numFmtId="0" fontId="16" fillId="0" borderId="0" xfId="0" applyFont="1" applyFill="1" applyBorder="1" applyAlignment="1">
      <alignment horizontal="center" vertical="center"/>
    </xf>
    <xf numFmtId="0" fontId="16" fillId="0" borderId="0" xfId="0" applyFont="1" applyFill="1" applyBorder="1"/>
    <xf numFmtId="0" fontId="16" fillId="0" borderId="0" xfId="0" applyFont="1" applyFill="1" applyBorder="1" applyAlignment="1">
      <alignment horizontal="center"/>
    </xf>
    <xf numFmtId="0" fontId="16" fillId="0" borderId="0" xfId="0" applyFont="1" applyFill="1" applyBorder="1" applyAlignment="1">
      <alignment horizontal="left" vertical="top" wrapText="1"/>
    </xf>
    <xf numFmtId="0" fontId="16" fillId="0" borderId="0" xfId="0" applyFont="1" applyFill="1"/>
    <xf numFmtId="0" fontId="36" fillId="0" borderId="0" xfId="3" applyFill="1" applyBorder="1" applyAlignment="1">
      <alignment horizontal="left" vertical="top"/>
    </xf>
    <xf numFmtId="0" fontId="28" fillId="0" borderId="0" xfId="3" applyFont="1" applyFill="1" applyBorder="1" applyAlignment="1">
      <alignment horizontal="left" vertical="top"/>
    </xf>
    <xf numFmtId="0" fontId="32" fillId="0" borderId="0" xfId="3" applyFont="1" applyFill="1" applyBorder="1" applyAlignment="1">
      <alignment horizontal="left" vertical="top"/>
    </xf>
    <xf numFmtId="0" fontId="36" fillId="0" borderId="0" xfId="3" applyFill="1" applyBorder="1" applyAlignment="1">
      <alignment horizontal="left" vertical="center"/>
    </xf>
    <xf numFmtId="0" fontId="36" fillId="0" borderId="0" xfId="3" applyFill="1" applyBorder="1" applyAlignment="1">
      <alignment horizontal="center" vertical="center"/>
    </xf>
    <xf numFmtId="0" fontId="30" fillId="0" borderId="0" xfId="1" applyFill="1" applyBorder="1" applyAlignment="1">
      <alignment horizontal="left" vertical="top"/>
    </xf>
    <xf numFmtId="0" fontId="30" fillId="0" borderId="0" xfId="1" applyFill="1" applyBorder="1" applyAlignment="1">
      <alignment horizontal="center" vertical="top"/>
    </xf>
    <xf numFmtId="0" fontId="38" fillId="0" borderId="0" xfId="3" applyFont="1" applyFill="1" applyBorder="1" applyAlignment="1">
      <alignment vertical="center" wrapText="1"/>
    </xf>
    <xf numFmtId="0" fontId="33" fillId="0" borderId="0" xfId="3" applyFont="1" applyFill="1" applyBorder="1" applyAlignment="1">
      <alignment horizontal="right" vertical="center" wrapText="1"/>
    </xf>
    <xf numFmtId="0" fontId="38" fillId="0" borderId="0" xfId="3" applyFont="1" applyFill="1" applyBorder="1" applyAlignment="1">
      <alignment horizontal="left" vertical="center" wrapText="1"/>
    </xf>
    <xf numFmtId="0" fontId="0" fillId="0" borderId="0" xfId="0" applyFill="1" applyBorder="1"/>
    <xf numFmtId="0" fontId="43" fillId="6" borderId="0" xfId="2" applyFont="1" applyFill="1"/>
    <xf numFmtId="0" fontId="16" fillId="0" borderId="0" xfId="0" applyFont="1" applyFill="1" applyBorder="1" applyAlignment="1"/>
    <xf numFmtId="0" fontId="46" fillId="8" borderId="0" xfId="4" applyFont="1" applyFill="1"/>
    <xf numFmtId="0" fontId="10" fillId="0" borderId="0" xfId="4"/>
    <xf numFmtId="0" fontId="10" fillId="0" borderId="0" xfId="4" applyFill="1"/>
    <xf numFmtId="0" fontId="10" fillId="0" borderId="0" xfId="4" applyAlignment="1">
      <alignment horizontal="center"/>
    </xf>
    <xf numFmtId="0" fontId="51" fillId="0" borderId="0" xfId="1" applyFont="1" applyFill="1" applyBorder="1" applyAlignment="1">
      <alignment horizontal="left" vertical="top"/>
    </xf>
    <xf numFmtId="0" fontId="16" fillId="0" borderId="1" xfId="0" applyFont="1" applyBorder="1" applyAlignment="1"/>
    <xf numFmtId="0" fontId="9" fillId="0" borderId="0" xfId="4" applyFont="1"/>
    <xf numFmtId="0" fontId="9" fillId="0" borderId="0" xfId="4" applyFont="1" applyFill="1"/>
    <xf numFmtId="0" fontId="55" fillId="0" borderId="0" xfId="0" applyFont="1"/>
    <xf numFmtId="0" fontId="18" fillId="0" borderId="0" xfId="0" applyFont="1" applyFill="1" applyBorder="1" applyAlignment="1">
      <alignment vertical="top"/>
    </xf>
    <xf numFmtId="0" fontId="44" fillId="0" borderId="0" xfId="0" applyFont="1" applyFill="1" applyBorder="1" applyAlignment="1">
      <alignment vertical="top" wrapText="1"/>
    </xf>
    <xf numFmtId="0" fontId="7" fillId="0" borderId="0" xfId="4" applyFont="1"/>
    <xf numFmtId="0" fontId="7" fillId="0" borderId="0" xfId="4" applyFont="1" applyFill="1"/>
    <xf numFmtId="0" fontId="0" fillId="0" borderId="0" xfId="0" applyFill="1"/>
    <xf numFmtId="0" fontId="0" fillId="0" borderId="0" xfId="0"/>
    <xf numFmtId="0" fontId="58" fillId="0" borderId="0" xfId="0" applyFont="1" applyAlignment="1">
      <alignment vertical="top" wrapText="1"/>
    </xf>
    <xf numFmtId="0" fontId="62" fillId="0" borderId="0" xfId="0" applyFont="1" applyBorder="1" applyAlignment="1">
      <alignment vertical="center" wrapText="1"/>
    </xf>
    <xf numFmtId="0" fontId="0" fillId="0" borderId="1" xfId="0" applyFont="1" applyBorder="1" applyAlignment="1">
      <alignment horizontal="center" vertical="top" wrapText="1"/>
    </xf>
    <xf numFmtId="0" fontId="12" fillId="0" borderId="0" xfId="0" applyFont="1" applyFill="1" applyBorder="1" applyAlignment="1">
      <alignment horizontal="left" vertical="top"/>
    </xf>
    <xf numFmtId="0" fontId="0" fillId="12" borderId="0" xfId="0" applyFill="1"/>
    <xf numFmtId="0" fontId="0" fillId="10" borderId="0" xfId="0" applyFill="1"/>
    <xf numFmtId="0" fontId="0" fillId="5" borderId="0" xfId="0" applyFill="1"/>
    <xf numFmtId="0" fontId="45" fillId="11" borderId="18" xfId="0" applyFont="1" applyFill="1" applyBorder="1" applyAlignment="1">
      <alignment horizontal="center" vertical="center"/>
    </xf>
    <xf numFmtId="0" fontId="45" fillId="11" borderId="1" xfId="0" applyFont="1" applyFill="1" applyBorder="1" applyAlignment="1">
      <alignment horizontal="center" vertical="center"/>
    </xf>
    <xf numFmtId="49" fontId="16" fillId="0" borderId="2" xfId="0" applyNumberFormat="1" applyFont="1" applyFill="1" applyBorder="1" applyAlignment="1">
      <alignment horizontal="center" vertical="center"/>
    </xf>
    <xf numFmtId="49" fontId="22" fillId="0" borderId="2" xfId="3" applyNumberFormat="1" applyFont="1" applyFill="1" applyBorder="1" applyAlignment="1">
      <alignment horizontal="center" vertical="center"/>
    </xf>
    <xf numFmtId="0" fontId="63" fillId="0" borderId="13" xfId="0" applyFont="1" applyFill="1" applyBorder="1" applyAlignment="1">
      <alignment horizontal="left" vertical="top"/>
    </xf>
    <xf numFmtId="0" fontId="16" fillId="12" borderId="2" xfId="0" applyFont="1" applyFill="1" applyBorder="1" applyAlignment="1">
      <alignment horizontal="left" vertical="top" wrapText="1"/>
    </xf>
    <xf numFmtId="0" fontId="44" fillId="0" borderId="0" xfId="0" applyFont="1" applyFill="1" applyBorder="1" applyAlignment="1">
      <alignment horizontal="left" vertical="top" wrapText="1"/>
    </xf>
    <xf numFmtId="0" fontId="52" fillId="0" borderId="0" xfId="0" applyFont="1" applyFill="1"/>
    <xf numFmtId="0" fontId="16" fillId="5" borderId="2" xfId="0" applyFont="1" applyFill="1" applyBorder="1" applyAlignment="1">
      <alignment horizontal="left" vertical="top" wrapText="1"/>
    </xf>
    <xf numFmtId="0" fontId="0" fillId="13" borderId="0" xfId="0" applyFill="1" applyAlignment="1">
      <alignment horizontal="center"/>
    </xf>
    <xf numFmtId="0" fontId="40" fillId="12" borderId="2" xfId="1" applyFont="1" applyFill="1" applyBorder="1" applyAlignment="1">
      <alignment horizontal="center" vertical="top" wrapText="1"/>
    </xf>
    <xf numFmtId="0" fontId="58" fillId="0" borderId="0" xfId="0" applyFont="1" applyFill="1" applyBorder="1" applyAlignment="1">
      <alignment horizontal="center" vertical="center"/>
    </xf>
    <xf numFmtId="0" fontId="58" fillId="0" borderId="0" xfId="0" applyFont="1" applyFill="1" applyBorder="1" applyAlignment="1">
      <alignment horizontal="center" vertical="center" wrapText="1"/>
    </xf>
    <xf numFmtId="0" fontId="6" fillId="0" borderId="0" xfId="4" applyFont="1"/>
    <xf numFmtId="0" fontId="6" fillId="0" borderId="0" xfId="4" applyFont="1" applyFill="1"/>
    <xf numFmtId="0" fontId="45" fillId="11" borderId="11" xfId="0" applyFont="1" applyFill="1" applyBorder="1" applyAlignment="1">
      <alignment horizontal="center" vertical="center"/>
    </xf>
    <xf numFmtId="0" fontId="45" fillId="11" borderId="15" xfId="0" applyFont="1" applyFill="1" applyBorder="1" applyAlignment="1">
      <alignment horizontal="center" vertical="center"/>
    </xf>
    <xf numFmtId="0" fontId="45" fillId="0" borderId="1" xfId="0" applyFont="1" applyFill="1" applyBorder="1" applyAlignment="1">
      <alignment horizontal="center" vertical="center"/>
    </xf>
    <xf numFmtId="0" fontId="66" fillId="12" borderId="2" xfId="0" applyFont="1" applyFill="1" applyBorder="1" applyAlignment="1">
      <alignment horizontal="center" vertical="center"/>
    </xf>
    <xf numFmtId="49" fontId="0" fillId="0" borderId="0" xfId="0" applyNumberFormat="1" applyFont="1" applyFill="1" applyBorder="1" applyAlignment="1">
      <alignment vertical="center"/>
    </xf>
    <xf numFmtId="0" fontId="25" fillId="0" borderId="0" xfId="0" applyFont="1" applyFill="1" applyBorder="1" applyAlignment="1">
      <alignment wrapText="1"/>
    </xf>
    <xf numFmtId="0" fontId="19" fillId="0" borderId="0" xfId="0" applyFont="1" applyFill="1" applyBorder="1" applyAlignment="1"/>
    <xf numFmtId="0" fontId="0" fillId="0" borderId="0" xfId="0" applyBorder="1"/>
    <xf numFmtId="0" fontId="45" fillId="12" borderId="18" xfId="0" applyFont="1" applyFill="1" applyBorder="1" applyAlignment="1">
      <alignment horizontal="center" vertical="center"/>
    </xf>
    <xf numFmtId="49" fontId="22" fillId="0" borderId="2" xfId="3" applyNumberFormat="1" applyFont="1" applyFill="1" applyBorder="1" applyAlignment="1">
      <alignment horizontal="center" vertical="center" wrapText="1"/>
    </xf>
    <xf numFmtId="0" fontId="15" fillId="0" borderId="2" xfId="3" applyFont="1" applyFill="1" applyBorder="1" applyAlignment="1">
      <alignment horizontal="center" vertical="center" wrapText="1"/>
    </xf>
    <xf numFmtId="0" fontId="15" fillId="0" borderId="2" xfId="8" applyFont="1" applyFill="1" applyBorder="1" applyAlignment="1">
      <alignment horizontal="center" vertical="center" wrapText="1"/>
    </xf>
    <xf numFmtId="0" fontId="24" fillId="0" borderId="2" xfId="3" applyFont="1" applyFill="1" applyBorder="1" applyAlignment="1">
      <alignment horizontal="center" vertical="center" wrapText="1"/>
    </xf>
    <xf numFmtId="3" fontId="70" fillId="0" borderId="2" xfId="3" applyNumberFormat="1" applyFont="1" applyFill="1" applyBorder="1" applyAlignment="1">
      <alignment horizontal="center" vertical="center" wrapText="1"/>
    </xf>
    <xf numFmtId="0" fontId="29" fillId="4" borderId="2" xfId="3" applyFont="1" applyFill="1" applyBorder="1" applyAlignment="1">
      <alignment horizontal="center" vertical="center" wrapText="1"/>
    </xf>
    <xf numFmtId="0" fontId="28" fillId="0" borderId="2" xfId="1" applyFont="1" applyFill="1" applyBorder="1" applyAlignment="1">
      <alignment horizontal="center" vertical="top"/>
    </xf>
    <xf numFmtId="0" fontId="39" fillId="0" borderId="0" xfId="1" applyFont="1" applyFill="1" applyBorder="1" applyAlignment="1">
      <alignment horizontal="left" vertical="top" wrapText="1"/>
    </xf>
    <xf numFmtId="0" fontId="75" fillId="0" borderId="0" xfId="1" applyFont="1" applyFill="1" applyBorder="1" applyAlignment="1">
      <alignment vertical="center" wrapText="1"/>
    </xf>
    <xf numFmtId="165" fontId="26" fillId="0" borderId="0" xfId="1" applyNumberFormat="1" applyFont="1" applyFill="1" applyBorder="1" applyAlignment="1">
      <alignment vertical="top" wrapText="1"/>
    </xf>
    <xf numFmtId="0" fontId="5" fillId="0" borderId="0" xfId="4" applyFont="1"/>
    <xf numFmtId="0" fontId="5" fillId="0" borderId="0" xfId="4" applyFont="1" applyFill="1"/>
    <xf numFmtId="0" fontId="58" fillId="0" borderId="0" xfId="0" applyFont="1" applyFill="1" applyBorder="1" applyAlignment="1">
      <alignment vertical="center" wrapText="1"/>
    </xf>
    <xf numFmtId="0" fontId="60" fillId="0" borderId="0" xfId="0" applyFont="1" applyFill="1" applyBorder="1" applyAlignment="1">
      <alignment vertical="center"/>
    </xf>
    <xf numFmtId="0" fontId="58" fillId="0" borderId="0" xfId="0" applyFont="1" applyFill="1" applyBorder="1" applyAlignment="1">
      <alignment vertical="center"/>
    </xf>
    <xf numFmtId="0" fontId="57" fillId="0" borderId="0" xfId="0" applyFont="1" applyFill="1" applyBorder="1" applyAlignment="1">
      <alignment vertical="center" wrapText="1"/>
    </xf>
    <xf numFmtId="0" fontId="57" fillId="0" borderId="0" xfId="0" applyFont="1" applyFill="1" applyBorder="1" applyAlignment="1">
      <alignment vertical="center"/>
    </xf>
    <xf numFmtId="0" fontId="0" fillId="0" borderId="0" xfId="0" applyFill="1" applyBorder="1" applyAlignment="1">
      <alignment horizontal="center" vertical="center"/>
    </xf>
    <xf numFmtId="0" fontId="59" fillId="0" borderId="0" xfId="0" applyFont="1" applyFill="1" applyBorder="1" applyAlignment="1">
      <alignment horizontal="center" vertical="center"/>
    </xf>
    <xf numFmtId="0" fontId="64" fillId="0" borderId="0" xfId="0" applyFont="1" applyFill="1" applyBorder="1" applyAlignment="1">
      <alignment horizontal="center" vertical="center"/>
    </xf>
    <xf numFmtId="0" fontId="16" fillId="0" borderId="0" xfId="0" applyFont="1" applyFill="1" applyBorder="1" applyAlignment="1">
      <alignment vertical="center"/>
    </xf>
    <xf numFmtId="0" fontId="61" fillId="0" borderId="0" xfId="0" applyFont="1" applyFill="1" applyBorder="1" applyAlignment="1"/>
    <xf numFmtId="49" fontId="16" fillId="0" borderId="0" xfId="0" applyNumberFormat="1" applyFont="1" applyFill="1" applyBorder="1" applyAlignment="1"/>
    <xf numFmtId="0" fontId="72" fillId="0" borderId="2" xfId="1" applyFont="1" applyFill="1" applyBorder="1" applyAlignment="1">
      <alignment horizontal="center" vertical="center" wrapText="1"/>
    </xf>
    <xf numFmtId="0" fontId="41" fillId="0" borderId="0" xfId="1" applyFont="1" applyFill="1" applyBorder="1" applyAlignment="1">
      <alignment horizontal="right" vertical="center" wrapText="1"/>
    </xf>
    <xf numFmtId="0" fontId="66" fillId="4" borderId="2" xfId="0" applyFont="1" applyFill="1" applyBorder="1" applyAlignment="1">
      <alignment horizontal="center" vertical="center" wrapText="1"/>
    </xf>
    <xf numFmtId="165" fontId="26" fillId="14" borderId="0" xfId="1" applyNumberFormat="1" applyFont="1" applyFill="1" applyBorder="1" applyAlignment="1">
      <alignment horizontal="center" vertical="center" wrapText="1"/>
    </xf>
    <xf numFmtId="0" fontId="65" fillId="0" borderId="0" xfId="0" applyFont="1" applyFill="1" applyBorder="1" applyAlignment="1">
      <alignment vertical="top" wrapText="1"/>
    </xf>
    <xf numFmtId="0" fontId="16" fillId="5" borderId="2" xfId="0" applyFont="1" applyFill="1" applyBorder="1"/>
    <xf numFmtId="0" fontId="26" fillId="0" borderId="0" xfId="1"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66" fillId="0" borderId="0" xfId="0" applyFont="1"/>
    <xf numFmtId="0" fontId="0" fillId="0" borderId="0" xfId="0" applyAlignment="1">
      <alignment horizontal="left"/>
    </xf>
    <xf numFmtId="0" fontId="28" fillId="0" borderId="2" xfId="1" applyFont="1" applyFill="1" applyBorder="1" applyAlignment="1">
      <alignment horizontal="center" vertical="top"/>
    </xf>
    <xf numFmtId="0" fontId="0" fillId="0" borderId="0" xfId="0"/>
    <xf numFmtId="0" fontId="16" fillId="0" borderId="0" xfId="0" applyFont="1"/>
    <xf numFmtId="0" fontId="0" fillId="0" borderId="0" xfId="0" applyFill="1" applyBorder="1"/>
    <xf numFmtId="0" fontId="0" fillId="0" borderId="0" xfId="0" applyFill="1"/>
    <xf numFmtId="0" fontId="0" fillId="12" borderId="0" xfId="0" applyFill="1"/>
    <xf numFmtId="0" fontId="0" fillId="10" borderId="0" xfId="0" applyFill="1"/>
    <xf numFmtId="0" fontId="0" fillId="5" borderId="0" xfId="0" applyFill="1"/>
    <xf numFmtId="0" fontId="53" fillId="0" borderId="0" xfId="0" applyFont="1" applyFill="1" applyBorder="1" applyAlignment="1">
      <alignment vertical="top" wrapText="1"/>
    </xf>
    <xf numFmtId="0" fontId="17" fillId="0" borderId="0" xfId="0" applyFont="1" applyFill="1" applyBorder="1" applyAlignment="1">
      <alignment vertical="top" wrapText="1"/>
    </xf>
    <xf numFmtId="0" fontId="45" fillId="0" borderId="2" xfId="0" applyFont="1" applyBorder="1" applyAlignment="1">
      <alignment horizontal="center" vertical="center"/>
    </xf>
    <xf numFmtId="0" fontId="16" fillId="0" borderId="2" xfId="0" applyFont="1" applyBorder="1" applyAlignment="1">
      <alignment horizontal="left" vertical="center"/>
    </xf>
    <xf numFmtId="0" fontId="78" fillId="0" borderId="2" xfId="0" applyFont="1" applyBorder="1" applyAlignment="1">
      <alignment horizontal="center" vertical="center"/>
    </xf>
    <xf numFmtId="0" fontId="16" fillId="0" borderId="2" xfId="0" applyFont="1" applyBorder="1" applyAlignment="1">
      <alignment horizontal="left" vertical="center" wrapText="1"/>
    </xf>
    <xf numFmtId="0" fontId="45" fillId="12" borderId="2" xfId="0" applyFont="1" applyFill="1" applyBorder="1" applyAlignment="1">
      <alignment horizontal="center" vertical="center"/>
    </xf>
    <xf numFmtId="0" fontId="84" fillId="6" borderId="0" xfId="2" applyFont="1" applyFill="1"/>
    <xf numFmtId="0" fontId="85" fillId="12" borderId="12" xfId="0" applyFont="1" applyFill="1" applyBorder="1" applyAlignment="1">
      <alignment horizontal="center" vertical="center"/>
    </xf>
    <xf numFmtId="49" fontId="16" fillId="0" borderId="0" xfId="2" applyNumberFormat="1" applyFont="1" applyFill="1" applyBorder="1" applyAlignment="1"/>
    <xf numFmtId="0" fontId="43" fillId="0" borderId="0" xfId="2" applyFont="1" applyFill="1" applyBorder="1"/>
    <xf numFmtId="0" fontId="16" fillId="0" borderId="0" xfId="2" applyFont="1" applyFill="1" applyBorder="1" applyAlignment="1">
      <alignment vertical="top"/>
    </xf>
    <xf numFmtId="0" fontId="20" fillId="0" borderId="0" xfId="2" applyFont="1" applyFill="1" applyBorder="1" applyAlignment="1"/>
    <xf numFmtId="0" fontId="20" fillId="0" borderId="0" xfId="2" applyFont="1" applyFill="1" applyBorder="1"/>
    <xf numFmtId="0" fontId="46" fillId="11" borderId="0" xfId="4" applyFont="1" applyFill="1"/>
    <xf numFmtId="0" fontId="4" fillId="0" borderId="0" xfId="4" applyFont="1"/>
    <xf numFmtId="0" fontId="4" fillId="0" borderId="0" xfId="4" applyFont="1" applyFill="1"/>
    <xf numFmtId="0" fontId="3" fillId="0" borderId="0" xfId="4" applyFont="1"/>
    <xf numFmtId="0" fontId="28" fillId="0" borderId="0" xfId="1" applyFont="1" applyFill="1" applyBorder="1" applyAlignment="1">
      <alignment horizontal="center" vertical="top"/>
    </xf>
    <xf numFmtId="49" fontId="16" fillId="3" borderId="2" xfId="0" applyNumberFormat="1" applyFont="1" applyFill="1" applyBorder="1" applyAlignment="1">
      <alignment horizontal="center"/>
    </xf>
    <xf numFmtId="0" fontId="76" fillId="3" borderId="2" xfId="1" applyFont="1" applyFill="1" applyBorder="1" applyAlignment="1">
      <alignment horizontal="center" vertical="center"/>
    </xf>
    <xf numFmtId="0" fontId="2" fillId="0" borderId="0" xfId="4" applyFont="1" applyFill="1"/>
    <xf numFmtId="0" fontId="23" fillId="0" borderId="2" xfId="0" applyFont="1" applyFill="1" applyBorder="1" applyAlignment="1">
      <alignment horizontal="center" vertical="center" wrapText="1"/>
    </xf>
    <xf numFmtId="0" fontId="1" fillId="0" borderId="0" xfId="4" applyFont="1" applyFill="1"/>
    <xf numFmtId="0" fontId="91" fillId="0" borderId="0" xfId="0" applyFont="1"/>
    <xf numFmtId="0" fontId="54" fillId="12" borderId="2" xfId="0" applyFont="1" applyFill="1" applyBorder="1" applyAlignment="1">
      <alignment horizontal="center" vertical="center" wrapText="1"/>
    </xf>
    <xf numFmtId="165" fontId="26" fillId="0" borderId="0" xfId="1" applyNumberFormat="1" applyFont="1" applyFill="1" applyBorder="1" applyAlignment="1">
      <alignment horizontal="center" vertical="center" wrapText="1"/>
    </xf>
    <xf numFmtId="0" fontId="16" fillId="3" borderId="0" xfId="0" applyFont="1" applyFill="1" applyAlignment="1">
      <alignment horizontal="center" vertical="center"/>
    </xf>
    <xf numFmtId="0" fontId="23" fillId="3" borderId="2" xfId="0" applyFont="1" applyFill="1" applyBorder="1" applyAlignment="1">
      <alignment horizontal="center" vertical="center" wrapText="1"/>
    </xf>
    <xf numFmtId="49" fontId="0" fillId="0" borderId="10" xfId="0" applyNumberFormat="1" applyFont="1" applyFill="1" applyBorder="1" applyAlignment="1">
      <alignment horizontal="center" vertical="center"/>
    </xf>
    <xf numFmtId="0" fontId="25" fillId="0" borderId="12" xfId="0" applyFont="1" applyFill="1" applyBorder="1" applyAlignment="1">
      <alignment horizontal="center" vertical="center" wrapText="1"/>
    </xf>
    <xf numFmtId="0" fontId="85" fillId="12" borderId="2" xfId="0" applyFont="1" applyFill="1" applyBorder="1" applyAlignment="1">
      <alignment horizontal="center" vertical="center"/>
    </xf>
    <xf numFmtId="0" fontId="66" fillId="12" borderId="12" xfId="0" applyFont="1" applyFill="1" applyBorder="1" applyAlignment="1"/>
    <xf numFmtId="0" fontId="16" fillId="3" borderId="12" xfId="0" applyFont="1" applyFill="1" applyBorder="1" applyAlignment="1">
      <alignment horizontal="center" vertical="center" wrapText="1"/>
    </xf>
    <xf numFmtId="0" fontId="19" fillId="15" borderId="6" xfId="0" applyFont="1" applyFill="1" applyBorder="1" applyAlignment="1">
      <alignment horizontal="center" vertical="center" wrapText="1"/>
    </xf>
    <xf numFmtId="49" fontId="42" fillId="3" borderId="2" xfId="1" applyNumberFormat="1" applyFont="1" applyFill="1" applyBorder="1" applyAlignment="1">
      <alignment horizontal="center" vertical="top" wrapText="1"/>
    </xf>
    <xf numFmtId="49" fontId="42" fillId="3" borderId="2" xfId="1" applyNumberFormat="1" applyFont="1" applyFill="1" applyBorder="1" applyAlignment="1">
      <alignment horizontal="center" vertical="center" wrapText="1"/>
    </xf>
    <xf numFmtId="49" fontId="98" fillId="3" borderId="2" xfId="1" applyNumberFormat="1" applyFont="1" applyFill="1" applyBorder="1" applyAlignment="1">
      <alignment horizontal="center" vertical="top" wrapText="1"/>
    </xf>
    <xf numFmtId="49" fontId="98" fillId="3" borderId="2" xfId="1" applyNumberFormat="1" applyFont="1" applyFill="1" applyBorder="1" applyAlignment="1">
      <alignment horizontal="center" vertical="center" wrapText="1"/>
    </xf>
    <xf numFmtId="49" fontId="16" fillId="3" borderId="2" xfId="2" applyNumberFormat="1" applyFont="1" applyFill="1" applyBorder="1" applyAlignment="1">
      <alignment horizontal="center"/>
    </xf>
    <xf numFmtId="49" fontId="15"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1" fillId="0" borderId="0" xfId="0" applyFont="1" applyFill="1" applyAlignment="1">
      <alignment horizontal="right"/>
    </xf>
    <xf numFmtId="49" fontId="14" fillId="3" borderId="2" xfId="0" applyNumberFormat="1" applyFont="1" applyFill="1" applyBorder="1" applyAlignment="1">
      <alignment horizontal="center" vertical="center" wrapText="1"/>
    </xf>
    <xf numFmtId="0" fontId="54" fillId="15" borderId="2" xfId="0" applyFont="1" applyFill="1" applyBorder="1" applyAlignment="1">
      <alignment horizontal="center" vertical="center" wrapText="1"/>
    </xf>
    <xf numFmtId="0" fontId="19" fillId="15" borderId="2" xfId="0" applyFont="1" applyFill="1" applyBorder="1" applyAlignment="1">
      <alignment vertical="center" wrapText="1"/>
    </xf>
    <xf numFmtId="0" fontId="23" fillId="15" borderId="2" xfId="0" applyFont="1" applyFill="1" applyBorder="1" applyAlignment="1">
      <alignment horizontal="center" vertical="center" wrapText="1"/>
    </xf>
    <xf numFmtId="164" fontId="22" fillId="4" borderId="2" xfId="1" applyNumberFormat="1" applyFont="1" applyFill="1" applyBorder="1" applyAlignment="1">
      <alignment horizontal="center" vertical="center" wrapText="1"/>
    </xf>
    <xf numFmtId="0" fontId="16" fillId="3" borderId="2" xfId="0" applyFont="1" applyFill="1" applyBorder="1" applyAlignment="1">
      <alignment horizontal="center" vertical="center"/>
    </xf>
    <xf numFmtId="0" fontId="23" fillId="0" borderId="0" xfId="0" applyFont="1"/>
    <xf numFmtId="0" fontId="19" fillId="0" borderId="0" xfId="0" applyFont="1"/>
    <xf numFmtId="0" fontId="28" fillId="0" borderId="0" xfId="1" applyFont="1" applyFill="1" applyBorder="1" applyAlignment="1">
      <alignment horizontal="left" vertical="top"/>
    </xf>
    <xf numFmtId="0" fontId="30" fillId="17" borderId="11" xfId="1" applyFill="1" applyBorder="1" applyAlignment="1">
      <alignment horizontal="center" vertical="top"/>
    </xf>
    <xf numFmtId="164" fontId="40" fillId="17" borderId="16" xfId="1" applyNumberFormat="1" applyFont="1" applyFill="1" applyBorder="1" applyAlignment="1">
      <alignment horizontal="center" vertical="top" wrapText="1"/>
    </xf>
    <xf numFmtId="164" fontId="40" fillId="4" borderId="4" xfId="1" applyNumberFormat="1" applyFont="1" applyFill="1" applyBorder="1" applyAlignment="1">
      <alignment horizontal="center" vertical="top" wrapText="1"/>
    </xf>
    <xf numFmtId="0" fontId="30" fillId="17" borderId="8" xfId="1" applyFill="1" applyBorder="1" applyAlignment="1">
      <alignment horizontal="center" vertical="top"/>
    </xf>
    <xf numFmtId="164" fontId="40" fillId="17" borderId="9" xfId="1" applyNumberFormat="1" applyFont="1" applyFill="1" applyBorder="1" applyAlignment="1">
      <alignment horizontal="center" vertical="top" wrapText="1"/>
    </xf>
    <xf numFmtId="0" fontId="51" fillId="0" borderId="15" xfId="1" applyFont="1" applyFill="1" applyBorder="1" applyAlignment="1">
      <alignment vertical="top" wrapText="1"/>
    </xf>
    <xf numFmtId="0" fontId="51" fillId="0" borderId="1" xfId="1" applyFont="1" applyFill="1" applyBorder="1" applyAlignment="1">
      <alignment vertical="top" wrapText="1"/>
    </xf>
    <xf numFmtId="0" fontId="16" fillId="0" borderId="0" xfId="2" applyFont="1" applyFill="1" applyBorder="1" applyAlignment="1">
      <alignment vertical="center"/>
    </xf>
    <xf numFmtId="0" fontId="0" fillId="6" borderId="0" xfId="0" applyFill="1"/>
    <xf numFmtId="0" fontId="0" fillId="6" borderId="1" xfId="0" applyFont="1" applyFill="1" applyBorder="1" applyAlignment="1">
      <alignment horizontal="center" vertical="top" wrapText="1"/>
    </xf>
    <xf numFmtId="0" fontId="43" fillId="6" borderId="0" xfId="2" applyFont="1" applyFill="1" applyBorder="1"/>
    <xf numFmtId="0" fontId="99" fillId="6" borderId="0" xfId="2" applyFont="1" applyFill="1" applyBorder="1" applyAlignment="1">
      <alignment horizontal="center" vertical="center"/>
    </xf>
    <xf numFmtId="0" fontId="104" fillId="6" borderId="0" xfId="2" applyFont="1" applyFill="1" applyBorder="1" applyAlignment="1">
      <alignment horizontal="center" vertical="center" wrapText="1"/>
    </xf>
    <xf numFmtId="0" fontId="0" fillId="13" borderId="0" xfId="0" applyFill="1" applyAlignment="1">
      <alignment horizontal="center"/>
    </xf>
    <xf numFmtId="49" fontId="98" fillId="3" borderId="10" xfId="1" applyNumberFormat="1" applyFont="1" applyFill="1" applyBorder="1" applyAlignment="1">
      <alignment horizontal="center" vertical="top" wrapText="1"/>
    </xf>
    <xf numFmtId="164" fontId="26" fillId="0" borderId="0" xfId="1" applyNumberFormat="1" applyFont="1" applyFill="1" applyBorder="1" applyAlignment="1">
      <alignment vertical="top"/>
    </xf>
    <xf numFmtId="0" fontId="1" fillId="0" borderId="0" xfId="4" applyFont="1"/>
    <xf numFmtId="49" fontId="15" fillId="0" borderId="0" xfId="0" applyNumberFormat="1" applyFont="1" applyFill="1" applyBorder="1" applyAlignment="1">
      <alignment horizontal="center" vertical="center" wrapText="1"/>
    </xf>
    <xf numFmtId="0" fontId="31" fillId="0" borderId="0" xfId="3" applyFont="1" applyFill="1" applyBorder="1" applyAlignment="1">
      <alignment horizontal="left" vertical="top"/>
    </xf>
    <xf numFmtId="0" fontId="105" fillId="0" borderId="0" xfId="1" applyFont="1" applyFill="1" applyBorder="1" applyAlignment="1">
      <alignment horizontal="left" vertical="top"/>
    </xf>
    <xf numFmtId="0" fontId="8" fillId="0" borderId="0" xfId="5" applyFill="1"/>
    <xf numFmtId="0" fontId="18" fillId="0" borderId="2" xfId="8" applyFont="1" applyFill="1" applyBorder="1" applyAlignment="1">
      <alignment horizontal="center" vertical="center" wrapText="1"/>
    </xf>
    <xf numFmtId="0" fontId="27" fillId="5" borderId="2" xfId="1" applyFont="1" applyFill="1" applyBorder="1" applyAlignment="1">
      <alignment horizontal="center" vertical="center" wrapText="1"/>
    </xf>
    <xf numFmtId="0" fontId="23" fillId="0" borderId="2" xfId="1" applyFont="1" applyFill="1" applyBorder="1" applyAlignment="1">
      <alignment horizontal="center" vertical="top"/>
    </xf>
    <xf numFmtId="49" fontId="14" fillId="3" borderId="2" xfId="0" applyNumberFormat="1" applyFont="1" applyFill="1" applyBorder="1" applyAlignment="1">
      <alignment horizontal="center" vertical="center" wrapText="1"/>
    </xf>
    <xf numFmtId="49" fontId="15" fillId="3" borderId="2" xfId="0" applyNumberFormat="1" applyFont="1" applyFill="1" applyBorder="1" applyAlignment="1">
      <alignment horizontal="center" vertical="center" wrapText="1"/>
    </xf>
    <xf numFmtId="0" fontId="59" fillId="0" borderId="0" xfId="0" applyFont="1" applyFill="1"/>
    <xf numFmtId="0" fontId="23" fillId="0" borderId="2" xfId="1" applyFont="1" applyFill="1" applyBorder="1" applyAlignment="1">
      <alignment horizontal="center" vertical="top" wrapText="1"/>
    </xf>
    <xf numFmtId="49" fontId="16" fillId="3" borderId="12" xfId="0" applyNumberFormat="1" applyFont="1" applyFill="1" applyBorder="1" applyAlignment="1">
      <alignment horizontal="center"/>
    </xf>
    <xf numFmtId="0" fontId="16" fillId="10" borderId="2" xfId="0" applyFont="1" applyFill="1" applyBorder="1" applyAlignment="1">
      <alignment horizontal="left" vertical="top" wrapText="1"/>
    </xf>
    <xf numFmtId="0" fontId="59" fillId="12" borderId="0" xfId="0" applyFont="1" applyFill="1"/>
    <xf numFmtId="0" fontId="59" fillId="0" borderId="0" xfId="0" applyFont="1"/>
    <xf numFmtId="0" fontId="59" fillId="10" borderId="0" xfId="0" applyFont="1" applyFill="1"/>
    <xf numFmtId="0" fontId="59" fillId="5" borderId="0" xfId="0" applyFont="1" applyFill="1"/>
    <xf numFmtId="0" fontId="59" fillId="0" borderId="0" xfId="0" applyFont="1" applyFill="1" applyAlignment="1">
      <alignment horizontal="center"/>
    </xf>
    <xf numFmtId="0" fontId="59" fillId="0" borderId="0" xfId="0" applyFont="1" applyFill="1" applyBorder="1" applyAlignment="1">
      <alignment horizontal="left" vertical="top"/>
    </xf>
    <xf numFmtId="0" fontId="59" fillId="0" borderId="12" xfId="0" applyFont="1" applyFill="1" applyBorder="1" applyAlignment="1">
      <alignment horizontal="left" vertical="center"/>
    </xf>
    <xf numFmtId="0" fontId="59" fillId="0" borderId="13" xfId="0" applyFont="1" applyFill="1" applyBorder="1" applyAlignment="1">
      <alignment horizontal="left" vertical="top"/>
    </xf>
    <xf numFmtId="0" fontId="59" fillId="0" borderId="13" xfId="0" applyFont="1" applyFill="1" applyBorder="1" applyAlignment="1">
      <alignment horizontal="right" vertical="center"/>
    </xf>
    <xf numFmtId="0" fontId="23" fillId="12" borderId="13" xfId="0" applyFont="1" applyFill="1" applyBorder="1"/>
    <xf numFmtId="0" fontId="23" fillId="12" borderId="12" xfId="0" applyFont="1" applyFill="1" applyBorder="1"/>
    <xf numFmtId="0" fontId="23" fillId="10" borderId="2" xfId="0" applyFont="1" applyFill="1" applyBorder="1" applyAlignment="1">
      <alignment horizontal="right" vertical="center"/>
    </xf>
    <xf numFmtId="0" fontId="23" fillId="12" borderId="2" xfId="0" applyFont="1" applyFill="1" applyBorder="1"/>
    <xf numFmtId="0" fontId="23" fillId="0" borderId="0" xfId="0" applyFont="1" applyBorder="1"/>
    <xf numFmtId="0" fontId="23" fillId="0" borderId="0" xfId="0" applyFont="1" applyBorder="1" applyAlignment="1">
      <alignment horizontal="right"/>
    </xf>
    <xf numFmtId="0" fontId="23" fillId="13" borderId="2" xfId="0" applyFont="1" applyFill="1" applyBorder="1"/>
    <xf numFmtId="0" fontId="48" fillId="0" borderId="0" xfId="0" applyFont="1" applyBorder="1" applyAlignment="1">
      <alignment horizontal="center" vertical="center"/>
    </xf>
    <xf numFmtId="0" fontId="23" fillId="0" borderId="0" xfId="0" applyFont="1" applyFill="1" applyBorder="1" applyAlignment="1"/>
    <xf numFmtId="0" fontId="23" fillId="0" borderId="0" xfId="0" applyFont="1" applyFill="1" applyBorder="1" applyAlignment="1">
      <alignment horizontal="center"/>
    </xf>
    <xf numFmtId="0" fontId="23" fillId="0" borderId="0" xfId="0" applyFont="1" applyAlignment="1">
      <alignment horizontal="center" vertical="center"/>
    </xf>
    <xf numFmtId="0" fontId="23" fillId="0" borderId="0" xfId="0" applyFont="1" applyFill="1" applyBorder="1"/>
    <xf numFmtId="0" fontId="59" fillId="0" borderId="0" xfId="0" applyFont="1" applyBorder="1"/>
    <xf numFmtId="0" fontId="113" fillId="0" borderId="0" xfId="0" applyFont="1" applyAlignment="1">
      <alignment horizontal="right"/>
    </xf>
    <xf numFmtId="0" fontId="23" fillId="0" borderId="0" xfId="0" applyFont="1" applyFill="1" applyBorder="1" applyAlignment="1">
      <alignment horizontal="left" vertical="top" wrapText="1"/>
    </xf>
    <xf numFmtId="0" fontId="113" fillId="0" borderId="0" xfId="0" applyFont="1"/>
    <xf numFmtId="0" fontId="23" fillId="0" borderId="0" xfId="0" applyFont="1" applyFill="1"/>
    <xf numFmtId="3" fontId="23" fillId="13" borderId="2" xfId="3" applyNumberFormat="1" applyFont="1" applyFill="1" applyBorder="1" applyAlignment="1">
      <alignment horizontal="center" vertical="center" wrapText="1"/>
    </xf>
    <xf numFmtId="0" fontId="23" fillId="0" borderId="2" xfId="3" applyFont="1" applyFill="1" applyBorder="1" applyAlignment="1">
      <alignment horizontal="center" vertical="center" wrapText="1"/>
    </xf>
    <xf numFmtId="0" fontId="24" fillId="0" borderId="2" xfId="3" quotePrefix="1" applyFont="1" applyFill="1" applyBorder="1" applyAlignment="1">
      <alignment horizontal="center" vertical="center" wrapText="1"/>
    </xf>
    <xf numFmtId="3" fontId="24" fillId="4" borderId="2" xfId="3" applyNumberFormat="1" applyFont="1" applyFill="1" applyBorder="1" applyAlignment="1">
      <alignment horizontal="center" vertical="center" wrapText="1"/>
    </xf>
    <xf numFmtId="0" fontId="24" fillId="13" borderId="2" xfId="3" applyFont="1" applyFill="1" applyBorder="1" applyAlignment="1">
      <alignment horizontal="center" vertical="center" wrapText="1"/>
    </xf>
    <xf numFmtId="0" fontId="18" fillId="4" borderId="10" xfId="0" applyFont="1" applyFill="1" applyBorder="1" applyAlignment="1">
      <alignment vertical="top"/>
    </xf>
    <xf numFmtId="0" fontId="18" fillId="4" borderId="13" xfId="0" applyFont="1" applyFill="1" applyBorder="1" applyAlignment="1">
      <alignment vertical="top"/>
    </xf>
    <xf numFmtId="0" fontId="18" fillId="4" borderId="12" xfId="0" applyFont="1" applyFill="1" applyBorder="1" applyAlignment="1">
      <alignment vertical="top"/>
    </xf>
    <xf numFmtId="0" fontId="18" fillId="4" borderId="2" xfId="0" applyFont="1" applyFill="1" applyBorder="1" applyAlignment="1">
      <alignment vertical="top"/>
    </xf>
    <xf numFmtId="0" fontId="18" fillId="4" borderId="2" xfId="0" applyFont="1" applyFill="1" applyBorder="1" applyAlignment="1">
      <alignment horizontal="right" vertical="top"/>
    </xf>
    <xf numFmtId="0" fontId="60" fillId="3" borderId="2" xfId="1" applyFont="1" applyFill="1" applyBorder="1" applyAlignment="1">
      <alignment horizontal="center" vertical="center"/>
    </xf>
    <xf numFmtId="0" fontId="117" fillId="12" borderId="2" xfId="1" applyFont="1" applyFill="1" applyBorder="1" applyAlignment="1">
      <alignment horizontal="center" vertical="top" wrapText="1"/>
    </xf>
    <xf numFmtId="0" fontId="117" fillId="12" borderId="6" xfId="1" applyFont="1" applyFill="1" applyBorder="1" applyAlignment="1">
      <alignment horizontal="center" vertical="top" wrapText="1"/>
    </xf>
    <xf numFmtId="0" fontId="118" fillId="12" borderId="2" xfId="1" applyFont="1" applyFill="1" applyBorder="1" applyAlignment="1">
      <alignment horizontal="center" vertical="center" wrapText="1"/>
    </xf>
    <xf numFmtId="0" fontId="117" fillId="12" borderId="2" xfId="1" applyFont="1" applyFill="1" applyBorder="1" applyAlignment="1">
      <alignment vertical="top" wrapText="1"/>
    </xf>
    <xf numFmtId="0" fontId="119" fillId="5" borderId="2" xfId="1" applyFont="1" applyFill="1" applyBorder="1" applyAlignment="1">
      <alignment horizontal="center" vertical="top" wrapText="1"/>
    </xf>
    <xf numFmtId="164" fontId="117" fillId="4" borderId="2" xfId="1" applyNumberFormat="1" applyFont="1" applyFill="1" applyBorder="1" applyAlignment="1">
      <alignment horizontal="center" vertical="top" wrapText="1"/>
    </xf>
    <xf numFmtId="0" fontId="118" fillId="0" borderId="2" xfId="1" applyFont="1" applyFill="1" applyBorder="1" applyAlignment="1">
      <alignment horizontal="center" vertical="center" wrapText="1"/>
    </xf>
    <xf numFmtId="0" fontId="117" fillId="0" borderId="0" xfId="1" applyFont="1" applyFill="1" applyBorder="1" applyAlignment="1">
      <alignment horizontal="center" vertical="top" wrapText="1"/>
    </xf>
    <xf numFmtId="0" fontId="15" fillId="0" borderId="15" xfId="1" applyFont="1" applyFill="1" applyBorder="1" applyAlignment="1">
      <alignment horizontal="right" vertical="center" wrapText="1"/>
    </xf>
    <xf numFmtId="0" fontId="15" fillId="0" borderId="0" xfId="1" applyFont="1" applyFill="1" applyBorder="1" applyAlignment="1">
      <alignment horizontal="right" vertical="center" wrapText="1"/>
    </xf>
    <xf numFmtId="0" fontId="24" fillId="0" borderId="0" xfId="1" applyFont="1" applyFill="1" applyBorder="1" applyAlignment="1">
      <alignment horizontal="right" vertical="top"/>
    </xf>
    <xf numFmtId="164" fontId="26" fillId="4" borderId="2" xfId="1" applyNumberFormat="1" applyFont="1" applyFill="1" applyBorder="1" applyAlignment="1">
      <alignment horizontal="center" vertical="top" wrapText="1"/>
    </xf>
    <xf numFmtId="164" fontId="117" fillId="7" borderId="10" xfId="1" applyNumberFormat="1" applyFont="1" applyFill="1" applyBorder="1" applyAlignment="1">
      <alignment horizontal="center" vertical="top" wrapText="1"/>
    </xf>
    <xf numFmtId="0" fontId="116" fillId="7" borderId="13" xfId="1" applyFont="1" applyFill="1" applyBorder="1" applyAlignment="1">
      <alignment horizontal="left" vertical="top"/>
    </xf>
    <xf numFmtId="0" fontId="116" fillId="7" borderId="12" xfId="1" applyFont="1" applyFill="1" applyBorder="1" applyAlignment="1">
      <alignment horizontal="left" vertical="top"/>
    </xf>
    <xf numFmtId="0" fontId="23" fillId="16" borderId="11" xfId="2" applyFont="1" applyFill="1" applyBorder="1"/>
    <xf numFmtId="0" fontId="120" fillId="16" borderId="15" xfId="2" applyFont="1" applyFill="1" applyBorder="1"/>
    <xf numFmtId="49" fontId="23" fillId="16" borderId="16" xfId="2" applyNumberFormat="1" applyFont="1" applyFill="1" applyBorder="1" applyAlignment="1"/>
    <xf numFmtId="0" fontId="114" fillId="16" borderId="8" xfId="2" applyFont="1" applyFill="1" applyBorder="1"/>
    <xf numFmtId="0" fontId="64" fillId="16" borderId="0" xfId="2" applyFont="1" applyFill="1" applyBorder="1"/>
    <xf numFmtId="0" fontId="120" fillId="16" borderId="0" xfId="2" applyFont="1" applyFill="1" applyBorder="1"/>
    <xf numFmtId="0" fontId="23" fillId="16" borderId="9" xfId="2" applyFont="1" applyFill="1" applyBorder="1" applyAlignment="1">
      <alignment vertical="top"/>
    </xf>
    <xf numFmtId="0" fontId="114" fillId="5" borderId="2" xfId="2" applyFont="1" applyFill="1" applyBorder="1" applyAlignment="1">
      <alignment horizontal="left" vertical="center" wrapText="1"/>
    </xf>
    <xf numFmtId="0" fontId="60" fillId="0" borderId="0" xfId="0" applyFont="1" applyFill="1" applyBorder="1" applyAlignment="1">
      <alignment vertical="center" wrapText="1"/>
    </xf>
    <xf numFmtId="164" fontId="60" fillId="3" borderId="2" xfId="1" applyNumberFormat="1" applyFont="1" applyFill="1" applyBorder="1" applyAlignment="1">
      <alignment horizontal="center" vertical="center" wrapText="1"/>
    </xf>
    <xf numFmtId="164" fontId="60" fillId="3" borderId="12" xfId="1" applyNumberFormat="1" applyFont="1" applyFill="1" applyBorder="1" applyAlignment="1">
      <alignment horizontal="center" vertical="center" wrapText="1"/>
    </xf>
    <xf numFmtId="0" fontId="64" fillId="13" borderId="2" xfId="0" applyFont="1" applyFill="1" applyBorder="1" applyAlignment="1">
      <alignment vertical="center" wrapText="1"/>
    </xf>
    <xf numFmtId="0" fontId="59" fillId="10" borderId="2" xfId="0" applyFont="1" applyFill="1" applyBorder="1"/>
    <xf numFmtId="0" fontId="64" fillId="12" borderId="2" xfId="0" applyFont="1" applyFill="1" applyBorder="1" applyAlignment="1">
      <alignment horizontal="center" vertical="center"/>
    </xf>
    <xf numFmtId="0" fontId="64" fillId="0" borderId="0" xfId="0" applyFont="1" applyFill="1" applyBorder="1" applyAlignment="1">
      <alignment vertical="center"/>
    </xf>
    <xf numFmtId="0" fontId="59" fillId="0" borderId="0" xfId="0" applyFont="1" applyFill="1" applyBorder="1" applyAlignment="1"/>
    <xf numFmtId="0" fontId="59" fillId="6" borderId="0" xfId="0" applyFont="1" applyFill="1" applyAlignment="1">
      <alignment horizontal="center"/>
    </xf>
    <xf numFmtId="0" fontId="60" fillId="0" borderId="0" xfId="0" applyFont="1" applyBorder="1" applyAlignment="1">
      <alignment horizontal="center"/>
    </xf>
    <xf numFmtId="0" fontId="120" fillId="12" borderId="4" xfId="2" applyFont="1" applyFill="1" applyBorder="1" applyAlignment="1">
      <alignment horizontal="center" vertical="top" wrapText="1"/>
    </xf>
    <xf numFmtId="0" fontId="118" fillId="0" borderId="4" xfId="1" applyFont="1" applyFill="1" applyBorder="1" applyAlignment="1">
      <alignment horizontal="center" vertical="center" wrapText="1"/>
    </xf>
    <xf numFmtId="0" fontId="122" fillId="5" borderId="2" xfId="0" applyFont="1" applyFill="1" applyBorder="1" applyAlignment="1">
      <alignment horizontal="center" vertical="center" wrapText="1"/>
    </xf>
    <xf numFmtId="0" fontId="23" fillId="12" borderId="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13" borderId="2" xfId="0" applyFont="1" applyFill="1" applyBorder="1" applyAlignment="1">
      <alignment horizontal="center" vertical="center" wrapText="1"/>
    </xf>
    <xf numFmtId="0" fontId="122" fillId="15" borderId="2"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23" fillId="4" borderId="6" xfId="0" applyFont="1" applyFill="1" applyBorder="1" applyAlignment="1">
      <alignment horizontal="left" vertical="top" wrapText="1"/>
    </xf>
    <xf numFmtId="0" fontId="24" fillId="0" borderId="0" xfId="0" applyFont="1" applyFill="1" applyAlignment="1">
      <alignment horizontal="right"/>
    </xf>
    <xf numFmtId="0" fontId="23" fillId="4" borderId="2" xfId="0" applyFont="1" applyFill="1" applyBorder="1"/>
    <xf numFmtId="0" fontId="24" fillId="12"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35" fillId="4" borderId="6" xfId="0" applyFont="1" applyFill="1" applyBorder="1" applyAlignment="1">
      <alignment horizontal="center" vertical="center" wrapText="1"/>
    </xf>
    <xf numFmtId="0" fontId="24" fillId="4" borderId="6" xfId="0" applyFont="1" applyFill="1" applyBorder="1" applyAlignment="1">
      <alignment horizontal="left" vertical="top" wrapText="1"/>
    </xf>
    <xf numFmtId="0" fontId="24" fillId="4" borderId="2" xfId="0" applyFont="1" applyFill="1" applyBorder="1"/>
    <xf numFmtId="0" fontId="24" fillId="4" borderId="2" xfId="0" applyFont="1" applyFill="1" applyBorder="1" applyAlignment="1">
      <alignment wrapText="1"/>
    </xf>
    <xf numFmtId="0" fontId="24" fillId="0" borderId="0" xfId="0" applyFont="1" applyFill="1" applyAlignment="1">
      <alignment horizontal="right" vertical="center"/>
    </xf>
    <xf numFmtId="0" fontId="24" fillId="5" borderId="2" xfId="0" applyFont="1" applyFill="1" applyBorder="1" applyAlignment="1">
      <alignment horizontal="center" vertical="center" wrapText="1"/>
    </xf>
    <xf numFmtId="0" fontId="112" fillId="0" borderId="0" xfId="0" applyFont="1" applyAlignment="1">
      <alignment horizontal="right"/>
    </xf>
    <xf numFmtId="0" fontId="119" fillId="5" borderId="2" xfId="1" applyFont="1" applyFill="1" applyBorder="1" applyAlignment="1">
      <alignment horizontal="center" vertical="center" wrapText="1"/>
    </xf>
    <xf numFmtId="0" fontId="24" fillId="0" borderId="0" xfId="1" applyFont="1" applyFill="1" applyBorder="1" applyAlignment="1">
      <alignment horizontal="right" vertical="center"/>
    </xf>
    <xf numFmtId="164" fontId="47" fillId="4" borderId="2" xfId="1" applyNumberFormat="1" applyFont="1" applyFill="1" applyBorder="1" applyAlignment="1">
      <alignment horizontal="center" vertical="top" wrapText="1"/>
    </xf>
    <xf numFmtId="0" fontId="111" fillId="6" borderId="0" xfId="2" applyFont="1" applyFill="1" applyAlignment="1">
      <alignment horizontal="left" wrapText="1"/>
    </xf>
    <xf numFmtId="0" fontId="23" fillId="18" borderId="13" xfId="0" applyFont="1" applyFill="1" applyBorder="1"/>
    <xf numFmtId="0" fontId="23" fillId="18" borderId="12" xfId="0" applyFont="1" applyFill="1" applyBorder="1"/>
    <xf numFmtId="0" fontId="54" fillId="0" borderId="0" xfId="0" applyFont="1" applyFill="1" applyBorder="1" applyAlignment="1"/>
    <xf numFmtId="0" fontId="28" fillId="0" borderId="0" xfId="1" applyFont="1" applyFill="1" applyBorder="1" applyAlignment="1">
      <alignment vertical="top" wrapText="1"/>
    </xf>
    <xf numFmtId="0" fontId="134" fillId="18" borderId="2" xfId="1" applyFont="1" applyFill="1" applyBorder="1" applyAlignment="1">
      <alignment horizontal="center" vertical="top"/>
    </xf>
    <xf numFmtId="0" fontId="54" fillId="18" borderId="2" xfId="1" applyFont="1" applyFill="1" applyBorder="1" applyAlignment="1">
      <alignment horizontal="center" vertical="top" wrapText="1"/>
    </xf>
    <xf numFmtId="0" fontId="59" fillId="5" borderId="4" xfId="0" applyFont="1" applyFill="1" applyBorder="1" applyAlignment="1"/>
    <xf numFmtId="0" fontId="60" fillId="5" borderId="4" xfId="0" applyFont="1" applyFill="1" applyBorder="1" applyAlignment="1">
      <alignment vertical="center"/>
    </xf>
    <xf numFmtId="0" fontId="60" fillId="5" borderId="4" xfId="0" applyFont="1" applyFill="1" applyBorder="1" applyAlignment="1">
      <alignment vertical="center" wrapText="1"/>
    </xf>
    <xf numFmtId="0" fontId="122" fillId="0" borderId="0" xfId="0" applyFont="1" applyFill="1" applyBorder="1" applyAlignment="1"/>
    <xf numFmtId="0" fontId="124" fillId="0" borderId="0" xfId="0" applyFont="1" applyFill="1" applyBorder="1" applyAlignment="1"/>
    <xf numFmtId="0" fontId="99" fillId="0" borderId="0" xfId="0" applyFont="1" applyFill="1" applyBorder="1" applyAlignment="1">
      <alignment vertical="center"/>
    </xf>
    <xf numFmtId="0" fontId="99" fillId="0" borderId="0" xfId="0" applyFont="1" applyFill="1" applyBorder="1" applyAlignment="1">
      <alignment vertical="center" wrapText="1"/>
    </xf>
    <xf numFmtId="0" fontId="0" fillId="18" borderId="0" xfId="0" applyFill="1"/>
    <xf numFmtId="0" fontId="134" fillId="18" borderId="11" xfId="2" applyFont="1" applyFill="1" applyBorder="1"/>
    <xf numFmtId="0" fontId="141" fillId="18" borderId="15" xfId="2" applyFont="1" applyFill="1" applyBorder="1"/>
    <xf numFmtId="0" fontId="142" fillId="18" borderId="15" xfId="2" applyFont="1" applyFill="1" applyBorder="1"/>
    <xf numFmtId="0" fontId="142" fillId="18" borderId="16" xfId="2" applyFont="1" applyFill="1" applyBorder="1"/>
    <xf numFmtId="0" fontId="143" fillId="18" borderId="8" xfId="2" applyFont="1" applyFill="1" applyBorder="1"/>
    <xf numFmtId="0" fontId="144" fillId="18" borderId="0" xfId="2" applyFont="1" applyFill="1" applyBorder="1"/>
    <xf numFmtId="0" fontId="141" fillId="18" borderId="0" xfId="2" applyFont="1" applyFill="1" applyBorder="1"/>
    <xf numFmtId="0" fontId="142" fillId="18" borderId="0" xfId="2" applyFont="1" applyFill="1" applyBorder="1"/>
    <xf numFmtId="0" fontId="142" fillId="18" borderId="9" xfId="2" applyFont="1" applyFill="1" applyBorder="1"/>
    <xf numFmtId="0" fontId="143" fillId="18" borderId="2" xfId="2" applyFont="1" applyFill="1" applyBorder="1" applyAlignment="1">
      <alignment horizontal="left" vertical="center" wrapText="1"/>
    </xf>
    <xf numFmtId="49" fontId="146" fillId="18" borderId="2" xfId="0" applyNumberFormat="1" applyFont="1" applyFill="1" applyBorder="1" applyAlignment="1">
      <alignment horizontal="center" vertical="center" wrapText="1"/>
    </xf>
    <xf numFmtId="0" fontId="136" fillId="18" borderId="2" xfId="0" applyFont="1" applyFill="1" applyBorder="1" applyAlignment="1">
      <alignment horizontal="center" vertical="center" wrapText="1"/>
    </xf>
    <xf numFmtId="0" fontId="145" fillId="18" borderId="2" xfId="0" applyFont="1" applyFill="1" applyBorder="1"/>
    <xf numFmtId="0" fontId="146" fillId="18" borderId="2" xfId="0" applyFont="1" applyFill="1" applyBorder="1" applyAlignment="1">
      <alignment horizontal="center" vertical="center" wrapText="1"/>
    </xf>
    <xf numFmtId="0" fontId="16" fillId="18" borderId="0" xfId="0" applyFont="1" applyFill="1"/>
    <xf numFmtId="0" fontId="128" fillId="0" borderId="0" xfId="0" applyFont="1"/>
    <xf numFmtId="164" fontId="26" fillId="0" borderId="0" xfId="1" applyNumberFormat="1" applyFont="1" applyFill="1" applyBorder="1" applyAlignment="1">
      <alignment horizontal="center" vertical="center" wrapText="1"/>
    </xf>
    <xf numFmtId="0" fontId="44" fillId="18" borderId="0" xfId="0" applyFont="1" applyFill="1"/>
    <xf numFmtId="0" fontId="133" fillId="0" borderId="0" xfId="0" applyFont="1" applyAlignment="1">
      <alignment horizontal="right"/>
    </xf>
    <xf numFmtId="49" fontId="65" fillId="18" borderId="2" xfId="0" applyNumberFormat="1" applyFont="1" applyFill="1" applyBorder="1" applyAlignment="1">
      <alignment horizontal="center" vertical="center" wrapText="1"/>
    </xf>
    <xf numFmtId="49" fontId="148" fillId="18" borderId="2" xfId="0" applyNumberFormat="1" applyFont="1" applyFill="1" applyBorder="1" applyAlignment="1">
      <alignment horizontal="center" vertical="center" wrapText="1"/>
    </xf>
    <xf numFmtId="0" fontId="149" fillId="18" borderId="2" xfId="0" applyFont="1" applyFill="1" applyBorder="1" applyAlignment="1">
      <alignment horizontal="center"/>
    </xf>
    <xf numFmtId="0" fontId="136" fillId="0" borderId="0" xfId="0" applyFont="1" applyFill="1"/>
    <xf numFmtId="0" fontId="145" fillId="0" borderId="0" xfId="0" applyFont="1" applyFill="1"/>
    <xf numFmtId="0" fontId="129" fillId="0" borderId="0" xfId="0" applyFont="1" applyFill="1" applyAlignment="1">
      <alignment vertical="center"/>
    </xf>
    <xf numFmtId="0" fontId="29" fillId="0" borderId="0" xfId="0" applyFont="1" applyFill="1" applyAlignment="1">
      <alignment horizontal="right"/>
    </xf>
    <xf numFmtId="0" fontId="29" fillId="0" borderId="0" xfId="0" applyFont="1" applyFill="1" applyAlignment="1">
      <alignment horizontal="right" vertical="center"/>
    </xf>
    <xf numFmtId="0" fontId="23" fillId="18" borderId="2" xfId="0" applyFont="1" applyFill="1" applyBorder="1"/>
    <xf numFmtId="0" fontId="122" fillId="18" borderId="2" xfId="0" applyFont="1" applyFill="1" applyBorder="1" applyAlignment="1">
      <alignment horizontal="center" vertical="center" wrapText="1"/>
    </xf>
    <xf numFmtId="0" fontId="51" fillId="18" borderId="0" xfId="1" applyFont="1" applyFill="1" applyBorder="1" applyAlignment="1">
      <alignment horizontal="left" vertical="top"/>
    </xf>
    <xf numFmtId="0" fontId="30" fillId="18" borderId="0" xfId="1" applyFill="1" applyBorder="1" applyAlignment="1">
      <alignment horizontal="center" vertical="top"/>
    </xf>
    <xf numFmtId="0" fontId="30" fillId="18" borderId="0" xfId="1" applyFill="1" applyBorder="1" applyAlignment="1">
      <alignment horizontal="left" vertical="top"/>
    </xf>
    <xf numFmtId="0" fontId="15" fillId="18" borderId="2" xfId="3" applyFont="1" applyFill="1" applyBorder="1" applyAlignment="1">
      <alignment horizontal="center" vertical="center" wrapText="1"/>
    </xf>
    <xf numFmtId="0" fontId="59" fillId="12" borderId="2" xfId="0" applyFont="1" applyFill="1" applyBorder="1"/>
    <xf numFmtId="0" fontId="23" fillId="3" borderId="1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51" fillId="18" borderId="1" xfId="1" applyFont="1" applyFill="1" applyBorder="1" applyAlignment="1">
      <alignment vertical="top" wrapText="1"/>
    </xf>
    <xf numFmtId="0" fontId="41" fillId="18" borderId="0" xfId="1" applyFont="1" applyFill="1" applyBorder="1" applyAlignment="1">
      <alignment horizontal="right" vertical="center" wrapText="1"/>
    </xf>
    <xf numFmtId="0" fontId="89" fillId="18" borderId="0" xfId="1" applyFont="1" applyFill="1" applyBorder="1" applyAlignment="1">
      <alignment horizontal="right" vertical="center"/>
    </xf>
    <xf numFmtId="0" fontId="47" fillId="18" borderId="0" xfId="1" applyFont="1" applyFill="1" applyBorder="1" applyAlignment="1">
      <alignment horizontal="left" vertical="top"/>
    </xf>
    <xf numFmtId="0" fontId="40" fillId="18" borderId="0" xfId="1" applyFont="1" applyFill="1" applyBorder="1" applyAlignment="1">
      <alignment horizontal="left" vertical="top"/>
    </xf>
    <xf numFmtId="165" fontId="26" fillId="18" borderId="0" xfId="1" applyNumberFormat="1" applyFont="1" applyFill="1" applyBorder="1" applyAlignment="1">
      <alignment horizontal="left" vertical="center" wrapText="1"/>
    </xf>
    <xf numFmtId="164" fontId="26" fillId="18" borderId="0" xfId="1" applyNumberFormat="1" applyFont="1" applyFill="1" applyBorder="1" applyAlignment="1">
      <alignment horizontal="left" vertical="center"/>
    </xf>
    <xf numFmtId="0" fontId="154" fillId="18" borderId="2" xfId="0" applyFont="1" applyFill="1" applyBorder="1" applyAlignment="1">
      <alignment horizontal="center" vertical="center"/>
    </xf>
    <xf numFmtId="0" fontId="155" fillId="18" borderId="2" xfId="0" applyFont="1" applyFill="1" applyBorder="1" applyAlignment="1">
      <alignment horizontal="center" vertical="center"/>
    </xf>
    <xf numFmtId="0" fontId="136" fillId="18" borderId="2" xfId="0" applyFont="1" applyFill="1" applyBorder="1" applyAlignment="1">
      <alignment wrapText="1"/>
    </xf>
    <xf numFmtId="164" fontId="60" fillId="3" borderId="12" xfId="1" applyNumberFormat="1" applyFont="1" applyFill="1" applyBorder="1" applyAlignment="1">
      <alignment horizontal="center" vertical="center" wrapText="1"/>
    </xf>
    <xf numFmtId="49" fontId="16" fillId="3" borderId="2" xfId="0" applyNumberFormat="1" applyFont="1" applyFill="1" applyBorder="1" applyAlignment="1">
      <alignment horizontal="center"/>
    </xf>
    <xf numFmtId="0" fontId="30" fillId="0" borderId="0" xfId="1" applyAlignment="1">
      <alignment horizontal="center" vertical="top"/>
    </xf>
    <xf numFmtId="0" fontId="30" fillId="0" borderId="0" xfId="1" applyAlignment="1">
      <alignment horizontal="left" vertical="top"/>
    </xf>
    <xf numFmtId="0" fontId="39" fillId="0" borderId="0" xfId="1" applyFont="1" applyAlignment="1">
      <alignment horizontal="left" vertical="top" wrapText="1"/>
    </xf>
    <xf numFmtId="0" fontId="51" fillId="0" borderId="0" xfId="1" applyFont="1" applyAlignment="1">
      <alignment horizontal="left" vertical="top"/>
    </xf>
    <xf numFmtId="0" fontId="22" fillId="12" borderId="2" xfId="1" applyFont="1" applyFill="1" applyBorder="1" applyAlignment="1">
      <alignment horizontal="center" vertical="center" wrapText="1"/>
    </xf>
    <xf numFmtId="0" fontId="45" fillId="12" borderId="10" xfId="0" applyFont="1" applyFill="1" applyBorder="1" applyAlignment="1">
      <alignment horizontal="center" vertical="center"/>
    </xf>
    <xf numFmtId="49" fontId="42" fillId="3" borderId="2" xfId="1" applyNumberFormat="1" applyFont="1" applyFill="1" applyBorder="1" applyAlignment="1">
      <alignment horizontal="center" vertical="top" wrapText="1"/>
    </xf>
    <xf numFmtId="0" fontId="55" fillId="18" borderId="0" xfId="0" applyFont="1" applyFill="1"/>
    <xf numFmtId="0" fontId="16" fillId="18" borderId="15" xfId="0" applyFont="1" applyFill="1" applyBorder="1" applyAlignment="1"/>
    <xf numFmtId="49" fontId="52" fillId="18" borderId="2" xfId="0" applyNumberFormat="1" applyFont="1" applyFill="1" applyBorder="1" applyAlignment="1">
      <alignment horizontal="center" vertical="center"/>
    </xf>
    <xf numFmtId="0" fontId="160" fillId="18" borderId="0" xfId="1" applyFont="1" applyFill="1" applyAlignment="1">
      <alignment horizontal="left" vertical="top"/>
    </xf>
    <xf numFmtId="0" fontId="43" fillId="18" borderId="0" xfId="2" applyFont="1" applyFill="1" applyAlignment="1">
      <alignment horizontal="left"/>
    </xf>
    <xf numFmtId="0" fontId="52" fillId="18" borderId="2" xfId="0" applyFont="1" applyFill="1" applyBorder="1" applyAlignment="1">
      <alignment vertical="center" wrapText="1"/>
    </xf>
    <xf numFmtId="0" fontId="52" fillId="18" borderId="2" xfId="0" applyFont="1" applyFill="1" applyBorder="1" applyAlignment="1">
      <alignment vertical="center"/>
    </xf>
    <xf numFmtId="0" fontId="52" fillId="0" borderId="0" xfId="0" applyFont="1" applyFill="1" applyBorder="1" applyAlignment="1">
      <alignment vertical="center" wrapText="1"/>
    </xf>
    <xf numFmtId="0" fontId="23" fillId="12" borderId="13" xfId="0" applyFont="1" applyFill="1" applyBorder="1"/>
    <xf numFmtId="49" fontId="16" fillId="0"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59" fillId="0" borderId="12" xfId="0" applyFont="1" applyFill="1" applyBorder="1" applyAlignment="1">
      <alignment horizontal="right" vertical="center"/>
    </xf>
    <xf numFmtId="0" fontId="52" fillId="18" borderId="2" xfId="0" applyFont="1" applyFill="1" applyBorder="1"/>
    <xf numFmtId="0" fontId="131" fillId="18" borderId="2" xfId="0" applyFont="1" applyFill="1" applyBorder="1" applyAlignment="1">
      <alignment horizontal="center" vertical="center" wrapText="1"/>
    </xf>
    <xf numFmtId="0" fontId="128" fillId="18" borderId="0" xfId="0" applyFont="1" applyFill="1" applyAlignment="1"/>
    <xf numFmtId="0" fontId="128" fillId="18" borderId="9" xfId="0" applyFont="1" applyFill="1" applyBorder="1" applyAlignment="1"/>
    <xf numFmtId="0" fontId="12" fillId="0" borderId="0" xfId="0" applyFont="1" applyAlignment="1">
      <alignment horizontal="left" vertical="top"/>
    </xf>
    <xf numFmtId="0" fontId="59" fillId="0" borderId="0" xfId="0" applyFont="1" applyAlignment="1">
      <alignment horizontal="center"/>
    </xf>
    <xf numFmtId="0" fontId="13" fillId="0" borderId="0" xfId="0" applyFont="1" applyAlignment="1">
      <alignment horizontal="left" vertical="top"/>
    </xf>
    <xf numFmtId="0" fontId="59" fillId="0" borderId="0" xfId="0" applyFont="1" applyAlignment="1">
      <alignment horizontal="left" vertical="top"/>
    </xf>
    <xf numFmtId="0" fontId="59" fillId="0" borderId="12" xfId="0" applyFont="1" applyBorder="1" applyAlignment="1">
      <alignment horizontal="left" vertical="center"/>
    </xf>
    <xf numFmtId="0" fontId="63" fillId="0" borderId="13" xfId="0" applyFont="1" applyBorder="1" applyAlignment="1">
      <alignment horizontal="left" vertical="top"/>
    </xf>
    <xf numFmtId="0" fontId="59" fillId="0" borderId="13" xfId="0" applyFont="1" applyBorder="1" applyAlignment="1">
      <alignment horizontal="left" vertical="top"/>
    </xf>
    <xf numFmtId="0" fontId="59" fillId="0" borderId="13" xfId="0" applyFont="1" applyBorder="1" applyAlignment="1">
      <alignment horizontal="right" vertical="center"/>
    </xf>
    <xf numFmtId="0" fontId="23" fillId="0" borderId="0" xfId="0" applyFont="1" applyAlignment="1">
      <alignment horizontal="right"/>
    </xf>
    <xf numFmtId="0" fontId="48" fillId="0" borderId="0" xfId="0" applyFont="1" applyAlignment="1">
      <alignment horizontal="center" vertical="center"/>
    </xf>
    <xf numFmtId="0" fontId="23" fillId="0" borderId="0" xfId="0" applyFont="1" applyAlignment="1">
      <alignment horizontal="center"/>
    </xf>
    <xf numFmtId="0" fontId="59" fillId="19" borderId="12" xfId="0" applyFont="1" applyFill="1" applyBorder="1" applyAlignment="1">
      <alignment horizontal="right" vertical="center"/>
    </xf>
    <xf numFmtId="0" fontId="55" fillId="0" borderId="0" xfId="0" applyFont="1" applyFill="1"/>
    <xf numFmtId="0" fontId="16" fillId="19" borderId="2" xfId="0" applyFont="1" applyFill="1" applyBorder="1" applyAlignment="1">
      <alignment horizontal="left" vertical="center"/>
    </xf>
    <xf numFmtId="0" fontId="16" fillId="19" borderId="2" xfId="0" applyFont="1" applyFill="1" applyBorder="1" applyAlignment="1">
      <alignment horizontal="left" vertical="center" wrapText="1"/>
    </xf>
    <xf numFmtId="0" fontId="161" fillId="18" borderId="2" xfId="0" applyFont="1" applyFill="1" applyBorder="1" applyAlignment="1">
      <alignment horizontal="center" vertical="center"/>
    </xf>
    <xf numFmtId="0" fontId="161" fillId="0" borderId="0" xfId="0" applyFont="1" applyFill="1" applyBorder="1" applyAlignment="1">
      <alignment horizontal="center" vertical="center"/>
    </xf>
    <xf numFmtId="0" fontId="52" fillId="0" borderId="0" xfId="0" applyFont="1" applyFill="1" applyBorder="1" applyAlignment="1">
      <alignment vertical="center"/>
    </xf>
    <xf numFmtId="0" fontId="59" fillId="13" borderId="0" xfId="0" applyFont="1" applyFill="1" applyAlignment="1">
      <alignment horizontal="center"/>
    </xf>
    <xf numFmtId="0" fontId="26" fillId="18" borderId="10" xfId="0" applyFont="1" applyFill="1" applyBorder="1" applyAlignment="1">
      <alignment horizontal="left" vertical="top" wrapText="1"/>
    </xf>
    <xf numFmtId="0" fontId="26" fillId="18" borderId="13" xfId="0" applyFont="1" applyFill="1" applyBorder="1" applyAlignment="1">
      <alignment horizontal="left" vertical="top" wrapText="1"/>
    </xf>
    <xf numFmtId="0" fontId="26" fillId="18" borderId="12" xfId="0" applyFont="1" applyFill="1" applyBorder="1" applyAlignment="1">
      <alignment horizontal="left" vertical="top" wrapText="1"/>
    </xf>
    <xf numFmtId="0" fontId="64" fillId="0" borderId="0" xfId="0" applyFont="1" applyFill="1" applyBorder="1" applyAlignment="1">
      <alignment horizontal="right" vertical="center"/>
    </xf>
    <xf numFmtId="0" fontId="23" fillId="0" borderId="10" xfId="0" applyFont="1" applyBorder="1" applyAlignment="1">
      <alignment horizontal="right"/>
    </xf>
    <xf numFmtId="0" fontId="23" fillId="0" borderId="12" xfId="0" applyFont="1" applyBorder="1" applyAlignment="1">
      <alignment horizontal="right"/>
    </xf>
    <xf numFmtId="0" fontId="23" fillId="12" borderId="10" xfId="0" applyFont="1" applyFill="1" applyBorder="1"/>
    <xf numFmtId="0" fontId="23" fillId="12" borderId="13" xfId="0" applyFont="1" applyFill="1" applyBorder="1"/>
    <xf numFmtId="0" fontId="23" fillId="0" borderId="10" xfId="0" applyFont="1" applyBorder="1"/>
    <xf numFmtId="0" fontId="23" fillId="0" borderId="12" xfId="0" applyFont="1" applyBorder="1"/>
    <xf numFmtId="0" fontId="64" fillId="18" borderId="1" xfId="0" applyFont="1" applyFill="1" applyBorder="1" applyAlignment="1">
      <alignment horizontal="left" vertical="center"/>
    </xf>
    <xf numFmtId="0" fontId="16" fillId="18" borderId="0" xfId="0" applyFont="1" applyFill="1" applyAlignment="1">
      <alignment horizontal="left"/>
    </xf>
    <xf numFmtId="0" fontId="134" fillId="18" borderId="10" xfId="0" applyFont="1" applyFill="1" applyBorder="1"/>
    <xf numFmtId="0" fontId="134" fillId="18" borderId="12" xfId="0" applyFont="1" applyFill="1" applyBorder="1"/>
    <xf numFmtId="0" fontId="52" fillId="18" borderId="10" xfId="0" applyFont="1" applyFill="1" applyBorder="1"/>
    <xf numFmtId="0" fontId="52" fillId="18" borderId="13" xfId="0" applyFont="1" applyFill="1" applyBorder="1"/>
    <xf numFmtId="0" fontId="64" fillId="18" borderId="0" xfId="0" applyFont="1" applyFill="1" applyBorder="1" applyAlignment="1">
      <alignment horizontal="left" vertical="center"/>
    </xf>
    <xf numFmtId="0" fontId="64" fillId="19" borderId="1" xfId="0" applyFont="1" applyFill="1" applyBorder="1" applyAlignment="1">
      <alignment horizontal="left" vertical="center"/>
    </xf>
    <xf numFmtId="0" fontId="64" fillId="0" borderId="0" xfId="0" applyFont="1" applyAlignment="1">
      <alignment horizontal="right" vertical="center"/>
    </xf>
    <xf numFmtId="0" fontId="26" fillId="19" borderId="10" xfId="0" applyFont="1" applyFill="1" applyBorder="1" applyAlignment="1">
      <alignment horizontal="left" vertical="top" wrapText="1"/>
    </xf>
    <xf numFmtId="0" fontId="26" fillId="19" borderId="13" xfId="0" applyFont="1" applyFill="1" applyBorder="1" applyAlignment="1">
      <alignment horizontal="left" vertical="top" wrapText="1"/>
    </xf>
    <xf numFmtId="0" fontId="26" fillId="19" borderId="12" xfId="0" applyFont="1" applyFill="1" applyBorder="1" applyAlignment="1">
      <alignment horizontal="left" vertical="top" wrapText="1"/>
    </xf>
    <xf numFmtId="0" fontId="64" fillId="19" borderId="0" xfId="0" applyFont="1" applyFill="1" applyAlignment="1">
      <alignment horizontal="left" vertical="center"/>
    </xf>
    <xf numFmtId="0" fontId="16" fillId="0" borderId="2" xfId="0" applyFont="1" applyBorder="1"/>
    <xf numFmtId="0" fontId="16" fillId="11" borderId="2" xfId="0" applyFont="1" applyFill="1" applyBorder="1"/>
    <xf numFmtId="0" fontId="16" fillId="0" borderId="10" xfId="0" applyFont="1" applyBorder="1" applyAlignment="1">
      <alignment horizontal="left"/>
    </xf>
    <xf numFmtId="0" fontId="16" fillId="0" borderId="13" xfId="0" applyFont="1" applyBorder="1" applyAlignment="1">
      <alignment horizontal="left"/>
    </xf>
    <xf numFmtId="0" fontId="16" fillId="0" borderId="12" xfId="0" applyFont="1" applyBorder="1" applyAlignment="1">
      <alignment horizontal="left"/>
    </xf>
    <xf numFmtId="0" fontId="16" fillId="0" borderId="15" xfId="0" applyFont="1" applyFill="1" applyBorder="1" applyAlignment="1">
      <alignment horizontal="left" vertical="top" wrapText="1"/>
    </xf>
    <xf numFmtId="0" fontId="16" fillId="0" borderId="16" xfId="0" applyFont="1" applyFill="1"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0" fillId="13" borderId="0" xfId="0" applyFill="1" applyAlignment="1">
      <alignment horizontal="center"/>
    </xf>
    <xf numFmtId="0" fontId="17" fillId="2" borderId="3" xfId="0" applyFont="1" applyFill="1" applyBorder="1" applyAlignment="1">
      <alignment horizontal="left" vertical="top" wrapText="1"/>
    </xf>
    <xf numFmtId="0" fontId="18" fillId="2" borderId="7" xfId="0" applyFont="1" applyFill="1" applyBorder="1" applyAlignment="1">
      <alignment horizontal="left" vertical="top" wrapText="1"/>
    </xf>
    <xf numFmtId="0" fontId="18" fillId="2" borderId="14" xfId="0" applyFont="1" applyFill="1" applyBorder="1" applyAlignment="1">
      <alignment horizontal="left" vertical="top" wrapText="1"/>
    </xf>
    <xf numFmtId="49" fontId="16" fillId="0" borderId="2" xfId="0" applyNumberFormat="1" applyFont="1" applyFill="1" applyBorder="1" applyAlignment="1">
      <alignment horizontal="center" vertical="center"/>
    </xf>
    <xf numFmtId="0" fontId="0" fillId="0" borderId="2" xfId="0" applyBorder="1" applyAlignment="1"/>
    <xf numFmtId="0" fontId="16" fillId="0" borderId="2" xfId="0" applyFont="1" applyBorder="1" applyAlignment="1">
      <alignment horizontal="left" vertical="center"/>
    </xf>
    <xf numFmtId="0" fontId="0" fillId="0" borderId="2" xfId="0" applyBorder="1" applyAlignment="1">
      <alignment vertical="center"/>
    </xf>
    <xf numFmtId="0" fontId="0" fillId="11" borderId="2" xfId="0" applyFill="1" applyBorder="1" applyAlignment="1">
      <alignment horizontal="center"/>
    </xf>
    <xf numFmtId="0" fontId="52" fillId="18" borderId="2" xfId="0" applyFont="1" applyFill="1" applyBorder="1" applyAlignment="1">
      <alignment horizontal="left"/>
    </xf>
    <xf numFmtId="0" fontId="52" fillId="18" borderId="2" xfId="0" applyFont="1" applyFill="1" applyBorder="1" applyAlignment="1">
      <alignment horizontal="left" vertical="center"/>
    </xf>
    <xf numFmtId="0" fontId="52" fillId="18" borderId="2" xfId="0" applyFont="1" applyFill="1" applyBorder="1" applyAlignment="1">
      <alignment horizontal="left" vertical="center" wrapText="1"/>
    </xf>
    <xf numFmtId="0" fontId="52" fillId="18" borderId="11" xfId="0" applyFont="1" applyFill="1" applyBorder="1" applyAlignment="1">
      <alignment horizontal="left" vertical="center" wrapText="1"/>
    </xf>
    <xf numFmtId="0" fontId="52" fillId="18" borderId="16" xfId="0" applyFont="1" applyFill="1" applyBorder="1" applyAlignment="1">
      <alignment horizontal="left" vertical="center" wrapText="1"/>
    </xf>
    <xf numFmtId="0" fontId="52" fillId="18" borderId="18" xfId="0" applyFont="1" applyFill="1" applyBorder="1" applyAlignment="1">
      <alignment horizontal="left" vertical="center" wrapText="1"/>
    </xf>
    <xf numFmtId="0" fontId="52" fillId="18" borderId="17" xfId="0" applyFont="1" applyFill="1" applyBorder="1" applyAlignment="1">
      <alignment horizontal="left" vertical="center" wrapText="1"/>
    </xf>
    <xf numFmtId="0" fontId="16" fillId="0" borderId="15" xfId="0" applyFont="1" applyBorder="1"/>
    <xf numFmtId="0" fontId="16" fillId="18" borderId="1" xfId="0" applyFont="1" applyFill="1" applyBorder="1"/>
    <xf numFmtId="0" fontId="161" fillId="18" borderId="4" xfId="0" applyFont="1" applyFill="1" applyBorder="1" applyAlignment="1">
      <alignment horizontal="center" vertical="center"/>
    </xf>
    <xf numFmtId="0" fontId="161" fillId="18" borderId="6" xfId="0" applyFont="1" applyFill="1" applyBorder="1" applyAlignment="1">
      <alignment horizontal="center" vertical="center"/>
    </xf>
    <xf numFmtId="0" fontId="52" fillId="18" borderId="4" xfId="0" applyFont="1" applyFill="1" applyBorder="1" applyAlignment="1">
      <alignment horizontal="left" vertical="center" wrapText="1"/>
    </xf>
    <xf numFmtId="0" fontId="52" fillId="18" borderId="6" xfId="0" applyFont="1" applyFill="1" applyBorder="1" applyAlignment="1">
      <alignment horizontal="left" vertical="center" wrapText="1"/>
    </xf>
    <xf numFmtId="0" fontId="52" fillId="18" borderId="11" xfId="0" applyFont="1" applyFill="1" applyBorder="1" applyAlignment="1">
      <alignment horizontal="left" vertical="center"/>
    </xf>
    <xf numFmtId="0" fontId="52" fillId="18" borderId="15" xfId="0" applyFont="1" applyFill="1" applyBorder="1" applyAlignment="1">
      <alignment horizontal="left" vertical="center"/>
    </xf>
    <xf numFmtId="0" fontId="52" fillId="18" borderId="16" xfId="0" applyFont="1" applyFill="1" applyBorder="1" applyAlignment="1">
      <alignment horizontal="left" vertical="center"/>
    </xf>
    <xf numFmtId="0" fontId="52" fillId="18" borderId="18" xfId="0" applyFont="1" applyFill="1" applyBorder="1" applyAlignment="1">
      <alignment horizontal="left" vertical="center"/>
    </xf>
    <xf numFmtId="0" fontId="52" fillId="18" borderId="1" xfId="0" applyFont="1" applyFill="1" applyBorder="1" applyAlignment="1">
      <alignment horizontal="left" vertical="center"/>
    </xf>
    <xf numFmtId="0" fontId="52" fillId="18" borderId="17" xfId="0" applyFont="1" applyFill="1" applyBorder="1" applyAlignment="1">
      <alignment horizontal="left" vertical="center"/>
    </xf>
    <xf numFmtId="0" fontId="52" fillId="0" borderId="0" xfId="0" applyFont="1" applyFill="1" applyBorder="1" applyAlignment="1">
      <alignment horizontal="left" vertical="center"/>
    </xf>
    <xf numFmtId="0" fontId="52" fillId="0" borderId="0" xfId="0" applyFont="1" applyFill="1" applyBorder="1" applyAlignment="1">
      <alignment horizontal="left" vertical="center" wrapText="1"/>
    </xf>
    <xf numFmtId="0" fontId="161" fillId="18" borderId="2" xfId="0" applyFont="1" applyFill="1" applyBorder="1" applyAlignment="1">
      <alignment horizontal="center" vertical="center"/>
    </xf>
    <xf numFmtId="0" fontId="52" fillId="18" borderId="4" xfId="0" applyFont="1" applyFill="1" applyBorder="1" applyAlignment="1">
      <alignment horizontal="left" vertical="center"/>
    </xf>
    <xf numFmtId="0" fontId="52" fillId="19" borderId="2" xfId="0" applyFont="1" applyFill="1" applyBorder="1" applyAlignment="1">
      <alignment horizontal="left" vertical="center" wrapText="1"/>
    </xf>
    <xf numFmtId="0" fontId="52" fillId="19" borderId="4" xfId="0" applyFont="1" applyFill="1" applyBorder="1" applyAlignment="1">
      <alignment horizontal="left" vertical="center" wrapText="1"/>
    </xf>
    <xf numFmtId="0" fontId="161" fillId="18" borderId="5" xfId="0" applyFont="1" applyFill="1" applyBorder="1" applyAlignment="1">
      <alignment horizontal="center" vertical="center"/>
    </xf>
    <xf numFmtId="0" fontId="52" fillId="18" borderId="5" xfId="0" applyFont="1" applyFill="1" applyBorder="1" applyAlignment="1">
      <alignment horizontal="left" vertical="center" wrapText="1"/>
    </xf>
    <xf numFmtId="0" fontId="16" fillId="18" borderId="2" xfId="0" applyFont="1" applyFill="1" applyBorder="1" applyAlignment="1">
      <alignment horizontal="center" vertical="top" wrapText="1"/>
    </xf>
    <xf numFmtId="0" fontId="77" fillId="0" borderId="15" xfId="0" applyFont="1" applyFill="1" applyBorder="1" applyAlignment="1">
      <alignment horizontal="left" vertical="top" wrapText="1"/>
    </xf>
    <xf numFmtId="49" fontId="0" fillId="0" borderId="10" xfId="0" applyNumberFormat="1" applyFont="1" applyFill="1" applyBorder="1" applyAlignment="1">
      <alignment horizontal="center" vertical="center"/>
    </xf>
    <xf numFmtId="49" fontId="0" fillId="0" borderId="13" xfId="0" applyNumberFormat="1" applyFont="1" applyFill="1" applyBorder="1" applyAlignment="1">
      <alignment horizontal="center" vertical="center"/>
    </xf>
    <xf numFmtId="49" fontId="0" fillId="0" borderId="12" xfId="0" applyNumberFormat="1" applyFont="1" applyFill="1" applyBorder="1" applyAlignment="1">
      <alignment horizontal="center" vertical="center"/>
    </xf>
    <xf numFmtId="0" fontId="25" fillId="0" borderId="2" xfId="0" applyFont="1" applyFill="1" applyBorder="1" applyAlignment="1">
      <alignment horizontal="center" vertical="center" wrapText="1"/>
    </xf>
    <xf numFmtId="0" fontId="16" fillId="5" borderId="10" xfId="0" applyFont="1" applyFill="1" applyBorder="1" applyAlignment="1">
      <alignment horizontal="center"/>
    </xf>
    <xf numFmtId="0" fontId="16" fillId="5" borderId="13" xfId="0" applyFont="1" applyFill="1" applyBorder="1" applyAlignment="1">
      <alignment horizontal="center"/>
    </xf>
    <xf numFmtId="0" fontId="16" fillId="5" borderId="12" xfId="0" applyFont="1" applyFill="1" applyBorder="1" applyAlignment="1">
      <alignment horizontal="center"/>
    </xf>
    <xf numFmtId="0" fontId="17" fillId="2" borderId="10" xfId="0" applyFont="1" applyFill="1" applyBorder="1" applyAlignment="1">
      <alignment horizontal="left" vertical="top" wrapText="1"/>
    </xf>
    <xf numFmtId="0" fontId="17" fillId="2" borderId="13" xfId="0" applyFont="1" applyFill="1" applyBorder="1" applyAlignment="1">
      <alignment horizontal="left" vertical="top" wrapText="1"/>
    </xf>
    <xf numFmtId="0" fontId="17" fillId="2" borderId="12" xfId="0" applyFont="1" applyFill="1" applyBorder="1" applyAlignment="1">
      <alignment horizontal="left" vertical="top" wrapText="1"/>
    </xf>
    <xf numFmtId="0" fontId="53" fillId="18" borderId="10" xfId="0" applyFont="1" applyFill="1" applyBorder="1" applyAlignment="1">
      <alignment horizontal="left" vertical="top" wrapText="1"/>
    </xf>
    <xf numFmtId="0" fontId="53" fillId="18" borderId="13" xfId="0" applyFont="1" applyFill="1" applyBorder="1" applyAlignment="1">
      <alignment horizontal="left" vertical="top" wrapText="1"/>
    </xf>
    <xf numFmtId="0" fontId="53" fillId="18" borderId="12" xfId="0" applyFont="1" applyFill="1" applyBorder="1" applyAlignment="1">
      <alignment horizontal="left" vertical="top" wrapText="1"/>
    </xf>
    <xf numFmtId="49" fontId="0" fillId="3" borderId="10" xfId="0" applyNumberFormat="1" applyFont="1" applyFill="1" applyBorder="1" applyAlignment="1">
      <alignment horizontal="center" vertical="center"/>
    </xf>
    <xf numFmtId="49" fontId="0" fillId="3" borderId="13" xfId="0" applyNumberFormat="1" applyFont="1" applyFill="1" applyBorder="1" applyAlignment="1">
      <alignment horizontal="center" vertical="center"/>
    </xf>
    <xf numFmtId="49" fontId="0" fillId="3" borderId="12" xfId="0" applyNumberFormat="1" applyFont="1" applyFill="1" applyBorder="1" applyAlignment="1">
      <alignment horizontal="center" vertical="center"/>
    </xf>
    <xf numFmtId="0" fontId="0" fillId="3" borderId="13" xfId="0" applyFont="1" applyFill="1" applyBorder="1" applyAlignment="1">
      <alignment horizontal="center" vertical="center"/>
    </xf>
    <xf numFmtId="0" fontId="0" fillId="3" borderId="13" xfId="0" applyFont="1" applyFill="1" applyBorder="1" applyAlignment="1">
      <alignment horizontal="left" vertical="center"/>
    </xf>
    <xf numFmtId="0" fontId="0" fillId="3" borderId="12" xfId="0" applyFont="1" applyFill="1" applyBorder="1" applyAlignment="1">
      <alignment horizontal="left" vertical="center"/>
    </xf>
    <xf numFmtId="0" fontId="25" fillId="0" borderId="18" xfId="0" applyFont="1" applyFill="1" applyBorder="1" applyAlignment="1">
      <alignment horizontal="left" wrapText="1"/>
    </xf>
    <xf numFmtId="0" fontId="25" fillId="0" borderId="1" xfId="0" applyFont="1" applyFill="1" applyBorder="1" applyAlignment="1">
      <alignment horizontal="left" wrapText="1"/>
    </xf>
    <xf numFmtId="0" fontId="25" fillId="0" borderId="12" xfId="0" applyFont="1" applyFill="1" applyBorder="1" applyAlignment="1">
      <alignment horizontal="left" wrapText="1"/>
    </xf>
    <xf numFmtId="0" fontId="0" fillId="0" borderId="13" xfId="0" applyFont="1" applyFill="1" applyBorder="1" applyAlignment="1">
      <alignment horizontal="left" vertical="center"/>
    </xf>
    <xf numFmtId="0" fontId="0" fillId="0" borderId="12" xfId="0" applyFont="1" applyFill="1" applyBorder="1" applyAlignment="1">
      <alignment horizontal="left" vertical="center"/>
    </xf>
    <xf numFmtId="0" fontId="0" fillId="18" borderId="10" xfId="0" applyFont="1" applyFill="1" applyBorder="1" applyAlignment="1">
      <alignment horizontal="left"/>
    </xf>
    <xf numFmtId="0" fontId="0" fillId="18" borderId="13" xfId="0" applyFont="1" applyFill="1" applyBorder="1" applyAlignment="1">
      <alignment horizontal="left"/>
    </xf>
    <xf numFmtId="0" fontId="0" fillId="18" borderId="12" xfId="0" applyFont="1" applyFill="1" applyBorder="1" applyAlignment="1">
      <alignment horizontal="left"/>
    </xf>
    <xf numFmtId="0" fontId="68" fillId="0" borderId="10" xfId="0" applyFont="1" applyFill="1" applyBorder="1" applyAlignment="1">
      <alignment horizontal="left" vertical="top" wrapText="1"/>
    </xf>
    <xf numFmtId="0" fontId="68" fillId="0" borderId="13" xfId="0" applyFont="1" applyFill="1" applyBorder="1" applyAlignment="1">
      <alignment horizontal="left" vertical="top" wrapText="1"/>
    </xf>
    <xf numFmtId="0" fontId="68" fillId="0" borderId="12" xfId="0" applyFont="1" applyFill="1" applyBorder="1" applyAlignment="1">
      <alignment horizontal="left" vertical="top" wrapText="1"/>
    </xf>
    <xf numFmtId="0" fontId="0" fillId="0" borderId="1" xfId="0" applyFont="1" applyFill="1" applyBorder="1"/>
    <xf numFmtId="0" fontId="0" fillId="0" borderId="17" xfId="0" applyFont="1" applyFill="1" applyBorder="1"/>
    <xf numFmtId="0" fontId="25" fillId="0" borderId="10"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112" fillId="5" borderId="10" xfId="0" applyFont="1" applyFill="1" applyBorder="1" applyAlignment="1">
      <alignment horizontal="center"/>
    </xf>
    <xf numFmtId="0" fontId="24" fillId="5" borderId="13" xfId="0" applyFont="1" applyFill="1" applyBorder="1" applyAlignment="1">
      <alignment horizontal="center"/>
    </xf>
    <xf numFmtId="0" fontId="24" fillId="5" borderId="12" xfId="0" applyFont="1" applyFill="1" applyBorder="1" applyAlignment="1">
      <alignment horizontal="center"/>
    </xf>
    <xf numFmtId="0" fontId="85" fillId="12" borderId="10" xfId="0" applyFont="1" applyFill="1" applyBorder="1" applyAlignment="1">
      <alignment horizontal="center" vertical="center"/>
    </xf>
    <xf numFmtId="0" fontId="85" fillId="12" borderId="12" xfId="0" applyFont="1" applyFill="1" applyBorder="1" applyAlignment="1">
      <alignment horizontal="center" vertical="center"/>
    </xf>
    <xf numFmtId="0" fontId="23" fillId="0" borderId="4" xfId="3" applyFont="1" applyFill="1" applyBorder="1" applyAlignment="1">
      <alignment horizontal="center" vertical="center" wrapText="1"/>
    </xf>
    <xf numFmtId="0" fontId="23" fillId="0" borderId="5" xfId="3" applyFont="1" applyFill="1" applyBorder="1" applyAlignment="1">
      <alignment horizontal="center" vertical="center" wrapText="1"/>
    </xf>
    <xf numFmtId="0" fontId="23" fillId="0" borderId="6" xfId="3" applyFont="1" applyFill="1" applyBorder="1" applyAlignment="1">
      <alignment horizontal="center" vertical="center" wrapText="1"/>
    </xf>
    <xf numFmtId="0" fontId="18" fillId="18" borderId="10" xfId="0" applyFont="1" applyFill="1" applyBorder="1" applyAlignment="1">
      <alignment horizontal="right" vertical="center"/>
    </xf>
    <xf numFmtId="0" fontId="18" fillId="18" borderId="13" xfId="0" applyFont="1" applyFill="1" applyBorder="1" applyAlignment="1">
      <alignment horizontal="right" vertical="center"/>
    </xf>
    <xf numFmtId="0" fontId="18" fillId="18" borderId="12" xfId="0" applyFont="1" applyFill="1" applyBorder="1" applyAlignment="1">
      <alignment horizontal="right" vertical="center"/>
    </xf>
    <xf numFmtId="0" fontId="18" fillId="9" borderId="10" xfId="0" applyFont="1" applyFill="1" applyBorder="1" applyAlignment="1">
      <alignment horizontal="right" vertical="center"/>
    </xf>
    <xf numFmtId="0" fontId="18" fillId="9" borderId="13" xfId="0" applyFont="1" applyFill="1" applyBorder="1" applyAlignment="1">
      <alignment horizontal="right" vertical="center"/>
    </xf>
    <xf numFmtId="0" fontId="18" fillId="9" borderId="12" xfId="0" applyFont="1" applyFill="1" applyBorder="1" applyAlignment="1">
      <alignment horizontal="right" vertical="center"/>
    </xf>
    <xf numFmtId="0" fontId="18" fillId="2" borderId="2" xfId="3" applyFont="1" applyFill="1" applyBorder="1" applyAlignment="1">
      <alignment horizontal="left" vertical="top" wrapText="1"/>
    </xf>
    <xf numFmtId="0" fontId="37" fillId="2" borderId="2" xfId="3" applyFont="1" applyFill="1" applyBorder="1" applyAlignment="1">
      <alignment horizontal="left" vertical="top" wrapText="1"/>
    </xf>
    <xf numFmtId="0" fontId="93" fillId="0" borderId="2" xfId="8" applyFont="1" applyFill="1" applyBorder="1" applyAlignment="1">
      <alignment horizontal="center" vertical="center" wrapText="1"/>
    </xf>
    <xf numFmtId="0" fontId="22" fillId="0" borderId="2" xfId="8" applyFont="1" applyFill="1" applyBorder="1" applyAlignment="1">
      <alignment horizontal="center" vertical="center" wrapText="1"/>
    </xf>
    <xf numFmtId="0" fontId="18" fillId="0" borderId="2" xfId="8" applyFont="1" applyFill="1" applyBorder="1" applyAlignment="1">
      <alignment horizontal="center" vertical="center" wrapText="1"/>
    </xf>
    <xf numFmtId="0" fontId="18" fillId="0" borderId="2" xfId="3" applyFont="1" applyFill="1" applyBorder="1" applyAlignment="1">
      <alignment horizontal="center" vertical="top"/>
    </xf>
    <xf numFmtId="0" fontId="18" fillId="0" borderId="2" xfId="3" applyFont="1" applyFill="1" applyBorder="1" applyAlignment="1">
      <alignment horizontal="center" vertical="center" wrapText="1"/>
    </xf>
    <xf numFmtId="0" fontId="53" fillId="0" borderId="2" xfId="3" applyFont="1" applyFill="1" applyBorder="1" applyAlignment="1">
      <alignment horizontal="left" vertical="top" wrapText="1"/>
    </xf>
    <xf numFmtId="0" fontId="18" fillId="18" borderId="2" xfId="3" applyFont="1" applyFill="1" applyBorder="1" applyAlignment="1">
      <alignment horizontal="center" vertical="top"/>
    </xf>
    <xf numFmtId="0" fontId="23" fillId="0" borderId="4" xfId="3" quotePrefix="1" applyFont="1" applyFill="1" applyBorder="1" applyAlignment="1">
      <alignment horizontal="center" vertical="center" wrapText="1"/>
    </xf>
    <xf numFmtId="0" fontId="23" fillId="0" borderId="5" xfId="3" quotePrefix="1" applyFont="1" applyFill="1" applyBorder="1" applyAlignment="1">
      <alignment horizontal="center" vertical="center" wrapText="1"/>
    </xf>
    <xf numFmtId="0" fontId="23" fillId="0" borderId="6" xfId="3" quotePrefix="1" applyFont="1" applyFill="1" applyBorder="1" applyAlignment="1">
      <alignment horizontal="center" vertical="center" wrapText="1"/>
    </xf>
    <xf numFmtId="0" fontId="23" fillId="0" borderId="0" xfId="0" applyFont="1" applyFill="1" applyAlignment="1">
      <alignment horizontal="left"/>
    </xf>
    <xf numFmtId="0" fontId="16" fillId="5" borderId="11" xfId="0" applyFont="1" applyFill="1" applyBorder="1" applyAlignment="1">
      <alignment horizontal="left" vertical="top" wrapText="1"/>
    </xf>
    <xf numFmtId="0" fontId="16" fillId="5" borderId="15" xfId="0" applyFont="1" applyFill="1" applyBorder="1" applyAlignment="1">
      <alignment horizontal="left" vertical="top" wrapText="1"/>
    </xf>
    <xf numFmtId="0" fontId="16" fillId="5" borderId="16" xfId="0" applyFont="1" applyFill="1" applyBorder="1" applyAlignment="1">
      <alignment horizontal="left" vertical="top" wrapText="1"/>
    </xf>
    <xf numFmtId="0" fontId="16" fillId="5" borderId="18"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17" xfId="0" applyFont="1" applyFill="1" applyBorder="1" applyAlignment="1">
      <alignment horizontal="left" vertical="top" wrapText="1"/>
    </xf>
    <xf numFmtId="0" fontId="53" fillId="0" borderId="10" xfId="0" applyFont="1" applyFill="1" applyBorder="1" applyAlignment="1">
      <alignment horizontal="left" vertical="top" wrapText="1"/>
    </xf>
    <xf numFmtId="0" fontId="53" fillId="0" borderId="13" xfId="0" applyFont="1" applyFill="1" applyBorder="1" applyAlignment="1">
      <alignment horizontal="left" vertical="top" wrapText="1"/>
    </xf>
    <xf numFmtId="0" fontId="53" fillId="0" borderId="12" xfId="0" applyFont="1" applyFill="1" applyBorder="1" applyAlignment="1">
      <alignment horizontal="left" vertical="top" wrapText="1"/>
    </xf>
    <xf numFmtId="49" fontId="134" fillId="18" borderId="0" xfId="0" applyNumberFormat="1" applyFont="1" applyFill="1" applyAlignment="1">
      <alignment horizontal="left"/>
    </xf>
    <xf numFmtId="0" fontId="16" fillId="12" borderId="11" xfId="0" applyFont="1" applyFill="1" applyBorder="1" applyAlignment="1">
      <alignment horizontal="left" vertical="top" wrapText="1"/>
    </xf>
    <xf numFmtId="0" fontId="16" fillId="12" borderId="15" xfId="0" applyFont="1" applyFill="1" applyBorder="1" applyAlignment="1">
      <alignment horizontal="left" vertical="top" wrapText="1"/>
    </xf>
    <xf numFmtId="0" fontId="16" fillId="12" borderId="16" xfId="0" applyFont="1" applyFill="1" applyBorder="1" applyAlignment="1">
      <alignment horizontal="left" vertical="top" wrapText="1"/>
    </xf>
    <xf numFmtId="0" fontId="16" fillId="12" borderId="18" xfId="0" applyFont="1" applyFill="1" applyBorder="1" applyAlignment="1">
      <alignment horizontal="left" vertical="top" wrapText="1"/>
    </xf>
    <xf numFmtId="0" fontId="16" fillId="12" borderId="1" xfId="0" applyFont="1" applyFill="1" applyBorder="1" applyAlignment="1">
      <alignment horizontal="left" vertical="top" wrapText="1"/>
    </xf>
    <xf numFmtId="0" fontId="16" fillId="12" borderId="17" xfId="0" applyFont="1" applyFill="1" applyBorder="1" applyAlignment="1">
      <alignment horizontal="left" vertical="top" wrapText="1"/>
    </xf>
    <xf numFmtId="0" fontId="17" fillId="2" borderId="2" xfId="0" applyFont="1" applyFill="1" applyBorder="1" applyAlignment="1">
      <alignment horizontal="left" vertical="top" wrapText="1"/>
    </xf>
    <xf numFmtId="0" fontId="47" fillId="18" borderId="2" xfId="1" applyFont="1" applyFill="1" applyBorder="1" applyAlignment="1">
      <alignment horizontal="left" vertical="center" wrapText="1"/>
    </xf>
    <xf numFmtId="0" fontId="26" fillId="18" borderId="2" xfId="1" applyFont="1" applyFill="1" applyBorder="1" applyAlignment="1">
      <alignment horizontal="left" vertical="center" wrapText="1"/>
    </xf>
    <xf numFmtId="0" fontId="95" fillId="3" borderId="2" xfId="1" applyFont="1" applyFill="1" applyBorder="1" applyAlignment="1">
      <alignment horizontal="left" vertical="top" wrapText="1"/>
    </xf>
    <xf numFmtId="49" fontId="98" fillId="3" borderId="10" xfId="1" applyNumberFormat="1" applyFont="1" applyFill="1" applyBorder="1" applyAlignment="1">
      <alignment horizontal="center" vertical="top" wrapText="1"/>
    </xf>
    <xf numFmtId="49" fontId="98" fillId="3" borderId="13" xfId="1" applyNumberFormat="1" applyFont="1" applyFill="1" applyBorder="1" applyAlignment="1">
      <alignment horizontal="center" vertical="top" wrapText="1"/>
    </xf>
    <xf numFmtId="49" fontId="98" fillId="3" borderId="12" xfId="1" applyNumberFormat="1" applyFont="1" applyFill="1" applyBorder="1" applyAlignment="1">
      <alignment horizontal="center" vertical="top" wrapText="1"/>
    </xf>
    <xf numFmtId="49" fontId="98" fillId="3" borderId="11" xfId="1" applyNumberFormat="1" applyFont="1" applyFill="1" applyBorder="1" applyAlignment="1">
      <alignment horizontal="center" vertical="top" wrapText="1"/>
    </xf>
    <xf numFmtId="49" fontId="98" fillId="3" borderId="16" xfId="1" applyNumberFormat="1" applyFont="1" applyFill="1" applyBorder="1" applyAlignment="1">
      <alignment horizontal="center" vertical="top" wrapText="1"/>
    </xf>
    <xf numFmtId="0" fontId="27" fillId="5" borderId="2" xfId="1" applyFont="1" applyFill="1" applyBorder="1" applyAlignment="1">
      <alignment horizontal="center" vertical="center" wrapText="1"/>
    </xf>
    <xf numFmtId="0" fontId="75" fillId="5" borderId="4" xfId="1" applyFont="1" applyFill="1" applyBorder="1" applyAlignment="1">
      <alignment horizontal="center" vertical="center" wrapText="1"/>
    </xf>
    <xf numFmtId="0" fontId="75" fillId="5" borderId="6" xfId="1" applyFont="1" applyFill="1" applyBorder="1" applyAlignment="1">
      <alignment horizontal="center" vertical="center" wrapText="1"/>
    </xf>
    <xf numFmtId="0" fontId="33" fillId="18" borderId="2" xfId="1" applyFont="1" applyFill="1" applyBorder="1" applyAlignment="1">
      <alignment horizontal="center" vertical="center" wrapText="1"/>
    </xf>
    <xf numFmtId="0" fontId="33" fillId="3" borderId="2" xfId="1" applyFont="1" applyFill="1" applyBorder="1" applyAlignment="1">
      <alignment horizontal="center" vertical="center" wrapText="1"/>
    </xf>
    <xf numFmtId="0" fontId="60" fillId="18" borderId="4" xfId="1" applyFont="1" applyFill="1" applyBorder="1" applyAlignment="1">
      <alignment horizontal="center" vertical="center" wrapText="1"/>
    </xf>
    <xf numFmtId="0" fontId="60" fillId="18" borderId="6" xfId="1" applyFont="1" applyFill="1" applyBorder="1" applyAlignment="1">
      <alignment horizontal="center" vertical="center" wrapText="1"/>
    </xf>
    <xf numFmtId="0" fontId="51" fillId="0" borderId="0" xfId="1" applyFont="1" applyFill="1" applyBorder="1" applyAlignment="1">
      <alignment horizontal="left" vertical="top" wrapText="1"/>
    </xf>
    <xf numFmtId="0" fontId="23" fillId="12" borderId="10" xfId="2" applyFont="1" applyFill="1" applyBorder="1" applyAlignment="1">
      <alignment horizontal="left" vertical="center"/>
    </xf>
    <xf numFmtId="0" fontId="23" fillId="12" borderId="13" xfId="2" applyFont="1" applyFill="1" applyBorder="1" applyAlignment="1">
      <alignment horizontal="left" vertical="center"/>
    </xf>
    <xf numFmtId="0" fontId="23" fillId="12" borderId="12" xfId="2" applyFont="1" applyFill="1" applyBorder="1" applyAlignment="1">
      <alignment horizontal="left" vertical="center"/>
    </xf>
    <xf numFmtId="0" fontId="60" fillId="3" borderId="10" xfId="1" applyFont="1" applyFill="1" applyBorder="1" applyAlignment="1">
      <alignment horizontal="center" vertical="center" wrapText="1"/>
    </xf>
    <xf numFmtId="0" fontId="60" fillId="3" borderId="12" xfId="1" applyFont="1" applyFill="1" applyBorder="1" applyAlignment="1">
      <alignment horizontal="center" vertical="center" wrapText="1"/>
    </xf>
    <xf numFmtId="165" fontId="117" fillId="12" borderId="2" xfId="1" applyNumberFormat="1" applyFont="1" applyFill="1" applyBorder="1" applyAlignment="1">
      <alignment horizontal="center" vertical="top" wrapText="1"/>
    </xf>
    <xf numFmtId="165" fontId="117" fillId="12" borderId="10" xfId="1" applyNumberFormat="1" applyFont="1" applyFill="1" applyBorder="1" applyAlignment="1">
      <alignment horizontal="center" vertical="top" wrapText="1"/>
    </xf>
    <xf numFmtId="0" fontId="33" fillId="3" borderId="20" xfId="1" applyFont="1" applyFill="1" applyBorder="1" applyAlignment="1">
      <alignment horizontal="center" vertical="center" wrapText="1"/>
    </xf>
    <xf numFmtId="0" fontId="33" fillId="3" borderId="19" xfId="1" applyFont="1" applyFill="1" applyBorder="1" applyAlignment="1">
      <alignment horizontal="center" vertical="center" wrapText="1"/>
    </xf>
    <xf numFmtId="0" fontId="33" fillId="3" borderId="0" xfId="1" applyFont="1" applyFill="1" applyBorder="1" applyAlignment="1">
      <alignment horizontal="center" vertical="center" wrapText="1"/>
    </xf>
    <xf numFmtId="0" fontId="33" fillId="3" borderId="4" xfId="1" applyFont="1" applyFill="1" applyBorder="1" applyAlignment="1">
      <alignment horizontal="center" vertical="center" wrapText="1"/>
    </xf>
    <xf numFmtId="0" fontId="33" fillId="3" borderId="6" xfId="1" applyFont="1" applyFill="1" applyBorder="1" applyAlignment="1">
      <alignment horizontal="center" vertical="center" wrapText="1"/>
    </xf>
    <xf numFmtId="0" fontId="33" fillId="3" borderId="24" xfId="1" applyFont="1" applyFill="1" applyBorder="1" applyAlignment="1">
      <alignment horizontal="center" vertical="center" wrapText="1"/>
    </xf>
    <xf numFmtId="0" fontId="33" fillId="3" borderId="23" xfId="1" applyFont="1" applyFill="1" applyBorder="1" applyAlignment="1">
      <alignment horizontal="center" vertical="center" wrapText="1"/>
    </xf>
    <xf numFmtId="0" fontId="11" fillId="18" borderId="10" xfId="0" applyFont="1" applyFill="1" applyBorder="1" applyAlignment="1">
      <alignment horizontal="left"/>
    </xf>
    <xf numFmtId="0" fontId="11" fillId="18" borderId="13" xfId="0" applyFont="1" applyFill="1" applyBorder="1" applyAlignment="1">
      <alignment horizontal="left"/>
    </xf>
    <xf numFmtId="0" fontId="11" fillId="18" borderId="12" xfId="0" applyFont="1" applyFill="1" applyBorder="1" applyAlignment="1">
      <alignment horizontal="left"/>
    </xf>
    <xf numFmtId="164" fontId="60" fillId="3" borderId="10" xfId="1" applyNumberFormat="1" applyFont="1" applyFill="1" applyBorder="1" applyAlignment="1">
      <alignment horizontal="center" vertical="center" wrapText="1"/>
    </xf>
    <xf numFmtId="164" fontId="60" fillId="3" borderId="13" xfId="1" applyNumberFormat="1" applyFont="1" applyFill="1" applyBorder="1" applyAlignment="1">
      <alignment horizontal="center" vertical="center" wrapText="1"/>
    </xf>
    <xf numFmtId="164" fontId="60" fillId="3" borderId="12" xfId="1" applyNumberFormat="1" applyFont="1" applyFill="1" applyBorder="1" applyAlignment="1">
      <alignment horizontal="center" vertical="center" wrapText="1"/>
    </xf>
    <xf numFmtId="0" fontId="60" fillId="3" borderId="4" xfId="0" applyFont="1" applyFill="1" applyBorder="1" applyAlignment="1">
      <alignment horizontal="center" vertical="center" wrapText="1"/>
    </xf>
    <xf numFmtId="0" fontId="121" fillId="18" borderId="11" xfId="0" applyFont="1" applyFill="1" applyBorder="1" applyAlignment="1">
      <alignment horizontal="center" vertical="center" wrapText="1"/>
    </xf>
    <xf numFmtId="0" fontId="121" fillId="18" borderId="15" xfId="0" applyFont="1" applyFill="1" applyBorder="1" applyAlignment="1">
      <alignment horizontal="center" vertical="center" wrapText="1"/>
    </xf>
    <xf numFmtId="0" fontId="44" fillId="18" borderId="10" xfId="0" applyFont="1" applyFill="1" applyBorder="1" applyAlignment="1">
      <alignment horizontal="left" vertical="center" wrapText="1"/>
    </xf>
    <xf numFmtId="0" fontId="44" fillId="18" borderId="13" xfId="0" applyFont="1" applyFill="1" applyBorder="1" applyAlignment="1">
      <alignment horizontal="left" vertical="center" wrapText="1"/>
    </xf>
    <xf numFmtId="0" fontId="44" fillId="18" borderId="12" xfId="0" applyFont="1" applyFill="1" applyBorder="1" applyAlignment="1">
      <alignment horizontal="left" vertical="center" wrapText="1"/>
    </xf>
    <xf numFmtId="0" fontId="60" fillId="3" borderId="2" xfId="0" applyFont="1" applyFill="1" applyBorder="1" applyAlignment="1">
      <alignment horizontal="center" vertical="center" wrapText="1"/>
    </xf>
    <xf numFmtId="0" fontId="59" fillId="5" borderId="2" xfId="0" applyFont="1" applyFill="1" applyBorder="1" applyAlignment="1">
      <alignment horizontal="center" vertical="center"/>
    </xf>
    <xf numFmtId="49" fontId="16" fillId="3" borderId="10" xfId="0" applyNumberFormat="1" applyFont="1" applyFill="1" applyBorder="1" applyAlignment="1">
      <alignment horizontal="center"/>
    </xf>
    <xf numFmtId="49" fontId="16" fillId="3" borderId="13" xfId="0" applyNumberFormat="1" applyFont="1" applyFill="1" applyBorder="1" applyAlignment="1">
      <alignment horizontal="center"/>
    </xf>
    <xf numFmtId="49" fontId="16" fillId="3" borderId="2" xfId="0" applyNumberFormat="1" applyFont="1" applyFill="1" applyBorder="1" applyAlignment="1">
      <alignment horizontal="center"/>
    </xf>
    <xf numFmtId="49" fontId="23" fillId="3" borderId="2" xfId="0" applyNumberFormat="1" applyFont="1" applyFill="1" applyBorder="1" applyAlignment="1">
      <alignment horizontal="center"/>
    </xf>
    <xf numFmtId="0" fontId="59" fillId="5" borderId="10" xfId="0" applyFont="1" applyFill="1" applyBorder="1" applyAlignment="1">
      <alignment horizontal="center" vertical="center"/>
    </xf>
    <xf numFmtId="0" fontId="59" fillId="5" borderId="12" xfId="0" applyFont="1" applyFill="1" applyBorder="1" applyAlignment="1">
      <alignment horizontal="center" vertical="center"/>
    </xf>
    <xf numFmtId="164" fontId="60" fillId="3" borderId="2" xfId="1" applyNumberFormat="1" applyFont="1" applyFill="1" applyBorder="1" applyAlignment="1">
      <alignment horizontal="center" vertical="center" wrapText="1"/>
    </xf>
    <xf numFmtId="0" fontId="52" fillId="0" borderId="0" xfId="0" applyFont="1" applyFill="1" applyBorder="1" applyAlignment="1">
      <alignment horizontal="center" vertical="center" wrapText="1"/>
    </xf>
    <xf numFmtId="49" fontId="16" fillId="3" borderId="12" xfId="0" applyNumberFormat="1" applyFont="1" applyFill="1" applyBorder="1" applyAlignment="1">
      <alignment horizontal="center"/>
    </xf>
    <xf numFmtId="0" fontId="60" fillId="3" borderId="2" xfId="1" applyFont="1" applyFill="1" applyBorder="1" applyAlignment="1">
      <alignment horizontal="center" vertical="center"/>
    </xf>
    <xf numFmtId="0" fontId="60" fillId="0" borderId="2" xfId="0" applyFont="1" applyBorder="1" applyAlignment="1">
      <alignment horizontal="center"/>
    </xf>
    <xf numFmtId="0" fontId="59" fillId="18" borderId="0" xfId="0" applyFont="1" applyFill="1" applyBorder="1" applyAlignment="1">
      <alignment horizontal="left"/>
    </xf>
    <xf numFmtId="0" fontId="127" fillId="0" borderId="0" xfId="0" applyFont="1" applyFill="1" applyBorder="1" applyAlignment="1">
      <alignment horizontal="left"/>
    </xf>
    <xf numFmtId="0" fontId="125" fillId="0" borderId="0" xfId="0" applyFont="1" applyFill="1" applyBorder="1" applyAlignment="1">
      <alignment horizontal="left"/>
    </xf>
    <xf numFmtId="0" fontId="59" fillId="5" borderId="1" xfId="0" applyFont="1" applyFill="1" applyBorder="1" applyAlignment="1">
      <alignment horizontal="center"/>
    </xf>
    <xf numFmtId="0" fontId="60" fillId="0" borderId="10" xfId="0" applyFont="1" applyBorder="1" applyAlignment="1">
      <alignment horizontal="center"/>
    </xf>
    <xf numFmtId="0" fontId="60" fillId="0" borderId="13" xfId="0" applyFont="1" applyBorder="1" applyAlignment="1">
      <alignment horizontal="center"/>
    </xf>
    <xf numFmtId="0" fontId="60" fillId="0" borderId="12" xfId="0" applyFont="1" applyBorder="1" applyAlignment="1">
      <alignment horizontal="center"/>
    </xf>
    <xf numFmtId="0" fontId="59" fillId="5" borderId="0" xfId="0" applyFont="1" applyFill="1" applyAlignment="1">
      <alignment horizontal="center"/>
    </xf>
    <xf numFmtId="0" fontId="59" fillId="5" borderId="2" xfId="0" applyFont="1" applyFill="1" applyBorder="1" applyAlignment="1">
      <alignment horizontal="center"/>
    </xf>
    <xf numFmtId="0" fontId="26" fillId="6" borderId="2" xfId="1" applyFont="1" applyFill="1" applyBorder="1" applyAlignment="1">
      <alignment horizontal="left" vertical="top" wrapText="1"/>
    </xf>
    <xf numFmtId="0" fontId="117" fillId="5" borderId="2" xfId="1" applyFont="1" applyFill="1" applyBorder="1" applyAlignment="1">
      <alignment horizontal="center" vertical="top" wrapText="1"/>
    </xf>
    <xf numFmtId="0" fontId="159" fillId="5" borderId="2" xfId="1" applyFont="1" applyFill="1" applyBorder="1" applyAlignment="1">
      <alignment horizontal="center" vertical="center" wrapText="1"/>
    </xf>
    <xf numFmtId="0" fontId="60" fillId="3" borderId="11" xfId="1" applyFont="1" applyFill="1" applyBorder="1" applyAlignment="1">
      <alignment horizontal="center" vertical="center" wrapText="1"/>
    </xf>
    <xf numFmtId="0" fontId="60" fillId="3" borderId="16" xfId="1" applyFont="1" applyFill="1" applyBorder="1" applyAlignment="1">
      <alignment horizontal="center" vertical="center" wrapText="1"/>
    </xf>
    <xf numFmtId="0" fontId="60" fillId="3" borderId="18" xfId="1" applyFont="1" applyFill="1" applyBorder="1" applyAlignment="1">
      <alignment horizontal="center" vertical="center" wrapText="1"/>
    </xf>
    <xf numFmtId="0" fontId="60" fillId="3" borderId="17" xfId="1" applyFont="1" applyFill="1" applyBorder="1" applyAlignment="1">
      <alignment horizontal="center" vertical="center" wrapText="1"/>
    </xf>
    <xf numFmtId="0" fontId="24" fillId="5" borderId="10" xfId="2" applyFont="1" applyFill="1" applyBorder="1" applyAlignment="1">
      <alignment horizontal="center"/>
    </xf>
    <xf numFmtId="0" fontId="24" fillId="5" borderId="13" xfId="2" applyFont="1" applyFill="1" applyBorder="1" applyAlignment="1">
      <alignment horizontal="center"/>
    </xf>
    <xf numFmtId="0" fontId="24" fillId="5" borderId="12" xfId="2" applyFont="1" applyFill="1" applyBorder="1" applyAlignment="1">
      <alignment horizontal="center"/>
    </xf>
    <xf numFmtId="49" fontId="134" fillId="18" borderId="15" xfId="2" applyNumberFormat="1" applyFont="1" applyFill="1" applyBorder="1" applyAlignment="1">
      <alignment horizontal="center"/>
    </xf>
    <xf numFmtId="0" fontId="27" fillId="3" borderId="2" xfId="1" applyFont="1" applyFill="1" applyBorder="1" applyAlignment="1">
      <alignment horizontal="center" vertical="center" wrapText="1"/>
    </xf>
    <xf numFmtId="0" fontId="60" fillId="3" borderId="4" xfId="2" applyFont="1" applyFill="1" applyBorder="1" applyAlignment="1">
      <alignment horizontal="center" vertical="center"/>
    </xf>
    <xf numFmtId="0" fontId="60" fillId="3" borderId="5" xfId="2" applyFont="1" applyFill="1" applyBorder="1" applyAlignment="1">
      <alignment horizontal="center" vertical="center"/>
    </xf>
    <xf numFmtId="0" fontId="60" fillId="3" borderId="6" xfId="2" applyFont="1" applyFill="1" applyBorder="1" applyAlignment="1">
      <alignment horizontal="center" vertical="center"/>
    </xf>
    <xf numFmtId="0" fontId="60" fillId="3" borderId="11" xfId="2" applyFont="1" applyFill="1" applyBorder="1" applyAlignment="1">
      <alignment horizontal="center" vertical="center" wrapText="1"/>
    </xf>
    <xf numFmtId="0" fontId="60" fillId="3" borderId="15" xfId="2" applyFont="1" applyFill="1" applyBorder="1" applyAlignment="1">
      <alignment horizontal="center" vertical="center" wrapText="1"/>
    </xf>
    <xf numFmtId="0" fontId="60" fillId="3" borderId="16" xfId="2" applyFont="1" applyFill="1" applyBorder="1" applyAlignment="1">
      <alignment horizontal="center" vertical="center" wrapText="1"/>
    </xf>
    <xf numFmtId="0" fontId="60" fillId="3" borderId="8" xfId="2" applyFont="1" applyFill="1" applyBorder="1" applyAlignment="1">
      <alignment horizontal="center" vertical="center" wrapText="1"/>
    </xf>
    <xf numFmtId="0" fontId="60" fillId="3" borderId="0" xfId="2" applyFont="1" applyFill="1" applyBorder="1" applyAlignment="1">
      <alignment horizontal="center" vertical="center" wrapText="1"/>
    </xf>
    <xf numFmtId="0" fontId="60" fillId="3" borderId="9" xfId="2" applyFont="1" applyFill="1" applyBorder="1" applyAlignment="1">
      <alignment horizontal="center" vertical="center" wrapText="1"/>
    </xf>
    <xf numFmtId="49" fontId="60" fillId="18" borderId="18" xfId="2" quotePrefix="1" applyNumberFormat="1" applyFont="1" applyFill="1" applyBorder="1" applyAlignment="1">
      <alignment horizontal="center" wrapText="1"/>
    </xf>
    <xf numFmtId="49" fontId="60" fillId="18" borderId="1" xfId="2" quotePrefix="1" applyNumberFormat="1" applyFont="1" applyFill="1" applyBorder="1" applyAlignment="1">
      <alignment horizontal="center" wrapText="1"/>
    </xf>
    <xf numFmtId="49" fontId="60" fillId="18" borderId="17" xfId="2" quotePrefix="1" applyNumberFormat="1" applyFont="1" applyFill="1" applyBorder="1" applyAlignment="1">
      <alignment horizontal="center" wrapText="1"/>
    </xf>
    <xf numFmtId="49" fontId="60" fillId="18" borderId="8" xfId="2" quotePrefix="1" applyNumberFormat="1" applyFont="1" applyFill="1" applyBorder="1" applyAlignment="1">
      <alignment horizontal="center" wrapText="1"/>
    </xf>
    <xf numFmtId="49" fontId="60" fillId="18" borderId="0" xfId="2" quotePrefix="1" applyNumberFormat="1" applyFont="1" applyFill="1" applyBorder="1" applyAlignment="1">
      <alignment horizontal="center" wrapText="1"/>
    </xf>
    <xf numFmtId="49" fontId="60" fillId="18" borderId="9" xfId="2" quotePrefix="1" applyNumberFormat="1" applyFont="1" applyFill="1" applyBorder="1" applyAlignment="1">
      <alignment horizontal="center" wrapText="1"/>
    </xf>
    <xf numFmtId="0" fontId="23" fillId="0" borderId="2" xfId="1" applyFont="1" applyFill="1" applyBorder="1" applyAlignment="1">
      <alignment horizontal="center" vertical="top"/>
    </xf>
    <xf numFmtId="0" fontId="21" fillId="7" borderId="10" xfId="2" applyFont="1" applyFill="1" applyBorder="1" applyAlignment="1">
      <alignment horizontal="left"/>
    </xf>
    <xf numFmtId="0" fontId="21" fillId="7" borderId="13" xfId="2" applyFont="1" applyFill="1" applyBorder="1" applyAlignment="1">
      <alignment horizontal="left"/>
    </xf>
    <xf numFmtId="0" fontId="21" fillId="7" borderId="12" xfId="2" applyFont="1" applyFill="1" applyBorder="1" applyAlignment="1">
      <alignment horizontal="left"/>
    </xf>
    <xf numFmtId="0" fontId="44" fillId="18" borderId="18" xfId="2" applyFont="1" applyFill="1" applyBorder="1" applyAlignment="1">
      <alignment horizontal="left" vertical="top" wrapText="1"/>
    </xf>
    <xf numFmtId="0" fontId="44" fillId="18" borderId="1" xfId="2" applyFont="1" applyFill="1" applyBorder="1" applyAlignment="1">
      <alignment horizontal="left" vertical="top" wrapText="1"/>
    </xf>
    <xf numFmtId="0" fontId="44" fillId="18" borderId="17" xfId="2" applyFont="1" applyFill="1" applyBorder="1" applyAlignment="1">
      <alignment horizontal="left" vertical="top" wrapText="1"/>
    </xf>
    <xf numFmtId="0" fontId="11" fillId="18" borderId="10" xfId="2" applyFont="1" applyFill="1" applyBorder="1" applyAlignment="1">
      <alignment horizontal="left"/>
    </xf>
    <xf numFmtId="0" fontId="11" fillId="18" borderId="13" xfId="2" applyFont="1" applyFill="1" applyBorder="1" applyAlignment="1">
      <alignment horizontal="left"/>
    </xf>
    <xf numFmtId="0" fontId="11" fillId="18" borderId="12" xfId="2" applyFont="1" applyFill="1" applyBorder="1" applyAlignment="1">
      <alignment horizontal="left"/>
    </xf>
    <xf numFmtId="49" fontId="41" fillId="3" borderId="10" xfId="1" applyNumberFormat="1" applyFont="1" applyFill="1" applyBorder="1" applyAlignment="1">
      <alignment horizontal="center" vertical="top" wrapText="1"/>
    </xf>
    <xf numFmtId="49" fontId="41" fillId="3" borderId="12" xfId="1" applyNumberFormat="1" applyFont="1" applyFill="1" applyBorder="1" applyAlignment="1">
      <alignment horizontal="center" vertical="top" wrapText="1"/>
    </xf>
    <xf numFmtId="49" fontId="16" fillId="3" borderId="10" xfId="2" applyNumberFormat="1" applyFont="1" applyFill="1" applyBorder="1" applyAlignment="1">
      <alignment horizontal="center"/>
    </xf>
    <xf numFmtId="49" fontId="16" fillId="3" borderId="13" xfId="2" applyNumberFormat="1" applyFont="1" applyFill="1" applyBorder="1" applyAlignment="1">
      <alignment horizontal="center"/>
    </xf>
    <xf numFmtId="49" fontId="16" fillId="3" borderId="12" xfId="2" applyNumberFormat="1" applyFont="1" applyFill="1" applyBorder="1" applyAlignment="1">
      <alignment horizontal="center"/>
    </xf>
    <xf numFmtId="0" fontId="134" fillId="18" borderId="0" xfId="2" applyFont="1" applyFill="1" applyBorder="1" applyAlignment="1">
      <alignment horizontal="center" vertical="top"/>
    </xf>
    <xf numFmtId="0" fontId="16" fillId="0" borderId="0" xfId="2" applyFont="1" applyFill="1" applyBorder="1" applyAlignment="1">
      <alignment horizontal="center"/>
    </xf>
    <xf numFmtId="0" fontId="134" fillId="18" borderId="10" xfId="2" applyFont="1" applyFill="1" applyBorder="1" applyAlignment="1">
      <alignment horizontal="left" vertical="center" wrapText="1"/>
    </xf>
    <xf numFmtId="0" fontId="134" fillId="18" borderId="13" xfId="2" applyFont="1" applyFill="1" applyBorder="1" applyAlignment="1">
      <alignment horizontal="left" vertical="center" wrapText="1"/>
    </xf>
    <xf numFmtId="0" fontId="134" fillId="18" borderId="12" xfId="2" applyFont="1" applyFill="1" applyBorder="1" applyAlignment="1">
      <alignment horizontal="left" vertical="center" wrapText="1"/>
    </xf>
    <xf numFmtId="0" fontId="54" fillId="18" borderId="2" xfId="1" applyFont="1" applyFill="1" applyBorder="1" applyAlignment="1">
      <alignment horizontal="center" vertical="top" wrapText="1"/>
    </xf>
    <xf numFmtId="0" fontId="23" fillId="0" borderId="0" xfId="1" applyFont="1" applyFill="1" applyBorder="1" applyAlignment="1">
      <alignment horizontal="center" vertical="top" wrapText="1"/>
    </xf>
    <xf numFmtId="0" fontId="134" fillId="18" borderId="2" xfId="1" applyFont="1" applyFill="1" applyBorder="1" applyAlignment="1">
      <alignment horizontal="center" vertical="top"/>
    </xf>
    <xf numFmtId="0" fontId="134" fillId="18" borderId="2" xfId="1" applyFont="1" applyFill="1" applyBorder="1" applyAlignment="1">
      <alignment horizontal="center" vertical="top" wrapText="1"/>
    </xf>
    <xf numFmtId="0" fontId="54" fillId="18" borderId="10" xfId="1" applyFont="1" applyFill="1" applyBorder="1" applyAlignment="1">
      <alignment horizontal="center" vertical="top" wrapText="1"/>
    </xf>
    <xf numFmtId="0" fontId="54" fillId="18" borderId="13" xfId="1" applyFont="1" applyFill="1" applyBorder="1" applyAlignment="1">
      <alignment horizontal="center" vertical="top" wrapText="1"/>
    </xf>
    <xf numFmtId="0" fontId="54" fillId="18" borderId="12" xfId="1" applyFont="1" applyFill="1" applyBorder="1" applyAlignment="1">
      <alignment horizontal="center" vertical="top" wrapText="1"/>
    </xf>
    <xf numFmtId="49" fontId="42" fillId="3" borderId="2" xfId="1" applyNumberFormat="1" applyFont="1" applyFill="1" applyBorder="1" applyAlignment="1">
      <alignment horizontal="center" vertical="top" wrapText="1"/>
    </xf>
    <xf numFmtId="0" fontId="75" fillId="3" borderId="2" xfId="1" applyFont="1" applyFill="1" applyBorder="1" applyAlignment="1">
      <alignment horizontal="center" vertical="center" wrapText="1"/>
    </xf>
    <xf numFmtId="0" fontId="15" fillId="0" borderId="2" xfId="1" applyFont="1" applyBorder="1" applyAlignment="1">
      <alignment horizontal="left" vertical="center" wrapText="1"/>
    </xf>
    <xf numFmtId="0" fontId="28" fillId="0" borderId="2" xfId="1" applyFont="1" applyBorder="1" applyAlignment="1">
      <alignment horizontal="center" vertical="top" wrapText="1"/>
    </xf>
    <xf numFmtId="0" fontId="28" fillId="0" borderId="2" xfId="1" applyFont="1" applyBorder="1" applyAlignment="1">
      <alignment horizontal="center" vertical="top"/>
    </xf>
    <xf numFmtId="0" fontId="23" fillId="12" borderId="2" xfId="0" applyFont="1" applyFill="1" applyBorder="1" applyAlignment="1">
      <alignment horizontal="center" vertical="top" wrapText="1"/>
    </xf>
    <xf numFmtId="0" fontId="136" fillId="18" borderId="2" xfId="0" applyFont="1" applyFill="1" applyBorder="1" applyAlignment="1">
      <alignment horizontal="center" vertical="center" wrapText="1"/>
    </xf>
    <xf numFmtId="0" fontId="134" fillId="18" borderId="2" xfId="0" applyFont="1" applyFill="1" applyBorder="1" applyAlignment="1">
      <alignment horizontal="center" vertical="center" wrapText="1"/>
    </xf>
    <xf numFmtId="49" fontId="15" fillId="3" borderId="10" xfId="0" applyNumberFormat="1" applyFont="1" applyFill="1" applyBorder="1" applyAlignment="1">
      <alignment horizontal="center" vertical="center" wrapText="1"/>
    </xf>
    <xf numFmtId="49" fontId="15" fillId="3" borderId="13" xfId="0" applyNumberFormat="1" applyFont="1" applyFill="1" applyBorder="1" applyAlignment="1">
      <alignment horizontal="center" vertical="center" wrapText="1"/>
    </xf>
    <xf numFmtId="49" fontId="15" fillId="3" borderId="12" xfId="0" applyNumberFormat="1" applyFont="1" applyFill="1" applyBorder="1" applyAlignment="1">
      <alignment horizontal="center" vertical="center" wrapText="1"/>
    </xf>
    <xf numFmtId="49" fontId="146" fillId="18" borderId="10" xfId="0" applyNumberFormat="1" applyFont="1" applyFill="1" applyBorder="1" applyAlignment="1">
      <alignment horizontal="center" vertical="center" wrapText="1"/>
    </xf>
    <xf numFmtId="49" fontId="146" fillId="18" borderId="13" xfId="0" applyNumberFormat="1" applyFont="1" applyFill="1" applyBorder="1" applyAlignment="1">
      <alignment horizontal="center" vertical="center" wrapText="1"/>
    </xf>
    <xf numFmtId="49" fontId="146" fillId="18" borderId="1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49" fontId="14" fillId="3" borderId="2" xfId="0" applyNumberFormat="1" applyFont="1" applyFill="1" applyBorder="1" applyAlignment="1">
      <alignment horizontal="center" vertical="center" wrapText="1"/>
    </xf>
    <xf numFmtId="49" fontId="14" fillId="3" borderId="11" xfId="0" applyNumberFormat="1" applyFont="1" applyFill="1" applyBorder="1" applyAlignment="1">
      <alignment horizontal="center" vertical="center" wrapText="1"/>
    </xf>
    <xf numFmtId="49" fontId="14" fillId="3" borderId="15" xfId="0" applyNumberFormat="1" applyFont="1" applyFill="1" applyBorder="1" applyAlignment="1">
      <alignment horizontal="center" vertical="center" wrapText="1"/>
    </xf>
    <xf numFmtId="49" fontId="14" fillId="3" borderId="16" xfId="0" applyNumberFormat="1" applyFont="1" applyFill="1" applyBorder="1" applyAlignment="1">
      <alignment horizontal="center" vertical="center" wrapText="1"/>
    </xf>
    <xf numFmtId="49" fontId="14" fillId="3" borderId="18" xfId="0" applyNumberFormat="1" applyFont="1" applyFill="1" applyBorder="1" applyAlignment="1">
      <alignment horizontal="center" vertical="center" wrapText="1"/>
    </xf>
    <xf numFmtId="49" fontId="14" fillId="3" borderId="1" xfId="0" applyNumberFormat="1" applyFont="1" applyFill="1" applyBorder="1" applyAlignment="1">
      <alignment horizontal="center" vertical="center" wrapText="1"/>
    </xf>
    <xf numFmtId="49" fontId="14" fillId="3" borderId="17" xfId="0" applyNumberFormat="1" applyFont="1" applyFill="1" applyBorder="1" applyAlignment="1">
      <alignment horizontal="center" vertical="center" wrapText="1"/>
    </xf>
    <xf numFmtId="0" fontId="16" fillId="12" borderId="2" xfId="0" applyFont="1" applyFill="1" applyBorder="1" applyAlignment="1">
      <alignment horizontal="center" vertical="top" wrapText="1"/>
    </xf>
    <xf numFmtId="0" fontId="11" fillId="0" borderId="0" xfId="0" applyFont="1" applyFill="1" applyAlignment="1">
      <alignment horizontal="right" vertical="center"/>
    </xf>
    <xf numFmtId="0" fontId="11" fillId="0" borderId="9" xfId="0" applyFont="1" applyFill="1" applyBorder="1" applyAlignment="1">
      <alignment horizontal="right" vertical="center"/>
    </xf>
    <xf numFmtId="0" fontId="59" fillId="18" borderId="2" xfId="0" applyFont="1" applyFill="1" applyBorder="1" applyAlignment="1">
      <alignment horizontal="left"/>
    </xf>
    <xf numFmtId="0" fontId="128" fillId="18" borderId="0" xfId="0" applyFont="1" applyFill="1" applyAlignment="1">
      <alignment horizontal="right"/>
    </xf>
    <xf numFmtId="0" fontId="128" fillId="18" borderId="9" xfId="0" applyFont="1" applyFill="1" applyBorder="1" applyAlignment="1">
      <alignment horizontal="right"/>
    </xf>
    <xf numFmtId="0" fontId="133" fillId="18" borderId="15" xfId="0" applyFont="1" applyFill="1" applyBorder="1" applyAlignment="1">
      <alignment horizontal="left" wrapText="1"/>
    </xf>
    <xf numFmtId="0" fontId="133" fillId="18" borderId="0" xfId="0" applyFont="1" applyFill="1" applyAlignment="1">
      <alignment horizontal="left" wrapText="1"/>
    </xf>
    <xf numFmtId="0" fontId="54" fillId="18" borderId="15" xfId="0" applyFont="1" applyFill="1" applyBorder="1" applyAlignment="1">
      <alignment horizontal="left" vertical="top" wrapText="1"/>
    </xf>
    <xf numFmtId="0" fontId="54" fillId="18" borderId="0" xfId="0" applyFont="1" applyFill="1" applyAlignment="1">
      <alignment horizontal="left" vertical="top" wrapText="1"/>
    </xf>
    <xf numFmtId="0" fontId="17" fillId="18" borderId="2" xfId="0" applyFont="1" applyFill="1" applyBorder="1" applyAlignment="1">
      <alignment horizontal="left" vertical="top"/>
    </xf>
    <xf numFmtId="0" fontId="44" fillId="18" borderId="11" xfId="0" applyFont="1" applyFill="1" applyBorder="1" applyAlignment="1">
      <alignment horizontal="left" vertical="center" wrapText="1"/>
    </xf>
    <xf numFmtId="0" fontId="44" fillId="18" borderId="15" xfId="0" applyFont="1" applyFill="1" applyBorder="1" applyAlignment="1">
      <alignment horizontal="left" vertical="center" wrapText="1"/>
    </xf>
    <xf numFmtId="0" fontId="44" fillId="18" borderId="16" xfId="0" applyFont="1" applyFill="1" applyBorder="1" applyAlignment="1">
      <alignment horizontal="left" vertical="center" wrapText="1"/>
    </xf>
    <xf numFmtId="0" fontId="44" fillId="18" borderId="8" xfId="0" applyFont="1" applyFill="1" applyBorder="1" applyAlignment="1">
      <alignment horizontal="left" vertical="center" wrapText="1"/>
    </xf>
    <xf numFmtId="0" fontId="44" fillId="18" borderId="0" xfId="0" applyFont="1" applyFill="1" applyBorder="1" applyAlignment="1">
      <alignment horizontal="left" vertical="center" wrapText="1"/>
    </xf>
    <xf numFmtId="0" fontId="44" fillId="18" borderId="9" xfId="0" applyFont="1" applyFill="1" applyBorder="1" applyAlignment="1">
      <alignment horizontal="left" vertical="center" wrapText="1"/>
    </xf>
    <xf numFmtId="0" fontId="44" fillId="18" borderId="18" xfId="0" applyFont="1" applyFill="1" applyBorder="1" applyAlignment="1">
      <alignment horizontal="left" vertical="center" wrapText="1"/>
    </xf>
    <xf numFmtId="0" fontId="44" fillId="18" borderId="1" xfId="0" applyFont="1" applyFill="1" applyBorder="1" applyAlignment="1">
      <alignment horizontal="left" vertical="center" wrapText="1"/>
    </xf>
    <xf numFmtId="0" fontId="44" fillId="18" borderId="17" xfId="0" applyFont="1" applyFill="1" applyBorder="1" applyAlignment="1">
      <alignment horizontal="left" vertical="center" wrapText="1"/>
    </xf>
    <xf numFmtId="0" fontId="14" fillId="3" borderId="2" xfId="0" quotePrefix="1" applyFont="1" applyFill="1" applyBorder="1" applyAlignment="1">
      <alignment horizontal="center" vertical="top"/>
    </xf>
    <xf numFmtId="0" fontId="14" fillId="3" borderId="2" xfId="0" applyFont="1" applyFill="1" applyBorder="1" applyAlignment="1">
      <alignment horizontal="center" vertical="top"/>
    </xf>
    <xf numFmtId="0" fontId="15" fillId="12" borderId="4" xfId="0"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5" fillId="12" borderId="2"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0" fillId="18" borderId="2" xfId="0" applyFont="1" applyFill="1" applyBorder="1" applyAlignment="1">
      <alignment horizontal="left"/>
    </xf>
    <xf numFmtId="49" fontId="15" fillId="3" borderId="2" xfId="0" applyNumberFormat="1" applyFont="1" applyFill="1" applyBorder="1" applyAlignment="1">
      <alignment horizontal="center" vertical="center" wrapText="1"/>
    </xf>
    <xf numFmtId="49" fontId="14" fillId="3" borderId="13" xfId="0" applyNumberFormat="1" applyFont="1" applyFill="1" applyBorder="1" applyAlignment="1">
      <alignment horizontal="center" vertical="center" wrapText="1"/>
    </xf>
    <xf numFmtId="49" fontId="14" fillId="3" borderId="12" xfId="0" applyNumberFormat="1" applyFont="1" applyFill="1" applyBorder="1" applyAlignment="1">
      <alignment horizontal="center" vertical="center" wrapText="1"/>
    </xf>
    <xf numFmtId="0" fontId="44" fillId="0" borderId="0" xfId="0" applyFont="1" applyFill="1" applyAlignment="1">
      <alignment horizontal="left" vertical="top" wrapText="1"/>
    </xf>
    <xf numFmtId="0" fontId="44" fillId="0" borderId="0" xfId="0" applyFont="1" applyFill="1" applyAlignment="1">
      <alignment horizontal="left" vertical="center" wrapText="1"/>
    </xf>
    <xf numFmtId="0" fontId="16" fillId="0" borderId="0" xfId="0" applyFont="1" applyFill="1" applyAlignment="1">
      <alignment horizontal="left" vertical="center" wrapText="1"/>
    </xf>
    <xf numFmtId="0" fontId="16" fillId="0" borderId="0" xfId="0" applyFont="1" applyFill="1" applyBorder="1" applyAlignment="1">
      <alignment horizontal="center" vertical="top" wrapText="1"/>
    </xf>
    <xf numFmtId="0" fontId="16" fillId="0" borderId="0" xfId="0" applyFont="1" applyFill="1" applyBorder="1" applyAlignment="1">
      <alignment horizontal="right" vertical="center" wrapText="1"/>
    </xf>
    <xf numFmtId="0" fontId="16" fillId="0" borderId="15" xfId="0" applyFont="1" applyFill="1" applyBorder="1" applyAlignment="1">
      <alignment horizontal="right" vertical="center" wrapText="1"/>
    </xf>
    <xf numFmtId="0" fontId="16" fillId="0" borderId="16" xfId="0" applyFont="1" applyFill="1" applyBorder="1" applyAlignment="1">
      <alignment horizontal="right" vertical="center" wrapText="1"/>
    </xf>
    <xf numFmtId="0" fontId="17" fillId="2" borderId="2" xfId="0" applyFont="1" applyFill="1" applyBorder="1" applyAlignment="1">
      <alignment horizontal="left" vertical="top"/>
    </xf>
    <xf numFmtId="0" fontId="44" fillId="18" borderId="2" xfId="0" applyFont="1" applyFill="1" applyBorder="1" applyAlignment="1">
      <alignment horizontal="left" vertical="top" wrapText="1"/>
    </xf>
    <xf numFmtId="49" fontId="81" fillId="3" borderId="2" xfId="0" applyNumberFormat="1" applyFont="1" applyFill="1" applyBorder="1" applyAlignment="1">
      <alignment horizontal="center" vertical="center" wrapText="1"/>
    </xf>
    <xf numFmtId="49" fontId="35" fillId="3" borderId="2" xfId="0" applyNumberFormat="1" applyFont="1" applyFill="1" applyBorder="1" applyAlignment="1">
      <alignment horizontal="center" vertical="center" wrapText="1"/>
    </xf>
    <xf numFmtId="0" fontId="23" fillId="0" borderId="15" xfId="0" applyFont="1" applyFill="1" applyBorder="1" applyAlignment="1">
      <alignment horizontal="right" vertical="center" wrapText="1"/>
    </xf>
    <xf numFmtId="0" fontId="23" fillId="0" borderId="16" xfId="0" applyFont="1" applyFill="1" applyBorder="1" applyAlignment="1">
      <alignment horizontal="right" vertical="center" wrapText="1"/>
    </xf>
    <xf numFmtId="0" fontId="122" fillId="0" borderId="15" xfId="0" applyFont="1" applyFill="1" applyBorder="1" applyAlignment="1">
      <alignment horizontal="left" vertical="top" wrapText="1"/>
    </xf>
    <xf numFmtId="0" fontId="44" fillId="0" borderId="2" xfId="0" applyFont="1" applyFill="1" applyBorder="1" applyAlignment="1">
      <alignment horizontal="left" vertical="top" wrapText="1"/>
    </xf>
    <xf numFmtId="0" fontId="44" fillId="0" borderId="0" xfId="0" applyFont="1" applyFill="1" applyAlignment="1">
      <alignment horizontal="left"/>
    </xf>
    <xf numFmtId="0" fontId="44" fillId="0" borderId="0" xfId="0" applyFont="1" applyFill="1" applyAlignment="1">
      <alignment horizontal="left" wrapText="1"/>
    </xf>
    <xf numFmtId="0" fontId="90" fillId="18" borderId="15" xfId="0" applyFont="1" applyFill="1" applyBorder="1" applyAlignment="1">
      <alignment horizontal="left" vertical="top" wrapText="1"/>
    </xf>
    <xf numFmtId="0" fontId="61" fillId="18" borderId="15" xfId="0" applyFont="1" applyFill="1" applyBorder="1" applyAlignment="1">
      <alignment horizontal="left" vertical="top" wrapText="1"/>
    </xf>
    <xf numFmtId="0" fontId="94" fillId="3" borderId="2" xfId="1" applyFont="1" applyFill="1" applyBorder="1" applyAlignment="1">
      <alignment horizontal="left" vertical="top" wrapText="1"/>
    </xf>
    <xf numFmtId="49" fontId="42" fillId="3" borderId="10" xfId="1" applyNumberFormat="1" applyFont="1" applyFill="1" applyBorder="1" applyAlignment="1">
      <alignment horizontal="center" vertical="top" wrapText="1"/>
    </xf>
    <xf numFmtId="49" fontId="42" fillId="3" borderId="12" xfId="1" applyNumberFormat="1" applyFont="1" applyFill="1" applyBorder="1" applyAlignment="1">
      <alignment horizontal="center" vertical="top" wrapText="1"/>
    </xf>
    <xf numFmtId="0" fontId="27" fillId="3" borderId="19" xfId="1" applyFont="1" applyFill="1" applyBorder="1" applyAlignment="1">
      <alignment horizontal="center" vertical="center" wrapText="1"/>
    </xf>
    <xf numFmtId="0" fontId="27" fillId="3" borderId="20" xfId="1" applyFont="1" applyFill="1" applyBorder="1" applyAlignment="1">
      <alignment horizontal="center" vertical="center" wrapText="1"/>
    </xf>
    <xf numFmtId="0" fontId="27" fillId="3" borderId="21" xfId="1" applyFont="1" applyFill="1" applyBorder="1" applyAlignment="1">
      <alignment horizontal="center" vertical="center" wrapText="1"/>
    </xf>
    <xf numFmtId="0" fontId="27" fillId="3" borderId="22" xfId="1" applyFont="1" applyFill="1" applyBorder="1" applyAlignment="1">
      <alignment horizontal="center" vertical="center" wrapText="1"/>
    </xf>
    <xf numFmtId="0" fontId="27" fillId="3" borderId="23" xfId="1" applyFont="1" applyFill="1" applyBorder="1" applyAlignment="1">
      <alignment horizontal="center" vertical="center" wrapText="1"/>
    </xf>
    <xf numFmtId="0" fontId="27" fillId="3" borderId="0" xfId="1" applyFont="1" applyFill="1" applyBorder="1" applyAlignment="1">
      <alignment horizontal="center" vertical="center" wrapText="1"/>
    </xf>
    <xf numFmtId="0" fontId="75" fillId="3" borderId="10" xfId="1" applyFont="1" applyFill="1" applyBorder="1" applyAlignment="1">
      <alignment horizontal="center" vertical="center" wrapText="1"/>
    </xf>
    <xf numFmtId="0" fontId="75" fillId="3" borderId="12" xfId="1" applyFont="1" applyFill="1" applyBorder="1" applyAlignment="1">
      <alignment horizontal="center" vertical="center" wrapText="1"/>
    </xf>
    <xf numFmtId="0" fontId="51" fillId="16" borderId="11" xfId="1" applyFont="1" applyFill="1" applyBorder="1" applyAlignment="1">
      <alignment horizontal="left" vertical="center" wrapText="1"/>
    </xf>
    <xf numFmtId="0" fontId="51" fillId="16" borderId="15" xfId="1" applyFont="1" applyFill="1" applyBorder="1" applyAlignment="1">
      <alignment horizontal="left" vertical="center" wrapText="1"/>
    </xf>
    <xf numFmtId="0" fontId="51" fillId="16" borderId="16" xfId="1" applyFont="1" applyFill="1" applyBorder="1" applyAlignment="1">
      <alignment horizontal="left" vertical="center" wrapText="1"/>
    </xf>
    <xf numFmtId="0" fontId="51" fillId="16" borderId="18" xfId="1" applyFont="1" applyFill="1" applyBorder="1" applyAlignment="1">
      <alignment horizontal="left" vertical="center" wrapText="1"/>
    </xf>
    <xf numFmtId="0" fontId="51" fillId="16" borderId="1" xfId="1" applyFont="1" applyFill="1" applyBorder="1" applyAlignment="1">
      <alignment horizontal="left" vertical="center" wrapText="1"/>
    </xf>
    <xf numFmtId="0" fontId="51" fillId="16" borderId="17" xfId="1" applyFont="1" applyFill="1" applyBorder="1" applyAlignment="1">
      <alignment horizontal="left" vertical="center" wrapText="1"/>
    </xf>
    <xf numFmtId="0" fontId="106" fillId="0" borderId="0" xfId="1" applyFont="1" applyFill="1" applyBorder="1" applyAlignment="1">
      <alignment horizontal="left" vertical="top" wrapText="1"/>
    </xf>
    <xf numFmtId="0" fontId="16" fillId="12" borderId="10" xfId="2" applyFont="1" applyFill="1" applyBorder="1" applyAlignment="1">
      <alignment horizontal="left" vertical="center" wrapText="1"/>
    </xf>
    <xf numFmtId="0" fontId="16" fillId="12" borderId="13" xfId="2" applyFont="1" applyFill="1" applyBorder="1" applyAlignment="1">
      <alignment horizontal="left" vertical="center" wrapText="1"/>
    </xf>
    <xf numFmtId="0" fontId="16" fillId="12" borderId="12" xfId="2" applyFont="1" applyFill="1" applyBorder="1" applyAlignment="1">
      <alignment horizontal="left" vertical="center" wrapText="1"/>
    </xf>
    <xf numFmtId="49" fontId="42" fillId="3" borderId="13" xfId="1" applyNumberFormat="1" applyFont="1" applyFill="1" applyBorder="1" applyAlignment="1">
      <alignment horizontal="center" vertical="top" wrapText="1"/>
    </xf>
    <xf numFmtId="0" fontId="40" fillId="12" borderId="2" xfId="1" applyFont="1" applyFill="1" applyBorder="1" applyAlignment="1">
      <alignment horizontal="center" vertical="top" wrapText="1"/>
    </xf>
    <xf numFmtId="0" fontId="18" fillId="9" borderId="10" xfId="0" applyFont="1" applyFill="1" applyBorder="1" applyAlignment="1">
      <alignment horizontal="left" vertical="top" wrapText="1"/>
    </xf>
    <xf numFmtId="0" fontId="18" fillId="9" borderId="13" xfId="0" applyFont="1" applyFill="1" applyBorder="1" applyAlignment="1">
      <alignment horizontal="left" vertical="top" wrapText="1"/>
    </xf>
    <xf numFmtId="0" fontId="18" fillId="9" borderId="12" xfId="0" applyFont="1" applyFill="1" applyBorder="1" applyAlignment="1">
      <alignment horizontal="left" vertical="top" wrapText="1"/>
    </xf>
    <xf numFmtId="0" fontId="16" fillId="3" borderId="2" xfId="0" applyFont="1" applyFill="1" applyBorder="1" applyAlignment="1">
      <alignment horizontal="center" vertical="center"/>
    </xf>
    <xf numFmtId="0" fontId="54" fillId="20" borderId="2" xfId="1" applyFont="1" applyFill="1" applyBorder="1" applyAlignment="1">
      <alignment horizontal="center" vertical="top" wrapText="1"/>
    </xf>
    <xf numFmtId="0" fontId="28" fillId="20" borderId="2" xfId="1" applyFont="1" applyFill="1" applyBorder="1" applyAlignment="1">
      <alignment horizontal="center" vertical="top" wrapText="1"/>
    </xf>
    <xf numFmtId="0" fontId="29" fillId="20" borderId="0" xfId="0" applyFont="1" applyFill="1"/>
  </cellXfs>
  <cellStyles count="15">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3" xfId="11" xr:uid="{00000000-0005-0000-0000-00000F000000}"/>
  </cellStyles>
  <dxfs count="0"/>
  <tableStyles count="0" defaultTableStyle="TableStyleMedium2" defaultPivotStyle="PivotStyleLight16"/>
  <colors>
    <mruColors>
      <color rgb="FFFF00FF"/>
      <color rgb="FFCC99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8.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BB40201B-3266-43B3-B982-563705E23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4AB22CF0-2A4B-4512-AC9C-143169D75106}"/>
            </a:ext>
          </a:extLst>
        </xdr:cNvPr>
        <xdr:cNvSpPr/>
      </xdr:nvSpPr>
      <xdr:spPr>
        <a:xfrm>
          <a:off x="9483725" y="222250"/>
          <a:ext cx="2838450" cy="1606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A2450F59-D3CF-4F4E-AD91-3E14C2BCD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89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1068B987-4C0B-4450-8293-C270276D9ACD}"/>
            </a:ext>
          </a:extLst>
        </xdr:cNvPr>
        <xdr:cNvSpPr/>
      </xdr:nvSpPr>
      <xdr:spPr>
        <a:xfrm>
          <a:off x="9540875" y="2593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1628587</xdr:colOff>
      <xdr:row>13</xdr:row>
      <xdr:rowOff>97117</xdr:rowOff>
    </xdr:from>
    <xdr:to>
      <xdr:col>22</xdr:col>
      <xdr:colOff>122542</xdr:colOff>
      <xdr:row>46</xdr:row>
      <xdr:rowOff>11882</xdr:rowOff>
    </xdr:to>
    <xdr:pic>
      <xdr:nvPicPr>
        <xdr:cNvPr id="2" name="Picture 1">
          <a:extLst>
            <a:ext uri="{FF2B5EF4-FFF2-40B4-BE49-F238E27FC236}">
              <a16:creationId xmlns:a16="http://schemas.microsoft.com/office/drawing/2014/main" id="{FCDDE633-9313-44D8-987A-C58EF44700B1}"/>
            </a:ext>
          </a:extLst>
        </xdr:cNvPr>
        <xdr:cNvPicPr>
          <a:picLocks noChangeAspect="1"/>
        </xdr:cNvPicPr>
      </xdr:nvPicPr>
      <xdr:blipFill>
        <a:blip xmlns:r="http://schemas.openxmlformats.org/officeDocument/2006/relationships" r:embed="rId1"/>
        <a:stretch>
          <a:fillRect/>
        </a:stretch>
      </xdr:blipFill>
      <xdr:spPr>
        <a:xfrm>
          <a:off x="9905999" y="2861235"/>
          <a:ext cx="6958131" cy="6078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1628587</xdr:colOff>
      <xdr:row>13</xdr:row>
      <xdr:rowOff>97117</xdr:rowOff>
    </xdr:from>
    <xdr:to>
      <xdr:col>22</xdr:col>
      <xdr:colOff>122542</xdr:colOff>
      <xdr:row>46</xdr:row>
      <xdr:rowOff>11882</xdr:rowOff>
    </xdr:to>
    <xdr:pic>
      <xdr:nvPicPr>
        <xdr:cNvPr id="2" name="Picture 1">
          <a:extLst>
            <a:ext uri="{FF2B5EF4-FFF2-40B4-BE49-F238E27FC236}">
              <a16:creationId xmlns:a16="http://schemas.microsoft.com/office/drawing/2014/main" id="{2E888CB5-32E8-43D4-B971-41406AC9799F}"/>
            </a:ext>
          </a:extLst>
        </xdr:cNvPr>
        <xdr:cNvPicPr>
          <a:picLocks noChangeAspect="1"/>
        </xdr:cNvPicPr>
      </xdr:nvPicPr>
      <xdr:blipFill>
        <a:blip xmlns:r="http://schemas.openxmlformats.org/officeDocument/2006/relationships" r:embed="rId1"/>
        <a:stretch>
          <a:fillRect/>
        </a:stretch>
      </xdr:blipFill>
      <xdr:spPr>
        <a:xfrm>
          <a:off x="9908987" y="2637117"/>
          <a:ext cx="6926755" cy="5991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174625</xdr:colOff>
      <xdr:row>9</xdr:row>
      <xdr:rowOff>114300</xdr:rowOff>
    </xdr:from>
    <xdr:to>
      <xdr:col>17</xdr:col>
      <xdr:colOff>279400</xdr:colOff>
      <xdr:row>13</xdr:row>
      <xdr:rowOff>10584</xdr:rowOff>
    </xdr:to>
    <xdr:sp macro="" textlink="">
      <xdr:nvSpPr>
        <xdr:cNvPr id="4" name="Left Arrow 3">
          <a:extLst>
            <a:ext uri="{FF2B5EF4-FFF2-40B4-BE49-F238E27FC236}">
              <a16:creationId xmlns:a16="http://schemas.microsoft.com/office/drawing/2014/main" id="{00000000-0008-0000-0400-000004000000}"/>
            </a:ext>
          </a:extLst>
        </xdr:cNvPr>
        <xdr:cNvSpPr/>
      </xdr:nvSpPr>
      <xdr:spPr>
        <a:xfrm>
          <a:off x="8370358" y="2112433"/>
          <a:ext cx="4981575" cy="1115484"/>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rPr>
            <a:t>Row 12 shows up if "New Lighting System" is selected, or if Altered Lighting</a:t>
          </a:r>
          <a:r>
            <a:rPr lang="en-US" sz="1400" baseline="0">
              <a:solidFill>
                <a:schemeClr val="bg1"/>
              </a:solidFill>
            </a:rPr>
            <a:t> System column 02 is "Yes"</a:t>
          </a:r>
          <a:endParaRPr lang="en-US" sz="14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361950</xdr:colOff>
      <xdr:row>11</xdr:row>
      <xdr:rowOff>190500</xdr:rowOff>
    </xdr:from>
    <xdr:to>
      <xdr:col>1</xdr:col>
      <xdr:colOff>1895475</xdr:colOff>
      <xdr:row>20</xdr:row>
      <xdr:rowOff>0</xdr:rowOff>
    </xdr:to>
    <xdr:sp macro="" textlink="">
      <xdr:nvSpPr>
        <xdr:cNvPr id="34" name="Up Arrow 33">
          <a:extLst>
            <a:ext uri="{FF2B5EF4-FFF2-40B4-BE49-F238E27FC236}">
              <a16:creationId xmlns:a16="http://schemas.microsoft.com/office/drawing/2014/main" id="{00000000-0008-0000-0900-000022000000}"/>
            </a:ext>
          </a:extLst>
        </xdr:cNvPr>
        <xdr:cNvSpPr/>
      </xdr:nvSpPr>
      <xdr:spPr>
        <a:xfrm>
          <a:off x="361950" y="2946400"/>
          <a:ext cx="2339975" cy="18288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Luminaires with "Yes" in  Table F. column</a:t>
          </a:r>
          <a:r>
            <a:rPr lang="en-US" sz="1100" strike="sngStrike"/>
            <a:t>  </a:t>
          </a:r>
          <a:r>
            <a:rPr lang="en-US" sz="1100" u="sng" strike="noStrike" baseline="0"/>
            <a:t>09 </a:t>
          </a:r>
          <a:r>
            <a:rPr lang="en-US" sz="1100" baseline="0"/>
            <a:t>must be transferred to Table G.</a:t>
          </a:r>
          <a:endParaRPr lang="en-US" sz="1100"/>
        </a:p>
      </xdr:txBody>
    </xdr:sp>
    <xdr:clientData/>
  </xdr:twoCellAnchor>
  <xdr:twoCellAnchor editAs="oneCell">
    <xdr:from>
      <xdr:col>21</xdr:col>
      <xdr:colOff>161636</xdr:colOff>
      <xdr:row>5</xdr:row>
      <xdr:rowOff>9126</xdr:rowOff>
    </xdr:from>
    <xdr:to>
      <xdr:col>34</xdr:col>
      <xdr:colOff>552902</xdr:colOff>
      <xdr:row>21</xdr:row>
      <xdr:rowOff>3162</xdr:rowOff>
    </xdr:to>
    <xdr:pic>
      <xdr:nvPicPr>
        <xdr:cNvPr id="3" name="Picture 2">
          <a:extLst>
            <a:ext uri="{FF2B5EF4-FFF2-40B4-BE49-F238E27FC236}">
              <a16:creationId xmlns:a16="http://schemas.microsoft.com/office/drawing/2014/main" id="{EB1DDAE6-A73A-4616-88C2-3A88C572B85F}"/>
            </a:ext>
          </a:extLst>
        </xdr:cNvPr>
        <xdr:cNvPicPr>
          <a:picLocks noChangeAspect="1"/>
        </xdr:cNvPicPr>
      </xdr:nvPicPr>
      <xdr:blipFill>
        <a:blip xmlns:r="http://schemas.openxmlformats.org/officeDocument/2006/relationships" r:embed="rId1"/>
        <a:stretch>
          <a:fillRect/>
        </a:stretch>
      </xdr:blipFill>
      <xdr:spPr>
        <a:xfrm>
          <a:off x="15880772" y="1094399"/>
          <a:ext cx="6510357" cy="3648172"/>
        </a:xfrm>
        <a:prstGeom prst="rect">
          <a:avLst/>
        </a:prstGeom>
      </xdr:spPr>
    </xdr:pic>
    <xdr:clientData/>
  </xdr:twoCellAnchor>
  <xdr:twoCellAnchor editAs="oneCell">
    <xdr:from>
      <xdr:col>21</xdr:col>
      <xdr:colOff>109682</xdr:colOff>
      <xdr:row>20</xdr:row>
      <xdr:rowOff>184375</xdr:rowOff>
    </xdr:from>
    <xdr:to>
      <xdr:col>35</xdr:col>
      <xdr:colOff>285068</xdr:colOff>
      <xdr:row>28</xdr:row>
      <xdr:rowOff>129856</xdr:rowOff>
    </xdr:to>
    <xdr:pic>
      <xdr:nvPicPr>
        <xdr:cNvPr id="4" name="Picture 3">
          <a:extLst>
            <a:ext uri="{FF2B5EF4-FFF2-40B4-BE49-F238E27FC236}">
              <a16:creationId xmlns:a16="http://schemas.microsoft.com/office/drawing/2014/main" id="{39F1708C-51C6-450B-BB56-2D5669C55251}"/>
            </a:ext>
          </a:extLst>
        </xdr:cNvPr>
        <xdr:cNvPicPr>
          <a:picLocks noChangeAspect="1"/>
        </xdr:cNvPicPr>
      </xdr:nvPicPr>
      <xdr:blipFill>
        <a:blip xmlns:r="http://schemas.openxmlformats.org/officeDocument/2006/relationships" r:embed="rId2"/>
        <a:stretch>
          <a:fillRect/>
        </a:stretch>
      </xdr:blipFill>
      <xdr:spPr>
        <a:xfrm>
          <a:off x="15828818" y="4739057"/>
          <a:ext cx="6935250" cy="14232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825501</xdr:colOff>
      <xdr:row>22</xdr:row>
      <xdr:rowOff>61784</xdr:rowOff>
    </xdr:from>
    <xdr:to>
      <xdr:col>22</xdr:col>
      <xdr:colOff>87238</xdr:colOff>
      <xdr:row>40</xdr:row>
      <xdr:rowOff>73523</xdr:rowOff>
    </xdr:to>
    <xdr:pic>
      <xdr:nvPicPr>
        <xdr:cNvPr id="2" name="Picture 1">
          <a:extLst>
            <a:ext uri="{FF2B5EF4-FFF2-40B4-BE49-F238E27FC236}">
              <a16:creationId xmlns:a16="http://schemas.microsoft.com/office/drawing/2014/main" id="{F9DEFC7D-F936-44BE-A6D2-5BEF1B9CFF8E}"/>
            </a:ext>
          </a:extLst>
        </xdr:cNvPr>
        <xdr:cNvPicPr>
          <a:picLocks noChangeAspect="1"/>
        </xdr:cNvPicPr>
      </xdr:nvPicPr>
      <xdr:blipFill>
        <a:blip xmlns:r="http://schemas.openxmlformats.org/officeDocument/2006/relationships" r:embed="rId1"/>
        <a:stretch>
          <a:fillRect/>
        </a:stretch>
      </xdr:blipFill>
      <xdr:spPr>
        <a:xfrm>
          <a:off x="11838215" y="4806141"/>
          <a:ext cx="7299023" cy="3785453"/>
        </a:xfrm>
        <a:prstGeom prst="rect">
          <a:avLst/>
        </a:prstGeom>
      </xdr:spPr>
    </xdr:pic>
    <xdr:clientData/>
  </xdr:twoCellAnchor>
  <xdr:twoCellAnchor editAs="oneCell">
    <xdr:from>
      <xdr:col>0</xdr:col>
      <xdr:colOff>632456</xdr:colOff>
      <xdr:row>32</xdr:row>
      <xdr:rowOff>166545</xdr:rowOff>
    </xdr:from>
    <xdr:to>
      <xdr:col>8</xdr:col>
      <xdr:colOff>979714</xdr:colOff>
      <xdr:row>52</xdr:row>
      <xdr:rowOff>50096</xdr:rowOff>
    </xdr:to>
    <xdr:pic>
      <xdr:nvPicPr>
        <xdr:cNvPr id="5" name="Picture 4">
          <a:extLst>
            <a:ext uri="{FF2B5EF4-FFF2-40B4-BE49-F238E27FC236}">
              <a16:creationId xmlns:a16="http://schemas.microsoft.com/office/drawing/2014/main" id="{4C91879B-3FCB-43C3-BCBE-3A46E7691B5D}"/>
            </a:ext>
          </a:extLst>
        </xdr:cNvPr>
        <xdr:cNvPicPr>
          <a:picLocks noChangeAspect="1"/>
        </xdr:cNvPicPr>
      </xdr:nvPicPr>
      <xdr:blipFill>
        <a:blip xmlns:r="http://schemas.openxmlformats.org/officeDocument/2006/relationships" r:embed="rId2"/>
        <a:stretch>
          <a:fillRect/>
        </a:stretch>
      </xdr:blipFill>
      <xdr:spPr>
        <a:xfrm>
          <a:off x="632456" y="6861259"/>
          <a:ext cx="8293829" cy="35121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846667</xdr:colOff>
      <xdr:row>12</xdr:row>
      <xdr:rowOff>57277</xdr:rowOff>
    </xdr:from>
    <xdr:to>
      <xdr:col>23</xdr:col>
      <xdr:colOff>47122</xdr:colOff>
      <xdr:row>35</xdr:row>
      <xdr:rowOff>24036</xdr:rowOff>
    </xdr:to>
    <xdr:pic>
      <xdr:nvPicPr>
        <xdr:cNvPr id="3" name="Picture 2">
          <a:extLst>
            <a:ext uri="{FF2B5EF4-FFF2-40B4-BE49-F238E27FC236}">
              <a16:creationId xmlns:a16="http://schemas.microsoft.com/office/drawing/2014/main" id="{24E70517-9CD3-413E-8375-0E580DC6130C}"/>
            </a:ext>
          </a:extLst>
        </xdr:cNvPr>
        <xdr:cNvPicPr>
          <a:picLocks noChangeAspect="1"/>
        </xdr:cNvPicPr>
      </xdr:nvPicPr>
      <xdr:blipFill>
        <a:blip xmlns:r="http://schemas.openxmlformats.org/officeDocument/2006/relationships" r:embed="rId1"/>
        <a:stretch>
          <a:fillRect/>
        </a:stretch>
      </xdr:blipFill>
      <xdr:spPr>
        <a:xfrm>
          <a:off x="13296515" y="3376595"/>
          <a:ext cx="7859546" cy="4180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608541</xdr:colOff>
      <xdr:row>12</xdr:row>
      <xdr:rowOff>16582</xdr:rowOff>
    </xdr:from>
    <xdr:to>
      <xdr:col>27</xdr:col>
      <xdr:colOff>26486</xdr:colOff>
      <xdr:row>17</xdr:row>
      <xdr:rowOff>73470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3061597" y="3438526"/>
          <a:ext cx="9075236" cy="982930"/>
        </a:xfrm>
        <a:prstGeom prst="rect">
          <a:avLst/>
        </a:prstGeom>
      </xdr:spPr>
    </xdr:pic>
    <xdr:clientData/>
  </xdr:twoCellAnchor>
  <xdr:twoCellAnchor editAs="oneCell">
    <xdr:from>
      <xdr:col>13</xdr:col>
      <xdr:colOff>1100</xdr:colOff>
      <xdr:row>16</xdr:row>
      <xdr:rowOff>158749</xdr:rowOff>
    </xdr:from>
    <xdr:to>
      <xdr:col>27</xdr:col>
      <xdr:colOff>52839</xdr:colOff>
      <xdr:row>24</xdr:row>
      <xdr:rowOff>141111</xdr:rowOff>
    </xdr:to>
    <xdr:pic>
      <xdr:nvPicPr>
        <xdr:cNvPr id="4" name="Picture 3">
          <a:extLst>
            <a:ext uri="{FF2B5EF4-FFF2-40B4-BE49-F238E27FC236}">
              <a16:creationId xmlns:a16="http://schemas.microsoft.com/office/drawing/2014/main" id="{E6D74673-C4FC-49E9-952A-1B1B921D6C79}"/>
            </a:ext>
          </a:extLst>
        </xdr:cNvPr>
        <xdr:cNvPicPr>
          <a:picLocks noChangeAspect="1"/>
        </xdr:cNvPicPr>
      </xdr:nvPicPr>
      <xdr:blipFill>
        <a:blip xmlns:r="http://schemas.openxmlformats.org/officeDocument/2006/relationships" r:embed="rId2"/>
        <a:stretch>
          <a:fillRect/>
        </a:stretch>
      </xdr:blipFill>
      <xdr:spPr>
        <a:xfrm>
          <a:off x="13097975" y="4321527"/>
          <a:ext cx="9065211" cy="146402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571500</xdr:colOff>
      <xdr:row>7</xdr:row>
      <xdr:rowOff>68580</xdr:rowOff>
    </xdr:from>
    <xdr:to>
      <xdr:col>26</xdr:col>
      <xdr:colOff>8424</xdr:colOff>
      <xdr:row>9</xdr:row>
      <xdr:rowOff>125608</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1"/>
        <a:stretch>
          <a:fillRect/>
        </a:stretch>
      </xdr:blipFill>
      <xdr:spPr>
        <a:xfrm>
          <a:off x="12268200" y="1699260"/>
          <a:ext cx="8809524" cy="971429"/>
        </a:xfrm>
        <a:prstGeom prst="rect">
          <a:avLst/>
        </a:prstGeom>
      </xdr:spPr>
    </xdr:pic>
    <xdr:clientData/>
  </xdr:twoCellAnchor>
  <xdr:twoCellAnchor editAs="oneCell">
    <xdr:from>
      <xdr:col>13</xdr:col>
      <xdr:colOff>-1</xdr:colOff>
      <xdr:row>9</xdr:row>
      <xdr:rowOff>82824</xdr:rowOff>
    </xdr:from>
    <xdr:to>
      <xdr:col>25</xdr:col>
      <xdr:colOff>485380</xdr:colOff>
      <xdr:row>12</xdr:row>
      <xdr:rowOff>36810</xdr:rowOff>
    </xdr:to>
    <xdr:pic>
      <xdr:nvPicPr>
        <xdr:cNvPr id="2" name="Picture 1">
          <a:extLst>
            <a:ext uri="{FF2B5EF4-FFF2-40B4-BE49-F238E27FC236}">
              <a16:creationId xmlns:a16="http://schemas.microsoft.com/office/drawing/2014/main" id="{E0F04FC6-E6DD-4E0B-BCDA-A772C271E253}"/>
            </a:ext>
          </a:extLst>
        </xdr:cNvPr>
        <xdr:cNvPicPr>
          <a:picLocks noChangeAspect="1"/>
        </xdr:cNvPicPr>
      </xdr:nvPicPr>
      <xdr:blipFill>
        <a:blip xmlns:r="http://schemas.openxmlformats.org/officeDocument/2006/relationships" r:embed="rId2"/>
        <a:stretch>
          <a:fillRect/>
        </a:stretch>
      </xdr:blipFill>
      <xdr:spPr>
        <a:xfrm>
          <a:off x="13196956" y="2613621"/>
          <a:ext cx="8215815" cy="98471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601980</xdr:colOff>
      <xdr:row>9</xdr:row>
      <xdr:rowOff>7620</xdr:rowOff>
    </xdr:from>
    <xdr:to>
      <xdr:col>26</xdr:col>
      <xdr:colOff>38904</xdr:colOff>
      <xdr:row>12</xdr:row>
      <xdr:rowOff>57030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13655040" y="2682240"/>
          <a:ext cx="8809524" cy="971429"/>
        </a:xfrm>
        <a:prstGeom prst="rect">
          <a:avLst/>
        </a:prstGeom>
      </xdr:spPr>
    </xdr:pic>
    <xdr:clientData/>
  </xdr:twoCellAnchor>
  <xdr:twoCellAnchor editAs="oneCell">
    <xdr:from>
      <xdr:col>12</xdr:col>
      <xdr:colOff>233452</xdr:colOff>
      <xdr:row>12</xdr:row>
      <xdr:rowOff>1781</xdr:rowOff>
    </xdr:from>
    <xdr:to>
      <xdr:col>26</xdr:col>
      <xdr:colOff>0</xdr:colOff>
      <xdr:row>34</xdr:row>
      <xdr:rowOff>118223</xdr:rowOff>
    </xdr:to>
    <xdr:pic>
      <xdr:nvPicPr>
        <xdr:cNvPr id="6" name="Picture 5">
          <a:extLst>
            <a:ext uri="{FF2B5EF4-FFF2-40B4-BE49-F238E27FC236}">
              <a16:creationId xmlns:a16="http://schemas.microsoft.com/office/drawing/2014/main" id="{B64DA9A6-7F26-4E89-8242-1704A369484D}"/>
            </a:ext>
          </a:extLst>
        </xdr:cNvPr>
        <xdr:cNvPicPr>
          <a:picLocks noChangeAspect="1"/>
        </xdr:cNvPicPr>
      </xdr:nvPicPr>
      <xdr:blipFill>
        <a:blip xmlns:r="http://schemas.openxmlformats.org/officeDocument/2006/relationships" r:embed="rId2"/>
        <a:stretch>
          <a:fillRect/>
        </a:stretch>
      </xdr:blipFill>
      <xdr:spPr>
        <a:xfrm>
          <a:off x="14171702" y="3629219"/>
          <a:ext cx="8767673" cy="4466192"/>
        </a:xfrm>
        <a:prstGeom prst="rect">
          <a:avLst/>
        </a:prstGeom>
      </xdr:spPr>
    </xdr:pic>
    <xdr:clientData/>
  </xdr:twoCellAnchor>
  <xdr:twoCellAnchor editAs="oneCell">
    <xdr:from>
      <xdr:col>12</xdr:col>
      <xdr:colOff>182399</xdr:colOff>
      <xdr:row>35</xdr:row>
      <xdr:rowOff>31749</xdr:rowOff>
    </xdr:from>
    <xdr:to>
      <xdr:col>26</xdr:col>
      <xdr:colOff>12639</xdr:colOff>
      <xdr:row>62</xdr:row>
      <xdr:rowOff>130824</xdr:rowOff>
    </xdr:to>
    <xdr:pic>
      <xdr:nvPicPr>
        <xdr:cNvPr id="7" name="Picture 6">
          <a:extLst>
            <a:ext uri="{FF2B5EF4-FFF2-40B4-BE49-F238E27FC236}">
              <a16:creationId xmlns:a16="http://schemas.microsoft.com/office/drawing/2014/main" id="{3898FB9B-75A9-47B6-A53A-4A3FC12F48BA}"/>
            </a:ext>
          </a:extLst>
        </xdr:cNvPr>
        <xdr:cNvPicPr>
          <a:picLocks noChangeAspect="1"/>
        </xdr:cNvPicPr>
      </xdr:nvPicPr>
      <xdr:blipFill>
        <a:blip xmlns:r="http://schemas.openxmlformats.org/officeDocument/2006/relationships" r:embed="rId3"/>
        <a:stretch>
          <a:fillRect/>
        </a:stretch>
      </xdr:blipFill>
      <xdr:spPr>
        <a:xfrm>
          <a:off x="14120649" y="8040687"/>
          <a:ext cx="8831365" cy="5028263"/>
        </a:xfrm>
        <a:prstGeom prst="rect">
          <a:avLst/>
        </a:prstGeom>
      </xdr:spPr>
    </xdr:pic>
    <xdr:clientData/>
  </xdr:twoCellAnchor>
  <xdr:twoCellAnchor editAs="oneCell">
    <xdr:from>
      <xdr:col>12</xdr:col>
      <xdr:colOff>254000</xdr:colOff>
      <xdr:row>62</xdr:row>
      <xdr:rowOff>114733</xdr:rowOff>
    </xdr:from>
    <xdr:to>
      <xdr:col>26</xdr:col>
      <xdr:colOff>7874</xdr:colOff>
      <xdr:row>72</xdr:row>
      <xdr:rowOff>146230</xdr:rowOff>
    </xdr:to>
    <xdr:pic>
      <xdr:nvPicPr>
        <xdr:cNvPr id="8" name="Picture 7">
          <a:extLst>
            <a:ext uri="{FF2B5EF4-FFF2-40B4-BE49-F238E27FC236}">
              <a16:creationId xmlns:a16="http://schemas.microsoft.com/office/drawing/2014/main" id="{7561559C-70CE-45D5-9DC4-2E975D108B70}"/>
            </a:ext>
          </a:extLst>
        </xdr:cNvPr>
        <xdr:cNvPicPr>
          <a:picLocks noChangeAspect="1"/>
        </xdr:cNvPicPr>
      </xdr:nvPicPr>
      <xdr:blipFill>
        <a:blip xmlns:r="http://schemas.openxmlformats.org/officeDocument/2006/relationships" r:embed="rId4"/>
        <a:stretch>
          <a:fillRect/>
        </a:stretch>
      </xdr:blipFill>
      <xdr:spPr>
        <a:xfrm>
          <a:off x="14192250" y="13052858"/>
          <a:ext cx="8754999" cy="18571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2%20LMCC-LTO%20Mock%20Up-8.18.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
      <sheetName val="J. Per Application"/>
      <sheetName val="K. Sales Frontage"/>
      <sheetName val="L. Ornamental"/>
      <sheetName val="M. Per Specific Area"/>
      <sheetName val="N. Exist. Cond."/>
      <sheetName val="O. NRCI"/>
      <sheetName val="P.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6.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7.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8.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9.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4F91-BC58-4529-9A2B-FA855A61E88B}">
  <dimension ref="A1:C2"/>
  <sheetViews>
    <sheetView tabSelected="1" workbookViewId="0">
      <selection activeCell="C11" sqref="C11"/>
    </sheetView>
  </sheetViews>
  <sheetFormatPr defaultRowHeight="14.5"/>
  <sheetData>
    <row r="1" spans="1:3">
      <c r="A1" t="s">
        <v>486</v>
      </c>
      <c r="B1" t="s">
        <v>487</v>
      </c>
      <c r="C1" t="s">
        <v>488</v>
      </c>
    </row>
    <row r="2" spans="1:3">
      <c r="A2" t="s">
        <v>485</v>
      </c>
      <c r="B2" t="s">
        <v>489</v>
      </c>
      <c r="C2" s="763" t="s">
        <v>490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E14" sqref="E14"/>
    </sheetView>
  </sheetViews>
  <sheetFormatPr defaultColWidth="9.1796875" defaultRowHeight="14"/>
  <cols>
    <col min="1" max="1" width="17" style="23" customWidth="1"/>
    <col min="2" max="2" width="63.453125" style="23" customWidth="1"/>
    <col min="3" max="3" width="17.1796875" style="23" customWidth="1"/>
    <col min="4" max="16384" width="9.1796875" style="23"/>
  </cols>
  <sheetData>
    <row r="1" spans="1:8">
      <c r="A1" s="22" t="s">
        <v>24</v>
      </c>
      <c r="B1" s="22" t="s">
        <v>25</v>
      </c>
      <c r="C1" s="22" t="s">
        <v>26</v>
      </c>
      <c r="D1" s="28"/>
    </row>
    <row r="2" spans="1:8">
      <c r="A2" s="23" t="s">
        <v>27</v>
      </c>
      <c r="B2" s="23" t="s">
        <v>28</v>
      </c>
      <c r="C2" s="23" t="s">
        <v>29</v>
      </c>
      <c r="D2" s="33"/>
    </row>
    <row r="3" spans="1:8">
      <c r="A3" s="23" t="s">
        <v>30</v>
      </c>
      <c r="B3" s="23" t="s">
        <v>31</v>
      </c>
      <c r="C3" s="23" t="s">
        <v>29</v>
      </c>
      <c r="D3" s="33"/>
    </row>
    <row r="4" spans="1:8">
      <c r="A4" s="23" t="s">
        <v>32</v>
      </c>
      <c r="B4" s="23" t="s">
        <v>33</v>
      </c>
      <c r="C4" s="23" t="s">
        <v>29</v>
      </c>
      <c r="D4" s="33"/>
    </row>
    <row r="5" spans="1:8">
      <c r="A5" s="23" t="s">
        <v>34</v>
      </c>
      <c r="B5" s="23" t="s">
        <v>35</v>
      </c>
      <c r="C5" s="24" t="s">
        <v>29</v>
      </c>
      <c r="D5" s="34"/>
      <c r="E5" s="24"/>
    </row>
    <row r="6" spans="1:8">
      <c r="A6" s="23" t="s">
        <v>36</v>
      </c>
      <c r="B6" s="23" t="s">
        <v>37</v>
      </c>
      <c r="C6" s="24" t="s">
        <v>29</v>
      </c>
      <c r="D6" s="34"/>
      <c r="E6" s="24"/>
      <c r="G6" s="24"/>
    </row>
    <row r="7" spans="1:8">
      <c r="A7" s="23" t="s">
        <v>38</v>
      </c>
      <c r="B7" s="57" t="s">
        <v>76</v>
      </c>
      <c r="C7" s="132" t="s">
        <v>30</v>
      </c>
      <c r="D7" s="29"/>
      <c r="E7" s="24"/>
      <c r="G7" s="24"/>
    </row>
    <row r="8" spans="1:8">
      <c r="A8" s="23" t="s">
        <v>39</v>
      </c>
      <c r="B8" s="179" t="s">
        <v>407</v>
      </c>
      <c r="C8" s="79" t="s">
        <v>38</v>
      </c>
      <c r="D8" s="29"/>
      <c r="E8" s="24"/>
      <c r="G8" s="24"/>
    </row>
    <row r="9" spans="1:8">
      <c r="A9" s="23" t="s">
        <v>40</v>
      </c>
      <c r="B9" s="57" t="s">
        <v>75</v>
      </c>
      <c r="C9" s="132" t="s">
        <v>30</v>
      </c>
      <c r="D9" s="34"/>
      <c r="E9" s="24"/>
      <c r="G9" s="24"/>
    </row>
    <row r="10" spans="1:8">
      <c r="A10" s="23" t="s">
        <v>41</v>
      </c>
      <c r="B10" s="128" t="s">
        <v>208</v>
      </c>
      <c r="C10" s="58" t="s">
        <v>30</v>
      </c>
      <c r="D10" s="29"/>
      <c r="E10" s="24"/>
      <c r="H10" s="24"/>
    </row>
    <row r="11" spans="1:8">
      <c r="A11" s="57" t="s">
        <v>42</v>
      </c>
      <c r="B11" s="78" t="s">
        <v>119</v>
      </c>
      <c r="C11" s="78" t="s">
        <v>41</v>
      </c>
      <c r="D11" s="29"/>
      <c r="E11" s="24"/>
      <c r="H11" s="24"/>
    </row>
    <row r="12" spans="1:8">
      <c r="A12" s="57" t="s">
        <v>43</v>
      </c>
      <c r="B12" s="78" t="s">
        <v>120</v>
      </c>
      <c r="C12" s="78" t="s">
        <v>41</v>
      </c>
      <c r="D12" s="24"/>
      <c r="E12" s="24"/>
      <c r="H12" s="24"/>
    </row>
    <row r="13" spans="1:8">
      <c r="A13" s="78" t="s">
        <v>101</v>
      </c>
      <c r="B13" s="78" t="s">
        <v>121</v>
      </c>
      <c r="C13" s="78" t="s">
        <v>41</v>
      </c>
      <c r="D13" s="24"/>
      <c r="E13" s="24"/>
      <c r="H13" s="24"/>
    </row>
    <row r="14" spans="1:8">
      <c r="A14" s="78" t="s">
        <v>44</v>
      </c>
      <c r="B14" s="78" t="s">
        <v>122</v>
      </c>
      <c r="C14" s="78" t="s">
        <v>41</v>
      </c>
      <c r="D14" s="24"/>
      <c r="E14" s="24"/>
      <c r="H14" s="24"/>
    </row>
    <row r="15" spans="1:8">
      <c r="A15" s="78" t="s">
        <v>45</v>
      </c>
      <c r="B15" s="134" t="s">
        <v>216</v>
      </c>
      <c r="C15" s="24" t="s">
        <v>30</v>
      </c>
      <c r="D15" s="24"/>
      <c r="E15" s="24"/>
      <c r="G15" s="24"/>
    </row>
    <row r="16" spans="1:8">
      <c r="A16" s="134" t="s">
        <v>457</v>
      </c>
      <c r="B16" s="23" t="s">
        <v>46</v>
      </c>
      <c r="C16" s="24" t="s">
        <v>29</v>
      </c>
      <c r="D16" s="24"/>
      <c r="E16" s="24"/>
      <c r="G16" s="24"/>
    </row>
    <row r="17" spans="1:7">
      <c r="A17" s="134" t="s">
        <v>458</v>
      </c>
      <c r="B17" s="23" t="s">
        <v>47</v>
      </c>
      <c r="C17" s="24" t="s">
        <v>29</v>
      </c>
      <c r="D17" s="24"/>
      <c r="E17" s="24"/>
      <c r="G17" s="24"/>
    </row>
    <row r="18" spans="1:7">
      <c r="A18" s="25" t="s">
        <v>48</v>
      </c>
      <c r="B18" s="23" t="s">
        <v>49</v>
      </c>
      <c r="C18" s="24" t="s">
        <v>29</v>
      </c>
      <c r="D18" s="24"/>
      <c r="E18" s="24"/>
      <c r="G18" s="24"/>
    </row>
    <row r="19" spans="1:7">
      <c r="D19" s="24"/>
      <c r="E19" s="24"/>
      <c r="G19" s="24"/>
    </row>
    <row r="20" spans="1:7">
      <c r="D20" s="24"/>
      <c r="E20" s="24"/>
      <c r="G20" s="24"/>
    </row>
    <row r="21" spans="1:7">
      <c r="C21" s="24"/>
      <c r="D21" s="24"/>
      <c r="E21" s="24"/>
      <c r="G21" s="24"/>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62" workbookViewId="0">
      <selection activeCell="F19" sqref="F19"/>
    </sheetView>
  </sheetViews>
  <sheetFormatPr defaultColWidth="9.1796875" defaultRowHeight="14"/>
  <cols>
    <col min="1" max="1" width="41.453125" style="23" customWidth="1"/>
    <col min="2" max="2" width="45.81640625" style="23" customWidth="1"/>
    <col min="3" max="16384" width="9.1796875" style="23"/>
  </cols>
  <sheetData>
    <row r="1" spans="1:7">
      <c r="A1" s="125" t="s">
        <v>24</v>
      </c>
      <c r="B1" s="125" t="s">
        <v>190</v>
      </c>
      <c r="C1" s="28"/>
    </row>
    <row r="2" spans="1:7">
      <c r="A2" s="134" t="s">
        <v>191</v>
      </c>
      <c r="B2" s="126" t="s">
        <v>196</v>
      </c>
      <c r="C2" s="33"/>
    </row>
    <row r="3" spans="1:7">
      <c r="A3" s="127" t="s">
        <v>192</v>
      </c>
      <c r="B3" s="126" t="s">
        <v>196</v>
      </c>
      <c r="C3" s="33"/>
    </row>
    <row r="4" spans="1:7">
      <c r="A4" s="127" t="s">
        <v>193</v>
      </c>
      <c r="B4" s="126" t="s">
        <v>199</v>
      </c>
      <c r="C4" s="33"/>
    </row>
    <row r="5" spans="1:7">
      <c r="A5" s="127" t="s">
        <v>194</v>
      </c>
      <c r="B5" s="126" t="s">
        <v>200</v>
      </c>
      <c r="C5" s="34"/>
      <c r="D5" s="24"/>
    </row>
    <row r="6" spans="1:7">
      <c r="A6" s="127" t="s">
        <v>195</v>
      </c>
      <c r="B6" s="126" t="s">
        <v>201</v>
      </c>
      <c r="C6" s="34"/>
      <c r="D6" s="24"/>
      <c r="F6" s="24"/>
    </row>
    <row r="7" spans="1:7">
      <c r="A7" s="127" t="s">
        <v>197</v>
      </c>
      <c r="B7" s="127" t="s">
        <v>198</v>
      </c>
      <c r="C7" s="29"/>
      <c r="D7" s="24"/>
      <c r="F7" s="24"/>
    </row>
    <row r="8" spans="1:7">
      <c r="A8" s="134" t="s">
        <v>277</v>
      </c>
      <c r="B8" s="134" t="s">
        <v>280</v>
      </c>
      <c r="C8" s="29"/>
      <c r="D8" s="24"/>
      <c r="F8" s="24"/>
    </row>
    <row r="9" spans="1:7">
      <c r="A9" s="134" t="s">
        <v>278</v>
      </c>
      <c r="B9" s="134" t="s">
        <v>280</v>
      </c>
      <c r="C9" s="34"/>
      <c r="D9" s="24"/>
      <c r="F9" s="24"/>
    </row>
    <row r="10" spans="1:7">
      <c r="A10" s="134" t="s">
        <v>103</v>
      </c>
      <c r="B10" s="134" t="s">
        <v>279</v>
      </c>
      <c r="C10" s="29"/>
      <c r="D10" s="24"/>
      <c r="G10" s="24"/>
    </row>
    <row r="11" spans="1:7">
      <c r="A11" s="134" t="s">
        <v>104</v>
      </c>
      <c r="B11" s="179" t="s">
        <v>279</v>
      </c>
      <c r="C11" s="29"/>
      <c r="D11" s="24"/>
      <c r="G11" s="24"/>
    </row>
    <row r="12" spans="1:7">
      <c r="A12" s="134" t="s">
        <v>177</v>
      </c>
      <c r="B12" s="179" t="s">
        <v>279</v>
      </c>
      <c r="C12" s="24"/>
      <c r="D12" s="24"/>
      <c r="G12" s="24"/>
    </row>
    <row r="13" spans="1:7">
      <c r="A13" s="134" t="s">
        <v>282</v>
      </c>
      <c r="B13" s="179" t="s">
        <v>281</v>
      </c>
      <c r="C13" s="24"/>
      <c r="D13" s="24"/>
      <c r="G13" s="24"/>
    </row>
    <row r="14" spans="1:7">
      <c r="A14" s="134" t="s">
        <v>283</v>
      </c>
      <c r="B14" s="179" t="s">
        <v>284</v>
      </c>
      <c r="C14" s="24"/>
      <c r="D14" s="24"/>
      <c r="G14" s="24"/>
    </row>
    <row r="15" spans="1:7">
      <c r="A15" s="134" t="s">
        <v>283</v>
      </c>
      <c r="B15" s="134" t="s">
        <v>285</v>
      </c>
      <c r="C15" s="24"/>
      <c r="D15" s="24"/>
      <c r="F15" s="24"/>
    </row>
    <row r="16" spans="1:7">
      <c r="A16" s="134" t="s">
        <v>283</v>
      </c>
      <c r="B16" s="134" t="s">
        <v>286</v>
      </c>
      <c r="C16" s="24"/>
      <c r="D16" s="24"/>
      <c r="F16" s="24"/>
    </row>
    <row r="17" spans="1:6">
      <c r="A17" s="134" t="s">
        <v>283</v>
      </c>
      <c r="B17" s="134" t="s">
        <v>287</v>
      </c>
      <c r="C17" s="24"/>
      <c r="D17" s="24"/>
      <c r="F17" s="24"/>
    </row>
    <row r="18" spans="1:6">
      <c r="A18" s="134" t="s">
        <v>289</v>
      </c>
      <c r="B18" s="134" t="s">
        <v>288</v>
      </c>
      <c r="C18" s="24"/>
      <c r="D18" s="24"/>
      <c r="F18" s="24"/>
    </row>
    <row r="19" spans="1:6">
      <c r="A19" s="134" t="s">
        <v>290</v>
      </c>
      <c r="B19" s="179" t="s">
        <v>288</v>
      </c>
      <c r="C19" s="24"/>
      <c r="D19" s="24"/>
      <c r="F19" s="24"/>
    </row>
    <row r="20" spans="1:6">
      <c r="A20" s="134" t="s">
        <v>291</v>
      </c>
      <c r="B20" s="179" t="s">
        <v>292</v>
      </c>
      <c r="C20" s="24"/>
      <c r="D20" s="24"/>
      <c r="F20" s="24"/>
    </row>
    <row r="21" spans="1:6">
      <c r="A21" s="134" t="s">
        <v>195</v>
      </c>
      <c r="B21" s="24"/>
      <c r="C21" s="24"/>
      <c r="D21" s="24"/>
      <c r="F21" s="24"/>
    </row>
    <row r="22" spans="1:6">
      <c r="A22" s="134" t="s">
        <v>317</v>
      </c>
    </row>
    <row r="23" spans="1:6" ht="16.5" customHeight="1">
      <c r="A23" s="134" t="s">
        <v>318</v>
      </c>
    </row>
    <row r="24" spans="1:6" ht="12" customHeight="1">
      <c r="A24" s="134" t="s">
        <v>319</v>
      </c>
    </row>
    <row r="25" spans="1:6">
      <c r="A25" s="134" t="s">
        <v>320</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zoomScale="81" zoomScaleNormal="100" workbookViewId="0">
      <selection activeCell="I20" sqref="I20"/>
    </sheetView>
  </sheetViews>
  <sheetFormatPr defaultColWidth="8.7265625" defaultRowHeight="14.5"/>
  <cols>
    <col min="1" max="1" width="4.7265625" style="194" customWidth="1"/>
    <col min="2" max="4" width="10.7265625" style="194" customWidth="1"/>
    <col min="5" max="6" width="12.7265625" style="194" customWidth="1"/>
    <col min="7" max="7" width="4.7265625" style="194" customWidth="1"/>
    <col min="8" max="8" width="3.7265625" style="194" customWidth="1"/>
    <col min="9" max="9" width="25.7265625" style="194" customWidth="1"/>
    <col min="10" max="10" width="3.7265625" style="194" customWidth="1"/>
    <col min="11" max="11" width="24.7265625" style="194" customWidth="1"/>
    <col min="12" max="16384" width="8.7265625" style="194"/>
  </cols>
  <sheetData>
    <row r="1" spans="1:11">
      <c r="A1" s="193"/>
      <c r="B1" s="194" t="s">
        <v>69</v>
      </c>
      <c r="C1" s="195"/>
      <c r="D1" s="194" t="s">
        <v>70</v>
      </c>
      <c r="F1" s="392"/>
      <c r="G1" s="392"/>
      <c r="H1" s="194" t="s">
        <v>71</v>
      </c>
      <c r="J1" s="196"/>
      <c r="K1" s="194" t="s">
        <v>72</v>
      </c>
    </row>
    <row r="2" spans="1:11" s="189" customFormat="1">
      <c r="A2" s="40" t="s">
        <v>342</v>
      </c>
      <c r="B2" s="40"/>
      <c r="C2" s="40"/>
      <c r="F2" s="197"/>
      <c r="G2" s="197"/>
    </row>
    <row r="3" spans="1:11" ht="15.5">
      <c r="A3" s="1" t="s">
        <v>77</v>
      </c>
      <c r="B3" s="1"/>
      <c r="C3" s="1"/>
      <c r="D3" s="198"/>
      <c r="E3" s="40"/>
      <c r="F3" s="40"/>
      <c r="G3" s="40"/>
      <c r="H3" s="198"/>
      <c r="I3" s="198"/>
      <c r="J3" s="198"/>
      <c r="K3" s="198"/>
    </row>
    <row r="4" spans="1:11" ht="15.5">
      <c r="A4" s="403" t="s">
        <v>461</v>
      </c>
      <c r="B4" s="403"/>
      <c r="C4" s="403"/>
      <c r="D4" s="403"/>
      <c r="E4" s="1"/>
      <c r="F4" s="1"/>
      <c r="G4" s="1"/>
      <c r="H4" s="198"/>
      <c r="I4" s="396" t="s">
        <v>7</v>
      </c>
      <c r="J4" s="396"/>
      <c r="K4" s="396"/>
    </row>
    <row r="5" spans="1:11">
      <c r="A5" s="199" t="s">
        <v>74</v>
      </c>
      <c r="B5" s="48"/>
      <c r="C5" s="48"/>
      <c r="D5" s="200"/>
      <c r="E5" s="48"/>
      <c r="F5" s="48"/>
      <c r="G5" s="48"/>
      <c r="H5" s="200"/>
      <c r="I5" s="201"/>
      <c r="J5" s="201"/>
      <c r="K5" s="369" t="s">
        <v>459</v>
      </c>
    </row>
    <row r="6" spans="1:11" ht="46" customHeight="1">
      <c r="A6" s="393" t="s">
        <v>438</v>
      </c>
      <c r="B6" s="394"/>
      <c r="C6" s="394"/>
      <c r="D6" s="394"/>
      <c r="E6" s="394"/>
      <c r="F6" s="394"/>
      <c r="G6" s="394"/>
      <c r="H6" s="394"/>
      <c r="I6" s="394"/>
      <c r="J6" s="394"/>
      <c r="K6" s="395"/>
    </row>
    <row r="7" spans="1:11">
      <c r="A7" s="401" t="s">
        <v>0</v>
      </c>
      <c r="B7" s="402"/>
      <c r="C7" s="399"/>
      <c r="D7" s="400"/>
      <c r="E7" s="400"/>
      <c r="F7" s="400"/>
      <c r="G7" s="202"/>
      <c r="H7" s="203"/>
      <c r="I7" s="397" t="s">
        <v>6</v>
      </c>
      <c r="J7" s="398"/>
      <c r="K7" s="204" t="s">
        <v>1</v>
      </c>
    </row>
    <row r="8" spans="1:11">
      <c r="A8" s="401" t="s">
        <v>2</v>
      </c>
      <c r="B8" s="402"/>
      <c r="C8" s="399"/>
      <c r="D8" s="400"/>
      <c r="E8" s="400"/>
      <c r="F8" s="400"/>
      <c r="G8" s="202"/>
      <c r="H8" s="203"/>
      <c r="I8" s="397" t="s">
        <v>3</v>
      </c>
      <c r="J8" s="398"/>
      <c r="K8" s="205"/>
    </row>
    <row r="9" spans="1:11">
      <c r="A9" s="206"/>
      <c r="B9" s="206"/>
      <c r="C9" s="206"/>
      <c r="D9" s="206"/>
      <c r="E9" s="206"/>
      <c r="F9" s="206"/>
      <c r="G9" s="206"/>
      <c r="H9" s="206"/>
      <c r="I9" s="207"/>
      <c r="J9" s="207"/>
      <c r="K9" s="206"/>
    </row>
    <row r="10" spans="1:11">
      <c r="A10" s="206"/>
      <c r="B10" s="206" t="s">
        <v>245</v>
      </c>
      <c r="C10" s="206"/>
      <c r="D10" s="206"/>
      <c r="E10" s="206"/>
      <c r="F10" s="206"/>
      <c r="G10" s="206"/>
      <c r="H10" s="206"/>
      <c r="I10" s="207"/>
      <c r="J10" s="207"/>
      <c r="K10" s="206"/>
    </row>
    <row r="11" spans="1:11">
      <c r="A11" s="206"/>
      <c r="B11" s="206"/>
      <c r="C11" s="206"/>
      <c r="D11" s="206"/>
      <c r="E11" s="206"/>
      <c r="F11" s="206"/>
      <c r="G11" s="206"/>
      <c r="H11" s="206"/>
      <c r="I11" s="207"/>
      <c r="J11" s="207"/>
      <c r="K11" s="206"/>
    </row>
    <row r="12" spans="1:11">
      <c r="A12" s="206"/>
      <c r="B12" s="206"/>
      <c r="C12" s="206"/>
      <c r="D12" s="206"/>
      <c r="E12" s="206"/>
      <c r="F12" s="206"/>
      <c r="G12" s="206"/>
      <c r="H12" s="206"/>
      <c r="I12" s="207"/>
      <c r="J12" s="207"/>
      <c r="K12" s="206"/>
    </row>
    <row r="13" spans="1:11">
      <c r="A13" s="40" t="s">
        <v>342</v>
      </c>
      <c r="B13" s="40"/>
      <c r="C13" s="40"/>
      <c r="D13" s="189"/>
      <c r="E13" s="189"/>
      <c r="F13" s="197"/>
      <c r="G13" s="197"/>
      <c r="H13" s="189"/>
      <c r="I13" s="189"/>
      <c r="J13" s="189"/>
      <c r="K13" s="189"/>
    </row>
    <row r="14" spans="1:11" ht="15.5">
      <c r="A14" s="1" t="s">
        <v>77</v>
      </c>
      <c r="B14" s="1"/>
      <c r="C14" s="1"/>
      <c r="D14" s="198"/>
      <c r="E14" s="40"/>
      <c r="F14" s="40"/>
      <c r="G14" s="40"/>
      <c r="H14" s="198"/>
      <c r="I14" s="198"/>
      <c r="J14" s="198"/>
      <c r="K14" s="198"/>
    </row>
    <row r="15" spans="1:11" ht="15.5">
      <c r="A15" s="409" t="s">
        <v>460</v>
      </c>
      <c r="B15" s="409"/>
      <c r="C15" s="409"/>
      <c r="D15" s="198"/>
      <c r="E15" s="1"/>
      <c r="F15" s="1"/>
      <c r="G15" s="1"/>
      <c r="H15" s="198"/>
      <c r="I15" s="396" t="s">
        <v>7</v>
      </c>
      <c r="J15" s="396"/>
      <c r="K15" s="396"/>
    </row>
    <row r="16" spans="1:11">
      <c r="A16" s="199" t="s">
        <v>74</v>
      </c>
      <c r="B16" s="48"/>
      <c r="C16" s="48"/>
      <c r="D16" s="200"/>
      <c r="E16" s="48"/>
      <c r="F16" s="48"/>
      <c r="G16" s="48"/>
      <c r="H16" s="200"/>
      <c r="I16" s="201"/>
      <c r="J16" s="201"/>
      <c r="K16" s="369" t="s">
        <v>459</v>
      </c>
    </row>
    <row r="17" spans="1:11">
      <c r="A17" s="405" t="s">
        <v>0</v>
      </c>
      <c r="B17" s="406"/>
      <c r="C17" s="407" t="s">
        <v>355</v>
      </c>
      <c r="D17" s="408"/>
      <c r="E17" s="408"/>
      <c r="F17" s="408"/>
      <c r="G17" s="289"/>
      <c r="H17" s="290"/>
      <c r="I17" s="397" t="s">
        <v>6</v>
      </c>
      <c r="J17" s="398"/>
      <c r="K17" s="204" t="s">
        <v>1</v>
      </c>
    </row>
    <row r="18" spans="1:11">
      <c r="A18" s="405" t="s">
        <v>2</v>
      </c>
      <c r="B18" s="406"/>
      <c r="C18" s="407" t="s">
        <v>355</v>
      </c>
      <c r="D18" s="408"/>
      <c r="E18" s="408"/>
      <c r="F18" s="408"/>
      <c r="G18" s="289"/>
      <c r="H18" s="290"/>
      <c r="I18" s="397" t="s">
        <v>3</v>
      </c>
      <c r="J18" s="398"/>
      <c r="K18" s="208"/>
    </row>
    <row r="19" spans="1:11">
      <c r="A19" s="209"/>
      <c r="B19" s="206"/>
      <c r="C19" s="206"/>
      <c r="D19" s="206"/>
      <c r="E19" s="206"/>
      <c r="F19" s="206"/>
      <c r="G19" s="209"/>
      <c r="H19" s="210"/>
      <c r="I19" s="210"/>
      <c r="J19" s="211"/>
      <c r="K19" s="211"/>
    </row>
    <row r="20" spans="1:11">
      <c r="A20" s="209"/>
      <c r="B20" s="206"/>
      <c r="C20" s="206"/>
      <c r="D20" s="206"/>
      <c r="E20" s="206"/>
      <c r="F20" s="206"/>
      <c r="G20" s="209"/>
      <c r="H20" s="210"/>
      <c r="I20" s="210"/>
      <c r="J20" s="211"/>
      <c r="K20" s="211"/>
    </row>
    <row r="21" spans="1:11">
      <c r="A21" s="209"/>
      <c r="B21" s="206"/>
      <c r="C21" s="206"/>
      <c r="D21" s="206"/>
      <c r="E21" s="206"/>
      <c r="F21" s="206"/>
      <c r="G21" s="209"/>
      <c r="H21" s="210"/>
      <c r="I21" s="210"/>
      <c r="J21" s="211"/>
      <c r="K21" s="211"/>
    </row>
    <row r="22" spans="1:11">
      <c r="A22" s="209"/>
      <c r="B22" s="206" t="s">
        <v>356</v>
      </c>
      <c r="C22" s="206"/>
      <c r="D22" s="206"/>
      <c r="E22" s="206"/>
      <c r="F22" s="206"/>
      <c r="G22" s="209"/>
      <c r="H22" s="210"/>
      <c r="I22" s="210"/>
      <c r="J22" s="211"/>
      <c r="K22" s="211"/>
    </row>
    <row r="23" spans="1:11">
      <c r="A23" s="209"/>
      <c r="B23" s="404" t="s">
        <v>456</v>
      </c>
      <c r="C23" s="404"/>
      <c r="D23" s="404"/>
      <c r="E23" s="404"/>
      <c r="F23" s="404"/>
      <c r="G23" s="404"/>
      <c r="H23" s="404"/>
      <c r="I23" s="404"/>
      <c r="J23" s="404"/>
      <c r="K23" s="211"/>
    </row>
    <row r="24" spans="1:11" ht="15" customHeight="1">
      <c r="A24" s="212"/>
      <c r="B24" s="160"/>
      <c r="C24" s="160"/>
      <c r="D24" s="160"/>
      <c r="E24" s="160"/>
      <c r="F24" s="160"/>
      <c r="G24" s="160"/>
      <c r="H24" s="160"/>
      <c r="I24" s="160"/>
      <c r="J24" s="160"/>
      <c r="K24" s="160"/>
    </row>
    <row r="25" spans="1:11">
      <c r="A25" s="160"/>
      <c r="B25" s="160"/>
      <c r="C25" s="160"/>
      <c r="D25" s="160"/>
      <c r="E25" s="160"/>
      <c r="F25" s="160"/>
      <c r="G25" s="160"/>
      <c r="H25" s="160"/>
      <c r="I25" s="160"/>
      <c r="J25" s="160"/>
      <c r="K25" s="160"/>
    </row>
    <row r="26" spans="1:11">
      <c r="A26" s="160"/>
      <c r="B26" s="160"/>
      <c r="C26" s="160"/>
      <c r="D26" s="160"/>
      <c r="E26" s="160"/>
      <c r="F26" s="160"/>
      <c r="G26" s="160"/>
      <c r="H26" s="160"/>
      <c r="I26" s="160"/>
      <c r="J26" s="160"/>
      <c r="K26" s="160"/>
    </row>
    <row r="27" spans="1:11">
      <c r="A27" s="160"/>
      <c r="B27" s="160"/>
      <c r="C27" s="160"/>
      <c r="D27" s="160"/>
      <c r="E27" s="160"/>
      <c r="F27" s="160"/>
      <c r="G27" s="160"/>
      <c r="H27" s="160"/>
      <c r="I27" s="160"/>
      <c r="J27" s="160"/>
      <c r="K27" s="160"/>
    </row>
    <row r="28" spans="1:11">
      <c r="A28" s="160"/>
      <c r="B28" s="160"/>
      <c r="C28" s="160"/>
      <c r="D28" s="160"/>
      <c r="E28" s="160"/>
      <c r="F28" s="160"/>
      <c r="G28" s="160"/>
      <c r="H28" s="160"/>
      <c r="I28" s="160"/>
      <c r="J28" s="160"/>
      <c r="K28" s="160"/>
    </row>
    <row r="29" spans="1:11">
      <c r="A29" s="160"/>
      <c r="B29" s="160"/>
      <c r="C29" s="160"/>
      <c r="D29" s="160"/>
      <c r="E29" s="160"/>
      <c r="F29" s="160"/>
      <c r="G29" s="160"/>
      <c r="H29" s="160"/>
      <c r="I29" s="160"/>
      <c r="J29" s="160"/>
      <c r="K29" s="160"/>
    </row>
    <row r="30" spans="1:11">
      <c r="A30" s="160"/>
      <c r="B30" s="160"/>
      <c r="C30" s="160"/>
      <c r="D30" s="160"/>
      <c r="E30" s="160"/>
      <c r="F30" s="160"/>
      <c r="G30" s="160"/>
      <c r="H30" s="160"/>
      <c r="I30" s="160"/>
      <c r="J30" s="160"/>
      <c r="K30" s="160"/>
    </row>
  </sheetData>
  <mergeCells count="19">
    <mergeCell ref="B23:J23"/>
    <mergeCell ref="A18:B18"/>
    <mergeCell ref="C18:F18"/>
    <mergeCell ref="I18:J18"/>
    <mergeCell ref="A15:C15"/>
    <mergeCell ref="I15:K15"/>
    <mergeCell ref="A17:B17"/>
    <mergeCell ref="C17:F17"/>
    <mergeCell ref="I17:J17"/>
    <mergeCell ref="F1:G1"/>
    <mergeCell ref="A6:K6"/>
    <mergeCell ref="I4:K4"/>
    <mergeCell ref="I7:J7"/>
    <mergeCell ref="I8:J8"/>
    <mergeCell ref="C7:F7"/>
    <mergeCell ref="C8:F8"/>
    <mergeCell ref="A7:B7"/>
    <mergeCell ref="A8:B8"/>
    <mergeCell ref="A4:D4"/>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E042-C87E-421A-9908-3019E63797E9}">
  <dimension ref="A1:K30"/>
  <sheetViews>
    <sheetView zoomScale="81" zoomScaleNormal="100" workbookViewId="0">
      <selection activeCell="E19" sqref="E19"/>
    </sheetView>
  </sheetViews>
  <sheetFormatPr defaultColWidth="8.7265625" defaultRowHeight="14.5"/>
  <cols>
    <col min="1" max="1" width="4.7265625" style="194" customWidth="1"/>
    <col min="2" max="4" width="10.7265625" style="194" customWidth="1"/>
    <col min="5" max="6" width="12.7265625" style="194" customWidth="1"/>
    <col min="7" max="7" width="4.7265625" style="194" customWidth="1"/>
    <col min="8" max="8" width="3.7265625" style="194" customWidth="1"/>
    <col min="9" max="9" width="25.7265625" style="194" customWidth="1"/>
    <col min="10" max="10" width="3.7265625" style="194" customWidth="1"/>
    <col min="11" max="11" width="24.7265625" style="194" customWidth="1"/>
    <col min="12" max="16384" width="8.7265625" style="194"/>
  </cols>
  <sheetData>
    <row r="1" spans="1:11">
      <c r="A1" s="193"/>
      <c r="B1" s="194" t="s">
        <v>69</v>
      </c>
      <c r="C1" s="195"/>
      <c r="D1" s="194" t="s">
        <v>70</v>
      </c>
      <c r="F1" s="392"/>
      <c r="G1" s="392"/>
      <c r="H1" s="194" t="s">
        <v>71</v>
      </c>
      <c r="J1" s="196"/>
      <c r="K1" s="194" t="s">
        <v>72</v>
      </c>
    </row>
    <row r="2" spans="1:11">
      <c r="A2" s="374" t="s">
        <v>342</v>
      </c>
      <c r="B2" s="374"/>
      <c r="C2" s="374"/>
      <c r="F2" s="375"/>
      <c r="G2" s="375"/>
    </row>
    <row r="3" spans="1:11" ht="15.5">
      <c r="A3" s="376" t="s">
        <v>77</v>
      </c>
      <c r="B3" s="376"/>
      <c r="C3" s="376"/>
      <c r="D3" s="377"/>
      <c r="E3" s="374"/>
      <c r="F3" s="374"/>
      <c r="G3" s="374"/>
      <c r="H3" s="377"/>
      <c r="I3" s="377"/>
      <c r="J3" s="377"/>
      <c r="K3" s="377"/>
    </row>
    <row r="4" spans="1:11" ht="15.5">
      <c r="A4" s="410" t="s">
        <v>480</v>
      </c>
      <c r="B4" s="410"/>
      <c r="C4" s="410"/>
      <c r="D4" s="410"/>
      <c r="E4" s="376"/>
      <c r="F4" s="376"/>
      <c r="G4" s="376"/>
      <c r="H4" s="377"/>
      <c r="I4" s="411" t="s">
        <v>7</v>
      </c>
      <c r="J4" s="411"/>
      <c r="K4" s="411"/>
    </row>
    <row r="5" spans="1:11">
      <c r="A5" s="378" t="s">
        <v>74</v>
      </c>
      <c r="B5" s="379"/>
      <c r="C5" s="379"/>
      <c r="D5" s="380"/>
      <c r="E5" s="379"/>
      <c r="F5" s="379"/>
      <c r="G5" s="379"/>
      <c r="H5" s="380"/>
      <c r="I5" s="381"/>
      <c r="J5" s="381"/>
      <c r="K5" s="385" t="s">
        <v>481</v>
      </c>
    </row>
    <row r="6" spans="1:11" ht="57" customHeight="1">
      <c r="A6" s="412" t="s">
        <v>477</v>
      </c>
      <c r="B6" s="413"/>
      <c r="C6" s="413"/>
      <c r="D6" s="413"/>
      <c r="E6" s="413"/>
      <c r="F6" s="413"/>
      <c r="G6" s="413"/>
      <c r="H6" s="413"/>
      <c r="I6" s="413"/>
      <c r="J6" s="413"/>
      <c r="K6" s="414"/>
    </row>
    <row r="7" spans="1:11">
      <c r="A7" s="401" t="s">
        <v>0</v>
      </c>
      <c r="B7" s="402"/>
      <c r="C7" s="399"/>
      <c r="D7" s="400"/>
      <c r="E7" s="400"/>
      <c r="F7" s="400"/>
      <c r="G7" s="366"/>
      <c r="H7" s="203"/>
      <c r="I7" s="397" t="s">
        <v>6</v>
      </c>
      <c r="J7" s="398"/>
      <c r="K7" s="204" t="s">
        <v>1</v>
      </c>
    </row>
    <row r="8" spans="1:11">
      <c r="A8" s="401" t="s">
        <v>2</v>
      </c>
      <c r="B8" s="402"/>
      <c r="C8" s="399"/>
      <c r="D8" s="400"/>
      <c r="E8" s="400"/>
      <c r="F8" s="400"/>
      <c r="G8" s="366"/>
      <c r="H8" s="203"/>
      <c r="I8" s="397" t="s">
        <v>3</v>
      </c>
      <c r="J8" s="398"/>
      <c r="K8" s="205"/>
    </row>
    <row r="9" spans="1:11">
      <c r="A9" s="160"/>
      <c r="B9" s="160"/>
      <c r="C9" s="160"/>
      <c r="D9" s="160"/>
      <c r="E9" s="160"/>
      <c r="F9" s="160"/>
      <c r="G9" s="160"/>
      <c r="H9" s="160"/>
      <c r="I9" s="382"/>
      <c r="J9" s="382"/>
      <c r="K9" s="160"/>
    </row>
    <row r="10" spans="1:11">
      <c r="A10" s="160"/>
      <c r="B10" s="160" t="s">
        <v>245</v>
      </c>
      <c r="C10" s="160"/>
      <c r="D10" s="160"/>
      <c r="E10" s="160"/>
      <c r="F10" s="160"/>
      <c r="G10" s="160"/>
      <c r="H10" s="160"/>
      <c r="I10" s="382"/>
      <c r="J10" s="382"/>
      <c r="K10" s="160"/>
    </row>
    <row r="11" spans="1:11">
      <c r="A11" s="160"/>
      <c r="B11" s="160"/>
      <c r="C11" s="160"/>
      <c r="D11" s="160"/>
      <c r="E11" s="160"/>
      <c r="F11" s="160"/>
      <c r="G11" s="160"/>
      <c r="H11" s="160"/>
      <c r="I11" s="382"/>
      <c r="J11" s="382"/>
      <c r="K11" s="160"/>
    </row>
    <row r="12" spans="1:11">
      <c r="A12" s="160"/>
      <c r="B12" s="160"/>
      <c r="C12" s="160"/>
      <c r="D12" s="160"/>
      <c r="E12" s="160"/>
      <c r="F12" s="160"/>
      <c r="G12" s="160"/>
      <c r="H12" s="160"/>
      <c r="I12" s="382"/>
      <c r="J12" s="382"/>
      <c r="K12" s="160"/>
    </row>
    <row r="13" spans="1:11">
      <c r="A13" s="374" t="s">
        <v>342</v>
      </c>
      <c r="B13" s="374"/>
      <c r="C13" s="374"/>
      <c r="F13" s="375"/>
      <c r="G13" s="375"/>
    </row>
    <row r="14" spans="1:11" ht="15.5">
      <c r="A14" s="376" t="s">
        <v>77</v>
      </c>
      <c r="B14" s="376"/>
      <c r="C14" s="376"/>
      <c r="D14" s="377"/>
      <c r="E14" s="374"/>
      <c r="F14" s="374"/>
      <c r="G14" s="374"/>
      <c r="H14" s="377"/>
      <c r="I14" s="377"/>
      <c r="J14" s="377"/>
      <c r="K14" s="377"/>
    </row>
    <row r="15" spans="1:11" ht="15.5">
      <c r="A15" s="415" t="s">
        <v>480</v>
      </c>
      <c r="B15" s="415"/>
      <c r="C15" s="415"/>
      <c r="D15" s="377"/>
      <c r="E15" s="376"/>
      <c r="F15" s="376"/>
      <c r="G15" s="376"/>
      <c r="H15" s="377"/>
      <c r="I15" s="411" t="s">
        <v>7</v>
      </c>
      <c r="J15" s="411"/>
      <c r="K15" s="411"/>
    </row>
    <row r="16" spans="1:11">
      <c r="A16" s="378" t="s">
        <v>74</v>
      </c>
      <c r="B16" s="379"/>
      <c r="C16" s="379"/>
      <c r="D16" s="380"/>
      <c r="E16" s="379"/>
      <c r="F16" s="379"/>
      <c r="G16" s="379"/>
      <c r="H16" s="380"/>
      <c r="I16" s="381"/>
      <c r="J16" s="381"/>
      <c r="K16" s="385" t="s">
        <v>481</v>
      </c>
    </row>
    <row r="17" spans="1:11">
      <c r="A17" s="405" t="s">
        <v>0</v>
      </c>
      <c r="B17" s="406"/>
      <c r="C17" s="407" t="s">
        <v>355</v>
      </c>
      <c r="D17" s="408"/>
      <c r="E17" s="408"/>
      <c r="F17" s="408"/>
      <c r="G17" s="289"/>
      <c r="H17" s="290"/>
      <c r="I17" s="397" t="s">
        <v>6</v>
      </c>
      <c r="J17" s="398"/>
      <c r="K17" s="204" t="s">
        <v>1</v>
      </c>
    </row>
    <row r="18" spans="1:11">
      <c r="A18" s="405" t="s">
        <v>2</v>
      </c>
      <c r="B18" s="406"/>
      <c r="C18" s="407" t="s">
        <v>355</v>
      </c>
      <c r="D18" s="408"/>
      <c r="E18" s="408"/>
      <c r="F18" s="408"/>
      <c r="G18" s="289"/>
      <c r="H18" s="290"/>
      <c r="I18" s="397" t="s">
        <v>3</v>
      </c>
      <c r="J18" s="398"/>
      <c r="K18" s="208"/>
    </row>
    <row r="19" spans="1:11">
      <c r="A19" s="383"/>
      <c r="B19" s="160"/>
      <c r="C19" s="160"/>
      <c r="D19" s="160"/>
      <c r="E19" s="160"/>
      <c r="F19" s="160"/>
      <c r="G19" s="383"/>
      <c r="H19" s="160"/>
      <c r="I19" s="160"/>
      <c r="J19" s="384"/>
      <c r="K19" s="384"/>
    </row>
    <row r="20" spans="1:11">
      <c r="A20" s="383"/>
      <c r="B20" s="160"/>
      <c r="C20" s="160"/>
      <c r="D20" s="160"/>
      <c r="E20" s="160"/>
      <c r="F20" s="160"/>
      <c r="G20" s="383"/>
      <c r="H20" s="160"/>
      <c r="I20" s="160"/>
      <c r="J20" s="384"/>
      <c r="K20" s="384"/>
    </row>
    <row r="21" spans="1:11">
      <c r="A21" s="383"/>
      <c r="B21" s="160"/>
      <c r="C21" s="160"/>
      <c r="D21" s="160"/>
      <c r="E21" s="160"/>
      <c r="F21" s="160"/>
      <c r="G21" s="383"/>
      <c r="H21" s="160"/>
      <c r="I21" s="160"/>
      <c r="J21" s="384"/>
      <c r="K21" s="384"/>
    </row>
    <row r="22" spans="1:11">
      <c r="A22" s="383"/>
      <c r="B22" s="160" t="s">
        <v>356</v>
      </c>
      <c r="C22" s="160"/>
      <c r="D22" s="160"/>
      <c r="E22" s="160"/>
      <c r="F22" s="160"/>
      <c r="G22" s="383"/>
      <c r="H22" s="160"/>
      <c r="I22" s="160"/>
      <c r="J22" s="384"/>
      <c r="K22" s="384"/>
    </row>
    <row r="23" spans="1:11">
      <c r="A23" s="383"/>
      <c r="B23" s="404" t="s">
        <v>456</v>
      </c>
      <c r="C23" s="404"/>
      <c r="D23" s="404"/>
      <c r="E23" s="404"/>
      <c r="F23" s="404"/>
      <c r="G23" s="404"/>
      <c r="H23" s="404"/>
      <c r="I23" s="404"/>
      <c r="J23" s="404"/>
      <c r="K23" s="384"/>
    </row>
    <row r="24" spans="1:11" ht="15" customHeight="1">
      <c r="A24" s="212"/>
      <c r="B24" s="160"/>
      <c r="C24" s="160"/>
      <c r="D24" s="160"/>
      <c r="E24" s="160"/>
      <c r="F24" s="160"/>
      <c r="G24" s="160"/>
      <c r="H24" s="160"/>
      <c r="I24" s="160"/>
      <c r="J24" s="160"/>
      <c r="K24" s="160"/>
    </row>
    <row r="25" spans="1:11">
      <c r="A25" s="160"/>
      <c r="B25" s="160"/>
      <c r="C25" s="160"/>
      <c r="D25" s="160"/>
      <c r="E25" s="160"/>
      <c r="F25" s="160"/>
      <c r="G25" s="160"/>
      <c r="H25" s="160"/>
      <c r="I25" s="160"/>
      <c r="J25" s="160"/>
      <c r="K25" s="160"/>
    </row>
    <row r="26" spans="1:11">
      <c r="A26" s="160"/>
      <c r="B26" s="160"/>
      <c r="C26" s="160"/>
      <c r="D26" s="160"/>
      <c r="E26" s="160"/>
      <c r="F26" s="160"/>
      <c r="G26" s="160"/>
      <c r="H26" s="160"/>
      <c r="I26" s="160"/>
      <c r="J26" s="160"/>
      <c r="K26" s="160"/>
    </row>
    <row r="27" spans="1:11">
      <c r="A27" s="160"/>
      <c r="B27" s="160"/>
      <c r="C27" s="160"/>
      <c r="D27" s="160"/>
      <c r="E27" s="160"/>
      <c r="F27" s="160"/>
      <c r="G27" s="160"/>
      <c r="H27" s="160"/>
      <c r="I27" s="160"/>
      <c r="J27" s="160"/>
      <c r="K27" s="160"/>
    </row>
    <row r="28" spans="1:11">
      <c r="A28" s="160"/>
      <c r="B28" s="160"/>
      <c r="C28" s="160"/>
      <c r="D28" s="160"/>
      <c r="E28" s="160"/>
      <c r="F28" s="160"/>
      <c r="G28" s="160"/>
      <c r="H28" s="160"/>
      <c r="I28" s="160"/>
      <c r="J28" s="160"/>
      <c r="K28" s="160"/>
    </row>
    <row r="29" spans="1:11">
      <c r="A29" s="160"/>
      <c r="B29" s="160"/>
      <c r="C29" s="160"/>
      <c r="D29" s="160"/>
      <c r="E29" s="160"/>
      <c r="F29" s="160"/>
      <c r="G29" s="160"/>
      <c r="H29" s="160"/>
      <c r="I29" s="160"/>
      <c r="J29" s="160"/>
      <c r="K29" s="160"/>
    </row>
    <row r="30" spans="1:11">
      <c r="A30" s="160"/>
      <c r="B30" s="160"/>
      <c r="C30" s="160"/>
      <c r="D30" s="160"/>
      <c r="E30" s="160"/>
      <c r="F30" s="160"/>
      <c r="G30" s="160"/>
      <c r="H30" s="160"/>
      <c r="I30" s="160"/>
      <c r="J30" s="160"/>
      <c r="K30" s="160"/>
    </row>
  </sheetData>
  <mergeCells count="19">
    <mergeCell ref="A18:B18"/>
    <mergeCell ref="C18:F18"/>
    <mergeCell ref="I18:J18"/>
    <mergeCell ref="B23:J23"/>
    <mergeCell ref="A8:B8"/>
    <mergeCell ref="C8:F8"/>
    <mergeCell ref="I8:J8"/>
    <mergeCell ref="A15:C15"/>
    <mergeCell ref="I15:K15"/>
    <mergeCell ref="A17:B17"/>
    <mergeCell ref="C17:F17"/>
    <mergeCell ref="I17:J17"/>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zoomScale="85" zoomScaleNormal="100" workbookViewId="0">
      <selection activeCell="B17" sqref="B17:D17"/>
    </sheetView>
  </sheetViews>
  <sheetFormatPr defaultRowHeight="14.5"/>
  <cols>
    <col min="1" max="1" width="4.7265625" customWidth="1"/>
    <col min="2" max="3" width="10.7265625" customWidth="1"/>
    <col min="4" max="4" width="13.453125" customWidth="1"/>
    <col min="5" max="5" width="5" customWidth="1"/>
    <col min="6" max="6" width="34.453125" customWidth="1"/>
    <col min="7" max="7" width="4.7265625" customWidth="1"/>
    <col min="8" max="8" width="3.7265625" customWidth="1"/>
    <col min="9" max="9" width="27.26953125" customWidth="1"/>
    <col min="10" max="10" width="3.7265625" customWidth="1"/>
    <col min="11" max="11" width="24.7265625" customWidth="1"/>
  </cols>
  <sheetData>
    <row r="1" spans="1:12" s="36" customFormat="1">
      <c r="B1" s="41"/>
      <c r="C1" s="36" t="s">
        <v>69</v>
      </c>
      <c r="D1" s="42"/>
      <c r="E1" s="36" t="s">
        <v>70</v>
      </c>
      <c r="G1" s="425"/>
      <c r="H1" s="425"/>
      <c r="I1" s="36" t="s">
        <v>71</v>
      </c>
      <c r="K1" s="43"/>
      <c r="L1" s="36" t="s">
        <v>72</v>
      </c>
    </row>
    <row r="2" spans="1:12">
      <c r="A2" s="2"/>
      <c r="B2" s="2"/>
      <c r="C2" s="2"/>
      <c r="D2" s="2"/>
      <c r="E2" s="2"/>
      <c r="F2" s="2"/>
      <c r="G2" s="2"/>
      <c r="H2" s="2"/>
      <c r="I2" s="2"/>
      <c r="J2" s="2"/>
      <c r="K2" s="2"/>
    </row>
    <row r="3" spans="1:12">
      <c r="A3" s="426" t="s">
        <v>18</v>
      </c>
      <c r="B3" s="427"/>
      <c r="C3" s="427"/>
      <c r="D3" s="427"/>
      <c r="E3" s="427"/>
      <c r="F3" s="427"/>
      <c r="G3" s="427"/>
      <c r="H3" s="427"/>
      <c r="I3" s="427"/>
      <c r="J3" s="427"/>
      <c r="K3" s="428"/>
    </row>
    <row r="4" spans="1:12">
      <c r="A4" s="46" t="s">
        <v>50</v>
      </c>
      <c r="B4" s="416" t="s">
        <v>5</v>
      </c>
      <c r="C4" s="416"/>
      <c r="D4" s="416"/>
      <c r="E4" s="417"/>
      <c r="F4" s="417"/>
      <c r="G4" s="429" t="s">
        <v>53</v>
      </c>
      <c r="H4" s="431" t="s">
        <v>78</v>
      </c>
      <c r="I4" s="431"/>
      <c r="J4" s="433"/>
      <c r="K4" s="433"/>
    </row>
    <row r="5" spans="1:12">
      <c r="A5" s="46" t="s">
        <v>51</v>
      </c>
      <c r="B5" s="416" t="s">
        <v>4</v>
      </c>
      <c r="C5" s="416"/>
      <c r="D5" s="416"/>
      <c r="E5" s="417"/>
      <c r="F5" s="417"/>
      <c r="G5" s="430"/>
      <c r="H5" s="432"/>
      <c r="I5" s="432"/>
      <c r="J5" s="430"/>
      <c r="K5" s="430"/>
    </row>
    <row r="6" spans="1:12">
      <c r="A6" s="46" t="s">
        <v>52</v>
      </c>
      <c r="B6" s="418" t="s">
        <v>81</v>
      </c>
      <c r="C6" s="419"/>
      <c r="D6" s="419"/>
      <c r="E6" s="419"/>
      <c r="F6" s="419"/>
      <c r="G6" s="419"/>
      <c r="H6" s="419"/>
      <c r="I6" s="419"/>
      <c r="J6" s="419"/>
      <c r="K6" s="420"/>
    </row>
    <row r="7" spans="1:12">
      <c r="A7" s="59" t="s">
        <v>16</v>
      </c>
      <c r="B7" s="441" t="s">
        <v>79</v>
      </c>
      <c r="C7" s="441"/>
      <c r="D7" s="441"/>
      <c r="E7" s="60" t="s">
        <v>16</v>
      </c>
      <c r="F7" s="359" t="s">
        <v>439</v>
      </c>
      <c r="G7" s="60" t="s">
        <v>16</v>
      </c>
      <c r="H7" s="421" t="s">
        <v>179</v>
      </c>
      <c r="I7" s="421"/>
      <c r="J7" s="421"/>
      <c r="K7" s="422"/>
    </row>
    <row r="8" spans="1:12">
      <c r="A8" s="44" t="s">
        <v>16</v>
      </c>
      <c r="B8" s="442" t="s">
        <v>440</v>
      </c>
      <c r="C8" s="442"/>
      <c r="D8" s="442"/>
      <c r="E8" s="45" t="s">
        <v>16</v>
      </c>
      <c r="F8" s="27" t="s">
        <v>80</v>
      </c>
      <c r="G8" s="61"/>
      <c r="H8" s="423"/>
      <c r="I8" s="423"/>
      <c r="J8" s="423"/>
      <c r="K8" s="424"/>
    </row>
    <row r="9" spans="1:12">
      <c r="A9" s="360" t="s">
        <v>54</v>
      </c>
      <c r="B9" s="434" t="s">
        <v>366</v>
      </c>
      <c r="C9" s="434"/>
      <c r="D9" s="434"/>
      <c r="E9" s="434"/>
      <c r="F9" s="434"/>
      <c r="G9" s="434"/>
      <c r="H9" s="434"/>
      <c r="I9" s="434"/>
      <c r="J9" s="434"/>
      <c r="K9" s="434"/>
    </row>
    <row r="10" spans="1:12" ht="20.5" customHeight="1">
      <c r="A10" s="443" t="s">
        <v>16</v>
      </c>
      <c r="B10" s="447" t="s">
        <v>367</v>
      </c>
      <c r="C10" s="448"/>
      <c r="D10" s="449"/>
      <c r="E10" s="443" t="s">
        <v>16</v>
      </c>
      <c r="F10" s="445" t="s">
        <v>468</v>
      </c>
      <c r="G10" s="443" t="s">
        <v>16</v>
      </c>
      <c r="H10" s="437" t="s">
        <v>411</v>
      </c>
      <c r="I10" s="438"/>
      <c r="J10" s="443" t="s">
        <v>16</v>
      </c>
      <c r="K10" s="445" t="s">
        <v>409</v>
      </c>
    </row>
    <row r="11" spans="1:12" ht="20.149999999999999" customHeight="1">
      <c r="A11" s="444"/>
      <c r="B11" s="450"/>
      <c r="C11" s="451"/>
      <c r="D11" s="452"/>
      <c r="E11" s="444"/>
      <c r="F11" s="446"/>
      <c r="G11" s="444"/>
      <c r="H11" s="439"/>
      <c r="I11" s="440"/>
      <c r="J11" s="444"/>
      <c r="K11" s="446"/>
      <c r="L11" s="365"/>
    </row>
    <row r="12" spans="1:12" ht="14.5" customHeight="1">
      <c r="A12" s="389" t="s">
        <v>16</v>
      </c>
      <c r="B12" s="435" t="s">
        <v>368</v>
      </c>
      <c r="C12" s="435"/>
      <c r="D12" s="435"/>
      <c r="E12" s="389" t="s">
        <v>16</v>
      </c>
      <c r="F12" s="364" t="s">
        <v>408</v>
      </c>
      <c r="G12" s="389" t="s">
        <v>16</v>
      </c>
      <c r="H12" s="436" t="s">
        <v>410</v>
      </c>
      <c r="I12" s="436"/>
      <c r="J12" s="389" t="s">
        <v>16</v>
      </c>
      <c r="K12" s="363" t="s">
        <v>412</v>
      </c>
    </row>
    <row r="13" spans="1:12" ht="14.5" customHeight="1">
      <c r="A13" s="390"/>
      <c r="B13" s="453"/>
      <c r="C13" s="453"/>
      <c r="D13" s="453"/>
      <c r="E13" s="390"/>
      <c r="F13" s="391"/>
      <c r="G13" s="390"/>
      <c r="H13" s="454"/>
      <c r="I13" s="454"/>
      <c r="J13" s="390"/>
      <c r="K13" s="365"/>
    </row>
    <row r="14" spans="1:12" ht="14.5" customHeight="1">
      <c r="A14" s="390"/>
      <c r="B14" s="453"/>
      <c r="C14" s="453"/>
      <c r="D14" s="453"/>
      <c r="E14" s="390"/>
      <c r="F14" s="391"/>
      <c r="G14" s="390"/>
      <c r="H14" s="454"/>
      <c r="I14" s="454"/>
      <c r="J14" s="390"/>
      <c r="K14" s="365"/>
    </row>
    <row r="15" spans="1:12">
      <c r="A15" s="390"/>
      <c r="B15" s="453"/>
      <c r="C15" s="453"/>
      <c r="D15" s="453"/>
      <c r="E15" s="390"/>
      <c r="F15" s="391"/>
      <c r="G15" s="390"/>
      <c r="H15" s="454"/>
      <c r="I15" s="454"/>
      <c r="J15" s="390"/>
      <c r="K15" s="365"/>
    </row>
    <row r="16" spans="1:12">
      <c r="A16" s="390"/>
      <c r="B16" s="453"/>
      <c r="C16" s="453"/>
      <c r="D16" s="453"/>
      <c r="E16" s="390"/>
      <c r="F16" s="391"/>
      <c r="G16" s="390"/>
      <c r="H16" s="454"/>
      <c r="I16" s="454"/>
      <c r="J16" s="390"/>
      <c r="K16" s="365"/>
    </row>
    <row r="17" spans="1:11">
      <c r="A17" s="390"/>
      <c r="B17" s="453"/>
      <c r="C17" s="453"/>
      <c r="D17" s="453"/>
      <c r="E17" s="390"/>
      <c r="F17" s="391"/>
      <c r="G17" s="390"/>
      <c r="H17" s="454"/>
      <c r="I17" s="454"/>
      <c r="J17" s="390"/>
      <c r="K17" s="106"/>
    </row>
    <row r="18" spans="1:11">
      <c r="A18" s="106"/>
      <c r="B18" s="106"/>
      <c r="C18" s="106"/>
      <c r="D18" s="106"/>
      <c r="E18" s="106"/>
      <c r="F18" s="106"/>
      <c r="G18" s="106"/>
      <c r="H18" s="106"/>
      <c r="I18" s="106"/>
      <c r="J18" s="106"/>
      <c r="K18" s="106"/>
    </row>
    <row r="19" spans="1:11">
      <c r="F19" s="30" t="s">
        <v>436</v>
      </c>
    </row>
    <row r="20" spans="1:11">
      <c r="F20" s="30"/>
    </row>
  </sheetData>
  <mergeCells count="34">
    <mergeCell ref="B16:D16"/>
    <mergeCell ref="H16:I16"/>
    <mergeCell ref="B17:D17"/>
    <mergeCell ref="H17:I17"/>
    <mergeCell ref="B13:D13"/>
    <mergeCell ref="H13:I13"/>
    <mergeCell ref="B14:D14"/>
    <mergeCell ref="H14:I14"/>
    <mergeCell ref="B15:D15"/>
    <mergeCell ref="H15:I15"/>
    <mergeCell ref="A10:A11"/>
    <mergeCell ref="B10:D11"/>
    <mergeCell ref="E10:E11"/>
    <mergeCell ref="F10:F11"/>
    <mergeCell ref="G10:G11"/>
    <mergeCell ref="B9:K9"/>
    <mergeCell ref="B12:D12"/>
    <mergeCell ref="H12:I12"/>
    <mergeCell ref="H10:I11"/>
    <mergeCell ref="B7:D7"/>
    <mergeCell ref="B8:D8"/>
    <mergeCell ref="J10:J11"/>
    <mergeCell ref="K10:K11"/>
    <mergeCell ref="B5:D5"/>
    <mergeCell ref="E5:F5"/>
    <mergeCell ref="B6:K6"/>
    <mergeCell ref="H7:K8"/>
    <mergeCell ref="G1:H1"/>
    <mergeCell ref="A3:K3"/>
    <mergeCell ref="B4:D4"/>
    <mergeCell ref="E4:F4"/>
    <mergeCell ref="G4:G5"/>
    <mergeCell ref="H4:I5"/>
    <mergeCell ref="J4:K5"/>
  </mergeCells>
  <pageMargins left="0.5" right="0.5" top="0.75" bottom="0.75" header="0.3" footer="0.3"/>
  <pageSetup orientation="landscape" r:id="rId1"/>
  <ignoredErrors>
    <ignoredError sqref="G4" numberStoredAsText="1"/>
  </ignoredError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7AFE-DA94-4E19-8476-B4C4B9308418}">
  <dimension ref="A1:L20"/>
  <sheetViews>
    <sheetView zoomScale="85" zoomScaleNormal="100" workbookViewId="0">
      <selection activeCell="B15" sqref="B15:D15"/>
    </sheetView>
  </sheetViews>
  <sheetFormatPr defaultColWidth="8.7265625" defaultRowHeight="14.5"/>
  <cols>
    <col min="1" max="1" width="4.7265625" style="104" customWidth="1"/>
    <col min="2" max="3" width="10.7265625" style="104" customWidth="1"/>
    <col min="4" max="4" width="13.453125" style="104" customWidth="1"/>
    <col min="5" max="5" width="5" style="104" customWidth="1"/>
    <col min="6" max="6" width="34.453125" style="104" customWidth="1"/>
    <col min="7" max="7" width="4.7265625" style="104" customWidth="1"/>
    <col min="8" max="8" width="3.7265625" style="104" customWidth="1"/>
    <col min="9" max="9" width="27.26953125" style="104" customWidth="1"/>
    <col min="10" max="10" width="3.7265625" style="104" customWidth="1"/>
    <col min="11" max="11" width="24.7265625" style="104" customWidth="1"/>
    <col min="12" max="16384" width="8.7265625" style="104"/>
  </cols>
  <sheetData>
    <row r="1" spans="1:12">
      <c r="B1" s="108"/>
      <c r="C1" s="104" t="s">
        <v>69</v>
      </c>
      <c r="D1" s="109"/>
      <c r="E1" s="104" t="s">
        <v>70</v>
      </c>
      <c r="G1" s="425"/>
      <c r="H1" s="425"/>
      <c r="I1" s="104" t="s">
        <v>71</v>
      </c>
      <c r="K1" s="110"/>
      <c r="L1" s="104" t="s">
        <v>72</v>
      </c>
    </row>
    <row r="2" spans="1:12">
      <c r="A2" s="105"/>
      <c r="B2" s="105"/>
      <c r="C2" s="105"/>
      <c r="D2" s="105"/>
      <c r="E2" s="105"/>
      <c r="F2" s="105"/>
      <c r="G2" s="105"/>
      <c r="H2" s="105"/>
      <c r="I2" s="105"/>
      <c r="J2" s="105"/>
      <c r="K2" s="105"/>
    </row>
    <row r="3" spans="1:12">
      <c r="A3" s="426" t="s">
        <v>18</v>
      </c>
      <c r="B3" s="427"/>
      <c r="C3" s="427"/>
      <c r="D3" s="427"/>
      <c r="E3" s="427"/>
      <c r="F3" s="427"/>
      <c r="G3" s="427"/>
      <c r="H3" s="427"/>
      <c r="I3" s="427"/>
      <c r="J3" s="427"/>
      <c r="K3" s="428"/>
    </row>
    <row r="4" spans="1:12">
      <c r="A4" s="367" t="s">
        <v>50</v>
      </c>
      <c r="B4" s="416" t="s">
        <v>5</v>
      </c>
      <c r="C4" s="416"/>
      <c r="D4" s="416"/>
      <c r="E4" s="417"/>
      <c r="F4" s="417"/>
      <c r="G4" s="429" t="s">
        <v>53</v>
      </c>
      <c r="H4" s="431" t="s">
        <v>78</v>
      </c>
      <c r="I4" s="431"/>
      <c r="J4" s="433"/>
      <c r="K4" s="433"/>
    </row>
    <row r="5" spans="1:12">
      <c r="A5" s="367" t="s">
        <v>51</v>
      </c>
      <c r="B5" s="416" t="s">
        <v>4</v>
      </c>
      <c r="C5" s="416"/>
      <c r="D5" s="416"/>
      <c r="E5" s="417"/>
      <c r="F5" s="417"/>
      <c r="G5" s="430"/>
      <c r="H5" s="432"/>
      <c r="I5" s="432"/>
      <c r="J5" s="430"/>
      <c r="K5" s="430"/>
    </row>
    <row r="6" spans="1:12">
      <c r="A6" s="367" t="s">
        <v>52</v>
      </c>
      <c r="B6" s="418" t="s">
        <v>81</v>
      </c>
      <c r="C6" s="419"/>
      <c r="D6" s="419"/>
      <c r="E6" s="419"/>
      <c r="F6" s="419"/>
      <c r="G6" s="419"/>
      <c r="H6" s="419"/>
      <c r="I6" s="419"/>
      <c r="J6" s="419"/>
      <c r="K6" s="420"/>
    </row>
    <row r="7" spans="1:12">
      <c r="A7" s="59" t="s">
        <v>16</v>
      </c>
      <c r="B7" s="441" t="s">
        <v>79</v>
      </c>
      <c r="C7" s="441"/>
      <c r="D7" s="441"/>
      <c r="E7" s="60" t="s">
        <v>16</v>
      </c>
      <c r="F7" s="359" t="s">
        <v>439</v>
      </c>
      <c r="G7" s="60" t="s">
        <v>16</v>
      </c>
      <c r="H7" s="421" t="s">
        <v>179</v>
      </c>
      <c r="I7" s="421"/>
      <c r="J7" s="421"/>
      <c r="K7" s="422"/>
    </row>
    <row r="8" spans="1:12">
      <c r="A8" s="44" t="s">
        <v>16</v>
      </c>
      <c r="B8" s="442" t="s">
        <v>440</v>
      </c>
      <c r="C8" s="442"/>
      <c r="D8" s="442"/>
      <c r="E8" s="45" t="s">
        <v>16</v>
      </c>
      <c r="F8" s="27" t="s">
        <v>80</v>
      </c>
      <c r="G8" s="61"/>
      <c r="H8" s="423"/>
      <c r="I8" s="423"/>
      <c r="J8" s="423"/>
      <c r="K8" s="424"/>
    </row>
    <row r="9" spans="1:12">
      <c r="A9" s="360" t="s">
        <v>54</v>
      </c>
      <c r="B9" s="434" t="s">
        <v>366</v>
      </c>
      <c r="C9" s="434"/>
      <c r="D9" s="434"/>
      <c r="E9" s="434"/>
      <c r="F9" s="434"/>
      <c r="G9" s="434"/>
      <c r="H9" s="434"/>
      <c r="I9" s="434"/>
      <c r="J9" s="434"/>
      <c r="K9" s="434"/>
    </row>
    <row r="10" spans="1:12" ht="20.5" customHeight="1">
      <c r="A10" s="455" t="s">
        <v>16</v>
      </c>
      <c r="B10" s="435" t="s">
        <v>367</v>
      </c>
      <c r="C10" s="435"/>
      <c r="D10" s="435"/>
      <c r="E10" s="455" t="s">
        <v>16</v>
      </c>
      <c r="F10" s="457" t="s">
        <v>469</v>
      </c>
      <c r="G10" s="455" t="s">
        <v>16</v>
      </c>
      <c r="H10" s="436" t="s">
        <v>411</v>
      </c>
      <c r="I10" s="436"/>
      <c r="J10" s="443" t="s">
        <v>16</v>
      </c>
      <c r="K10" s="445" t="s">
        <v>409</v>
      </c>
    </row>
    <row r="11" spans="1:12" ht="20.149999999999999" customHeight="1">
      <c r="A11" s="443"/>
      <c r="B11" s="456"/>
      <c r="C11" s="456"/>
      <c r="D11" s="456"/>
      <c r="E11" s="443"/>
      <c r="F11" s="458"/>
      <c r="G11" s="443"/>
      <c r="H11" s="445"/>
      <c r="I11" s="445"/>
      <c r="J11" s="459"/>
      <c r="K11" s="460"/>
      <c r="L11" s="365"/>
    </row>
    <row r="12" spans="1:12" ht="14.5" customHeight="1">
      <c r="A12" s="389" t="s">
        <v>16</v>
      </c>
      <c r="B12" s="435" t="s">
        <v>368</v>
      </c>
      <c r="C12" s="435"/>
      <c r="D12" s="435"/>
      <c r="E12" s="389" t="s">
        <v>16</v>
      </c>
      <c r="F12" s="364" t="s">
        <v>408</v>
      </c>
      <c r="G12" s="389" t="s">
        <v>16</v>
      </c>
      <c r="H12" s="436" t="s">
        <v>410</v>
      </c>
      <c r="I12" s="436"/>
      <c r="J12" s="389" t="s">
        <v>16</v>
      </c>
      <c r="K12" s="363" t="s">
        <v>412</v>
      </c>
    </row>
    <row r="13" spans="1:12">
      <c r="A13" s="390"/>
      <c r="B13" s="453"/>
      <c r="C13" s="453"/>
      <c r="D13" s="453"/>
      <c r="E13" s="390"/>
      <c r="F13" s="391"/>
      <c r="G13" s="390"/>
      <c r="H13" s="454"/>
      <c r="I13" s="454"/>
      <c r="J13" s="390"/>
      <c r="K13" s="365"/>
    </row>
    <row r="14" spans="1:12">
      <c r="A14" s="390"/>
      <c r="B14" s="453"/>
      <c r="C14" s="453"/>
      <c r="D14" s="453"/>
      <c r="E14" s="390"/>
      <c r="F14" s="391"/>
      <c r="G14" s="390"/>
      <c r="H14" s="454"/>
      <c r="I14" s="454"/>
      <c r="J14" s="390"/>
      <c r="K14" s="365"/>
    </row>
    <row r="15" spans="1:12">
      <c r="A15" s="390"/>
      <c r="B15" s="453"/>
      <c r="C15" s="453"/>
      <c r="D15" s="453"/>
      <c r="E15" s="390"/>
      <c r="F15" s="391"/>
      <c r="G15" s="390"/>
      <c r="H15" s="454"/>
      <c r="I15" s="454"/>
      <c r="J15" s="390"/>
      <c r="K15" s="365"/>
    </row>
    <row r="16" spans="1:12">
      <c r="A16" s="390"/>
      <c r="B16" s="453"/>
      <c r="C16" s="453"/>
      <c r="D16" s="453"/>
      <c r="E16" s="390"/>
      <c r="F16" s="391"/>
      <c r="G16" s="390"/>
      <c r="H16" s="454"/>
      <c r="I16" s="454"/>
      <c r="J16" s="390"/>
      <c r="K16" s="365"/>
    </row>
    <row r="17" spans="1:11">
      <c r="A17" s="390"/>
      <c r="B17" s="453"/>
      <c r="C17" s="453"/>
      <c r="D17" s="453"/>
      <c r="E17" s="390"/>
      <c r="F17" s="391"/>
      <c r="G17" s="390"/>
      <c r="H17" s="454"/>
      <c r="I17" s="454"/>
      <c r="J17" s="390"/>
      <c r="K17" s="106"/>
    </row>
    <row r="19" spans="1:11">
      <c r="F19" s="30" t="s">
        <v>436</v>
      </c>
    </row>
    <row r="20" spans="1:11">
      <c r="F20" s="30"/>
    </row>
  </sheetData>
  <mergeCells count="34">
    <mergeCell ref="B16:D16"/>
    <mergeCell ref="H16:I16"/>
    <mergeCell ref="B17:D17"/>
    <mergeCell ref="H17:I17"/>
    <mergeCell ref="B13:D13"/>
    <mergeCell ref="H13:I13"/>
    <mergeCell ref="B14:D14"/>
    <mergeCell ref="H14:I14"/>
    <mergeCell ref="B15:D15"/>
    <mergeCell ref="H15:I15"/>
    <mergeCell ref="H10:I11"/>
    <mergeCell ref="J10:J11"/>
    <mergeCell ref="K10:K11"/>
    <mergeCell ref="B12:D12"/>
    <mergeCell ref="H12:I12"/>
    <mergeCell ref="B6:K6"/>
    <mergeCell ref="B7:D7"/>
    <mergeCell ref="H7:K8"/>
    <mergeCell ref="B8:D8"/>
    <mergeCell ref="B9:K9"/>
    <mergeCell ref="A10:A11"/>
    <mergeCell ref="B10:D11"/>
    <mergeCell ref="E10:E11"/>
    <mergeCell ref="F10:F11"/>
    <mergeCell ref="G10:G11"/>
    <mergeCell ref="G1:H1"/>
    <mergeCell ref="A3:K3"/>
    <mergeCell ref="B4:D4"/>
    <mergeCell ref="E4:F4"/>
    <mergeCell ref="G4:G5"/>
    <mergeCell ref="H4:I5"/>
    <mergeCell ref="J4:K5"/>
    <mergeCell ref="B5:D5"/>
    <mergeCell ref="E5:F5"/>
  </mergeCells>
  <pageMargins left="0.5" right="0.5" top="0.75" bottom="0.75" header="0.3" footer="0.3"/>
  <pageSetup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5"/>
  <sheetViews>
    <sheetView zoomScale="75" zoomScaleNormal="100" workbookViewId="0">
      <selection activeCell="N16" sqref="N16"/>
    </sheetView>
  </sheetViews>
  <sheetFormatPr defaultRowHeight="14.5"/>
  <cols>
    <col min="1" max="1" width="4.7265625" customWidth="1"/>
    <col min="2" max="2" width="8" customWidth="1"/>
    <col min="3" max="3" width="17.1796875" customWidth="1"/>
    <col min="4" max="4" width="11.26953125" customWidth="1"/>
    <col min="5" max="5" width="22" customWidth="1"/>
    <col min="6" max="6" width="10.7265625" customWidth="1"/>
    <col min="7" max="7" width="21.453125" customWidth="1"/>
    <col min="8" max="8" width="11" customWidth="1"/>
    <col min="9" max="9" width="10.7265625" customWidth="1"/>
  </cols>
  <sheetData>
    <row r="1" spans="1:19" s="36" customFormat="1">
      <c r="B1" s="41"/>
      <c r="C1" s="36" t="s">
        <v>69</v>
      </c>
      <c r="D1" s="42"/>
      <c r="E1" s="36" t="s">
        <v>70</v>
      </c>
      <c r="G1" s="425"/>
      <c r="H1" s="425"/>
      <c r="I1" s="36" t="s">
        <v>71</v>
      </c>
      <c r="K1" s="43"/>
      <c r="L1" s="36" t="s">
        <v>72</v>
      </c>
    </row>
    <row r="2" spans="1:19">
      <c r="A2" s="2"/>
      <c r="B2" s="2"/>
      <c r="C2" s="2"/>
      <c r="D2" s="2"/>
      <c r="E2" s="2"/>
      <c r="F2" s="2"/>
      <c r="G2" s="2"/>
      <c r="H2" s="2"/>
      <c r="I2" s="2"/>
    </row>
    <row r="3" spans="1:19" ht="15" customHeight="1">
      <c r="A3" s="470" t="s">
        <v>21</v>
      </c>
      <c r="B3" s="471"/>
      <c r="C3" s="471"/>
      <c r="D3" s="471"/>
      <c r="E3" s="471"/>
      <c r="F3" s="471"/>
      <c r="G3" s="471"/>
      <c r="H3" s="471"/>
      <c r="I3" s="472"/>
    </row>
    <row r="4" spans="1:19" ht="34.5" customHeight="1">
      <c r="A4" s="473" t="s">
        <v>399</v>
      </c>
      <c r="B4" s="474"/>
      <c r="C4" s="474"/>
      <c r="D4" s="474"/>
      <c r="E4" s="474"/>
      <c r="F4" s="474"/>
      <c r="G4" s="474"/>
      <c r="H4" s="474"/>
      <c r="I4" s="475"/>
      <c r="J4" s="30"/>
    </row>
    <row r="5" spans="1:19" ht="15" customHeight="1">
      <c r="A5" s="480" t="s">
        <v>242</v>
      </c>
      <c r="B5" s="480"/>
      <c r="C5" s="480"/>
      <c r="D5" s="480"/>
      <c r="E5" s="480"/>
      <c r="F5" s="480"/>
      <c r="G5" s="480"/>
      <c r="H5" s="480"/>
      <c r="I5" s="481"/>
    </row>
    <row r="6" spans="1:19" ht="18" customHeight="1">
      <c r="A6" s="476" t="s">
        <v>50</v>
      </c>
      <c r="B6" s="477"/>
      <c r="C6" s="478"/>
      <c r="D6" s="479" t="s">
        <v>51</v>
      </c>
      <c r="E6" s="479"/>
      <c r="F6" s="479"/>
      <c r="G6" s="479"/>
      <c r="H6" s="479"/>
      <c r="I6" s="479"/>
    </row>
    <row r="7" spans="1:19">
      <c r="A7" s="356" t="s">
        <v>16</v>
      </c>
      <c r="B7" s="485" t="s">
        <v>14</v>
      </c>
      <c r="C7" s="486"/>
      <c r="D7" s="487" t="s">
        <v>397</v>
      </c>
      <c r="E7" s="488"/>
      <c r="F7" s="488"/>
      <c r="G7" s="488"/>
      <c r="H7" s="488"/>
      <c r="I7" s="489"/>
    </row>
    <row r="8" spans="1:19" ht="15" customHeight="1">
      <c r="A8" s="67" t="s">
        <v>16</v>
      </c>
      <c r="B8" s="493" t="s">
        <v>15</v>
      </c>
      <c r="C8" s="494"/>
      <c r="D8" s="482" t="s">
        <v>82</v>
      </c>
      <c r="E8" s="483"/>
      <c r="F8" s="483"/>
      <c r="G8" s="484"/>
      <c r="H8" s="143" t="s">
        <v>84</v>
      </c>
      <c r="I8" s="62" t="s">
        <v>83</v>
      </c>
      <c r="K8" s="19"/>
      <c r="L8" s="19"/>
      <c r="M8" s="19"/>
      <c r="N8" s="19"/>
      <c r="O8" s="19"/>
      <c r="P8" s="19"/>
      <c r="Q8" s="19"/>
      <c r="R8" s="19"/>
      <c r="S8" s="19"/>
    </row>
    <row r="9" spans="1:19">
      <c r="A9" s="463" t="s">
        <v>52</v>
      </c>
      <c r="B9" s="464"/>
      <c r="C9" s="464"/>
      <c r="D9" s="465"/>
      <c r="E9" s="140" t="s">
        <v>53</v>
      </c>
      <c r="F9" s="463" t="s">
        <v>54</v>
      </c>
      <c r="G9" s="464"/>
      <c r="H9" s="464"/>
      <c r="I9" s="465"/>
      <c r="J9" s="63"/>
      <c r="K9" s="19"/>
      <c r="L9" s="19"/>
      <c r="M9" s="5"/>
      <c r="N9" s="19"/>
    </row>
    <row r="10" spans="1:19" ht="30.75" customHeight="1">
      <c r="A10" s="466" t="s">
        <v>204</v>
      </c>
      <c r="B10" s="466"/>
      <c r="C10" s="466"/>
      <c r="D10" s="466"/>
      <c r="E10" s="141" t="s">
        <v>231</v>
      </c>
      <c r="F10" s="495" t="s">
        <v>8</v>
      </c>
      <c r="G10" s="496"/>
      <c r="H10" s="496"/>
      <c r="I10" s="497"/>
      <c r="J10" s="64"/>
      <c r="K10" s="19"/>
      <c r="L10" s="6"/>
      <c r="M10" s="6"/>
      <c r="N10" s="6"/>
    </row>
    <row r="11" spans="1:19">
      <c r="A11" s="501" t="s">
        <v>180</v>
      </c>
      <c r="B11" s="502"/>
      <c r="C11" s="142" t="s">
        <v>187</v>
      </c>
      <c r="D11" s="119" t="s">
        <v>181</v>
      </c>
      <c r="E11" s="108"/>
      <c r="F11" s="498" t="s">
        <v>233</v>
      </c>
      <c r="G11" s="499"/>
      <c r="H11" s="499"/>
      <c r="I11" s="500"/>
      <c r="J11" s="65"/>
      <c r="K11" s="19"/>
      <c r="L11" s="6"/>
      <c r="M11" s="6"/>
      <c r="N11" s="6"/>
    </row>
    <row r="12" spans="1:19" s="104" customFormat="1" ht="21" customHeight="1">
      <c r="A12" s="490" t="s">
        <v>217</v>
      </c>
      <c r="B12" s="491"/>
      <c r="C12" s="491"/>
      <c r="D12" s="491"/>
      <c r="E12" s="491"/>
      <c r="F12" s="491"/>
      <c r="G12" s="491"/>
      <c r="H12" s="491"/>
      <c r="I12" s="492"/>
      <c r="J12" s="66"/>
    </row>
    <row r="13" spans="1:19" s="36" customFormat="1" ht="29.25" customHeight="1">
      <c r="A13" s="462" t="s">
        <v>232</v>
      </c>
      <c r="B13" s="462"/>
      <c r="C13" s="462"/>
      <c r="D13" s="462"/>
      <c r="E13" s="462"/>
      <c r="F13" s="462"/>
      <c r="G13" s="462"/>
      <c r="H13" s="462"/>
      <c r="I13" s="462"/>
      <c r="J13" s="66"/>
    </row>
    <row r="14" spans="1:19" ht="24" customHeight="1">
      <c r="A14" s="213"/>
      <c r="B14" s="213"/>
      <c r="C14" s="213"/>
      <c r="D14" s="194"/>
      <c r="E14" s="194"/>
      <c r="F14" s="6"/>
      <c r="G14" s="6"/>
      <c r="H14" s="6"/>
      <c r="I14" s="5"/>
    </row>
    <row r="15" spans="1:19">
      <c r="A15" s="3"/>
      <c r="B15" s="3"/>
      <c r="C15" s="3"/>
      <c r="D15" s="194"/>
      <c r="E15" s="215" t="s">
        <v>343</v>
      </c>
      <c r="F15" s="467" t="s">
        <v>86</v>
      </c>
      <c r="G15" s="468"/>
      <c r="H15" s="468"/>
      <c r="I15" s="469"/>
      <c r="J15" s="194"/>
      <c r="K15" s="194"/>
    </row>
    <row r="16" spans="1:19">
      <c r="A16" s="216"/>
      <c r="B16" s="216"/>
      <c r="C16" s="216"/>
      <c r="D16" s="216"/>
      <c r="E16" s="216"/>
      <c r="F16" s="461" t="s">
        <v>398</v>
      </c>
      <c r="G16" s="461"/>
      <c r="H16" s="461"/>
      <c r="I16" s="461"/>
      <c r="J16" s="217" t="s">
        <v>87</v>
      </c>
      <c r="K16" s="194"/>
    </row>
    <row r="17" spans="1:11">
      <c r="A17" s="216"/>
      <c r="B17" s="216"/>
      <c r="C17" s="216"/>
      <c r="D17" s="216"/>
      <c r="E17" s="216"/>
      <c r="F17" s="461" t="s">
        <v>400</v>
      </c>
      <c r="G17" s="461"/>
      <c r="H17" s="461"/>
      <c r="I17" s="461"/>
      <c r="J17" s="217" t="s">
        <v>123</v>
      </c>
      <c r="K17" s="194"/>
    </row>
    <row r="18" spans="1:11">
      <c r="A18" s="218"/>
      <c r="B18" s="218"/>
      <c r="C18" s="218"/>
      <c r="D18" s="218"/>
      <c r="E18" s="218"/>
      <c r="F18" s="8"/>
      <c r="G18" s="8"/>
      <c r="H18" s="8"/>
      <c r="I18" s="8"/>
      <c r="J18" s="194"/>
      <c r="K18" s="194"/>
    </row>
    <row r="19" spans="1:11" s="104" customFormat="1" ht="14.5" customHeight="1">
      <c r="A19" s="218"/>
      <c r="B19" s="218"/>
      <c r="C19" s="218"/>
      <c r="D19" s="218"/>
      <c r="E19" s="215" t="s">
        <v>344</v>
      </c>
      <c r="F19" s="467" t="s">
        <v>86</v>
      </c>
      <c r="G19" s="468"/>
      <c r="H19" s="468"/>
      <c r="I19" s="469"/>
      <c r="J19" s="194"/>
      <c r="K19" s="194"/>
    </row>
    <row r="20" spans="1:11" s="104" customFormat="1" ht="31" customHeight="1">
      <c r="A20" s="8"/>
      <c r="B20" s="8"/>
      <c r="C20" s="8"/>
      <c r="D20" s="8"/>
      <c r="E20" s="8"/>
      <c r="F20" s="461" t="s">
        <v>441</v>
      </c>
      <c r="G20" s="461"/>
      <c r="H20" s="461"/>
      <c r="I20" s="461"/>
      <c r="J20" s="217" t="s">
        <v>123</v>
      </c>
      <c r="K20" s="194"/>
    </row>
    <row r="21" spans="1:11" s="104" customFormat="1">
      <c r="A21" s="8"/>
      <c r="B21" s="8"/>
      <c r="C21" s="8"/>
      <c r="D21" s="8"/>
      <c r="E21" s="8"/>
      <c r="F21" s="8"/>
      <c r="G21" s="8"/>
      <c r="H21" s="8"/>
      <c r="I21" s="8"/>
    </row>
    <row r="22" spans="1:11">
      <c r="A22" s="2"/>
      <c r="B22" s="2"/>
      <c r="C22" s="2"/>
      <c r="D22" s="2"/>
      <c r="E22" s="2"/>
      <c r="F22" s="2"/>
      <c r="G22" s="2"/>
      <c r="H22" s="2"/>
      <c r="I22" s="2"/>
    </row>
    <row r="23" spans="1:11">
      <c r="A23" s="2"/>
      <c r="B23" s="2"/>
      <c r="C23" s="2"/>
      <c r="D23" s="2"/>
      <c r="E23" s="2"/>
      <c r="F23" s="2"/>
      <c r="G23" s="101"/>
      <c r="H23" s="2"/>
      <c r="I23" s="2"/>
    </row>
    <row r="24" spans="1:11">
      <c r="A24" s="2"/>
      <c r="B24" s="2"/>
      <c r="C24" s="2"/>
      <c r="D24" s="2"/>
      <c r="E24" s="2"/>
      <c r="F24" s="2"/>
      <c r="G24" s="2"/>
      <c r="H24" s="2"/>
      <c r="I24" s="2"/>
    </row>
    <row r="25" spans="1:11">
      <c r="A25" s="2"/>
      <c r="B25" s="64"/>
      <c r="C25" s="64"/>
      <c r="D25" s="2"/>
      <c r="E25" s="2"/>
      <c r="F25" s="2"/>
      <c r="G25" s="2"/>
      <c r="H25" s="2"/>
      <c r="I25" s="2"/>
    </row>
  </sheetData>
  <mergeCells count="23">
    <mergeCell ref="D8:G8"/>
    <mergeCell ref="B7:C7"/>
    <mergeCell ref="D7:I7"/>
    <mergeCell ref="A12:I12"/>
    <mergeCell ref="B8:C8"/>
    <mergeCell ref="F9:I9"/>
    <mergeCell ref="F10:I10"/>
    <mergeCell ref="F11:I11"/>
    <mergeCell ref="A11:B11"/>
    <mergeCell ref="G1:H1"/>
    <mergeCell ref="A3:I3"/>
    <mergeCell ref="A4:I4"/>
    <mergeCell ref="A6:C6"/>
    <mergeCell ref="D6:I6"/>
    <mergeCell ref="A5:I5"/>
    <mergeCell ref="F20:I20"/>
    <mergeCell ref="A13:I13"/>
    <mergeCell ref="A9:D9"/>
    <mergeCell ref="A10:D10"/>
    <mergeCell ref="F19:I19"/>
    <mergeCell ref="F15:I15"/>
    <mergeCell ref="F16:I16"/>
    <mergeCell ref="F17:I17"/>
  </mergeCells>
  <pageMargins left="0.5" right="0.5" top="0.75" bottom="0.75" header="0.3" footer="0.3"/>
  <pageSetup scale="9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8"/>
  <sheetViews>
    <sheetView topLeftCell="A4" zoomScaleNormal="100" workbookViewId="0">
      <selection activeCell="P11" sqref="P11"/>
    </sheetView>
  </sheetViews>
  <sheetFormatPr defaultColWidth="9.1796875" defaultRowHeight="13"/>
  <cols>
    <col min="1" max="1" width="11" style="9" customWidth="1"/>
    <col min="2" max="2" width="2.81640625" style="9" customWidth="1"/>
    <col min="3" max="3" width="11" style="9" customWidth="1"/>
    <col min="4" max="4" width="2.81640625" style="9" customWidth="1"/>
    <col min="5" max="5" width="11" style="9" customWidth="1"/>
    <col min="6" max="6" width="2.81640625" style="9" customWidth="1"/>
    <col min="7" max="7" width="11" style="9" customWidth="1"/>
    <col min="8" max="8" width="2.81640625" style="9" customWidth="1"/>
    <col min="9" max="9" width="11.26953125" style="9" customWidth="1"/>
    <col min="10" max="10" width="3.54296875" style="9" customWidth="1"/>
    <col min="11" max="11" width="11.1796875" style="9" customWidth="1"/>
    <col min="12" max="12" width="2.81640625" style="9" customWidth="1"/>
    <col min="13" max="13" width="15.81640625" style="9" customWidth="1"/>
    <col min="14" max="14" width="3.54296875" style="9" customWidth="1"/>
    <col min="15" max="15" width="18" style="9" customWidth="1"/>
    <col min="16" max="16" width="21.54296875" style="9" customWidth="1"/>
    <col min="17" max="16384" width="9.1796875" style="9"/>
  </cols>
  <sheetData>
    <row r="1" spans="1:16" s="36" customFormat="1" ht="14.5">
      <c r="A1" s="41"/>
      <c r="B1" s="36" t="s">
        <v>69</v>
      </c>
      <c r="D1" s="42"/>
      <c r="E1" s="36" t="s">
        <v>70</v>
      </c>
      <c r="G1" s="53"/>
      <c r="H1" s="53"/>
      <c r="I1" s="36" t="s">
        <v>71</v>
      </c>
      <c r="L1" s="43"/>
      <c r="M1" s="36" t="s">
        <v>72</v>
      </c>
    </row>
    <row r="3" spans="1:16" s="12" customFormat="1" ht="16" customHeight="1">
      <c r="A3" s="16"/>
      <c r="B3" s="16"/>
      <c r="C3" s="16"/>
      <c r="D3" s="16"/>
      <c r="E3" s="16"/>
      <c r="F3" s="16"/>
      <c r="G3" s="16"/>
      <c r="H3" s="16"/>
      <c r="I3" s="16"/>
      <c r="J3" s="16"/>
      <c r="K3" s="16"/>
      <c r="L3" s="16"/>
      <c r="M3" s="16"/>
      <c r="N3" s="16"/>
      <c r="O3" s="17"/>
      <c r="P3" s="18"/>
    </row>
    <row r="4" spans="1:16" ht="17.149999999999999" customHeight="1">
      <c r="A4" s="512" t="s">
        <v>17</v>
      </c>
      <c r="B4" s="513"/>
      <c r="C4" s="513"/>
      <c r="D4" s="513"/>
      <c r="E4" s="513"/>
      <c r="F4" s="513"/>
      <c r="G4" s="513"/>
      <c r="H4" s="513"/>
      <c r="I4" s="513"/>
      <c r="J4" s="513"/>
      <c r="K4" s="513"/>
      <c r="L4" s="513"/>
      <c r="M4" s="513"/>
      <c r="N4" s="513"/>
      <c r="O4" s="513"/>
      <c r="P4" s="513"/>
    </row>
    <row r="5" spans="1:16" ht="33.65" customHeight="1">
      <c r="A5" s="519" t="s">
        <v>455</v>
      </c>
      <c r="B5" s="519"/>
      <c r="C5" s="519"/>
      <c r="D5" s="519"/>
      <c r="E5" s="519"/>
      <c r="F5" s="519"/>
      <c r="G5" s="519"/>
      <c r="H5" s="519"/>
      <c r="I5" s="519"/>
      <c r="J5" s="519"/>
      <c r="K5" s="519"/>
      <c r="L5" s="519"/>
      <c r="M5" s="519"/>
      <c r="N5" s="519"/>
      <c r="O5" s="519"/>
      <c r="P5" s="519"/>
    </row>
    <row r="6" spans="1:16" ht="16" customHeight="1">
      <c r="A6" s="520" t="s">
        <v>401</v>
      </c>
      <c r="B6" s="520"/>
      <c r="C6" s="520"/>
      <c r="D6" s="520"/>
      <c r="E6" s="520"/>
      <c r="F6" s="520"/>
      <c r="G6" s="520"/>
      <c r="H6" s="520"/>
      <c r="I6" s="520"/>
      <c r="J6" s="520"/>
      <c r="K6" s="520"/>
      <c r="L6" s="520"/>
      <c r="M6" s="517" t="s">
        <v>33</v>
      </c>
      <c r="N6" s="517"/>
      <c r="O6" s="517"/>
      <c r="P6" s="517"/>
    </row>
    <row r="7" spans="1:16" ht="16" customHeight="1">
      <c r="A7" s="47" t="s">
        <v>50</v>
      </c>
      <c r="B7" s="503" t="s">
        <v>73</v>
      </c>
      <c r="C7" s="47" t="s">
        <v>51</v>
      </c>
      <c r="D7" s="503" t="s">
        <v>73</v>
      </c>
      <c r="E7" s="47" t="s">
        <v>52</v>
      </c>
      <c r="F7" s="503" t="s">
        <v>73</v>
      </c>
      <c r="G7" s="47" t="s">
        <v>53</v>
      </c>
      <c r="H7" s="503" t="s">
        <v>73</v>
      </c>
      <c r="I7" s="47" t="s">
        <v>54</v>
      </c>
      <c r="J7" s="503" t="s">
        <v>238</v>
      </c>
      <c r="K7" s="47" t="s">
        <v>61</v>
      </c>
      <c r="L7" s="521" t="s">
        <v>9</v>
      </c>
      <c r="M7" s="68" t="s">
        <v>62</v>
      </c>
      <c r="N7" s="514" t="s">
        <v>89</v>
      </c>
      <c r="O7" s="68" t="s">
        <v>63</v>
      </c>
      <c r="P7" s="68" t="s">
        <v>64</v>
      </c>
    </row>
    <row r="8" spans="1:16" s="13" customFormat="1" ht="64.5" customHeight="1">
      <c r="A8" s="335" t="s">
        <v>393</v>
      </c>
      <c r="B8" s="504"/>
      <c r="C8" s="335" t="s">
        <v>394</v>
      </c>
      <c r="D8" s="504"/>
      <c r="E8" s="69" t="s">
        <v>228</v>
      </c>
      <c r="F8" s="504"/>
      <c r="G8" s="335" t="s">
        <v>395</v>
      </c>
      <c r="H8" s="504"/>
      <c r="I8" s="335" t="s">
        <v>396</v>
      </c>
      <c r="J8" s="504"/>
      <c r="K8" s="335" t="s">
        <v>402</v>
      </c>
      <c r="L8" s="522"/>
      <c r="M8" s="516" t="s">
        <v>88</v>
      </c>
      <c r="N8" s="515"/>
      <c r="O8" s="184" t="s">
        <v>239</v>
      </c>
      <c r="P8" s="518" t="s">
        <v>240</v>
      </c>
    </row>
    <row r="9" spans="1:16" s="13" customFormat="1" ht="15.75" customHeight="1">
      <c r="A9" s="69" t="s">
        <v>60</v>
      </c>
      <c r="B9" s="505"/>
      <c r="C9" s="69" t="s">
        <v>59</v>
      </c>
      <c r="D9" s="505"/>
      <c r="E9" s="69" t="s">
        <v>58</v>
      </c>
      <c r="F9" s="505"/>
      <c r="G9" s="69" t="s">
        <v>57</v>
      </c>
      <c r="H9" s="505"/>
      <c r="I9" s="69" t="s">
        <v>124</v>
      </c>
      <c r="J9" s="505"/>
      <c r="K9" s="69" t="s">
        <v>125</v>
      </c>
      <c r="L9" s="523"/>
      <c r="M9" s="516"/>
      <c r="N9" s="515"/>
      <c r="O9" s="70" t="s">
        <v>65</v>
      </c>
      <c r="P9" s="518"/>
    </row>
    <row r="10" spans="1:16" s="12" customFormat="1" ht="41.5" customHeight="1">
      <c r="A10" s="219"/>
      <c r="B10" s="71" t="s">
        <v>73</v>
      </c>
      <c r="C10" s="219" t="str">
        <f>'J. Per Application'!J12</f>
        <v>sum of column 10 (J10)</v>
      </c>
      <c r="D10" s="71" t="s">
        <v>73</v>
      </c>
      <c r="E10" s="219" t="str">
        <f>'K. Sales Frontage'!I12</f>
        <v>sum of column 09 (K09)</v>
      </c>
      <c r="F10" s="71" t="s">
        <v>73</v>
      </c>
      <c r="G10" s="219" t="str">
        <f>'L. Ornamental'!I12</f>
        <v>sum of column 09 (L09)</v>
      </c>
      <c r="H10" s="71" t="s">
        <v>73</v>
      </c>
      <c r="I10" s="219" t="str">
        <f>'M. Per Specific Area'!J12</f>
        <v>sum of column 10 (M10)</v>
      </c>
      <c r="J10" s="220" t="s">
        <v>238</v>
      </c>
      <c r="K10" s="219">
        <f>'N. Exist. Cond.'!J11</f>
        <v>0</v>
      </c>
      <c r="L10" s="221" t="s">
        <v>9</v>
      </c>
      <c r="M10" s="222" t="e">
        <f>A10+C10+E10+G10+I10+K10</f>
        <v>#VALUE!</v>
      </c>
      <c r="N10" s="72" t="s">
        <v>89</v>
      </c>
      <c r="O10" s="223" t="str">
        <f>'F. Lighting Schedule'!L10</f>
        <v>sum of column 08</v>
      </c>
      <c r="P10" s="73" t="s">
        <v>420</v>
      </c>
    </row>
    <row r="11" spans="1:16" ht="13.5" customHeight="1">
      <c r="A11" s="506" t="s">
        <v>358</v>
      </c>
      <c r="B11" s="507"/>
      <c r="C11" s="507"/>
      <c r="D11" s="507"/>
      <c r="E11" s="507"/>
      <c r="F11" s="507"/>
      <c r="G11" s="507"/>
      <c r="H11" s="507"/>
      <c r="I11" s="507"/>
      <c r="J11" s="508"/>
      <c r="K11" s="224"/>
      <c r="L11" s="225"/>
      <c r="M11" s="226"/>
      <c r="N11" s="227"/>
      <c r="O11" s="227"/>
      <c r="P11" s="228" t="s">
        <v>209</v>
      </c>
    </row>
    <row r="12" spans="1:16" ht="13.5" customHeight="1">
      <c r="A12" s="509" t="s">
        <v>126</v>
      </c>
      <c r="B12" s="510"/>
      <c r="C12" s="510"/>
      <c r="D12" s="510"/>
      <c r="E12" s="510"/>
      <c r="F12" s="510"/>
      <c r="G12" s="510"/>
      <c r="H12" s="510"/>
      <c r="I12" s="510"/>
      <c r="J12" s="511"/>
      <c r="K12" s="227"/>
      <c r="L12" s="227"/>
      <c r="M12" s="227"/>
      <c r="N12" s="227"/>
      <c r="O12" s="227"/>
      <c r="P12" s="228" t="s">
        <v>90</v>
      </c>
    </row>
    <row r="13" spans="1:16" ht="17.149999999999999" customHeight="1">
      <c r="A13" s="10"/>
      <c r="B13" s="10"/>
      <c r="C13" s="10"/>
      <c r="D13" s="10"/>
      <c r="E13" s="10"/>
      <c r="F13" s="10"/>
      <c r="G13" s="10"/>
      <c r="H13" s="10"/>
      <c r="I13" s="10"/>
      <c r="J13" s="10"/>
      <c r="K13" s="10"/>
      <c r="L13" s="10"/>
      <c r="M13" s="10"/>
      <c r="N13" s="10"/>
      <c r="O13" s="10"/>
      <c r="P13" s="10"/>
    </row>
    <row r="14" spans="1:16" ht="21.75" customHeight="1">
      <c r="A14" s="11"/>
      <c r="B14" s="10"/>
      <c r="C14" s="11"/>
      <c r="D14" s="10"/>
      <c r="E14" s="11"/>
      <c r="F14" s="10"/>
      <c r="G14" s="11"/>
      <c r="H14" s="10"/>
      <c r="I14" s="11"/>
      <c r="J14" s="10"/>
      <c r="K14" s="10"/>
      <c r="L14" s="10"/>
      <c r="M14" s="10"/>
      <c r="N14" s="10"/>
      <c r="O14" s="10"/>
      <c r="P14" s="10"/>
    </row>
    <row r="15" spans="1:16">
      <c r="A15" s="10"/>
      <c r="B15" s="10"/>
      <c r="C15" s="10"/>
      <c r="D15" s="10"/>
      <c r="E15" s="10"/>
      <c r="F15" s="10"/>
      <c r="G15" s="10"/>
      <c r="H15" s="10"/>
      <c r="I15" s="10"/>
      <c r="J15" s="10"/>
      <c r="K15" s="10"/>
      <c r="L15" s="10"/>
      <c r="M15" s="10"/>
      <c r="N15" s="10"/>
      <c r="O15" s="10"/>
      <c r="P15" s="10"/>
    </row>
    <row r="16" spans="1:16">
      <c r="A16" s="10"/>
      <c r="B16" s="10"/>
      <c r="C16" s="10"/>
      <c r="D16" s="10"/>
      <c r="E16" s="10"/>
      <c r="F16" s="10"/>
      <c r="G16" s="10"/>
      <c r="H16" s="10"/>
      <c r="I16" s="10"/>
      <c r="J16" s="10"/>
      <c r="K16" s="10"/>
      <c r="L16" s="10"/>
      <c r="M16" s="10"/>
      <c r="N16" s="10"/>
      <c r="O16" s="10"/>
      <c r="P16" s="10"/>
    </row>
    <row r="17" spans="1:16">
      <c r="A17" s="10"/>
      <c r="B17" s="10"/>
      <c r="C17" s="10"/>
      <c r="D17" s="10"/>
      <c r="E17" s="10"/>
      <c r="F17" s="10"/>
      <c r="G17" s="10"/>
      <c r="H17" s="10"/>
      <c r="I17" s="10"/>
      <c r="J17" s="10"/>
      <c r="K17" s="10"/>
      <c r="L17" s="10"/>
      <c r="M17" s="10"/>
      <c r="N17" s="10"/>
      <c r="O17" s="10"/>
      <c r="P17" s="10"/>
    </row>
    <row r="18" spans="1:16" ht="15.5">
      <c r="A18" s="181"/>
    </row>
  </sheetData>
  <mergeCells count="15">
    <mergeCell ref="B7:B9"/>
    <mergeCell ref="A11:J11"/>
    <mergeCell ref="A12:J12"/>
    <mergeCell ref="A4:P4"/>
    <mergeCell ref="N7:N9"/>
    <mergeCell ref="M8:M9"/>
    <mergeCell ref="M6:P6"/>
    <mergeCell ref="P8:P9"/>
    <mergeCell ref="A5:P5"/>
    <mergeCell ref="A6:L6"/>
    <mergeCell ref="L7:L9"/>
    <mergeCell ref="J7:J9"/>
    <mergeCell ref="H7:H9"/>
    <mergeCell ref="F7:F9"/>
    <mergeCell ref="D7:D9"/>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8"/>
  <sheetViews>
    <sheetView zoomScale="65" zoomScaleNormal="100" workbookViewId="0">
      <selection activeCell="B10" sqref="B10:N10"/>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25" s="36" customFormat="1">
      <c r="A1" s="41"/>
      <c r="B1" s="36" t="s">
        <v>69</v>
      </c>
      <c r="D1" s="42"/>
      <c r="E1" s="36" t="s">
        <v>70</v>
      </c>
      <c r="G1" s="425"/>
      <c r="H1" s="425"/>
      <c r="I1" s="36" t="s">
        <v>71</v>
      </c>
      <c r="L1" s="43"/>
      <c r="M1" s="36" t="s">
        <v>72</v>
      </c>
    </row>
    <row r="2" spans="1:25">
      <c r="A2" s="2"/>
      <c r="B2" s="2"/>
      <c r="C2" s="2"/>
      <c r="D2" s="2"/>
      <c r="E2" s="2"/>
      <c r="F2" s="2"/>
      <c r="G2" s="2"/>
      <c r="H2" s="2"/>
      <c r="I2" s="2"/>
      <c r="J2" s="2"/>
      <c r="K2" s="2"/>
    </row>
    <row r="3" spans="1:25" ht="15" customHeight="1">
      <c r="A3" s="470" t="s">
        <v>19</v>
      </c>
      <c r="B3" s="471"/>
      <c r="C3" s="471"/>
      <c r="D3" s="471"/>
      <c r="E3" s="471"/>
      <c r="F3" s="471"/>
      <c r="G3" s="471"/>
      <c r="H3" s="471"/>
      <c r="I3" s="471"/>
      <c r="J3" s="471"/>
      <c r="K3" s="472"/>
    </row>
    <row r="4" spans="1:25" ht="15" customHeight="1">
      <c r="A4" s="531" t="s">
        <v>56</v>
      </c>
      <c r="B4" s="532"/>
      <c r="C4" s="532"/>
      <c r="D4" s="532"/>
      <c r="E4" s="532"/>
      <c r="F4" s="532"/>
      <c r="G4" s="532"/>
      <c r="H4" s="532"/>
      <c r="I4" s="532"/>
      <c r="J4" s="532"/>
      <c r="K4" s="533"/>
    </row>
    <row r="5" spans="1:25" ht="15" customHeight="1">
      <c r="A5" s="525"/>
      <c r="B5" s="526"/>
      <c r="C5" s="526"/>
      <c r="D5" s="526"/>
      <c r="E5" s="526"/>
      <c r="F5" s="526"/>
      <c r="G5" s="526"/>
      <c r="H5" s="526"/>
      <c r="I5" s="526"/>
      <c r="J5" s="526"/>
      <c r="K5" s="527"/>
    </row>
    <row r="6" spans="1:25">
      <c r="A6" s="528"/>
      <c r="B6" s="529"/>
      <c r="C6" s="529"/>
      <c r="D6" s="529"/>
      <c r="E6" s="529"/>
      <c r="F6" s="529"/>
      <c r="G6" s="529"/>
      <c r="H6" s="529"/>
      <c r="I6" s="529"/>
      <c r="J6" s="529"/>
      <c r="K6" s="530"/>
    </row>
    <row r="7" spans="1:25">
      <c r="A7" s="2"/>
      <c r="B7" s="2"/>
      <c r="C7" s="2"/>
      <c r="D7" s="2"/>
      <c r="E7" s="2"/>
      <c r="F7" s="2"/>
      <c r="G7" s="2"/>
      <c r="H7" s="2"/>
      <c r="I7" s="2"/>
      <c r="J7" s="2"/>
      <c r="K7" s="2"/>
    </row>
    <row r="8" spans="1:25">
      <c r="A8" s="2"/>
      <c r="B8" s="161" t="s">
        <v>246</v>
      </c>
      <c r="C8" s="2"/>
      <c r="D8" s="2"/>
      <c r="E8" s="2"/>
      <c r="F8" s="2"/>
      <c r="G8" s="2"/>
      <c r="H8" s="2"/>
      <c r="I8" s="2"/>
      <c r="J8" s="2"/>
      <c r="K8" s="2"/>
    </row>
    <row r="9" spans="1:25">
      <c r="A9" s="2"/>
      <c r="B9" s="534" t="s">
        <v>253</v>
      </c>
      <c r="C9" s="534"/>
      <c r="D9" s="534"/>
      <c r="E9" s="534"/>
      <c r="F9" s="534"/>
      <c r="G9" s="534"/>
      <c r="H9" s="534"/>
      <c r="I9" s="534"/>
      <c r="J9" s="534"/>
      <c r="K9" s="534"/>
      <c r="L9" s="534"/>
      <c r="M9" s="534"/>
      <c r="N9" s="534"/>
      <c r="O9" s="534"/>
      <c r="P9" s="534"/>
      <c r="Q9" s="534"/>
      <c r="R9" s="534"/>
    </row>
    <row r="10" spans="1:25">
      <c r="A10" s="2"/>
      <c r="B10" s="524" t="s">
        <v>474</v>
      </c>
      <c r="C10" s="524"/>
      <c r="D10" s="524"/>
      <c r="E10" s="524"/>
      <c r="F10" s="524"/>
      <c r="G10" s="524"/>
      <c r="H10" s="524"/>
      <c r="I10" s="524"/>
      <c r="J10" s="524"/>
      <c r="K10" s="524"/>
      <c r="L10" s="524"/>
      <c r="M10" s="524"/>
      <c r="N10" s="524"/>
    </row>
    <row r="11" spans="1:25">
      <c r="A11" s="2"/>
      <c r="B11" s="160" t="s">
        <v>215</v>
      </c>
      <c r="C11" s="2"/>
      <c r="D11" s="2"/>
      <c r="E11" s="2"/>
      <c r="F11" s="2"/>
      <c r="G11" s="2"/>
      <c r="H11" s="2"/>
      <c r="I11" s="2"/>
      <c r="J11" s="2"/>
      <c r="K11" s="2"/>
    </row>
    <row r="12" spans="1:25">
      <c r="A12" s="2"/>
      <c r="B12" s="160" t="s">
        <v>218</v>
      </c>
      <c r="C12" s="2"/>
      <c r="D12" s="2"/>
      <c r="E12" s="2"/>
      <c r="F12" s="2"/>
      <c r="G12" s="2"/>
      <c r="H12" s="2"/>
      <c r="I12" s="2"/>
      <c r="J12" s="2"/>
      <c r="K12" s="2"/>
    </row>
    <row r="13" spans="1:25" s="104" customFormat="1">
      <c r="A13" s="105"/>
      <c r="B13" s="160" t="s">
        <v>236</v>
      </c>
      <c r="C13" s="105"/>
      <c r="D13" s="105"/>
      <c r="E13" s="105"/>
      <c r="F13" s="105"/>
      <c r="G13" s="105"/>
      <c r="H13" s="105"/>
      <c r="I13" s="105"/>
      <c r="J13" s="105"/>
      <c r="K13" s="105"/>
    </row>
    <row r="14" spans="1:25" s="104" customFormat="1">
      <c r="A14" s="105"/>
      <c r="B14" s="160" t="s">
        <v>237</v>
      </c>
      <c r="C14" s="105"/>
      <c r="D14" s="105"/>
      <c r="E14" s="105"/>
      <c r="F14" s="105"/>
      <c r="G14" s="105"/>
      <c r="H14" s="105"/>
      <c r="I14" s="105"/>
      <c r="J14" s="105"/>
      <c r="K14" s="105"/>
    </row>
    <row r="15" spans="1:25" s="104" customFormat="1">
      <c r="A15" s="105"/>
      <c r="B15" s="189" t="s">
        <v>276</v>
      </c>
      <c r="C15" s="8"/>
      <c r="D15" s="8"/>
      <c r="E15" s="8"/>
      <c r="F15" s="8"/>
      <c r="G15" s="8"/>
      <c r="H15" s="8"/>
      <c r="I15" s="8"/>
      <c r="J15" s="8"/>
      <c r="K15" s="8"/>
      <c r="L15" s="107"/>
      <c r="M15" s="107"/>
      <c r="N15" s="107"/>
      <c r="O15" s="107"/>
      <c r="P15" s="107"/>
      <c r="Q15" s="107"/>
      <c r="R15" s="107"/>
      <c r="S15" s="107"/>
      <c r="T15" s="107"/>
      <c r="U15" s="107"/>
      <c r="V15" s="107"/>
      <c r="W15" s="107"/>
      <c r="X15" s="107"/>
      <c r="Y15" s="107"/>
    </row>
    <row r="16" spans="1:25" s="104" customFormat="1">
      <c r="A16" s="105"/>
      <c r="B16" s="51"/>
      <c r="C16" s="8"/>
      <c r="D16" s="8"/>
      <c r="E16" s="8"/>
      <c r="F16" s="8"/>
      <c r="G16" s="8"/>
      <c r="H16" s="8"/>
      <c r="I16" s="8"/>
      <c r="J16" s="8"/>
      <c r="K16" s="8"/>
      <c r="L16" s="107"/>
      <c r="M16" s="107"/>
      <c r="N16" s="107"/>
      <c r="O16" s="107"/>
      <c r="P16" s="107"/>
      <c r="Q16" s="107"/>
      <c r="R16" s="107"/>
      <c r="S16" s="107"/>
      <c r="T16" s="107"/>
      <c r="U16" s="107"/>
      <c r="V16" s="107"/>
      <c r="W16" s="107"/>
      <c r="X16" s="107"/>
      <c r="Y16" s="107"/>
    </row>
    <row r="18" spans="2:17">
      <c r="B18" s="35"/>
      <c r="C18" s="35"/>
      <c r="D18" s="35"/>
      <c r="E18" s="35"/>
      <c r="F18" s="35"/>
      <c r="G18" s="35"/>
      <c r="H18" s="35"/>
      <c r="I18" s="35"/>
      <c r="J18" s="35"/>
      <c r="K18" s="35"/>
      <c r="L18" s="35"/>
      <c r="M18" s="35"/>
      <c r="N18" s="35"/>
      <c r="O18" s="35"/>
      <c r="P18" s="35"/>
      <c r="Q18" s="35"/>
    </row>
  </sheetData>
  <mergeCells count="6">
    <mergeCell ref="B10:N10"/>
    <mergeCell ref="A3:K3"/>
    <mergeCell ref="A5:K6"/>
    <mergeCell ref="A4:K4"/>
    <mergeCell ref="G1:H1"/>
    <mergeCell ref="B9:R9"/>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C16" sqref="C16"/>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s="36" customFormat="1">
      <c r="A1" s="41"/>
      <c r="B1" s="36" t="s">
        <v>69</v>
      </c>
      <c r="D1" s="42"/>
      <c r="E1" s="36" t="s">
        <v>70</v>
      </c>
      <c r="G1" s="425"/>
      <c r="H1" s="425"/>
      <c r="I1" s="36" t="s">
        <v>71</v>
      </c>
      <c r="L1" s="43"/>
      <c r="M1" s="36" t="s">
        <v>72</v>
      </c>
    </row>
    <row r="2" spans="1:13">
      <c r="A2" s="2"/>
      <c r="B2" s="2"/>
      <c r="C2" s="2"/>
      <c r="D2" s="2"/>
      <c r="E2" s="2"/>
      <c r="F2" s="2"/>
      <c r="G2" s="2"/>
      <c r="H2" s="2"/>
      <c r="I2" s="2"/>
      <c r="J2" s="2"/>
      <c r="K2" s="2"/>
    </row>
    <row r="3" spans="1:13">
      <c r="A3" s="2"/>
      <c r="B3" s="2"/>
      <c r="C3" s="2"/>
      <c r="D3" s="2"/>
      <c r="E3" s="2"/>
      <c r="F3" s="2"/>
      <c r="G3" s="2"/>
      <c r="H3" s="2"/>
      <c r="I3" s="2"/>
      <c r="J3" s="2"/>
      <c r="K3" s="2"/>
    </row>
    <row r="4" spans="1:13" ht="15" customHeight="1">
      <c r="A4" s="470" t="s">
        <v>20</v>
      </c>
      <c r="B4" s="471"/>
      <c r="C4" s="471"/>
      <c r="D4" s="471"/>
      <c r="E4" s="471"/>
      <c r="F4" s="471"/>
      <c r="G4" s="471"/>
      <c r="H4" s="471"/>
      <c r="I4" s="471"/>
      <c r="J4" s="471"/>
      <c r="K4" s="472"/>
    </row>
    <row r="5" spans="1:13" ht="15" customHeight="1">
      <c r="A5" s="531" t="s">
        <v>55</v>
      </c>
      <c r="B5" s="532"/>
      <c r="C5" s="532"/>
      <c r="D5" s="532"/>
      <c r="E5" s="532"/>
      <c r="F5" s="532"/>
      <c r="G5" s="532"/>
      <c r="H5" s="532"/>
      <c r="I5" s="532"/>
      <c r="J5" s="532"/>
      <c r="K5" s="533"/>
    </row>
    <row r="6" spans="1:13" ht="15" customHeight="1">
      <c r="A6" s="535"/>
      <c r="B6" s="536"/>
      <c r="C6" s="536"/>
      <c r="D6" s="536"/>
      <c r="E6" s="536"/>
      <c r="F6" s="536"/>
      <c r="G6" s="536"/>
      <c r="H6" s="536"/>
      <c r="I6" s="536"/>
      <c r="J6" s="536"/>
      <c r="K6" s="537"/>
    </row>
    <row r="7" spans="1:13">
      <c r="A7" s="538"/>
      <c r="B7" s="539"/>
      <c r="C7" s="539"/>
      <c r="D7" s="539"/>
      <c r="E7" s="539"/>
      <c r="F7" s="539"/>
      <c r="G7" s="539"/>
      <c r="H7" s="539"/>
      <c r="I7" s="539"/>
      <c r="J7" s="539"/>
      <c r="K7" s="540"/>
    </row>
    <row r="8" spans="1:13">
      <c r="A8" s="2"/>
      <c r="B8" s="2"/>
      <c r="C8" s="2"/>
      <c r="D8" s="2"/>
      <c r="E8" s="2"/>
      <c r="F8" s="2"/>
      <c r="G8" s="2"/>
      <c r="H8" s="2"/>
      <c r="I8" s="2"/>
      <c r="J8" s="2"/>
      <c r="K8" s="2"/>
    </row>
    <row r="9" spans="1:13">
      <c r="A9" s="2"/>
      <c r="B9" s="2"/>
      <c r="C9" s="2"/>
      <c r="D9" s="2"/>
      <c r="E9" s="2"/>
      <c r="F9" s="2"/>
      <c r="G9" s="2"/>
      <c r="H9" s="2"/>
      <c r="I9" s="2"/>
      <c r="J9" s="2"/>
      <c r="K9" s="2"/>
    </row>
    <row r="10" spans="1:13">
      <c r="A10" s="2"/>
      <c r="B10" s="2"/>
      <c r="C10" s="2"/>
      <c r="D10" s="2"/>
      <c r="E10" s="2"/>
      <c r="F10" s="2"/>
      <c r="G10" s="2"/>
      <c r="H10" s="2"/>
      <c r="I10" s="2"/>
      <c r="J10" s="2"/>
      <c r="K10" s="2"/>
    </row>
    <row r="11" spans="1:13">
      <c r="A11" s="2"/>
      <c r="B11" s="2"/>
      <c r="C11" s="2"/>
      <c r="D11" s="2"/>
      <c r="E11" s="2"/>
      <c r="F11" s="2"/>
      <c r="G11" s="2"/>
      <c r="H11" s="2"/>
      <c r="I11" s="2"/>
      <c r="J11" s="2"/>
      <c r="K11" s="2"/>
    </row>
    <row r="12" spans="1:13">
      <c r="A12" s="2"/>
      <c r="B12" s="2"/>
      <c r="C12" s="2"/>
      <c r="D12" s="2"/>
      <c r="E12" s="2"/>
      <c r="F12" s="2"/>
      <c r="G12" s="2"/>
      <c r="H12" s="2"/>
      <c r="I12" s="2"/>
      <c r="J12" s="2"/>
      <c r="K12" s="2"/>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1"/>
  <sheetViews>
    <sheetView topLeftCell="A7" zoomScale="80" zoomScaleNormal="80" workbookViewId="0">
      <selection activeCell="F29" sqref="F29"/>
    </sheetView>
  </sheetViews>
  <sheetFormatPr defaultColWidth="9.1796875" defaultRowHeight="13"/>
  <cols>
    <col min="1" max="1" width="16.1796875" style="15" customWidth="1"/>
    <col min="2" max="2" width="27.7265625" style="15" customWidth="1"/>
    <col min="3" max="3" width="11.1796875" style="15" customWidth="1"/>
    <col min="4" max="4" width="13.1796875" style="15" customWidth="1"/>
    <col min="5" max="5" width="12" style="15" customWidth="1"/>
    <col min="6" max="6" width="4.7265625" style="15" customWidth="1"/>
    <col min="7" max="7" width="6.81640625" style="15" customWidth="1"/>
    <col min="8" max="8" width="3.81640625" style="15" customWidth="1"/>
    <col min="9" max="9" width="0.7265625" style="15" hidden="1" customWidth="1"/>
    <col min="10" max="10" width="15.7265625" style="15" customWidth="1"/>
    <col min="11" max="11" width="12" style="15" customWidth="1"/>
    <col min="12" max="12" width="16" style="15" customWidth="1"/>
    <col min="13" max="13" width="15.81640625" style="15" customWidth="1"/>
    <col min="14" max="14" width="10.81640625" style="14" customWidth="1"/>
    <col min="15" max="15" width="10.54296875" style="14" customWidth="1"/>
    <col min="16" max="16384" width="9.1796875" style="14"/>
  </cols>
  <sheetData>
    <row r="1" spans="1:27" s="36" customFormat="1" ht="14.5">
      <c r="A1" s="41"/>
      <c r="B1" s="36" t="s">
        <v>69</v>
      </c>
      <c r="C1" s="42"/>
      <c r="D1" s="36" t="s">
        <v>70</v>
      </c>
      <c r="F1" s="425"/>
      <c r="G1" s="425"/>
      <c r="H1" s="36" t="s">
        <v>71</v>
      </c>
      <c r="J1" s="104"/>
      <c r="L1" s="43"/>
      <c r="M1" s="36" t="s">
        <v>72</v>
      </c>
    </row>
    <row r="3" spans="1:27" ht="14.5">
      <c r="A3" s="541" t="s">
        <v>91</v>
      </c>
      <c r="B3" s="541"/>
      <c r="C3" s="541"/>
      <c r="D3" s="541"/>
      <c r="E3" s="541"/>
      <c r="F3" s="541"/>
      <c r="G3" s="541"/>
      <c r="H3" s="541"/>
      <c r="I3" s="541"/>
      <c r="J3" s="541"/>
      <c r="K3" s="541"/>
      <c r="L3" s="541"/>
      <c r="M3" s="541"/>
      <c r="N3" s="541"/>
      <c r="O3" s="541"/>
    </row>
    <row r="4" spans="1:27" ht="47.5" customHeight="1">
      <c r="A4" s="542" t="s">
        <v>454</v>
      </c>
      <c r="B4" s="543"/>
      <c r="C4" s="543"/>
      <c r="D4" s="543"/>
      <c r="E4" s="543"/>
      <c r="F4" s="543"/>
      <c r="G4" s="543"/>
      <c r="H4" s="543"/>
      <c r="I4" s="543"/>
      <c r="J4" s="543"/>
      <c r="K4" s="543"/>
      <c r="L4" s="543"/>
      <c r="M4" s="543"/>
      <c r="N4" s="543"/>
      <c r="O4" s="543"/>
    </row>
    <row r="5" spans="1:27">
      <c r="A5" s="544" t="s">
        <v>202</v>
      </c>
      <c r="B5" s="544"/>
      <c r="C5" s="544"/>
      <c r="D5" s="544"/>
      <c r="E5" s="544"/>
      <c r="F5" s="544"/>
      <c r="G5" s="544"/>
      <c r="H5" s="544"/>
      <c r="I5" s="544"/>
      <c r="J5" s="544"/>
      <c r="K5" s="544"/>
      <c r="L5" s="544"/>
      <c r="M5" s="544"/>
      <c r="N5" s="544"/>
      <c r="O5" s="544"/>
    </row>
    <row r="6" spans="1:27">
      <c r="A6" s="148" t="s">
        <v>50</v>
      </c>
      <c r="B6" s="548" t="s">
        <v>51</v>
      </c>
      <c r="C6" s="549"/>
      <c r="D6" s="177" t="s">
        <v>52</v>
      </c>
      <c r="E6" s="148" t="s">
        <v>53</v>
      </c>
      <c r="F6" s="545" t="s">
        <v>54</v>
      </c>
      <c r="G6" s="546"/>
      <c r="H6" s="546"/>
      <c r="I6" s="546"/>
      <c r="J6" s="148" t="s">
        <v>61</v>
      </c>
      <c r="K6" s="149" t="s">
        <v>62</v>
      </c>
      <c r="L6" s="149" t="s">
        <v>63</v>
      </c>
      <c r="M6" s="148" t="s">
        <v>64</v>
      </c>
      <c r="N6" s="545" t="s">
        <v>153</v>
      </c>
      <c r="O6" s="547"/>
    </row>
    <row r="7" spans="1:27" ht="18" customHeight="1">
      <c r="A7" s="565" t="s">
        <v>13</v>
      </c>
      <c r="B7" s="554" t="s">
        <v>12</v>
      </c>
      <c r="C7" s="554"/>
      <c r="D7" s="570" t="s">
        <v>271</v>
      </c>
      <c r="E7" s="566" t="s">
        <v>11</v>
      </c>
      <c r="F7" s="565" t="s">
        <v>275</v>
      </c>
      <c r="G7" s="567"/>
      <c r="H7" s="567"/>
      <c r="I7" s="567"/>
      <c r="J7" s="568" t="s">
        <v>272</v>
      </c>
      <c r="K7" s="553" t="s">
        <v>390</v>
      </c>
      <c r="L7" s="554" t="s">
        <v>92</v>
      </c>
      <c r="M7" s="555" t="s">
        <v>462</v>
      </c>
      <c r="N7" s="561" t="s">
        <v>98</v>
      </c>
      <c r="O7" s="562"/>
      <c r="Q7" s="76"/>
      <c r="R7" s="76"/>
    </row>
    <row r="8" spans="1:27" ht="33" customHeight="1">
      <c r="A8" s="565"/>
      <c r="B8" s="554"/>
      <c r="C8" s="554"/>
      <c r="D8" s="571"/>
      <c r="E8" s="566"/>
      <c r="F8" s="565"/>
      <c r="G8" s="567"/>
      <c r="H8" s="567"/>
      <c r="I8" s="567"/>
      <c r="J8" s="569"/>
      <c r="K8" s="553"/>
      <c r="L8" s="554"/>
      <c r="M8" s="556"/>
      <c r="N8" s="229" t="s">
        <v>99</v>
      </c>
      <c r="O8" s="229" t="s">
        <v>100</v>
      </c>
    </row>
    <row r="9" spans="1:27" ht="26.25" customHeight="1">
      <c r="A9" s="230"/>
      <c r="B9" s="231"/>
      <c r="C9" s="232" t="s">
        <v>341</v>
      </c>
      <c r="D9" s="233"/>
      <c r="E9" s="234" t="s">
        <v>94</v>
      </c>
      <c r="F9" s="563"/>
      <c r="G9" s="563"/>
      <c r="H9" s="563"/>
      <c r="I9" s="564"/>
      <c r="J9" s="234" t="s">
        <v>94</v>
      </c>
      <c r="K9" s="232" t="s">
        <v>93</v>
      </c>
      <c r="L9" s="235"/>
      <c r="M9" s="234" t="s">
        <v>94</v>
      </c>
      <c r="N9" s="236" t="s">
        <v>93</v>
      </c>
      <c r="O9" s="236" t="s">
        <v>93</v>
      </c>
      <c r="P9" s="75"/>
      <c r="Q9" s="75"/>
      <c r="R9" s="75"/>
      <c r="S9" s="75"/>
      <c r="T9" s="75"/>
    </row>
    <row r="10" spans="1:27" ht="14.5">
      <c r="A10" s="237"/>
      <c r="B10" s="237"/>
      <c r="C10" s="238"/>
      <c r="D10" s="238"/>
      <c r="E10" s="238"/>
      <c r="F10" s="238"/>
      <c r="G10" s="238"/>
      <c r="H10" s="238"/>
      <c r="I10" s="238"/>
      <c r="J10" s="239"/>
      <c r="K10" s="240" t="s">
        <v>203</v>
      </c>
      <c r="L10" s="241" t="s">
        <v>243</v>
      </c>
      <c r="M10" s="242"/>
      <c r="N10" s="243"/>
      <c r="O10" s="244"/>
    </row>
    <row r="11" spans="1:27" s="20" customFormat="1" ht="15.5">
      <c r="A11" s="245" t="s">
        <v>188</v>
      </c>
      <c r="B11" s="246"/>
      <c r="C11" s="246"/>
      <c r="D11" s="246"/>
      <c r="E11" s="246"/>
      <c r="F11" s="246"/>
      <c r="G11" s="246"/>
      <c r="H11" s="246"/>
      <c r="I11" s="246"/>
      <c r="J11" s="246"/>
      <c r="K11" s="246"/>
      <c r="L11" s="246"/>
      <c r="M11" s="246"/>
      <c r="N11" s="246"/>
      <c r="O11" s="247"/>
      <c r="P11" s="120"/>
      <c r="Q11" s="120"/>
      <c r="R11" s="120"/>
      <c r="S11" s="120"/>
      <c r="T11" s="120"/>
      <c r="U11" s="120"/>
      <c r="V11" s="120"/>
      <c r="W11" s="121"/>
      <c r="X11" s="121"/>
      <c r="Y11" s="121"/>
      <c r="Z11" s="121"/>
      <c r="AA11" s="121"/>
    </row>
    <row r="12" spans="1:27" s="20" customFormat="1" ht="15.5">
      <c r="A12" s="248" t="s">
        <v>189</v>
      </c>
      <c r="B12" s="249"/>
      <c r="C12" s="249"/>
      <c r="D12" s="249"/>
      <c r="E12" s="249"/>
      <c r="F12" s="249"/>
      <c r="G12" s="249"/>
      <c r="H12" s="249"/>
      <c r="I12" s="249"/>
      <c r="J12" s="249"/>
      <c r="K12" s="249"/>
      <c r="L12" s="249"/>
      <c r="M12" s="249"/>
      <c r="N12" s="250"/>
      <c r="O12" s="251"/>
      <c r="P12" s="122"/>
      <c r="Q12" s="122"/>
      <c r="R12" s="122"/>
      <c r="S12" s="122"/>
      <c r="T12" s="122"/>
      <c r="U12" s="122"/>
      <c r="V12" s="122"/>
      <c r="W12" s="121"/>
      <c r="X12" s="121"/>
      <c r="Y12" s="121"/>
      <c r="Z12" s="121"/>
      <c r="AA12" s="121"/>
    </row>
    <row r="13" spans="1:27" s="20" customFormat="1" ht="109.15" customHeight="1">
      <c r="A13" s="252" t="s">
        <v>248</v>
      </c>
      <c r="B13" s="558" t="s">
        <v>247</v>
      </c>
      <c r="C13" s="559"/>
      <c r="D13" s="559"/>
      <c r="E13" s="559"/>
      <c r="F13" s="559"/>
      <c r="G13" s="559"/>
      <c r="H13" s="559"/>
      <c r="I13" s="559"/>
      <c r="J13" s="559"/>
      <c r="K13" s="559"/>
      <c r="L13" s="559"/>
      <c r="M13" s="559"/>
      <c r="N13" s="559"/>
      <c r="O13" s="560"/>
      <c r="P13" s="123"/>
      <c r="Q13" s="123"/>
      <c r="R13" s="123"/>
      <c r="S13" s="123"/>
      <c r="T13" s="123"/>
      <c r="U13" s="123"/>
      <c r="V13" s="124"/>
      <c r="W13" s="121"/>
      <c r="X13" s="121"/>
      <c r="Y13" s="121"/>
      <c r="Z13" s="121"/>
      <c r="AA13" s="121"/>
    </row>
    <row r="14" spans="1:27" ht="15.75" customHeight="1">
      <c r="A14" s="332" t="s">
        <v>391</v>
      </c>
      <c r="B14" s="333"/>
      <c r="C14" s="333"/>
      <c r="D14" s="333"/>
      <c r="E14" s="333"/>
      <c r="F14" s="333"/>
      <c r="G14" s="333"/>
      <c r="H14" s="333"/>
      <c r="I14" s="333"/>
      <c r="J14" s="333"/>
      <c r="M14" s="137"/>
      <c r="N14" s="137"/>
      <c r="O14" s="178"/>
      <c r="P14" s="77"/>
      <c r="Q14" s="77"/>
    </row>
    <row r="15" spans="1:27" ht="15.75" customHeight="1">
      <c r="A15" s="26" t="s">
        <v>273</v>
      </c>
      <c r="M15" s="137"/>
      <c r="N15" s="137"/>
      <c r="O15" s="178"/>
      <c r="P15" s="77"/>
      <c r="Q15" s="77"/>
    </row>
    <row r="16" spans="1:27" ht="41.25" customHeight="1">
      <c r="A16" s="557" t="s">
        <v>274</v>
      </c>
      <c r="B16" s="557"/>
      <c r="C16" s="557"/>
      <c r="D16" s="557"/>
      <c r="E16" s="557"/>
      <c r="F16" s="557"/>
      <c r="G16" s="557"/>
      <c r="H16" s="557"/>
      <c r="I16" s="557"/>
      <c r="J16" s="557"/>
      <c r="K16" s="557"/>
      <c r="L16" s="557"/>
    </row>
    <row r="17" spans="1:20" ht="14.5">
      <c r="A17" s="332" t="s">
        <v>392</v>
      </c>
      <c r="B17" s="334"/>
      <c r="C17" s="334"/>
      <c r="D17" s="334"/>
      <c r="E17" s="334"/>
      <c r="F17" s="334"/>
      <c r="G17" s="334"/>
      <c r="H17" s="334"/>
      <c r="I17" s="334"/>
      <c r="J17" s="334"/>
      <c r="K17" s="334"/>
      <c r="L17" s="14"/>
    </row>
    <row r="18" spans="1:20">
      <c r="A18" s="26"/>
      <c r="B18" s="14"/>
      <c r="C18" s="14"/>
      <c r="D18" s="14"/>
      <c r="E18" s="14"/>
      <c r="F18" s="14"/>
      <c r="G18" s="14"/>
      <c r="H18" s="14"/>
      <c r="I18" s="14"/>
      <c r="J18" s="14"/>
      <c r="K18" s="14"/>
      <c r="L18" s="14"/>
    </row>
    <row r="19" spans="1:20" ht="12.75" customHeight="1">
      <c r="E19" s="550" t="s">
        <v>95</v>
      </c>
      <c r="J19" s="550" t="s">
        <v>205</v>
      </c>
      <c r="M19" s="551" t="s">
        <v>259</v>
      </c>
    </row>
    <row r="20" spans="1:20" ht="34.5" customHeight="1">
      <c r="E20" s="550"/>
      <c r="J20" s="550"/>
      <c r="M20" s="552"/>
    </row>
    <row r="21" spans="1:20" ht="14.5">
      <c r="E21" s="103" t="s">
        <v>96</v>
      </c>
      <c r="J21" s="103" t="s">
        <v>206</v>
      </c>
      <c r="M21" s="103" t="s">
        <v>111</v>
      </c>
      <c r="N21" s="217" t="s">
        <v>207</v>
      </c>
    </row>
    <row r="22" spans="1:20" ht="14.5">
      <c r="E22" s="103" t="s">
        <v>97</v>
      </c>
      <c r="J22" s="103" t="s">
        <v>234</v>
      </c>
      <c r="M22" s="103" t="s">
        <v>293</v>
      </c>
      <c r="N22" s="15"/>
      <c r="O22" s="15"/>
      <c r="P22" s="15"/>
      <c r="Q22" s="15"/>
      <c r="R22" s="15"/>
      <c r="S22" s="15"/>
      <c r="T22" s="15"/>
    </row>
    <row r="23" spans="1:20">
      <c r="E23" s="103" t="s">
        <v>66</v>
      </c>
      <c r="J23" s="103" t="s">
        <v>210</v>
      </c>
      <c r="M23" s="186" t="s">
        <v>316</v>
      </c>
      <c r="N23" s="15"/>
      <c r="O23" s="15"/>
      <c r="P23" s="15"/>
      <c r="Q23" s="15"/>
      <c r="R23" s="15"/>
      <c r="S23" s="15"/>
      <c r="T23" s="15"/>
    </row>
    <row r="24" spans="1:20">
      <c r="J24" s="103" t="s">
        <v>211</v>
      </c>
      <c r="M24" s="293" t="s">
        <v>22</v>
      </c>
    </row>
    <row r="25" spans="1:20">
      <c r="M25" s="294" t="s">
        <v>323</v>
      </c>
    </row>
    <row r="26" spans="1:20" ht="52.5" customHeight="1">
      <c r="A26" s="162"/>
      <c r="M26" s="761" t="s">
        <v>482</v>
      </c>
      <c r="N26" s="15"/>
      <c r="O26" s="15"/>
      <c r="P26" s="15"/>
      <c r="Q26" s="15"/>
      <c r="R26" s="15"/>
      <c r="S26" s="15"/>
      <c r="T26" s="15"/>
    </row>
    <row r="27" spans="1:20" ht="26">
      <c r="A27" s="292"/>
      <c r="B27" s="292"/>
      <c r="C27" s="292"/>
      <c r="D27" s="292"/>
      <c r="E27" s="292"/>
      <c r="F27" s="292"/>
      <c r="G27" s="292"/>
      <c r="H27" s="292"/>
      <c r="I27" s="292"/>
      <c r="J27" s="292"/>
      <c r="M27" s="294" t="s">
        <v>324</v>
      </c>
    </row>
    <row r="28" spans="1:20" ht="26">
      <c r="A28" s="129"/>
      <c r="M28" s="294" t="s">
        <v>325</v>
      </c>
    </row>
    <row r="29" spans="1:20" ht="65">
      <c r="A29" s="129"/>
      <c r="M29" s="294" t="s">
        <v>369</v>
      </c>
    </row>
    <row r="30" spans="1:20" ht="26">
      <c r="M30" s="294" t="s">
        <v>326</v>
      </c>
    </row>
    <row r="31" spans="1:20" ht="39">
      <c r="M31" s="294" t="s">
        <v>327</v>
      </c>
    </row>
  </sheetData>
  <mergeCells count="23">
    <mergeCell ref="E19:E20"/>
    <mergeCell ref="M19:M20"/>
    <mergeCell ref="K7:K8"/>
    <mergeCell ref="L7:L8"/>
    <mergeCell ref="M7:M8"/>
    <mergeCell ref="J19:J20"/>
    <mergeCell ref="A16:L16"/>
    <mergeCell ref="B13:O13"/>
    <mergeCell ref="N7:O7"/>
    <mergeCell ref="F9:I9"/>
    <mergeCell ref="A7:A8"/>
    <mergeCell ref="E7:E8"/>
    <mergeCell ref="F7:I8"/>
    <mergeCell ref="J7:J8"/>
    <mergeCell ref="D7:D8"/>
    <mergeCell ref="B7:C8"/>
    <mergeCell ref="F1:G1"/>
    <mergeCell ref="A3:O3"/>
    <mergeCell ref="A4:O4"/>
    <mergeCell ref="A5:O5"/>
    <mergeCell ref="F6:I6"/>
    <mergeCell ref="N6:O6"/>
    <mergeCell ref="B6:C6"/>
  </mergeCells>
  <pageMargins left="0.5" right="0.5" top="0.75" bottom="0.75" header="0.3" footer="0.3"/>
  <pageSetup orientation="landscape" horizontalDpi="1200" verticalDpi="12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32"/>
  <sheetViews>
    <sheetView zoomScale="70" zoomScaleNormal="70" workbookViewId="0">
      <selection activeCell="L8" sqref="L8:N8"/>
    </sheetView>
  </sheetViews>
  <sheetFormatPr defaultColWidth="9.1796875" defaultRowHeight="14.5"/>
  <cols>
    <col min="1" max="1" width="11.54296875" style="36" customWidth="1"/>
    <col min="2" max="2" width="32" style="36" customWidth="1"/>
    <col min="3" max="3" width="10.54296875" style="104" customWidth="1"/>
    <col min="4" max="4" width="21.81640625" style="171" customWidth="1"/>
    <col min="5" max="5" width="2" style="171" customWidth="1"/>
    <col min="6" max="7" width="10.54296875" style="171" customWidth="1"/>
    <col min="8" max="8" width="12.26953125" style="36" customWidth="1"/>
    <col min="9" max="9" width="10.26953125" style="36" customWidth="1"/>
    <col min="10" max="11" width="10.26953125" style="104" customWidth="1"/>
    <col min="12" max="12" width="10.54296875" style="36" customWidth="1"/>
    <col min="13" max="13" width="11.1796875" style="36" customWidth="1"/>
    <col min="14" max="14" width="11.453125" style="36" customWidth="1"/>
    <col min="15" max="16" width="10.1796875" style="104" customWidth="1"/>
    <col min="17" max="17" width="5.81640625" style="36" customWidth="1"/>
    <col min="18" max="18" width="6.453125" style="36" customWidth="1"/>
    <col min="19" max="22" width="5.7265625" style="36" customWidth="1"/>
    <col min="23" max="26" width="4.7265625" style="36" customWidth="1"/>
    <col min="27" max="27" width="4.1796875" style="36" customWidth="1"/>
    <col min="28" max="28" width="4.7265625" style="36" customWidth="1"/>
    <col min="29" max="29" width="5.7265625" style="36" customWidth="1"/>
    <col min="30" max="30" width="11.7265625" style="36" customWidth="1"/>
    <col min="31" max="16384" width="9.1796875" style="36"/>
  </cols>
  <sheetData>
    <row r="1" spans="1:38">
      <c r="A1" s="41"/>
      <c r="B1" s="36" t="s">
        <v>69</v>
      </c>
      <c r="I1" s="42"/>
      <c r="J1" s="109"/>
      <c r="K1" s="109"/>
      <c r="L1" s="36" t="s">
        <v>70</v>
      </c>
      <c r="N1" s="176"/>
      <c r="O1" s="176"/>
      <c r="P1" s="176"/>
      <c r="Q1" s="36" t="s">
        <v>71</v>
      </c>
      <c r="T1" s="43"/>
      <c r="U1" s="36" t="s">
        <v>72</v>
      </c>
    </row>
    <row r="2" spans="1:38">
      <c r="A2" s="39"/>
      <c r="B2" s="39"/>
      <c r="C2" s="39"/>
      <c r="D2" s="172"/>
      <c r="E2" s="172"/>
      <c r="F2" s="172"/>
      <c r="G2" s="172"/>
      <c r="H2" s="39"/>
      <c r="I2" s="39"/>
      <c r="J2" s="39"/>
      <c r="K2" s="39"/>
      <c r="L2" s="39"/>
      <c r="M2" s="39"/>
      <c r="N2" s="39"/>
      <c r="O2" s="37"/>
      <c r="P2" s="37"/>
      <c r="Q2" s="37"/>
      <c r="R2" s="37"/>
      <c r="S2" s="37"/>
      <c r="T2" s="37"/>
      <c r="X2" s="37"/>
      <c r="Y2" s="37"/>
      <c r="Z2" s="37"/>
      <c r="AA2" s="37"/>
      <c r="AB2" s="37"/>
    </row>
    <row r="3" spans="1:38" ht="15" customHeight="1">
      <c r="A3" s="572" t="s">
        <v>353</v>
      </c>
      <c r="B3" s="573"/>
      <c r="C3" s="573"/>
      <c r="D3" s="573"/>
      <c r="E3" s="573"/>
      <c r="F3" s="573"/>
      <c r="G3" s="573"/>
      <c r="H3" s="573"/>
      <c r="I3" s="573"/>
      <c r="J3" s="573"/>
      <c r="K3" s="573"/>
      <c r="L3" s="573"/>
      <c r="M3" s="573"/>
      <c r="N3" s="573"/>
      <c r="O3" s="573"/>
      <c r="P3" s="573"/>
      <c r="Q3" s="573"/>
      <c r="R3" s="574"/>
      <c r="S3" s="89"/>
      <c r="T3" s="89"/>
      <c r="U3" s="89"/>
      <c r="V3" s="89"/>
      <c r="W3" s="89"/>
      <c r="X3" s="89"/>
      <c r="Y3" s="89"/>
      <c r="Z3" s="89"/>
      <c r="AA3" s="89"/>
      <c r="AB3" s="89"/>
      <c r="AC3" s="89"/>
      <c r="AD3" s="89"/>
      <c r="AE3" s="19"/>
      <c r="AF3" s="19"/>
      <c r="AG3" s="19"/>
      <c r="AH3" s="19"/>
      <c r="AI3" s="19"/>
      <c r="AJ3" s="19"/>
      <c r="AK3" s="19"/>
      <c r="AL3" s="19"/>
    </row>
    <row r="4" spans="1:38" ht="26.5" customHeight="1">
      <c r="A4" s="581" t="s">
        <v>354</v>
      </c>
      <c r="B4" s="582"/>
      <c r="C4" s="582"/>
      <c r="D4" s="582"/>
      <c r="E4" s="582"/>
      <c r="F4" s="582"/>
      <c r="G4" s="582"/>
      <c r="H4" s="582"/>
      <c r="I4" s="582"/>
      <c r="J4" s="582"/>
      <c r="K4" s="582"/>
      <c r="L4" s="582"/>
      <c r="M4" s="582"/>
      <c r="N4" s="582"/>
      <c r="O4" s="582"/>
      <c r="P4" s="582"/>
      <c r="Q4" s="582"/>
      <c r="R4" s="583"/>
      <c r="S4" s="21"/>
      <c r="T4" s="21"/>
      <c r="U4" s="21"/>
      <c r="V4" s="21"/>
      <c r="W4" s="291" t="s">
        <v>357</v>
      </c>
      <c r="X4" s="21"/>
      <c r="Y4" s="21"/>
      <c r="Z4" s="21"/>
      <c r="AA4" s="21"/>
      <c r="AB4" s="21"/>
      <c r="AC4" s="21"/>
      <c r="AD4" s="21"/>
      <c r="AE4" s="19"/>
      <c r="AF4" s="19"/>
      <c r="AG4" s="19"/>
      <c r="AH4" s="19"/>
      <c r="AI4" s="19"/>
      <c r="AJ4" s="19"/>
      <c r="AK4" s="19"/>
      <c r="AL4" s="19"/>
    </row>
    <row r="5" spans="1:38" ht="15" customHeight="1">
      <c r="A5" s="130" t="s">
        <v>50</v>
      </c>
      <c r="B5" s="130" t="s">
        <v>51</v>
      </c>
      <c r="C5" s="586" t="s">
        <v>52</v>
      </c>
      <c r="D5" s="587"/>
      <c r="E5" s="587"/>
      <c r="F5" s="130" t="s">
        <v>53</v>
      </c>
      <c r="G5" s="191" t="s">
        <v>54</v>
      </c>
      <c r="H5" s="588" t="s">
        <v>61</v>
      </c>
      <c r="I5" s="588"/>
      <c r="J5" s="130" t="s">
        <v>62</v>
      </c>
      <c r="K5" s="191" t="s">
        <v>63</v>
      </c>
      <c r="L5" s="589" t="s">
        <v>64</v>
      </c>
      <c r="M5" s="589"/>
      <c r="N5" s="589"/>
      <c r="O5" s="350" t="s">
        <v>153</v>
      </c>
      <c r="P5" s="350" t="s">
        <v>432</v>
      </c>
      <c r="Q5" s="586" t="s">
        <v>433</v>
      </c>
      <c r="R5" s="594"/>
      <c r="S5" s="90"/>
      <c r="T5" s="90"/>
      <c r="U5" s="90"/>
      <c r="V5" s="90"/>
      <c r="W5" s="90"/>
      <c r="X5" s="90"/>
      <c r="Y5" s="90"/>
      <c r="Z5" s="90"/>
      <c r="AA5" s="90"/>
      <c r="AB5" s="90"/>
      <c r="AC5" s="90"/>
      <c r="AD5" s="19"/>
      <c r="AE5" s="19"/>
      <c r="AF5" s="19"/>
      <c r="AG5" s="19"/>
      <c r="AH5" s="19"/>
      <c r="AI5" s="19"/>
      <c r="AJ5" s="19"/>
      <c r="AK5" s="19"/>
      <c r="AL5" s="19"/>
    </row>
    <row r="6" spans="1:38" ht="27" customHeight="1">
      <c r="A6" s="584" t="s">
        <v>13</v>
      </c>
      <c r="B6" s="584" t="s">
        <v>182</v>
      </c>
      <c r="C6" s="592" t="s">
        <v>345</v>
      </c>
      <c r="D6" s="592"/>
      <c r="E6" s="592"/>
      <c r="F6" s="592"/>
      <c r="G6" s="592"/>
      <c r="H6" s="575" t="s">
        <v>268</v>
      </c>
      <c r="I6" s="576"/>
      <c r="J6" s="576"/>
      <c r="K6" s="577"/>
      <c r="L6" s="595" t="s">
        <v>269</v>
      </c>
      <c r="M6" s="595"/>
      <c r="N6" s="595"/>
      <c r="O6" s="595"/>
      <c r="P6" s="595"/>
      <c r="Q6" s="561" t="s">
        <v>98</v>
      </c>
      <c r="R6" s="562"/>
      <c r="S6" s="253"/>
      <c r="T6" s="80"/>
      <c r="U6" s="80"/>
      <c r="V6" s="80"/>
      <c r="W6" s="80"/>
      <c r="X6" s="80"/>
      <c r="Y6" s="80"/>
      <c r="Z6" s="80"/>
      <c r="AA6" s="80"/>
      <c r="AB6" s="80"/>
      <c r="AC6" s="80"/>
      <c r="AD6" s="56"/>
      <c r="AE6" s="593"/>
      <c r="AF6" s="593"/>
      <c r="AG6" s="593"/>
      <c r="AH6" s="593"/>
      <c r="AI6" s="19"/>
      <c r="AJ6" s="19"/>
      <c r="AK6" s="19"/>
      <c r="AL6" s="19"/>
    </row>
    <row r="7" spans="1:38" s="104" customFormat="1" ht="49.5">
      <c r="A7" s="584"/>
      <c r="B7" s="584"/>
      <c r="C7" s="592" t="s">
        <v>346</v>
      </c>
      <c r="D7" s="592"/>
      <c r="E7" s="592"/>
      <c r="F7" s="254" t="s">
        <v>347</v>
      </c>
      <c r="G7" s="254" t="s">
        <v>263</v>
      </c>
      <c r="H7" s="575" t="s">
        <v>267</v>
      </c>
      <c r="I7" s="577"/>
      <c r="J7" s="254" t="s">
        <v>348</v>
      </c>
      <c r="K7" s="255" t="s">
        <v>270</v>
      </c>
      <c r="L7" s="575" t="s">
        <v>346</v>
      </c>
      <c r="M7" s="576"/>
      <c r="N7" s="576"/>
      <c r="O7" s="254" t="s">
        <v>349</v>
      </c>
      <c r="P7" s="349" t="s">
        <v>264</v>
      </c>
      <c r="Q7" s="229" t="s">
        <v>99</v>
      </c>
      <c r="R7" s="229" t="s">
        <v>100</v>
      </c>
      <c r="S7" s="253"/>
      <c r="T7" s="80"/>
      <c r="U7" s="80"/>
      <c r="V7" s="80"/>
      <c r="W7" s="80"/>
      <c r="X7" s="80"/>
      <c r="Y7" s="80"/>
      <c r="Z7" s="80"/>
      <c r="AA7" s="80"/>
      <c r="AB7" s="80"/>
      <c r="AC7" s="80"/>
      <c r="AD7" s="56"/>
      <c r="AE7" s="593"/>
      <c r="AF7" s="593"/>
      <c r="AG7" s="593"/>
      <c r="AH7" s="593"/>
      <c r="AI7" s="106"/>
      <c r="AJ7" s="106"/>
      <c r="AK7" s="106"/>
      <c r="AL7" s="106"/>
    </row>
    <row r="8" spans="1:38" ht="21">
      <c r="A8" s="256" t="s">
        <v>67</v>
      </c>
      <c r="B8" s="256" t="s">
        <v>68</v>
      </c>
      <c r="C8" s="585" t="s">
        <v>265</v>
      </c>
      <c r="D8" s="585"/>
      <c r="E8" s="585"/>
      <c r="F8" s="257"/>
      <c r="G8" s="258"/>
      <c r="H8" s="590" t="s">
        <v>265</v>
      </c>
      <c r="I8" s="591"/>
      <c r="J8" s="257"/>
      <c r="K8" s="258"/>
      <c r="L8" s="585" t="s">
        <v>265</v>
      </c>
      <c r="M8" s="585"/>
      <c r="N8" s="585"/>
      <c r="O8" s="257"/>
      <c r="P8" s="258"/>
      <c r="Q8" s="236" t="s">
        <v>93</v>
      </c>
      <c r="R8" s="236" t="s">
        <v>93</v>
      </c>
      <c r="S8" s="259"/>
      <c r="T8" s="84"/>
      <c r="U8" s="84"/>
      <c r="V8" s="84"/>
      <c r="W8" s="84"/>
      <c r="X8" s="84"/>
      <c r="Y8" s="84"/>
      <c r="Z8" s="84"/>
      <c r="AA8" s="84"/>
      <c r="AB8" s="84"/>
      <c r="AC8" s="84"/>
      <c r="AD8" s="83"/>
      <c r="AE8" s="593"/>
      <c r="AF8" s="593"/>
      <c r="AG8" s="593"/>
      <c r="AH8" s="593"/>
      <c r="AI8" s="19"/>
      <c r="AJ8" s="19"/>
      <c r="AK8" s="19"/>
      <c r="AL8" s="19"/>
    </row>
    <row r="9" spans="1:38" s="104" customFormat="1" ht="18.75" hidden="1" customHeight="1">
      <c r="A9" s="579"/>
      <c r="B9" s="580"/>
      <c r="C9" s="295"/>
      <c r="D9" s="295"/>
      <c r="E9" s="295"/>
      <c r="F9" s="295"/>
      <c r="G9" s="295"/>
      <c r="H9" s="295"/>
      <c r="I9" s="295"/>
      <c r="J9" s="295"/>
      <c r="K9" s="295"/>
      <c r="L9" s="296"/>
      <c r="M9" s="297"/>
      <c r="N9" s="297"/>
      <c r="O9" s="297"/>
      <c r="P9" s="297"/>
      <c r="Q9" s="578"/>
      <c r="R9" s="578"/>
      <c r="S9" s="253"/>
      <c r="T9" s="85"/>
      <c r="U9" s="80"/>
      <c r="V9" s="80"/>
      <c r="W9" s="80"/>
      <c r="X9" s="80"/>
      <c r="Y9" s="55"/>
      <c r="Z9" s="80"/>
      <c r="AA9" s="80"/>
      <c r="AB9" s="56"/>
      <c r="AC9" s="80"/>
      <c r="AD9" s="83"/>
      <c r="AE9" s="38"/>
      <c r="AF9" s="38"/>
      <c r="AG9" s="38"/>
      <c r="AH9" s="38"/>
    </row>
    <row r="10" spans="1:38" s="66" customFormat="1" ht="15">
      <c r="A10" s="298" t="s">
        <v>350</v>
      </c>
      <c r="B10" s="299"/>
      <c r="C10" s="299"/>
      <c r="D10" s="299"/>
      <c r="E10" s="299"/>
      <c r="F10" s="299"/>
      <c r="G10" s="299"/>
      <c r="H10" s="299"/>
      <c r="I10" s="299"/>
      <c r="J10" s="299"/>
      <c r="K10" s="299"/>
      <c r="L10" s="300"/>
      <c r="M10" s="301"/>
      <c r="N10" s="259"/>
      <c r="O10" s="259"/>
      <c r="P10" s="259"/>
      <c r="Q10" s="86"/>
      <c r="R10" s="137"/>
      <c r="S10" s="259"/>
      <c r="T10" s="87"/>
      <c r="U10" s="106"/>
      <c r="V10" s="80"/>
      <c r="W10" s="84"/>
      <c r="X10" s="84"/>
      <c r="Y10" s="86"/>
      <c r="Z10" s="88"/>
      <c r="AA10" s="88"/>
      <c r="AB10" s="4"/>
      <c r="AC10" s="88"/>
      <c r="AD10" s="83"/>
    </row>
    <row r="11" spans="1:38" ht="18.75" customHeight="1">
      <c r="A11" s="597" t="s">
        <v>389</v>
      </c>
      <c r="B11" s="597"/>
      <c r="C11" s="597"/>
      <c r="D11" s="597"/>
      <c r="E11" s="597"/>
      <c r="F11" s="597"/>
      <c r="G11" s="597"/>
      <c r="H11" s="597"/>
      <c r="I11" s="597"/>
      <c r="J11" s="597"/>
      <c r="K11" s="597"/>
      <c r="L11" s="597"/>
      <c r="M11" s="81"/>
      <c r="N11" s="81"/>
      <c r="O11" s="81"/>
      <c r="P11" s="81"/>
      <c r="Q11" s="81"/>
      <c r="R11" s="81"/>
      <c r="S11" s="81"/>
      <c r="T11" s="82"/>
      <c r="U11" s="82"/>
      <c r="V11" s="82"/>
      <c r="W11" s="80"/>
      <c r="X11" s="80"/>
      <c r="Y11" s="55"/>
      <c r="Z11" s="80"/>
      <c r="AA11" s="80"/>
      <c r="AB11" s="56"/>
      <c r="AC11" s="80"/>
      <c r="AD11" s="83"/>
    </row>
    <row r="12" spans="1:38" ht="15.75" customHeight="1">
      <c r="A12" s="598" t="s">
        <v>351</v>
      </c>
      <c r="B12" s="599"/>
      <c r="C12" s="599"/>
      <c r="D12" s="599"/>
      <c r="E12" s="599"/>
      <c r="F12" s="599"/>
      <c r="G12" s="599"/>
      <c r="H12" s="599"/>
      <c r="I12" s="599"/>
      <c r="J12" s="599"/>
      <c r="K12" s="599"/>
      <c r="L12" s="599"/>
      <c r="M12" s="599"/>
      <c r="N12" s="599"/>
      <c r="O12" s="599"/>
      <c r="P12" s="599"/>
      <c r="Q12" s="259"/>
      <c r="R12" s="259"/>
      <c r="S12" s="259"/>
      <c r="T12" s="84"/>
      <c r="U12" s="84"/>
      <c r="V12" s="82"/>
      <c r="W12" s="84"/>
      <c r="X12" s="84"/>
      <c r="Y12" s="86"/>
      <c r="Z12" s="82"/>
      <c r="AA12" s="82"/>
      <c r="AB12" s="4"/>
      <c r="AC12" s="88"/>
      <c r="AD12" s="83"/>
    </row>
    <row r="13" spans="1:38" ht="25" customHeight="1">
      <c r="A13" s="260"/>
      <c r="B13" s="260"/>
      <c r="C13" s="189"/>
      <c r="D13" s="189"/>
      <c r="E13" s="189"/>
      <c r="F13" s="189"/>
      <c r="G13" s="189"/>
      <c r="H13" s="189"/>
      <c r="I13" s="260"/>
      <c r="J13" s="260"/>
      <c r="K13" s="260"/>
      <c r="L13" s="81"/>
      <c r="M13" s="253"/>
      <c r="N13" s="81"/>
      <c r="O13" s="81"/>
      <c r="P13" s="81"/>
      <c r="Q13" s="81"/>
      <c r="R13" s="81"/>
      <c r="S13" s="81"/>
      <c r="T13" s="82"/>
      <c r="U13" s="82"/>
      <c r="V13" s="82"/>
      <c r="W13" s="80"/>
      <c r="X13" s="80"/>
      <c r="Y13" s="80"/>
      <c r="Z13" s="80"/>
      <c r="AA13" s="80"/>
      <c r="AB13" s="80"/>
      <c r="AC13" s="80"/>
      <c r="AD13" s="83"/>
    </row>
    <row r="14" spans="1:38">
      <c r="A14" s="194"/>
      <c r="B14" s="194"/>
      <c r="C14" s="600" t="s">
        <v>261</v>
      </c>
      <c r="D14" s="600"/>
      <c r="E14" s="600"/>
      <c r="F14" s="194"/>
      <c r="G14" s="194"/>
      <c r="H14" s="605" t="s">
        <v>265</v>
      </c>
      <c r="I14" s="605"/>
      <c r="J14" s="261"/>
      <c r="K14" s="261"/>
      <c r="L14" s="604" t="s">
        <v>261</v>
      </c>
      <c r="M14" s="604"/>
      <c r="N14" s="604"/>
      <c r="O14" s="194"/>
      <c r="P14" s="194"/>
      <c r="Q14" s="194"/>
      <c r="R14" s="194"/>
      <c r="S14" s="194"/>
    </row>
    <row r="15" spans="1:38">
      <c r="A15" s="194"/>
      <c r="B15" s="194"/>
      <c r="C15" s="601" t="s">
        <v>258</v>
      </c>
      <c r="D15" s="602"/>
      <c r="E15" s="603"/>
      <c r="F15" s="194"/>
      <c r="G15" s="194"/>
      <c r="H15" s="596" t="s">
        <v>266</v>
      </c>
      <c r="I15" s="596"/>
      <c r="J15" s="262"/>
      <c r="K15" s="262"/>
      <c r="L15" s="596" t="s">
        <v>258</v>
      </c>
      <c r="M15" s="596"/>
      <c r="N15" s="596"/>
      <c r="O15" s="194"/>
      <c r="P15" s="194"/>
      <c r="Q15" s="194"/>
      <c r="R15" s="194"/>
      <c r="S15" s="194"/>
    </row>
    <row r="16" spans="1:38">
      <c r="A16" s="194"/>
      <c r="B16" s="194"/>
      <c r="C16" s="601" t="s">
        <v>301</v>
      </c>
      <c r="D16" s="602"/>
      <c r="E16" s="603"/>
      <c r="F16" s="194"/>
      <c r="G16" s="194"/>
      <c r="H16" s="601" t="s">
        <v>257</v>
      </c>
      <c r="I16" s="603"/>
      <c r="J16" s="262"/>
      <c r="K16" s="262"/>
      <c r="L16" s="596" t="s">
        <v>434</v>
      </c>
      <c r="M16" s="596"/>
      <c r="N16" s="596"/>
      <c r="O16" s="194"/>
      <c r="P16" s="194"/>
      <c r="Q16" s="194"/>
      <c r="R16" s="194"/>
      <c r="S16" s="194"/>
    </row>
    <row r="17" spans="1:19">
      <c r="A17" s="194"/>
      <c r="B17" s="194"/>
      <c r="C17" s="601" t="s">
        <v>302</v>
      </c>
      <c r="D17" s="602"/>
      <c r="E17" s="603"/>
      <c r="F17" s="194"/>
      <c r="G17" s="194"/>
      <c r="H17" s="194"/>
      <c r="I17" s="194"/>
      <c r="J17" s="214"/>
      <c r="K17" s="214"/>
      <c r="L17" s="596" t="s">
        <v>435</v>
      </c>
      <c r="M17" s="596"/>
      <c r="N17" s="596"/>
      <c r="O17" s="194"/>
      <c r="P17" s="194"/>
      <c r="Q17" s="194"/>
      <c r="R17" s="194"/>
      <c r="S17" s="194"/>
    </row>
    <row r="18" spans="1:19">
      <c r="A18" s="194"/>
      <c r="B18" s="194"/>
      <c r="C18" s="601" t="s">
        <v>262</v>
      </c>
      <c r="D18" s="602"/>
      <c r="E18" s="603"/>
      <c r="F18" s="194"/>
      <c r="G18" s="194"/>
      <c r="H18" s="194"/>
      <c r="I18" s="194"/>
      <c r="J18" s="194"/>
      <c r="K18" s="194"/>
      <c r="L18" s="596" t="s">
        <v>262</v>
      </c>
      <c r="M18" s="596"/>
      <c r="N18" s="596"/>
      <c r="O18" s="194"/>
      <c r="P18" s="194"/>
      <c r="Q18" s="194"/>
      <c r="R18" s="194"/>
      <c r="S18" s="194"/>
    </row>
    <row r="19" spans="1:19">
      <c r="A19" s="194"/>
      <c r="B19" s="194"/>
      <c r="C19" s="194"/>
      <c r="D19" s="194"/>
      <c r="E19" s="194"/>
      <c r="F19" s="194"/>
      <c r="G19" s="194"/>
      <c r="H19" s="194"/>
      <c r="I19" s="194"/>
      <c r="J19" s="194"/>
      <c r="K19" s="194"/>
      <c r="L19" s="194"/>
      <c r="M19" s="194"/>
      <c r="N19" s="194"/>
      <c r="O19" s="194"/>
      <c r="P19" s="194"/>
      <c r="Q19" s="194"/>
      <c r="R19" s="194"/>
      <c r="S19" s="194"/>
    </row>
    <row r="20" spans="1:19">
      <c r="A20" s="194"/>
      <c r="B20" s="194"/>
      <c r="C20" s="194"/>
      <c r="D20" s="189"/>
      <c r="E20" s="189"/>
      <c r="F20" s="189"/>
      <c r="G20" s="189"/>
      <c r="H20" s="189"/>
      <c r="I20" s="194"/>
      <c r="J20" s="194"/>
      <c r="K20" s="194"/>
      <c r="L20" s="194"/>
      <c r="M20" s="194"/>
      <c r="N20" s="194"/>
      <c r="O20" s="194"/>
      <c r="P20" s="194"/>
      <c r="Q20" s="194"/>
      <c r="R20" s="194"/>
      <c r="S20" s="194"/>
    </row>
    <row r="21" spans="1:19">
      <c r="D21" s="183" t="s">
        <v>260</v>
      </c>
      <c r="E21" s="107"/>
      <c r="F21" s="107"/>
      <c r="G21" s="107"/>
      <c r="H21" s="107"/>
    </row>
    <row r="22" spans="1:19">
      <c r="D22" s="107"/>
      <c r="E22" s="107"/>
      <c r="F22" s="107"/>
      <c r="G22" s="107"/>
      <c r="H22" s="107"/>
    </row>
    <row r="23" spans="1:19">
      <c r="D23" s="107"/>
      <c r="E23" s="107"/>
      <c r="F23" s="107"/>
      <c r="G23" s="107"/>
      <c r="H23" s="107"/>
    </row>
    <row r="24" spans="1:19">
      <c r="D24" s="107"/>
      <c r="E24" s="107"/>
      <c r="F24" s="107"/>
      <c r="G24" s="107"/>
      <c r="H24" s="107"/>
    </row>
    <row r="25" spans="1:19">
      <c r="D25" s="107"/>
      <c r="E25" s="107"/>
      <c r="F25" s="107"/>
      <c r="G25" s="107"/>
      <c r="H25" s="107"/>
    </row>
    <row r="26" spans="1:19">
      <c r="D26" s="107"/>
      <c r="E26" s="107"/>
      <c r="F26" s="107"/>
      <c r="G26" s="107"/>
      <c r="H26" s="107"/>
    </row>
    <row r="27" spans="1:19">
      <c r="D27" s="107"/>
      <c r="E27" s="107"/>
      <c r="F27" s="107"/>
      <c r="G27" s="107"/>
      <c r="H27" s="107"/>
    </row>
    <row r="28" spans="1:19">
      <c r="D28" s="107"/>
      <c r="E28" s="107"/>
      <c r="F28" s="107"/>
      <c r="G28" s="107"/>
      <c r="H28" s="107"/>
    </row>
    <row r="29" spans="1:19">
      <c r="D29" s="107"/>
      <c r="E29" s="107"/>
      <c r="F29" s="107"/>
      <c r="G29" s="107"/>
      <c r="H29" s="107"/>
    </row>
    <row r="30" spans="1:19">
      <c r="D30" s="107"/>
      <c r="E30" s="107"/>
      <c r="F30" s="107"/>
      <c r="G30" s="107"/>
      <c r="H30" s="107"/>
    </row>
    <row r="31" spans="1:19">
      <c r="D31" s="107"/>
      <c r="E31" s="107"/>
      <c r="F31" s="107"/>
      <c r="G31" s="107"/>
      <c r="H31" s="107"/>
    </row>
    <row r="32" spans="1:19">
      <c r="D32" s="107"/>
      <c r="E32" s="107"/>
      <c r="F32" s="107"/>
      <c r="G32" s="107"/>
      <c r="H32" s="107"/>
    </row>
  </sheetData>
  <mergeCells count="36">
    <mergeCell ref="L16:N16"/>
    <mergeCell ref="L17:N17"/>
    <mergeCell ref="L18:N18"/>
    <mergeCell ref="A11:L11"/>
    <mergeCell ref="A12:P12"/>
    <mergeCell ref="C14:E14"/>
    <mergeCell ref="C16:E16"/>
    <mergeCell ref="C17:E17"/>
    <mergeCell ref="C18:E18"/>
    <mergeCell ref="H16:I16"/>
    <mergeCell ref="L14:N14"/>
    <mergeCell ref="C15:E15"/>
    <mergeCell ref="H14:I14"/>
    <mergeCell ref="H15:I15"/>
    <mergeCell ref="L15:N15"/>
    <mergeCell ref="AE6:AH8"/>
    <mergeCell ref="Q5:R5"/>
    <mergeCell ref="Q6:R6"/>
    <mergeCell ref="L7:N7"/>
    <mergeCell ref="L8:N8"/>
    <mergeCell ref="L6:P6"/>
    <mergeCell ref="A3:R3"/>
    <mergeCell ref="H6:K6"/>
    <mergeCell ref="Q9:R9"/>
    <mergeCell ref="A9:B9"/>
    <mergeCell ref="A4:R4"/>
    <mergeCell ref="A6:A7"/>
    <mergeCell ref="B6:B7"/>
    <mergeCell ref="C8:E8"/>
    <mergeCell ref="C5:E5"/>
    <mergeCell ref="H5:I5"/>
    <mergeCell ref="L5:N5"/>
    <mergeCell ref="H7:I7"/>
    <mergeCell ref="H8:I8"/>
    <mergeCell ref="C6:G6"/>
    <mergeCell ref="C7:E7"/>
  </mergeCells>
  <pageMargins left="0.25" right="0.25" top="0.75" bottom="0.75" header="0.3" footer="0.3"/>
  <pageSetup scale="32"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58"/>
  <sheetViews>
    <sheetView topLeftCell="A34" zoomScale="80" zoomScaleNormal="80" workbookViewId="0">
      <selection activeCell="T60" sqref="T60"/>
    </sheetView>
  </sheetViews>
  <sheetFormatPr defaultColWidth="9.1796875" defaultRowHeight="15.5"/>
  <cols>
    <col min="1" max="1" width="36.453125" style="20" customWidth="1"/>
    <col min="2" max="2" width="1.54296875" style="20" customWidth="1"/>
    <col min="3" max="3" width="6.54296875" style="20" customWidth="1"/>
    <col min="4" max="4" width="7.54296875" style="20" customWidth="1"/>
    <col min="5" max="6" width="1.54296875" style="20" customWidth="1"/>
    <col min="7" max="7" width="5.7265625" style="20" customWidth="1"/>
    <col min="8" max="8" width="7.54296875" style="20" customWidth="1"/>
    <col min="9" max="10" width="1.54296875" style="20" customWidth="1"/>
    <col min="11" max="11" width="7.453125" style="20" customWidth="1"/>
    <col min="12" max="12" width="7.81640625" style="20" customWidth="1"/>
    <col min="13" max="13" width="0.81640625" style="20" customWidth="1"/>
    <col min="14" max="14" width="1.54296875" style="20" customWidth="1"/>
    <col min="15" max="15" width="7.453125" style="20" customWidth="1"/>
    <col min="16" max="16" width="7.54296875" style="20" customWidth="1"/>
    <col min="17" max="18" width="1.54296875" style="20" customWidth="1"/>
    <col min="19" max="19" width="7.453125" style="20" customWidth="1"/>
    <col min="20" max="20" width="7.54296875" style="20" customWidth="1"/>
    <col min="21" max="21" width="1.81640625" style="20" customWidth="1"/>
    <col min="22" max="22" width="17.54296875" style="20" customWidth="1"/>
    <col min="23" max="24" width="10.81640625" style="20" customWidth="1"/>
    <col min="25" max="16384" width="9.1796875" style="20"/>
  </cols>
  <sheetData>
    <row r="1" spans="1:24" s="36" customFormat="1" ht="14.5">
      <c r="A1" s="41"/>
      <c r="B1" s="36" t="s">
        <v>69</v>
      </c>
      <c r="D1" s="42"/>
      <c r="E1" s="36" t="s">
        <v>70</v>
      </c>
      <c r="G1" s="425"/>
      <c r="H1" s="425"/>
      <c r="I1" s="36" t="s">
        <v>71</v>
      </c>
      <c r="O1" s="43"/>
      <c r="P1" s="36" t="s">
        <v>72</v>
      </c>
    </row>
    <row r="4" spans="1:24">
      <c r="A4" s="634" t="s">
        <v>102</v>
      </c>
      <c r="B4" s="635"/>
      <c r="C4" s="635"/>
      <c r="D4" s="635"/>
      <c r="E4" s="635"/>
      <c r="F4" s="635"/>
      <c r="G4" s="635"/>
      <c r="H4" s="635"/>
      <c r="I4" s="635"/>
      <c r="J4" s="635"/>
      <c r="K4" s="635"/>
      <c r="L4" s="635"/>
      <c r="M4" s="635"/>
      <c r="N4" s="635"/>
      <c r="O4" s="635"/>
      <c r="P4" s="635"/>
      <c r="Q4" s="635"/>
      <c r="R4" s="635"/>
      <c r="S4" s="635"/>
      <c r="T4" s="635"/>
      <c r="U4" s="635"/>
      <c r="V4" s="635"/>
      <c r="W4" s="635"/>
      <c r="X4" s="636"/>
    </row>
    <row r="5" spans="1:24" ht="69.650000000000006" customHeight="1">
      <c r="A5" s="637" t="s">
        <v>444</v>
      </c>
      <c r="B5" s="638"/>
      <c r="C5" s="638"/>
      <c r="D5" s="638"/>
      <c r="E5" s="638"/>
      <c r="F5" s="638"/>
      <c r="G5" s="638"/>
      <c r="H5" s="638"/>
      <c r="I5" s="638"/>
      <c r="J5" s="638"/>
      <c r="K5" s="638"/>
      <c r="L5" s="638"/>
      <c r="M5" s="638"/>
      <c r="N5" s="638"/>
      <c r="O5" s="638"/>
      <c r="P5" s="638"/>
      <c r="Q5" s="638"/>
      <c r="R5" s="638"/>
      <c r="S5" s="638"/>
      <c r="T5" s="638"/>
      <c r="U5" s="638"/>
      <c r="V5" s="638"/>
      <c r="W5" s="638"/>
      <c r="X5" s="639"/>
    </row>
    <row r="6" spans="1:24">
      <c r="A6" s="640" t="s">
        <v>443</v>
      </c>
      <c r="B6" s="641"/>
      <c r="C6" s="641"/>
      <c r="D6" s="641"/>
      <c r="E6" s="641"/>
      <c r="F6" s="641"/>
      <c r="G6" s="641"/>
      <c r="H6" s="641"/>
      <c r="I6" s="641"/>
      <c r="J6" s="641"/>
      <c r="K6" s="641"/>
      <c r="L6" s="641"/>
      <c r="M6" s="641"/>
      <c r="N6" s="641"/>
      <c r="O6" s="641"/>
      <c r="P6" s="641"/>
      <c r="Q6" s="641"/>
      <c r="R6" s="641"/>
      <c r="S6" s="641"/>
      <c r="T6" s="641"/>
      <c r="U6" s="641"/>
      <c r="V6" s="641"/>
      <c r="W6" s="641"/>
      <c r="X6" s="642"/>
    </row>
    <row r="7" spans="1:24">
      <c r="A7" s="150" t="s">
        <v>50</v>
      </c>
      <c r="B7" s="645" t="s">
        <v>51</v>
      </c>
      <c r="C7" s="646"/>
      <c r="D7" s="646"/>
      <c r="E7" s="646"/>
      <c r="F7" s="646"/>
      <c r="G7" s="646"/>
      <c r="H7" s="646"/>
      <c r="I7" s="647"/>
      <c r="J7" s="645" t="s">
        <v>52</v>
      </c>
      <c r="K7" s="646"/>
      <c r="L7" s="646"/>
      <c r="M7" s="646"/>
      <c r="N7" s="646"/>
      <c r="O7" s="646"/>
      <c r="P7" s="646"/>
      <c r="Q7" s="647"/>
      <c r="R7" s="645" t="s">
        <v>53</v>
      </c>
      <c r="S7" s="646"/>
      <c r="T7" s="646"/>
      <c r="U7" s="646"/>
      <c r="V7" s="647"/>
      <c r="W7" s="643" t="s">
        <v>54</v>
      </c>
      <c r="X7" s="644"/>
    </row>
    <row r="8" spans="1:24" ht="15.75" customHeight="1">
      <c r="A8" s="618" t="s">
        <v>10</v>
      </c>
      <c r="B8" s="624" t="s">
        <v>106</v>
      </c>
      <c r="C8" s="625"/>
      <c r="D8" s="625"/>
      <c r="E8" s="625"/>
      <c r="F8" s="625"/>
      <c r="G8" s="625"/>
      <c r="H8" s="625"/>
      <c r="I8" s="626"/>
      <c r="J8" s="621" t="s">
        <v>107</v>
      </c>
      <c r="K8" s="622"/>
      <c r="L8" s="622"/>
      <c r="M8" s="622"/>
      <c r="N8" s="622"/>
      <c r="O8" s="622"/>
      <c r="P8" s="622"/>
      <c r="Q8" s="623"/>
      <c r="R8" s="621" t="s">
        <v>105</v>
      </c>
      <c r="S8" s="622"/>
      <c r="T8" s="622"/>
      <c r="U8" s="622"/>
      <c r="V8" s="623"/>
      <c r="W8" s="609" t="s">
        <v>98</v>
      </c>
      <c r="X8" s="610"/>
    </row>
    <row r="9" spans="1:24">
      <c r="A9" s="619"/>
      <c r="B9" s="624"/>
      <c r="C9" s="625"/>
      <c r="D9" s="625"/>
      <c r="E9" s="625"/>
      <c r="F9" s="625"/>
      <c r="G9" s="625"/>
      <c r="H9" s="625"/>
      <c r="I9" s="626"/>
      <c r="J9" s="624"/>
      <c r="K9" s="625"/>
      <c r="L9" s="625"/>
      <c r="M9" s="625"/>
      <c r="N9" s="625"/>
      <c r="O9" s="625"/>
      <c r="P9" s="625"/>
      <c r="Q9" s="626"/>
      <c r="R9" s="624"/>
      <c r="S9" s="625"/>
      <c r="T9" s="625"/>
      <c r="U9" s="625"/>
      <c r="V9" s="626"/>
      <c r="W9" s="611"/>
      <c r="X9" s="612"/>
    </row>
    <row r="10" spans="1:24">
      <c r="A10" s="620"/>
      <c r="B10" s="630" t="s">
        <v>446</v>
      </c>
      <c r="C10" s="631"/>
      <c r="D10" s="631"/>
      <c r="E10" s="631"/>
      <c r="F10" s="631"/>
      <c r="G10" s="631"/>
      <c r="H10" s="631"/>
      <c r="I10" s="632"/>
      <c r="J10" s="627" t="s">
        <v>387</v>
      </c>
      <c r="K10" s="628"/>
      <c r="L10" s="628"/>
      <c r="M10" s="628"/>
      <c r="N10" s="628"/>
      <c r="O10" s="628"/>
      <c r="P10" s="628"/>
      <c r="Q10" s="629"/>
      <c r="R10" s="627" t="s">
        <v>388</v>
      </c>
      <c r="S10" s="628"/>
      <c r="T10" s="628"/>
      <c r="U10" s="628"/>
      <c r="V10" s="629"/>
      <c r="W10" s="229" t="s">
        <v>99</v>
      </c>
      <c r="X10" s="229" t="s">
        <v>100</v>
      </c>
    </row>
    <row r="11" spans="1:24">
      <c r="A11" s="263"/>
      <c r="B11" s="613" t="s">
        <v>110</v>
      </c>
      <c r="C11" s="614"/>
      <c r="D11" s="614"/>
      <c r="E11" s="614"/>
      <c r="F11" s="614"/>
      <c r="G11" s="614"/>
      <c r="H11" s="614"/>
      <c r="I11" s="615"/>
      <c r="J11" s="613" t="s">
        <v>110</v>
      </c>
      <c r="K11" s="614"/>
      <c r="L11" s="614"/>
      <c r="M11" s="614"/>
      <c r="N11" s="614"/>
      <c r="O11" s="614"/>
      <c r="P11" s="614"/>
      <c r="Q11" s="615"/>
      <c r="R11" s="613" t="s">
        <v>110</v>
      </c>
      <c r="S11" s="614"/>
      <c r="T11" s="614"/>
      <c r="U11" s="614"/>
      <c r="V11" s="615"/>
      <c r="W11" s="264" t="s">
        <v>93</v>
      </c>
      <c r="X11" s="264" t="s">
        <v>93</v>
      </c>
    </row>
    <row r="12" spans="1:24">
      <c r="A12" s="303" t="s">
        <v>23</v>
      </c>
      <c r="B12" s="304"/>
      <c r="C12" s="304"/>
      <c r="D12" s="304"/>
      <c r="E12" s="304"/>
      <c r="F12" s="304"/>
      <c r="G12" s="304"/>
      <c r="H12" s="304"/>
      <c r="I12" s="304"/>
      <c r="J12" s="304"/>
      <c r="K12" s="304"/>
      <c r="L12" s="304"/>
      <c r="M12" s="304"/>
      <c r="N12" s="616"/>
      <c r="O12" s="616"/>
      <c r="P12" s="616"/>
      <c r="Q12" s="616"/>
      <c r="R12" s="616"/>
      <c r="S12" s="616"/>
      <c r="T12" s="616"/>
      <c r="U12" s="616"/>
      <c r="V12" s="305"/>
      <c r="W12" s="305"/>
      <c r="X12" s="306"/>
    </row>
    <row r="13" spans="1:24">
      <c r="A13" s="307" t="s">
        <v>108</v>
      </c>
      <c r="B13" s="308"/>
      <c r="C13" s="308"/>
      <c r="D13" s="308"/>
      <c r="E13" s="308"/>
      <c r="F13" s="308"/>
      <c r="G13" s="308"/>
      <c r="H13" s="308"/>
      <c r="I13" s="308"/>
      <c r="J13" s="308"/>
      <c r="K13" s="308"/>
      <c r="L13" s="308"/>
      <c r="M13" s="309"/>
      <c r="N13" s="648"/>
      <c r="O13" s="648"/>
      <c r="P13" s="648"/>
      <c r="Q13" s="648"/>
      <c r="R13" s="648"/>
      <c r="S13" s="648"/>
      <c r="T13" s="648"/>
      <c r="U13" s="648"/>
      <c r="V13" s="310"/>
      <c r="W13" s="310"/>
      <c r="X13" s="311"/>
    </row>
    <row r="14" spans="1:24" ht="48">
      <c r="A14" s="312" t="s">
        <v>249</v>
      </c>
      <c r="B14" s="650" t="s">
        <v>247</v>
      </c>
      <c r="C14" s="651"/>
      <c r="D14" s="651"/>
      <c r="E14" s="651"/>
      <c r="F14" s="651"/>
      <c r="G14" s="651"/>
      <c r="H14" s="651"/>
      <c r="I14" s="651"/>
      <c r="J14" s="651"/>
      <c r="K14" s="651"/>
      <c r="L14" s="651"/>
      <c r="M14" s="651"/>
      <c r="N14" s="651"/>
      <c r="O14" s="651"/>
      <c r="P14" s="651"/>
      <c r="Q14" s="651"/>
      <c r="R14" s="651"/>
      <c r="S14" s="651"/>
      <c r="T14" s="651"/>
      <c r="U14" s="651"/>
      <c r="V14" s="651"/>
      <c r="W14" s="651"/>
      <c r="X14" s="652"/>
    </row>
    <row r="15" spans="1:24">
      <c r="F15" s="649"/>
      <c r="G15" s="649"/>
      <c r="H15" s="649"/>
      <c r="I15" s="649"/>
      <c r="V15" s="137"/>
      <c r="W15" s="137"/>
      <c r="X15" s="178"/>
    </row>
    <row r="16" spans="1:24" ht="41.25" customHeight="1">
      <c r="B16" s="550" t="s">
        <v>112</v>
      </c>
      <c r="C16" s="550"/>
      <c r="D16" s="550"/>
      <c r="E16" s="550"/>
      <c r="F16" s="550" t="s">
        <v>113</v>
      </c>
      <c r="G16" s="550"/>
      <c r="H16" s="550"/>
      <c r="I16" s="550"/>
      <c r="R16" s="550" t="s">
        <v>109</v>
      </c>
      <c r="S16" s="550"/>
      <c r="T16" s="550"/>
      <c r="U16" s="550"/>
      <c r="V16" s="175"/>
    </row>
    <row r="17" spans="1:22">
      <c r="A17" s="118"/>
      <c r="B17" s="633" t="s">
        <v>114</v>
      </c>
      <c r="C17" s="633"/>
      <c r="D17" s="633"/>
      <c r="E17" s="633"/>
      <c r="F17" s="633" t="s">
        <v>111</v>
      </c>
      <c r="G17" s="633"/>
      <c r="H17" s="633"/>
      <c r="I17" s="633"/>
      <c r="R17" s="633" t="s">
        <v>111</v>
      </c>
      <c r="S17" s="633"/>
      <c r="T17" s="633"/>
      <c r="U17" s="633"/>
      <c r="V17" s="174"/>
    </row>
    <row r="18" spans="1:22">
      <c r="A18" s="118"/>
      <c r="B18" s="633" t="s">
        <v>178</v>
      </c>
      <c r="C18" s="633"/>
      <c r="D18" s="633"/>
      <c r="E18" s="633"/>
      <c r="F18" s="633" t="s">
        <v>135</v>
      </c>
      <c r="G18" s="633"/>
      <c r="H18" s="633"/>
      <c r="I18" s="633"/>
      <c r="R18" s="633" t="s">
        <v>322</v>
      </c>
      <c r="S18" s="633"/>
      <c r="T18" s="633"/>
      <c r="U18" s="633"/>
      <c r="V18" s="174"/>
    </row>
    <row r="19" spans="1:22" ht="30.65" customHeight="1">
      <c r="A19" s="118"/>
      <c r="B19" s="653" t="s">
        <v>359</v>
      </c>
      <c r="C19" s="653"/>
      <c r="D19" s="653"/>
      <c r="E19" s="653"/>
      <c r="F19" s="655" t="s">
        <v>22</v>
      </c>
      <c r="G19" s="655"/>
      <c r="H19" s="655"/>
      <c r="I19" s="655"/>
      <c r="R19" s="633" t="s">
        <v>321</v>
      </c>
      <c r="S19" s="633"/>
      <c r="T19" s="633"/>
      <c r="U19" s="633"/>
      <c r="V19" s="174"/>
    </row>
    <row r="20" spans="1:22" ht="32.15" customHeight="1">
      <c r="A20" s="118"/>
      <c r="B20" s="655" t="s">
        <v>22</v>
      </c>
      <c r="C20" s="655"/>
      <c r="D20" s="655"/>
      <c r="E20" s="655"/>
      <c r="F20" s="653" t="s">
        <v>324</v>
      </c>
      <c r="G20" s="653"/>
      <c r="H20" s="653"/>
      <c r="I20" s="653"/>
      <c r="R20" s="656" t="s">
        <v>22</v>
      </c>
      <c r="S20" s="656"/>
      <c r="T20" s="656"/>
      <c r="U20" s="656"/>
      <c r="V20" s="174"/>
    </row>
    <row r="21" spans="1:22" ht="31.5" customHeight="1">
      <c r="A21" s="118"/>
      <c r="B21" s="655" t="s">
        <v>66</v>
      </c>
      <c r="C21" s="655"/>
      <c r="D21" s="655"/>
      <c r="E21" s="655"/>
      <c r="F21" s="653" t="s">
        <v>328</v>
      </c>
      <c r="G21" s="653"/>
      <c r="H21" s="653"/>
      <c r="I21" s="653"/>
      <c r="N21" s="654"/>
      <c r="O21" s="654"/>
      <c r="P21" s="654"/>
      <c r="Q21" s="654"/>
      <c r="R21" s="653" t="s">
        <v>324</v>
      </c>
      <c r="S21" s="653"/>
      <c r="T21" s="653"/>
      <c r="U21" s="653"/>
      <c r="V21" s="174"/>
    </row>
    <row r="22" spans="1:22" ht="31" customHeight="1">
      <c r="A22" s="118"/>
      <c r="B22" s="653" t="s">
        <v>324</v>
      </c>
      <c r="C22" s="653"/>
      <c r="D22" s="653"/>
      <c r="E22" s="653"/>
      <c r="F22" s="653" t="s">
        <v>447</v>
      </c>
      <c r="G22" s="653"/>
      <c r="H22" s="653"/>
      <c r="I22" s="653"/>
      <c r="N22" s="654"/>
      <c r="O22" s="654"/>
      <c r="P22" s="654"/>
      <c r="Q22" s="654"/>
      <c r="R22" s="653" t="s">
        <v>328</v>
      </c>
      <c r="S22" s="653"/>
      <c r="T22" s="653"/>
      <c r="U22" s="653"/>
      <c r="V22" s="174"/>
    </row>
    <row r="23" spans="1:22" ht="31" customHeight="1">
      <c r="A23" s="118"/>
      <c r="B23" s="653" t="s">
        <v>328</v>
      </c>
      <c r="C23" s="653"/>
      <c r="D23" s="653"/>
      <c r="E23" s="653"/>
      <c r="F23" s="118"/>
      <c r="G23" s="118"/>
      <c r="H23" s="118"/>
      <c r="I23" s="118"/>
      <c r="N23" s="654"/>
      <c r="O23" s="654"/>
      <c r="P23" s="654"/>
      <c r="Q23" s="654"/>
      <c r="R23" s="653" t="s">
        <v>329</v>
      </c>
      <c r="S23" s="653"/>
      <c r="T23" s="653"/>
      <c r="U23" s="653"/>
      <c r="V23" s="173"/>
    </row>
    <row r="24" spans="1:22" ht="31.5" customHeight="1">
      <c r="A24" s="118"/>
      <c r="B24" s="653" t="s">
        <v>447</v>
      </c>
      <c r="C24" s="653"/>
      <c r="D24" s="653"/>
      <c r="E24" s="653"/>
      <c r="F24" s="118"/>
      <c r="G24" s="118"/>
      <c r="H24" s="118"/>
      <c r="I24" s="118"/>
      <c r="R24" s="657" t="s">
        <v>360</v>
      </c>
      <c r="S24" s="658"/>
      <c r="T24" s="658"/>
      <c r="U24" s="659"/>
    </row>
    <row r="25" spans="1:22" ht="32.5" customHeight="1">
      <c r="A25" s="288"/>
      <c r="B25" s="118"/>
      <c r="C25" s="118"/>
      <c r="D25" s="118"/>
      <c r="E25" s="118"/>
      <c r="F25" s="288"/>
      <c r="G25" s="288"/>
      <c r="H25" s="288"/>
      <c r="I25" s="288"/>
      <c r="R25" s="653" t="s">
        <v>330</v>
      </c>
      <c r="S25" s="653"/>
      <c r="T25" s="653"/>
      <c r="U25" s="653"/>
    </row>
    <row r="26" spans="1:22" ht="28" customHeight="1">
      <c r="A26" s="118"/>
      <c r="B26" s="288"/>
      <c r="C26" s="288"/>
      <c r="D26" s="288"/>
      <c r="E26" s="288"/>
      <c r="F26" s="118"/>
      <c r="G26" s="118"/>
      <c r="H26" s="118"/>
      <c r="I26" s="118"/>
      <c r="R26" s="653" t="s">
        <v>331</v>
      </c>
      <c r="S26" s="653"/>
      <c r="T26" s="653"/>
      <c r="U26" s="653"/>
    </row>
    <row r="27" spans="1:22" ht="39" customHeight="1">
      <c r="A27" s="118"/>
      <c r="B27" s="118"/>
      <c r="C27" s="118"/>
      <c r="D27" s="118"/>
      <c r="E27" s="118"/>
      <c r="F27" s="118"/>
      <c r="G27" s="118"/>
      <c r="H27" s="118"/>
      <c r="I27" s="118"/>
      <c r="R27" s="653" t="s">
        <v>332</v>
      </c>
      <c r="S27" s="653"/>
      <c r="T27" s="653"/>
      <c r="U27" s="653"/>
    </row>
    <row r="28" spans="1:22" ht="29.15" customHeight="1">
      <c r="A28" s="118"/>
      <c r="B28" s="118"/>
      <c r="C28" s="118"/>
      <c r="D28" s="118"/>
      <c r="E28" s="118"/>
      <c r="F28" s="118"/>
      <c r="G28" s="118"/>
      <c r="H28" s="118"/>
      <c r="I28" s="118"/>
      <c r="R28" s="653" t="s">
        <v>333</v>
      </c>
      <c r="S28" s="653"/>
      <c r="T28" s="653"/>
      <c r="U28" s="653"/>
    </row>
    <row r="29" spans="1:22" ht="30.65" customHeight="1">
      <c r="A29" s="118"/>
      <c r="B29" s="118"/>
      <c r="C29" s="118"/>
      <c r="D29" s="118"/>
      <c r="E29" s="118"/>
      <c r="F29" s="118"/>
      <c r="G29" s="118"/>
      <c r="H29" s="118"/>
      <c r="I29" s="118"/>
      <c r="R29" s="653" t="s">
        <v>334</v>
      </c>
      <c r="S29" s="653"/>
      <c r="T29" s="653"/>
      <c r="U29" s="653"/>
    </row>
    <row r="30" spans="1:22">
      <c r="A30" s="118"/>
      <c r="B30" s="118"/>
      <c r="C30" s="118"/>
      <c r="D30" s="118"/>
      <c r="E30" s="118"/>
      <c r="F30" s="118"/>
      <c r="G30" s="118"/>
      <c r="H30" s="118"/>
      <c r="I30" s="118"/>
      <c r="R30" s="653" t="s">
        <v>335</v>
      </c>
      <c r="S30" s="653"/>
      <c r="T30" s="653"/>
      <c r="U30" s="653"/>
    </row>
    <row r="31" spans="1:22" ht="31" customHeight="1">
      <c r="A31" s="118"/>
      <c r="B31" s="118"/>
      <c r="C31" s="118"/>
      <c r="D31" s="118"/>
      <c r="E31" s="118"/>
      <c r="F31" s="118"/>
      <c r="G31" s="118"/>
      <c r="H31" s="118"/>
      <c r="I31" s="118"/>
      <c r="R31" s="653" t="s">
        <v>336</v>
      </c>
      <c r="S31" s="653"/>
      <c r="T31" s="653"/>
      <c r="U31" s="653"/>
    </row>
    <row r="32" spans="1:22" ht="31.5" customHeight="1">
      <c r="A32" s="118"/>
      <c r="B32" s="118"/>
      <c r="C32" s="118"/>
      <c r="D32" s="118"/>
      <c r="E32" s="118"/>
      <c r="F32" s="118"/>
      <c r="G32" s="118"/>
      <c r="H32" s="118"/>
      <c r="I32" s="118"/>
      <c r="R32" s="653" t="s">
        <v>337</v>
      </c>
      <c r="S32" s="653"/>
      <c r="T32" s="653"/>
      <c r="U32" s="653"/>
    </row>
    <row r="33" spans="1:27" ht="29.5" customHeight="1">
      <c r="A33" s="118"/>
      <c r="B33" s="118"/>
      <c r="C33" s="118"/>
      <c r="D33" s="118"/>
      <c r="E33" s="118"/>
      <c r="F33" s="118"/>
      <c r="G33" s="118"/>
      <c r="H33" s="118"/>
      <c r="I33" s="118"/>
      <c r="R33" s="653" t="s">
        <v>338</v>
      </c>
      <c r="S33" s="653"/>
      <c r="T33" s="653"/>
      <c r="U33" s="653"/>
    </row>
    <row r="34" spans="1:27">
      <c r="A34" s="118"/>
      <c r="B34" s="118"/>
      <c r="C34" s="118"/>
      <c r="D34" s="118"/>
      <c r="E34" s="118"/>
      <c r="F34" s="118"/>
      <c r="G34" s="118"/>
      <c r="H34" s="118"/>
      <c r="I34" s="118"/>
      <c r="R34" s="653" t="s">
        <v>339</v>
      </c>
      <c r="S34" s="653"/>
      <c r="T34" s="653"/>
      <c r="U34" s="653"/>
    </row>
    <row r="35" spans="1:27" ht="28.5" customHeight="1">
      <c r="B35" s="118"/>
      <c r="C35" s="118"/>
      <c r="D35" s="118"/>
      <c r="E35" s="118"/>
      <c r="R35" s="653" t="s">
        <v>361</v>
      </c>
      <c r="S35" s="653"/>
      <c r="T35" s="653"/>
      <c r="U35" s="653"/>
    </row>
    <row r="36" spans="1:27">
      <c r="R36" s="653" t="s">
        <v>340</v>
      </c>
      <c r="S36" s="653"/>
      <c r="T36" s="653"/>
      <c r="U36" s="653"/>
    </row>
    <row r="37" spans="1:27" ht="27.65" customHeight="1">
      <c r="R37" s="653" t="s">
        <v>447</v>
      </c>
      <c r="S37" s="653"/>
      <c r="T37" s="653"/>
      <c r="U37" s="653"/>
    </row>
    <row r="39" spans="1:27">
      <c r="A39" s="361" t="s">
        <v>449</v>
      </c>
      <c r="B39" s="361"/>
      <c r="C39" s="362"/>
      <c r="D39" s="362"/>
      <c r="E39" s="362"/>
      <c r="F39" s="362"/>
      <c r="G39" s="362"/>
      <c r="H39" s="362"/>
      <c r="I39" s="362"/>
      <c r="J39" s="362"/>
      <c r="K39" s="362"/>
      <c r="L39" s="362"/>
      <c r="M39" s="362"/>
      <c r="N39" s="362"/>
      <c r="O39" s="362"/>
      <c r="P39" s="362"/>
    </row>
    <row r="40" spans="1:27" s="352" customFormat="1" ht="15" customHeight="1">
      <c r="A40" s="541" t="s">
        <v>445</v>
      </c>
      <c r="B40" s="541"/>
      <c r="C40" s="541"/>
      <c r="D40" s="541"/>
      <c r="E40" s="541"/>
      <c r="F40" s="541"/>
      <c r="G40" s="541"/>
      <c r="H40" s="541"/>
      <c r="I40" s="541"/>
      <c r="J40" s="541"/>
      <c r="K40" s="541"/>
      <c r="L40" s="541"/>
      <c r="M40" s="541"/>
      <c r="N40" s="541"/>
      <c r="O40" s="541"/>
      <c r="P40" s="541"/>
      <c r="Q40" s="541"/>
      <c r="R40" s="541"/>
      <c r="S40" s="541"/>
      <c r="T40" s="541"/>
      <c r="U40" s="541"/>
      <c r="V40" s="541"/>
      <c r="W40" s="541"/>
      <c r="X40" s="541"/>
      <c r="Y40" s="541"/>
      <c r="Z40" s="541"/>
      <c r="AA40" s="541"/>
    </row>
    <row r="41" spans="1:27" s="352" customFormat="1" ht="35.5" customHeight="1">
      <c r="A41" s="662" t="s">
        <v>448</v>
      </c>
      <c r="B41" s="662"/>
      <c r="C41" s="662"/>
      <c r="D41" s="662"/>
      <c r="E41" s="662"/>
      <c r="F41" s="662"/>
      <c r="G41" s="662"/>
      <c r="H41" s="662"/>
      <c r="I41" s="662"/>
      <c r="J41" s="662"/>
      <c r="K41" s="662"/>
      <c r="L41" s="662"/>
      <c r="M41" s="662"/>
      <c r="N41" s="662"/>
      <c r="O41" s="662"/>
      <c r="P41" s="662"/>
      <c r="Q41" s="662"/>
      <c r="R41" s="662"/>
      <c r="S41" s="662"/>
      <c r="T41" s="662"/>
      <c r="U41" s="662"/>
      <c r="V41" s="662"/>
      <c r="W41" s="662"/>
      <c r="X41" s="662"/>
      <c r="Y41" s="662"/>
      <c r="Z41" s="662"/>
      <c r="AA41" s="662"/>
    </row>
    <row r="42" spans="1:27" s="352" customFormat="1" ht="16.5" customHeight="1">
      <c r="A42" s="357" t="s">
        <v>50</v>
      </c>
      <c r="B42" s="660" t="s">
        <v>51</v>
      </c>
      <c r="C42" s="660"/>
      <c r="D42" s="660"/>
      <c r="E42" s="660"/>
      <c r="F42" s="660"/>
      <c r="G42" s="660"/>
      <c r="H42" s="660" t="s">
        <v>52</v>
      </c>
      <c r="I42" s="660"/>
      <c r="J42" s="660"/>
      <c r="K42" s="660"/>
      <c r="L42" s="660"/>
      <c r="M42" s="660" t="s">
        <v>53</v>
      </c>
      <c r="N42" s="660"/>
      <c r="O42" s="660"/>
      <c r="P42" s="660"/>
      <c r="Q42" s="660"/>
      <c r="R42" s="660"/>
      <c r="S42" s="660"/>
      <c r="T42" s="660"/>
      <c r="U42" s="660"/>
      <c r="V42" s="660"/>
      <c r="W42" s="660"/>
      <c r="X42" s="660"/>
      <c r="Y42" s="660"/>
      <c r="Z42" s="660"/>
      <c r="AA42" s="660"/>
    </row>
    <row r="43" spans="1:27" s="352" customFormat="1" ht="17.25" customHeight="1">
      <c r="A43" s="617" t="s">
        <v>415</v>
      </c>
      <c r="B43" s="617" t="s">
        <v>428</v>
      </c>
      <c r="C43" s="617"/>
      <c r="D43" s="617"/>
      <c r="E43" s="617"/>
      <c r="F43" s="617"/>
      <c r="G43" s="617"/>
      <c r="H43" s="661" t="s">
        <v>431</v>
      </c>
      <c r="I43" s="661"/>
      <c r="J43" s="661"/>
      <c r="K43" s="661"/>
      <c r="L43" s="661"/>
      <c r="M43" s="617" t="s">
        <v>429</v>
      </c>
      <c r="N43" s="617"/>
      <c r="O43" s="617"/>
      <c r="P43" s="617"/>
      <c r="Q43" s="617"/>
      <c r="R43" s="617"/>
      <c r="S43" s="617"/>
      <c r="T43" s="617"/>
      <c r="U43" s="617"/>
      <c r="V43" s="617"/>
      <c r="W43" s="617"/>
      <c r="X43" s="617"/>
      <c r="Y43" s="617"/>
      <c r="Z43" s="617"/>
      <c r="AA43" s="617"/>
    </row>
    <row r="44" spans="1:27" s="352" customFormat="1" ht="28.5" customHeight="1">
      <c r="A44" s="617"/>
      <c r="B44" s="617"/>
      <c r="C44" s="617"/>
      <c r="D44" s="617"/>
      <c r="E44" s="617"/>
      <c r="F44" s="617"/>
      <c r="G44" s="617"/>
      <c r="H44" s="617" t="s">
        <v>413</v>
      </c>
      <c r="I44" s="617"/>
      <c r="J44" s="617"/>
      <c r="K44" s="617"/>
      <c r="L44" s="617"/>
      <c r="M44" s="617"/>
      <c r="N44" s="617"/>
      <c r="O44" s="617"/>
      <c r="P44" s="617"/>
      <c r="Q44" s="617"/>
      <c r="R44" s="617"/>
      <c r="S44" s="617"/>
      <c r="T44" s="617"/>
      <c r="U44" s="617"/>
      <c r="V44" s="617"/>
      <c r="W44" s="617"/>
      <c r="X44" s="617"/>
      <c r="Y44" s="617"/>
      <c r="Z44" s="617"/>
      <c r="AA44" s="617"/>
    </row>
    <row r="45" spans="1:27" s="353" customFormat="1" ht="43.5" customHeight="1">
      <c r="A45" s="355"/>
      <c r="B45" s="607"/>
      <c r="C45" s="607"/>
      <c r="D45" s="607"/>
      <c r="E45" s="607"/>
      <c r="F45" s="607"/>
      <c r="G45" s="607"/>
      <c r="H45" s="608" t="s">
        <v>416</v>
      </c>
      <c r="I45" s="608"/>
      <c r="J45" s="608"/>
      <c r="K45" s="608"/>
      <c r="L45" s="608"/>
      <c r="M45" s="606" t="s">
        <v>437</v>
      </c>
      <c r="N45" s="606"/>
      <c r="O45" s="606"/>
      <c r="P45" s="606"/>
      <c r="Q45" s="606"/>
      <c r="R45" s="606"/>
      <c r="S45" s="606"/>
      <c r="T45" s="606"/>
      <c r="U45" s="606"/>
      <c r="V45" s="606"/>
      <c r="W45" s="606"/>
      <c r="X45" s="606"/>
      <c r="Y45" s="606"/>
      <c r="Z45" s="606"/>
      <c r="AA45" s="606"/>
    </row>
    <row r="46" spans="1:27" s="353" customFormat="1" ht="45.65" customHeight="1">
      <c r="A46" s="355"/>
      <c r="B46" s="607"/>
      <c r="C46" s="607"/>
      <c r="D46" s="607"/>
      <c r="E46" s="607"/>
      <c r="F46" s="607"/>
      <c r="G46" s="607"/>
      <c r="H46" s="608" t="s">
        <v>416</v>
      </c>
      <c r="I46" s="608"/>
      <c r="J46" s="608"/>
      <c r="K46" s="608"/>
      <c r="L46" s="608"/>
      <c r="M46" s="606"/>
      <c r="N46" s="606"/>
      <c r="O46" s="606"/>
      <c r="P46" s="606"/>
      <c r="Q46" s="606"/>
      <c r="R46" s="606"/>
      <c r="S46" s="606"/>
      <c r="T46" s="606"/>
      <c r="U46" s="606"/>
      <c r="V46" s="606"/>
      <c r="W46" s="606"/>
      <c r="X46" s="606"/>
      <c r="Y46" s="606"/>
      <c r="Z46" s="606"/>
      <c r="AA46" s="606"/>
    </row>
    <row r="47" spans="1:27" s="353" customFormat="1" ht="45" customHeight="1">
      <c r="A47" s="355"/>
      <c r="B47" s="607"/>
      <c r="C47" s="607"/>
      <c r="D47" s="607"/>
      <c r="E47" s="607"/>
      <c r="F47" s="607"/>
      <c r="G47" s="607"/>
      <c r="H47" s="608" t="s">
        <v>416</v>
      </c>
      <c r="I47" s="608"/>
      <c r="J47" s="608"/>
      <c r="K47" s="608"/>
      <c r="L47" s="608"/>
      <c r="M47" s="606"/>
      <c r="N47" s="606"/>
      <c r="O47" s="606"/>
      <c r="P47" s="606"/>
      <c r="Q47" s="606"/>
      <c r="R47" s="606"/>
      <c r="S47" s="606"/>
      <c r="T47" s="606"/>
      <c r="U47" s="606"/>
      <c r="V47" s="606"/>
      <c r="W47" s="606"/>
      <c r="X47" s="606"/>
      <c r="Y47" s="606"/>
      <c r="Z47" s="606"/>
      <c r="AA47" s="606"/>
    </row>
    <row r="48" spans="1:27" s="352" customFormat="1" ht="14.5">
      <c r="A48" s="354" t="s">
        <v>421</v>
      </c>
      <c r="B48" s="351"/>
      <c r="C48" s="351"/>
      <c r="D48" s="351"/>
    </row>
    <row r="49" spans="1:12" s="352" customFormat="1" ht="14.5">
      <c r="A49" s="354" t="s">
        <v>422</v>
      </c>
      <c r="B49" s="351"/>
      <c r="C49" s="351"/>
      <c r="D49" s="351"/>
    </row>
    <row r="50" spans="1:12" s="352" customFormat="1" ht="14.5">
      <c r="A50" s="354" t="s">
        <v>430</v>
      </c>
      <c r="B50" s="351"/>
      <c r="C50" s="351"/>
      <c r="D50" s="351"/>
    </row>
    <row r="51" spans="1:12" s="352" customFormat="1" ht="13">
      <c r="A51" s="354"/>
      <c r="B51" s="351"/>
      <c r="C51" s="351"/>
      <c r="D51" s="351"/>
    </row>
    <row r="52" spans="1:12" s="352" customFormat="1" ht="25.5" customHeight="1">
      <c r="A52" s="351"/>
      <c r="B52" s="550" t="s">
        <v>414</v>
      </c>
      <c r="C52" s="550"/>
      <c r="D52" s="550"/>
      <c r="E52" s="550"/>
      <c r="F52" s="550"/>
      <c r="G52" s="550"/>
      <c r="H52" s="550" t="s">
        <v>417</v>
      </c>
      <c r="I52" s="550"/>
      <c r="J52" s="550"/>
      <c r="K52" s="550"/>
      <c r="L52" s="550"/>
    </row>
    <row r="53" spans="1:12" s="352" customFormat="1" ht="35.5" customHeight="1">
      <c r="A53" s="351"/>
      <c r="B53" s="663" t="s">
        <v>423</v>
      </c>
      <c r="C53" s="663"/>
      <c r="D53" s="663"/>
      <c r="E53" s="663"/>
      <c r="F53" s="663"/>
      <c r="G53" s="663"/>
      <c r="H53" s="762" t="s">
        <v>483</v>
      </c>
      <c r="I53" s="762"/>
      <c r="J53" s="762"/>
      <c r="K53" s="762"/>
      <c r="L53" s="762"/>
    </row>
    <row r="54" spans="1:12" s="352" customFormat="1" ht="30" customHeight="1">
      <c r="A54" s="351"/>
      <c r="B54" s="663" t="s">
        <v>426</v>
      </c>
      <c r="C54" s="663"/>
      <c r="D54" s="663"/>
      <c r="E54" s="663"/>
      <c r="F54" s="663"/>
      <c r="G54" s="663"/>
      <c r="H54" s="664" t="s">
        <v>419</v>
      </c>
      <c r="I54" s="664"/>
      <c r="J54" s="664"/>
      <c r="K54" s="664"/>
      <c r="L54" s="664"/>
    </row>
    <row r="55" spans="1:12" s="352" customFormat="1" ht="30.65" customHeight="1">
      <c r="A55" s="351"/>
      <c r="B55" s="663" t="s">
        <v>424</v>
      </c>
      <c r="C55" s="663"/>
      <c r="D55" s="663"/>
      <c r="E55" s="663"/>
      <c r="F55" s="663"/>
      <c r="G55" s="663"/>
      <c r="H55" s="664" t="s">
        <v>418</v>
      </c>
      <c r="I55" s="664"/>
      <c r="J55" s="664"/>
      <c r="K55" s="664"/>
      <c r="L55" s="664"/>
    </row>
    <row r="56" spans="1:12" s="352" customFormat="1" ht="35.5" customHeight="1">
      <c r="A56" s="351"/>
      <c r="B56" s="663" t="s">
        <v>425</v>
      </c>
      <c r="C56" s="663"/>
      <c r="D56" s="663"/>
      <c r="E56" s="663"/>
      <c r="F56" s="663"/>
      <c r="G56" s="663"/>
      <c r="H56" s="762" t="s">
        <v>484</v>
      </c>
      <c r="I56" s="762"/>
      <c r="J56" s="762"/>
      <c r="K56" s="762"/>
      <c r="L56" s="762"/>
    </row>
    <row r="57" spans="1:12" ht="15.65" customHeight="1">
      <c r="B57" s="663" t="s">
        <v>442</v>
      </c>
      <c r="C57" s="663"/>
      <c r="D57" s="663"/>
      <c r="E57" s="663"/>
      <c r="F57" s="663"/>
      <c r="G57" s="663"/>
    </row>
    <row r="58" spans="1:12" ht="27.65" customHeight="1">
      <c r="B58" s="663" t="s">
        <v>427</v>
      </c>
      <c r="C58" s="663"/>
      <c r="D58" s="663"/>
      <c r="E58" s="663"/>
      <c r="F58" s="663"/>
      <c r="G58" s="663"/>
    </row>
  </sheetData>
  <mergeCells count="93">
    <mergeCell ref="B57:G57"/>
    <mergeCell ref="B58:G58"/>
    <mergeCell ref="B54:G54"/>
    <mergeCell ref="H52:L52"/>
    <mergeCell ref="H53:L53"/>
    <mergeCell ref="B52:G52"/>
    <mergeCell ref="B53:G53"/>
    <mergeCell ref="B55:G55"/>
    <mergeCell ref="B56:G56"/>
    <mergeCell ref="H54:L54"/>
    <mergeCell ref="H55:L55"/>
    <mergeCell ref="H56:L56"/>
    <mergeCell ref="B42:G42"/>
    <mergeCell ref="B43:G44"/>
    <mergeCell ref="H42:L42"/>
    <mergeCell ref="F19:I19"/>
    <mergeCell ref="B19:E19"/>
    <mergeCell ref="H43:L43"/>
    <mergeCell ref="H44:L44"/>
    <mergeCell ref="B24:E24"/>
    <mergeCell ref="F22:I22"/>
    <mergeCell ref="A40:AA40"/>
    <mergeCell ref="A41:AA41"/>
    <mergeCell ref="R35:U35"/>
    <mergeCell ref="R34:U34"/>
    <mergeCell ref="R36:U36"/>
    <mergeCell ref="R29:U29"/>
    <mergeCell ref="M42:AA42"/>
    <mergeCell ref="M43:AA44"/>
    <mergeCell ref="N23:Q23"/>
    <mergeCell ref="R25:U25"/>
    <mergeCell ref="R26:U26"/>
    <mergeCell ref="R33:U33"/>
    <mergeCell ref="R32:U32"/>
    <mergeCell ref="R24:U24"/>
    <mergeCell ref="R27:U27"/>
    <mergeCell ref="R30:U30"/>
    <mergeCell ref="R31:U31"/>
    <mergeCell ref="R28:U28"/>
    <mergeCell ref="R37:U37"/>
    <mergeCell ref="B17:E17"/>
    <mergeCell ref="F17:I17"/>
    <mergeCell ref="R17:U17"/>
    <mergeCell ref="B23:E23"/>
    <mergeCell ref="F21:I21"/>
    <mergeCell ref="R21:U21"/>
    <mergeCell ref="R22:U22"/>
    <mergeCell ref="B22:E22"/>
    <mergeCell ref="R23:U23"/>
    <mergeCell ref="N22:Q22"/>
    <mergeCell ref="B21:E21"/>
    <mergeCell ref="R19:U19"/>
    <mergeCell ref="N21:Q21"/>
    <mergeCell ref="F20:I20"/>
    <mergeCell ref="R20:U20"/>
    <mergeCell ref="B20:E20"/>
    <mergeCell ref="N13:U13"/>
    <mergeCell ref="F15:I15"/>
    <mergeCell ref="B16:E16"/>
    <mergeCell ref="F16:I16"/>
    <mergeCell ref="R16:U16"/>
    <mergeCell ref="B14:X14"/>
    <mergeCell ref="G1:H1"/>
    <mergeCell ref="A4:X4"/>
    <mergeCell ref="A5:X5"/>
    <mergeCell ref="A6:X6"/>
    <mergeCell ref="W7:X7"/>
    <mergeCell ref="R7:V7"/>
    <mergeCell ref="J7:Q7"/>
    <mergeCell ref="B7:I7"/>
    <mergeCell ref="W8:X9"/>
    <mergeCell ref="R11:V11"/>
    <mergeCell ref="J11:Q11"/>
    <mergeCell ref="N12:U12"/>
    <mergeCell ref="A43:A44"/>
    <mergeCell ref="A8:A10"/>
    <mergeCell ref="R8:V9"/>
    <mergeCell ref="R10:V10"/>
    <mergeCell ref="J8:Q9"/>
    <mergeCell ref="J10:Q10"/>
    <mergeCell ref="B8:I9"/>
    <mergeCell ref="B10:I10"/>
    <mergeCell ref="B11:I11"/>
    <mergeCell ref="B18:E18"/>
    <mergeCell ref="F18:I18"/>
    <mergeCell ref="R18:U18"/>
    <mergeCell ref="M45:AA47"/>
    <mergeCell ref="B45:G45"/>
    <mergeCell ref="B46:G46"/>
    <mergeCell ref="B47:G47"/>
    <mergeCell ref="H45:L45"/>
    <mergeCell ref="H46:L46"/>
    <mergeCell ref="H47:L47"/>
  </mergeCells>
  <printOptions horizontalCentered="1"/>
  <pageMargins left="0.2" right="0.2" top="0.25" bottom="0.25" header="0.3" footer="0.3"/>
  <pageSetup scale="85"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
  <sheetViews>
    <sheetView zoomScale="70" zoomScaleNormal="100" workbookViewId="0">
      <selection activeCell="A9" sqref="A9:J9"/>
    </sheetView>
  </sheetViews>
  <sheetFormatPr defaultColWidth="9.1796875" defaultRowHeight="14.5"/>
  <cols>
    <col min="1" max="1" width="15" style="104" customWidth="1"/>
    <col min="2" max="2" width="15.1796875" style="104" customWidth="1"/>
    <col min="3" max="3" width="14.54296875" style="104" customWidth="1"/>
    <col min="4" max="4" width="14.1796875" style="104" customWidth="1"/>
    <col min="5" max="5" width="13.54296875" style="104" customWidth="1"/>
    <col min="6" max="6" width="13.453125" style="104" customWidth="1"/>
    <col min="7" max="7" width="14" style="104" customWidth="1"/>
    <col min="8" max="8" width="13.81640625" style="104" customWidth="1"/>
    <col min="9" max="9" width="17.7265625" style="104" customWidth="1"/>
    <col min="10" max="10" width="14.54296875" style="104" customWidth="1"/>
    <col min="11" max="11" width="13.1796875" style="104" customWidth="1"/>
    <col min="12" max="14" width="13.81640625" style="104" customWidth="1"/>
    <col min="15" max="16384" width="9.1796875" style="104"/>
  </cols>
  <sheetData>
    <row r="1" spans="1:13">
      <c r="B1" s="108"/>
      <c r="C1" s="104" t="s">
        <v>69</v>
      </c>
      <c r="D1" s="109"/>
      <c r="E1" s="104" t="s">
        <v>70</v>
      </c>
      <c r="G1" s="425"/>
      <c r="H1" s="425"/>
      <c r="I1" s="104" t="s">
        <v>71</v>
      </c>
      <c r="L1" s="110"/>
      <c r="M1" s="104" t="s">
        <v>72</v>
      </c>
    </row>
    <row r="2" spans="1:13">
      <c r="A2" s="105"/>
      <c r="B2" s="105"/>
      <c r="C2" s="105"/>
      <c r="D2" s="105"/>
      <c r="E2" s="105"/>
      <c r="F2" s="105"/>
      <c r="G2" s="105"/>
      <c r="H2" s="105"/>
      <c r="I2" s="105"/>
      <c r="J2" s="105"/>
    </row>
    <row r="3" spans="1:13" ht="15" customHeight="1">
      <c r="A3" s="692" t="s">
        <v>386</v>
      </c>
      <c r="B3" s="692"/>
      <c r="C3" s="692"/>
      <c r="D3" s="692"/>
      <c r="E3" s="692"/>
      <c r="F3" s="692"/>
      <c r="G3" s="692"/>
      <c r="H3" s="692"/>
      <c r="I3" s="692"/>
      <c r="J3" s="692"/>
      <c r="K3" s="31"/>
    </row>
    <row r="4" spans="1:13" ht="15" customHeight="1">
      <c r="A4" s="693" t="s">
        <v>475</v>
      </c>
      <c r="B4" s="694"/>
      <c r="C4" s="694"/>
      <c r="D4" s="694"/>
      <c r="E4" s="695"/>
      <c r="F4" s="702" t="s">
        <v>50</v>
      </c>
      <c r="G4" s="703"/>
      <c r="H4" s="703"/>
      <c r="I4" s="703"/>
      <c r="J4" s="703"/>
      <c r="K4" s="31"/>
    </row>
    <row r="5" spans="1:13" ht="17.25" customHeight="1">
      <c r="A5" s="696"/>
      <c r="B5" s="697"/>
      <c r="C5" s="697"/>
      <c r="D5" s="697"/>
      <c r="E5" s="698"/>
      <c r="F5" s="704" t="s">
        <v>222</v>
      </c>
      <c r="G5" s="707" t="s">
        <v>220</v>
      </c>
      <c r="H5" s="708"/>
      <c r="I5" s="708"/>
      <c r="J5" s="709"/>
      <c r="K5" s="32"/>
      <c r="M5" s="102"/>
    </row>
    <row r="6" spans="1:13" s="107" customFormat="1" ht="14.25" customHeight="1">
      <c r="A6" s="696"/>
      <c r="B6" s="697"/>
      <c r="C6" s="697"/>
      <c r="D6" s="697"/>
      <c r="E6" s="698"/>
      <c r="F6" s="710"/>
      <c r="G6" s="704" t="s">
        <v>115</v>
      </c>
      <c r="H6" s="704" t="s">
        <v>116</v>
      </c>
      <c r="I6" s="704" t="s">
        <v>117</v>
      </c>
      <c r="J6" s="706" t="s">
        <v>118</v>
      </c>
      <c r="K6" s="50"/>
    </row>
    <row r="7" spans="1:13" ht="20.25" customHeight="1">
      <c r="A7" s="696"/>
      <c r="B7" s="697"/>
      <c r="C7" s="697"/>
      <c r="D7" s="697"/>
      <c r="E7" s="698"/>
      <c r="F7" s="705"/>
      <c r="G7" s="705"/>
      <c r="H7" s="705"/>
      <c r="I7" s="705"/>
      <c r="J7" s="706"/>
      <c r="K7" s="95"/>
    </row>
    <row r="8" spans="1:13" ht="24" customHeight="1">
      <c r="A8" s="699"/>
      <c r="B8" s="700"/>
      <c r="C8" s="700"/>
      <c r="D8" s="700"/>
      <c r="E8" s="701"/>
      <c r="F8" s="138" t="s">
        <v>221</v>
      </c>
      <c r="G8" s="139" t="s">
        <v>42</v>
      </c>
      <c r="H8" s="139" t="s">
        <v>43</v>
      </c>
      <c r="I8" s="139" t="s">
        <v>101</v>
      </c>
      <c r="J8" s="139" t="s">
        <v>44</v>
      </c>
      <c r="K8" s="95"/>
    </row>
    <row r="9" spans="1:13">
      <c r="A9" s="711" t="s">
        <v>372</v>
      </c>
      <c r="B9" s="711"/>
      <c r="C9" s="711"/>
      <c r="D9" s="711"/>
      <c r="E9" s="711"/>
      <c r="F9" s="711"/>
      <c r="G9" s="711"/>
      <c r="H9" s="711"/>
      <c r="I9" s="711"/>
      <c r="J9" s="711"/>
      <c r="K9" s="105"/>
    </row>
    <row r="10" spans="1:13">
      <c r="A10" s="675" t="s">
        <v>51</v>
      </c>
      <c r="B10" s="675"/>
      <c r="C10" s="675"/>
      <c r="D10" s="151" t="s">
        <v>52</v>
      </c>
      <c r="E10" s="151" t="s">
        <v>53</v>
      </c>
      <c r="F10" s="151" t="s">
        <v>54</v>
      </c>
      <c r="G10" s="151" t="s">
        <v>61</v>
      </c>
      <c r="H10" s="151" t="s">
        <v>62</v>
      </c>
      <c r="I10" s="151" t="s">
        <v>63</v>
      </c>
      <c r="J10" s="151" t="s">
        <v>64</v>
      </c>
      <c r="K10" s="105"/>
    </row>
    <row r="11" spans="1:13" ht="15" customHeight="1">
      <c r="A11" s="674" t="s">
        <v>10</v>
      </c>
      <c r="B11" s="674"/>
      <c r="C11" s="674"/>
      <c r="D11" s="713" t="s">
        <v>140</v>
      </c>
      <c r="E11" s="713"/>
      <c r="F11" s="714"/>
      <c r="G11" s="712" t="s">
        <v>143</v>
      </c>
      <c r="H11" s="712"/>
      <c r="I11" s="712"/>
      <c r="J11" s="674" t="s">
        <v>176</v>
      </c>
      <c r="K11" s="105"/>
    </row>
    <row r="12" spans="1:13" ht="29.25" customHeight="1">
      <c r="A12" s="674"/>
      <c r="B12" s="674"/>
      <c r="C12" s="674"/>
      <c r="D12" s="144" t="s">
        <v>138</v>
      </c>
      <c r="E12" s="152" t="s">
        <v>139</v>
      </c>
      <c r="F12" s="152" t="s">
        <v>173</v>
      </c>
      <c r="G12" s="152" t="s">
        <v>141</v>
      </c>
      <c r="H12" s="152" t="s">
        <v>142</v>
      </c>
      <c r="I12" s="152" t="s">
        <v>174</v>
      </c>
      <c r="J12" s="674"/>
      <c r="K12" s="105"/>
    </row>
    <row r="13" spans="1:13">
      <c r="A13" s="682"/>
      <c r="B13" s="682"/>
      <c r="C13" s="682"/>
      <c r="D13" s="49"/>
      <c r="E13" s="192"/>
      <c r="F13" s="99">
        <f>D13*E13</f>
        <v>0</v>
      </c>
      <c r="G13" s="49"/>
      <c r="H13" s="52"/>
      <c r="I13" s="93">
        <f>G13*H13</f>
        <v>0</v>
      </c>
      <c r="J13" s="99">
        <f>F13+I13</f>
        <v>0</v>
      </c>
      <c r="K13" s="105"/>
    </row>
    <row r="14" spans="1:13">
      <c r="A14" s="688" t="s">
        <v>466</v>
      </c>
      <c r="B14" s="688"/>
      <c r="C14" s="688"/>
      <c r="D14" s="688"/>
      <c r="E14" s="688"/>
      <c r="F14" s="8"/>
      <c r="I14" s="153" t="s">
        <v>144</v>
      </c>
      <c r="J14" s="96"/>
      <c r="K14" s="105"/>
    </row>
    <row r="15" spans="1:13" ht="16.5">
      <c r="A15" s="689"/>
      <c r="B15" s="689"/>
      <c r="C15" s="689"/>
      <c r="D15" s="689"/>
      <c r="E15" s="689"/>
      <c r="F15" s="8"/>
      <c r="G15" s="686" t="s">
        <v>464</v>
      </c>
      <c r="H15" s="686"/>
      <c r="I15" s="687"/>
      <c r="J15" s="370"/>
      <c r="K15" s="105"/>
    </row>
    <row r="16" spans="1:13" ht="37.5" customHeight="1">
      <c r="A16" s="8"/>
      <c r="B16" s="8"/>
      <c r="C16" s="8"/>
      <c r="D16" s="8"/>
      <c r="E16" s="8"/>
      <c r="F16" s="683" t="s">
        <v>175</v>
      </c>
      <c r="G16" s="683"/>
      <c r="H16" s="683"/>
      <c r="I16" s="684"/>
      <c r="J16" s="371" t="s">
        <v>463</v>
      </c>
      <c r="K16" s="105"/>
    </row>
    <row r="18" spans="1:13">
      <c r="A18" s="685" t="s">
        <v>450</v>
      </c>
      <c r="B18" s="685"/>
      <c r="C18" s="685"/>
      <c r="D18" s="685"/>
      <c r="E18" s="685"/>
      <c r="F18" s="685"/>
      <c r="G18" s="685"/>
      <c r="H18" s="685"/>
      <c r="I18" s="685"/>
      <c r="J18" s="685"/>
      <c r="K18" s="685"/>
    </row>
    <row r="19" spans="1:13">
      <c r="A19" s="675" t="s">
        <v>51</v>
      </c>
      <c r="B19" s="675"/>
      <c r="C19" s="675"/>
      <c r="D19" s="323" t="s">
        <v>52</v>
      </c>
      <c r="E19" s="322" t="s">
        <v>373</v>
      </c>
      <c r="F19" s="322" t="s">
        <v>374</v>
      </c>
      <c r="G19" s="322" t="s">
        <v>375</v>
      </c>
      <c r="H19" s="313" t="s">
        <v>62</v>
      </c>
      <c r="I19" s="313" t="s">
        <v>63</v>
      </c>
      <c r="J19" s="313" t="s">
        <v>64</v>
      </c>
      <c r="K19" s="313" t="s">
        <v>376</v>
      </c>
      <c r="L19" s="180"/>
    </row>
    <row r="20" spans="1:13" ht="15" customHeight="1">
      <c r="A20" s="676" t="s">
        <v>10</v>
      </c>
      <c r="B20" s="677"/>
      <c r="C20" s="678"/>
      <c r="D20" s="667" t="s">
        <v>294</v>
      </c>
      <c r="E20" s="668" t="s">
        <v>140</v>
      </c>
      <c r="F20" s="669"/>
      <c r="G20" s="670"/>
      <c r="H20" s="671" t="s">
        <v>143</v>
      </c>
      <c r="I20" s="672"/>
      <c r="J20" s="673"/>
      <c r="K20" s="666" t="s">
        <v>176</v>
      </c>
    </row>
    <row r="21" spans="1:13" ht="37.5" customHeight="1">
      <c r="A21" s="679"/>
      <c r="B21" s="680"/>
      <c r="C21" s="681"/>
      <c r="D21" s="667"/>
      <c r="E21" s="337" t="s">
        <v>370</v>
      </c>
      <c r="F21" s="139" t="s">
        <v>371</v>
      </c>
      <c r="G21" s="139" t="s">
        <v>173</v>
      </c>
      <c r="H21" s="314" t="s">
        <v>141</v>
      </c>
      <c r="I21" s="314" t="s">
        <v>295</v>
      </c>
      <c r="J21" s="314" t="s">
        <v>174</v>
      </c>
      <c r="K21" s="666"/>
    </row>
    <row r="22" spans="1:13">
      <c r="A22" s="665"/>
      <c r="B22" s="665"/>
      <c r="C22" s="665"/>
      <c r="D22" s="324" t="s">
        <v>265</v>
      </c>
      <c r="E22" s="336"/>
      <c r="F22" s="257"/>
      <c r="G22" s="338">
        <f>E22*F22</f>
        <v>0</v>
      </c>
      <c r="H22" s="315"/>
      <c r="I22" s="315"/>
      <c r="J22" s="316">
        <f>H22*I22</f>
        <v>0</v>
      </c>
      <c r="K22" s="314">
        <f>G22+J22</f>
        <v>0</v>
      </c>
      <c r="M22" s="318" t="s">
        <v>362</v>
      </c>
    </row>
    <row r="23" spans="1:13">
      <c r="A23" s="690" t="s">
        <v>467</v>
      </c>
      <c r="B23" s="690"/>
      <c r="C23" s="690"/>
      <c r="D23" s="218"/>
      <c r="E23" s="218"/>
      <c r="F23" s="328" t="s">
        <v>144</v>
      </c>
      <c r="G23" s="330"/>
      <c r="H23" s="325"/>
      <c r="I23" s="326"/>
    </row>
    <row r="24" spans="1:13" ht="16.5">
      <c r="A24" s="691"/>
      <c r="B24" s="691"/>
      <c r="C24" s="691"/>
      <c r="D24" s="372" t="s">
        <v>464</v>
      </c>
      <c r="E24" s="372"/>
      <c r="F24" s="373"/>
      <c r="G24" s="370"/>
      <c r="H24" s="325"/>
      <c r="I24" s="326"/>
    </row>
    <row r="25" spans="1:13" ht="52">
      <c r="A25" s="691"/>
      <c r="B25" s="691"/>
      <c r="C25" s="691"/>
      <c r="D25" s="218"/>
      <c r="E25" s="218"/>
      <c r="F25" s="329" t="s">
        <v>175</v>
      </c>
      <c r="G25" s="331" t="s">
        <v>465</v>
      </c>
      <c r="H25" s="327"/>
      <c r="I25" s="327"/>
    </row>
  </sheetData>
  <mergeCells count="29">
    <mergeCell ref="A23:C25"/>
    <mergeCell ref="G1:H1"/>
    <mergeCell ref="A3:J3"/>
    <mergeCell ref="A4:E8"/>
    <mergeCell ref="F4:J4"/>
    <mergeCell ref="H6:H7"/>
    <mergeCell ref="I6:I7"/>
    <mergeCell ref="J6:J7"/>
    <mergeCell ref="G5:J5"/>
    <mergeCell ref="F5:F7"/>
    <mergeCell ref="G6:G7"/>
    <mergeCell ref="A9:J9"/>
    <mergeCell ref="A10:C10"/>
    <mergeCell ref="G11:I11"/>
    <mergeCell ref="J11:J12"/>
    <mergeCell ref="D11:F11"/>
    <mergeCell ref="A11:C12"/>
    <mergeCell ref="A19:C19"/>
    <mergeCell ref="A20:C21"/>
    <mergeCell ref="A13:C13"/>
    <mergeCell ref="F16:I16"/>
    <mergeCell ref="A18:K18"/>
    <mergeCell ref="G15:I15"/>
    <mergeCell ref="A14:E15"/>
    <mergeCell ref="A22:C22"/>
    <mergeCell ref="K20:K21"/>
    <mergeCell ref="D20:D21"/>
    <mergeCell ref="E20:G20"/>
    <mergeCell ref="H20:J20"/>
  </mergeCells>
  <pageMargins left="0.5" right="0.5" top="0.75" bottom="0.75" header="0.3" footer="0.3"/>
  <pageSetup orientation="landscape"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85" zoomScaleNormal="85" workbookViewId="0">
      <selection activeCell="G23" sqref="G23"/>
    </sheetView>
  </sheetViews>
  <sheetFormatPr defaultColWidth="9.1796875" defaultRowHeight="14.5"/>
  <cols>
    <col min="1" max="1" width="36.81640625" style="104" customWidth="1"/>
    <col min="2" max="2" width="30.453125" style="104" customWidth="1"/>
    <col min="3" max="3" width="14.54296875" style="104" customWidth="1"/>
    <col min="4" max="5" width="13.54296875" style="104" customWidth="1"/>
    <col min="6" max="6" width="13.453125" style="104" customWidth="1"/>
    <col min="7" max="7" width="9.1796875" style="104" customWidth="1"/>
    <col min="8" max="8" width="13.81640625" style="104" customWidth="1"/>
    <col min="9" max="9" width="18.26953125" style="104" customWidth="1"/>
    <col min="10" max="10" width="14.54296875" style="104" customWidth="1"/>
    <col min="11" max="11" width="13.1796875" style="104" customWidth="1"/>
    <col min="12" max="16384" width="9.1796875" style="104"/>
  </cols>
  <sheetData>
    <row r="1" spans="1:13">
      <c r="B1" s="108"/>
      <c r="C1" s="104" t="s">
        <v>69</v>
      </c>
      <c r="D1" s="109"/>
      <c r="E1" s="104" t="s">
        <v>70</v>
      </c>
      <c r="G1" s="425"/>
      <c r="H1" s="425"/>
      <c r="I1" s="104" t="s">
        <v>71</v>
      </c>
      <c r="L1" s="110"/>
      <c r="M1" s="104" t="s">
        <v>72</v>
      </c>
    </row>
    <row r="2" spans="1:13">
      <c r="A2" s="105"/>
      <c r="B2" s="105"/>
      <c r="C2" s="105"/>
      <c r="D2" s="105"/>
      <c r="E2" s="105"/>
      <c r="F2" s="105"/>
      <c r="G2" s="105"/>
      <c r="H2" s="105"/>
      <c r="I2" s="105"/>
      <c r="J2" s="105"/>
    </row>
    <row r="3" spans="1:13" ht="15" customHeight="1">
      <c r="A3" s="722" t="s">
        <v>223</v>
      </c>
      <c r="B3" s="722"/>
      <c r="C3" s="722"/>
      <c r="D3" s="722"/>
      <c r="E3" s="722"/>
      <c r="F3" s="722"/>
      <c r="G3" s="722"/>
      <c r="H3" s="722"/>
      <c r="I3" s="722"/>
      <c r="J3" s="722"/>
      <c r="K3" s="31"/>
    </row>
    <row r="4" spans="1:13">
      <c r="A4" s="723" t="s">
        <v>380</v>
      </c>
      <c r="B4" s="723"/>
      <c r="C4" s="723"/>
      <c r="D4" s="723"/>
      <c r="E4" s="723"/>
      <c r="F4" s="723"/>
      <c r="G4" s="723"/>
      <c r="H4" s="723"/>
      <c r="I4" s="723"/>
      <c r="J4" s="723"/>
      <c r="K4" s="32"/>
    </row>
    <row r="5" spans="1:13">
      <c r="A5" s="154" t="s">
        <v>50</v>
      </c>
      <c r="B5" s="154" t="s">
        <v>51</v>
      </c>
      <c r="C5" s="154" t="s">
        <v>52</v>
      </c>
      <c r="D5" s="151" t="s">
        <v>53</v>
      </c>
      <c r="E5" s="151" t="s">
        <v>54</v>
      </c>
      <c r="F5" s="151" t="s">
        <v>61</v>
      </c>
      <c r="G5" s="151" t="s">
        <v>62</v>
      </c>
      <c r="H5" s="151" t="s">
        <v>63</v>
      </c>
      <c r="I5" s="151" t="s">
        <v>64</v>
      </c>
      <c r="J5" s="151" t="s">
        <v>153</v>
      </c>
      <c r="K5" s="105"/>
    </row>
    <row r="6" spans="1:13">
      <c r="A6" s="675" t="s">
        <v>10</v>
      </c>
      <c r="B6" s="675" t="s">
        <v>155</v>
      </c>
      <c r="C6" s="724" t="s">
        <v>244</v>
      </c>
      <c r="D6" s="724"/>
      <c r="E6" s="724"/>
      <c r="F6" s="725" t="s">
        <v>149</v>
      </c>
      <c r="G6" s="725"/>
      <c r="H6" s="725"/>
      <c r="I6" s="725"/>
      <c r="J6" s="712" t="s">
        <v>150</v>
      </c>
      <c r="K6" s="105"/>
    </row>
    <row r="7" spans="1:13" ht="39" customHeight="1">
      <c r="A7" s="675"/>
      <c r="B7" s="675"/>
      <c r="C7" s="154" t="s">
        <v>145</v>
      </c>
      <c r="D7" s="154" t="s">
        <v>227</v>
      </c>
      <c r="E7" s="154" t="s">
        <v>137</v>
      </c>
      <c r="F7" s="187" t="s">
        <v>147</v>
      </c>
      <c r="G7" s="188" t="s">
        <v>306</v>
      </c>
      <c r="H7" s="188" t="s">
        <v>304</v>
      </c>
      <c r="I7" s="188" t="s">
        <v>92</v>
      </c>
      <c r="J7" s="712"/>
      <c r="K7" s="105"/>
    </row>
    <row r="8" spans="1:13" ht="36" customHeight="1">
      <c r="A8" s="136"/>
      <c r="B8" s="265" t="s">
        <v>85</v>
      </c>
      <c r="C8" s="266"/>
      <c r="D8" s="267" t="s">
        <v>251</v>
      </c>
      <c r="E8" s="267" t="e">
        <f>C8*D8</f>
        <v>#VALUE!</v>
      </c>
      <c r="F8" s="268" t="s">
        <v>250</v>
      </c>
      <c r="G8" s="268" t="s">
        <v>148</v>
      </c>
      <c r="H8" s="98"/>
      <c r="I8" s="99" t="e">
        <f>G8*H8</f>
        <v>#VALUE!</v>
      </c>
      <c r="J8" s="100"/>
      <c r="K8" s="105"/>
    </row>
    <row r="9" spans="1:13" ht="31.5" customHeight="1">
      <c r="A9" s="155"/>
      <c r="B9" s="269"/>
      <c r="C9" s="157"/>
      <c r="D9" s="270"/>
      <c r="E9" s="157"/>
      <c r="F9" s="268" t="s">
        <v>250</v>
      </c>
      <c r="G9" s="268" t="s">
        <v>148</v>
      </c>
      <c r="H9" s="98"/>
      <c r="I9" s="99" t="e">
        <f>G9*H9</f>
        <v>#VALUE!</v>
      </c>
      <c r="J9" s="145"/>
      <c r="K9" s="105"/>
    </row>
    <row r="10" spans="1:13" ht="38.25" customHeight="1">
      <c r="A10" s="718"/>
      <c r="B10" s="718"/>
      <c r="C10" s="718"/>
      <c r="D10" s="7"/>
      <c r="E10" s="719" t="s">
        <v>151</v>
      </c>
      <c r="F10" s="720"/>
      <c r="G10" s="720"/>
      <c r="H10" s="721"/>
      <c r="I10" s="271" t="s">
        <v>160</v>
      </c>
      <c r="J10" s="272" t="s">
        <v>478</v>
      </c>
      <c r="K10" s="160"/>
    </row>
    <row r="11" spans="1:13">
      <c r="A11" s="716" t="s">
        <v>296</v>
      </c>
      <c r="B11" s="717"/>
      <c r="C11" s="717"/>
      <c r="D11" s="717"/>
      <c r="E11" s="717"/>
      <c r="F11" s="717"/>
      <c r="G11" s="717"/>
      <c r="H11" s="717"/>
      <c r="I11" s="94" t="s">
        <v>152</v>
      </c>
      <c r="J11" s="319"/>
      <c r="K11" s="160"/>
    </row>
    <row r="12" spans="1:13" ht="15">
      <c r="A12" s="320" t="s">
        <v>385</v>
      </c>
      <c r="B12" s="317"/>
      <c r="C12" s="317"/>
      <c r="D12" s="317"/>
      <c r="E12" s="8"/>
      <c r="F12" s="8"/>
      <c r="I12" s="273" t="s">
        <v>229</v>
      </c>
      <c r="J12" s="274" t="s">
        <v>254</v>
      </c>
      <c r="K12" s="160"/>
      <c r="L12" s="318" t="s">
        <v>377</v>
      </c>
    </row>
    <row r="13" spans="1:13" ht="15" customHeight="1">
      <c r="A13" s="715" t="s">
        <v>305</v>
      </c>
      <c r="B13" s="715"/>
      <c r="C13" s="715"/>
      <c r="D13" s="715"/>
      <c r="E13" s="715"/>
      <c r="F13" s="715"/>
      <c r="G13" s="715"/>
      <c r="H13" s="137"/>
      <c r="I13" s="137"/>
      <c r="J13" s="319"/>
      <c r="K13" s="194"/>
    </row>
    <row r="14" spans="1:13">
      <c r="A14" s="715"/>
      <c r="B14" s="715"/>
      <c r="C14" s="715"/>
      <c r="D14" s="715"/>
      <c r="E14" s="715"/>
      <c r="F14" s="715"/>
      <c r="G14" s="715"/>
      <c r="H14" s="137"/>
      <c r="I14" s="137"/>
      <c r="J14" s="319"/>
    </row>
    <row r="15" spans="1:13">
      <c r="A15" s="105"/>
      <c r="B15" s="185" t="s">
        <v>154</v>
      </c>
      <c r="C15" s="105"/>
      <c r="D15" s="105"/>
      <c r="E15" s="105"/>
      <c r="F15" s="105"/>
      <c r="G15" s="105"/>
      <c r="H15" s="105"/>
      <c r="I15" s="105"/>
      <c r="J15" s="105"/>
    </row>
    <row r="16" spans="1:13">
      <c r="A16" s="105"/>
      <c r="B16" s="103" t="s">
        <v>159</v>
      </c>
      <c r="C16" s="105"/>
      <c r="D16" s="105"/>
      <c r="E16" s="105"/>
      <c r="F16" s="105"/>
      <c r="G16" s="105"/>
      <c r="H16" s="105"/>
      <c r="I16" s="105"/>
      <c r="J16" s="105"/>
    </row>
    <row r="17" spans="2:2">
      <c r="B17" s="103" t="s">
        <v>183</v>
      </c>
    </row>
    <row r="18" spans="2:2">
      <c r="B18" s="103" t="s">
        <v>156</v>
      </c>
    </row>
    <row r="19" spans="2:2">
      <c r="B19" s="103" t="s">
        <v>157</v>
      </c>
    </row>
    <row r="20" spans="2:2">
      <c r="B20" s="103" t="s">
        <v>158</v>
      </c>
    </row>
  </sheetData>
  <mergeCells count="12">
    <mergeCell ref="A13:G14"/>
    <mergeCell ref="A11:H11"/>
    <mergeCell ref="A10:C10"/>
    <mergeCell ref="E10:H10"/>
    <mergeCell ref="G1:H1"/>
    <mergeCell ref="A3:J3"/>
    <mergeCell ref="A4:J4"/>
    <mergeCell ref="A6:A7"/>
    <mergeCell ref="B6:B7"/>
    <mergeCell ref="C6:E6"/>
    <mergeCell ref="F6:I6"/>
    <mergeCell ref="J6:J7"/>
  </mergeCells>
  <pageMargins left="0.5" right="0.5" top="0.75" bottom="0.75" header="0.3" footer="0.3"/>
  <pageSetup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4"/>
  <sheetViews>
    <sheetView zoomScale="72" zoomScaleNormal="100" workbookViewId="0">
      <selection activeCell="N12" sqref="N12"/>
    </sheetView>
  </sheetViews>
  <sheetFormatPr defaultColWidth="9.1796875" defaultRowHeight="14.5"/>
  <cols>
    <col min="1" max="1" width="36.81640625" style="104" customWidth="1"/>
    <col min="2" max="2" width="14.54296875" style="104" customWidth="1"/>
    <col min="3" max="3" width="12.453125" style="104" customWidth="1"/>
    <col min="4" max="4" width="13.54296875" style="104" customWidth="1"/>
    <col min="5" max="5" width="13.453125" style="104" customWidth="1"/>
    <col min="6" max="6" width="9.1796875" style="104" customWidth="1"/>
    <col min="7" max="7" width="13.81640625" style="104" customWidth="1"/>
    <col min="8" max="8" width="18.26953125" style="104" customWidth="1"/>
    <col min="9" max="9" width="14.54296875" style="104" customWidth="1"/>
    <col min="10" max="10" width="13.1796875" style="104" customWidth="1"/>
    <col min="11" max="16384" width="9.1796875" style="104"/>
  </cols>
  <sheetData>
    <row r="1" spans="1:14">
      <c r="B1" s="104" t="s">
        <v>69</v>
      </c>
      <c r="C1" s="109"/>
      <c r="D1" s="104" t="s">
        <v>70</v>
      </c>
      <c r="F1" s="425"/>
      <c r="G1" s="425"/>
      <c r="H1" s="104" t="s">
        <v>71</v>
      </c>
      <c r="K1" s="110"/>
      <c r="L1" s="104" t="s">
        <v>72</v>
      </c>
    </row>
    <row r="2" spans="1:14">
      <c r="A2" s="105"/>
      <c r="B2" s="105"/>
      <c r="C2" s="105"/>
      <c r="D2" s="105"/>
      <c r="E2" s="105"/>
      <c r="F2" s="105"/>
      <c r="G2" s="105"/>
      <c r="H2" s="105"/>
      <c r="I2" s="105"/>
    </row>
    <row r="3" spans="1:14" ht="15" customHeight="1">
      <c r="A3" s="722" t="s">
        <v>224</v>
      </c>
      <c r="B3" s="722"/>
      <c r="C3" s="722"/>
      <c r="D3" s="722"/>
      <c r="E3" s="722"/>
      <c r="F3" s="722"/>
      <c r="G3" s="722"/>
      <c r="H3" s="722"/>
      <c r="I3" s="722"/>
      <c r="J3" s="31"/>
    </row>
    <row r="4" spans="1:14">
      <c r="A4" s="729" t="s">
        <v>363</v>
      </c>
      <c r="B4" s="729"/>
      <c r="C4" s="729"/>
      <c r="D4" s="729"/>
      <c r="E4" s="729"/>
      <c r="F4" s="729"/>
      <c r="G4" s="729"/>
      <c r="H4" s="729"/>
      <c r="I4" s="729"/>
      <c r="J4" s="32"/>
    </row>
    <row r="5" spans="1:14">
      <c r="A5" s="154" t="s">
        <v>50</v>
      </c>
      <c r="B5" s="154" t="s">
        <v>51</v>
      </c>
      <c r="C5" s="151" t="s">
        <v>52</v>
      </c>
      <c r="D5" s="151" t="s">
        <v>53</v>
      </c>
      <c r="E5" s="151" t="s">
        <v>54</v>
      </c>
      <c r="F5" s="151" t="s">
        <v>61</v>
      </c>
      <c r="G5" s="151" t="s">
        <v>62</v>
      </c>
      <c r="H5" s="151" t="s">
        <v>63</v>
      </c>
      <c r="I5" s="151" t="s">
        <v>64</v>
      </c>
      <c r="J5" s="105"/>
    </row>
    <row r="6" spans="1:14">
      <c r="A6" s="675" t="s">
        <v>10</v>
      </c>
      <c r="B6" s="724" t="s">
        <v>146</v>
      </c>
      <c r="C6" s="724"/>
      <c r="D6" s="724"/>
      <c r="E6" s="725" t="s">
        <v>149</v>
      </c>
      <c r="F6" s="725"/>
      <c r="G6" s="725"/>
      <c r="H6" s="725"/>
      <c r="I6" s="712" t="s">
        <v>150</v>
      </c>
      <c r="J6" s="105"/>
    </row>
    <row r="7" spans="1:14" ht="39" customHeight="1">
      <c r="A7" s="675"/>
      <c r="B7" s="154" t="s">
        <v>161</v>
      </c>
      <c r="C7" s="154" t="s">
        <v>142</v>
      </c>
      <c r="D7" s="154" t="s">
        <v>137</v>
      </c>
      <c r="E7" s="187" t="s">
        <v>147</v>
      </c>
      <c r="F7" s="188" t="s">
        <v>162</v>
      </c>
      <c r="G7" s="188" t="s">
        <v>307</v>
      </c>
      <c r="H7" s="188" t="s">
        <v>92</v>
      </c>
      <c r="I7" s="712"/>
      <c r="J7" s="105"/>
    </row>
    <row r="8" spans="1:14" ht="36" customHeight="1">
      <c r="A8" s="275"/>
      <c r="B8" s="266"/>
      <c r="C8" s="276" t="s">
        <v>251</v>
      </c>
      <c r="D8" s="267" t="e">
        <f>B8*C8</f>
        <v>#VALUE!</v>
      </c>
      <c r="E8" s="277" t="s">
        <v>250</v>
      </c>
      <c r="F8" s="277" t="s">
        <v>148</v>
      </c>
      <c r="G8" s="266"/>
      <c r="H8" s="99" t="e">
        <f>F8*G8</f>
        <v>#VALUE!</v>
      </c>
      <c r="I8" s="100"/>
      <c r="J8" s="105"/>
    </row>
    <row r="9" spans="1:14" ht="36" customHeight="1">
      <c r="A9" s="270"/>
      <c r="B9" s="157"/>
      <c r="C9" s="270"/>
      <c r="D9" s="157"/>
      <c r="E9" s="277" t="s">
        <v>250</v>
      </c>
      <c r="F9" s="277" t="s">
        <v>148</v>
      </c>
      <c r="G9" s="266"/>
      <c r="H9" s="99" t="e">
        <f>F9*G9</f>
        <v>#VALUE!</v>
      </c>
      <c r="I9" s="145"/>
      <c r="J9" s="105"/>
    </row>
    <row r="10" spans="1:14" ht="41.25" customHeight="1">
      <c r="A10" s="728" t="s">
        <v>352</v>
      </c>
      <c r="B10" s="728"/>
      <c r="C10" s="728"/>
      <c r="D10" s="728"/>
      <c r="E10" s="726" t="s">
        <v>151</v>
      </c>
      <c r="F10" s="726"/>
      <c r="G10" s="727"/>
      <c r="H10" s="278" t="s">
        <v>297</v>
      </c>
      <c r="I10" s="279" t="s">
        <v>303</v>
      </c>
      <c r="J10" s="105"/>
    </row>
    <row r="11" spans="1:14">
      <c r="A11" s="8"/>
      <c r="B11" s="8"/>
      <c r="C11" s="8"/>
      <c r="D11" s="8"/>
      <c r="E11" s="8"/>
      <c r="F11" s="8"/>
      <c r="G11" s="97"/>
      <c r="H11" s="94" t="s">
        <v>152</v>
      </c>
      <c r="I11" s="319"/>
      <c r="J11" s="105"/>
      <c r="N11" s="318" t="s">
        <v>381</v>
      </c>
    </row>
    <row r="12" spans="1:14">
      <c r="A12" s="8"/>
      <c r="B12" s="8"/>
      <c r="C12" s="8"/>
      <c r="D12" s="8"/>
      <c r="E12" s="8"/>
      <c r="H12" s="273" t="s">
        <v>229</v>
      </c>
      <c r="I12" s="280" t="s">
        <v>298</v>
      </c>
      <c r="J12" s="105"/>
    </row>
    <row r="13" spans="1:14">
      <c r="A13" s="105"/>
      <c r="B13" s="105"/>
      <c r="C13" s="105"/>
      <c r="D13" s="105"/>
      <c r="E13" s="105"/>
      <c r="F13" s="105"/>
      <c r="G13" s="137"/>
      <c r="H13" s="137"/>
      <c r="I13" s="319"/>
    </row>
    <row r="14" spans="1:14">
      <c r="A14" s="105"/>
      <c r="B14" s="105"/>
      <c r="C14" s="105"/>
      <c r="D14" s="105"/>
      <c r="E14" s="105"/>
      <c r="F14" s="105"/>
      <c r="G14" s="105"/>
      <c r="H14" s="160"/>
      <c r="I14" s="160"/>
    </row>
  </sheetData>
  <mergeCells count="9">
    <mergeCell ref="E10:G10"/>
    <mergeCell ref="A10:D10"/>
    <mergeCell ref="F1:G1"/>
    <mergeCell ref="A3:I3"/>
    <mergeCell ref="A4:I4"/>
    <mergeCell ref="A6:A7"/>
    <mergeCell ref="B6:D6"/>
    <mergeCell ref="E6:H6"/>
    <mergeCell ref="I6:I7"/>
  </mergeCells>
  <pageMargins left="0.5" right="0.5" top="0.75" bottom="0.75" header="0.3" footer="0.3"/>
  <pageSetup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zoomScale="69" zoomScaleNormal="100" workbookViewId="0">
      <selection activeCell="N7" sqref="N7"/>
    </sheetView>
  </sheetViews>
  <sheetFormatPr defaultColWidth="9.1796875" defaultRowHeight="14.5"/>
  <cols>
    <col min="1" max="1" width="36.81640625" style="104" customWidth="1"/>
    <col min="2" max="2" width="14.54296875" style="104" customWidth="1"/>
    <col min="3" max="3" width="12.453125" style="104" customWidth="1"/>
    <col min="4" max="4" width="13.54296875" style="104" customWidth="1"/>
    <col min="5" max="5" width="13.453125" style="104" customWidth="1"/>
    <col min="6" max="6" width="10.7265625" style="104" customWidth="1"/>
    <col min="7" max="7" width="13.81640625" style="104" customWidth="1"/>
    <col min="8" max="8" width="18.26953125" style="104" customWidth="1"/>
    <col min="9" max="9" width="14.54296875" style="104" customWidth="1"/>
    <col min="10" max="10" width="13.1796875" style="104" customWidth="1"/>
    <col min="11" max="16384" width="9.1796875" style="104"/>
  </cols>
  <sheetData>
    <row r="1" spans="1:14">
      <c r="A1" s="108"/>
      <c r="B1" s="104" t="s">
        <v>69</v>
      </c>
      <c r="C1" s="109"/>
      <c r="D1" s="104" t="s">
        <v>70</v>
      </c>
      <c r="F1" s="425"/>
      <c r="G1" s="425"/>
      <c r="H1" s="104" t="s">
        <v>71</v>
      </c>
      <c r="K1" s="110"/>
      <c r="L1" s="104" t="s">
        <v>72</v>
      </c>
    </row>
    <row r="2" spans="1:14">
      <c r="A2" s="105"/>
      <c r="B2" s="105"/>
      <c r="C2" s="105"/>
      <c r="D2" s="105"/>
      <c r="E2" s="105"/>
      <c r="F2" s="105"/>
      <c r="G2" s="105"/>
      <c r="H2" s="105"/>
      <c r="I2" s="105"/>
    </row>
    <row r="3" spans="1:14" ht="15" customHeight="1">
      <c r="A3" s="722" t="s">
        <v>225</v>
      </c>
      <c r="B3" s="722"/>
      <c r="C3" s="722"/>
      <c r="D3" s="722"/>
      <c r="E3" s="722"/>
      <c r="F3" s="722"/>
      <c r="G3" s="722"/>
      <c r="H3" s="722"/>
      <c r="I3" s="722"/>
      <c r="J3" s="31"/>
    </row>
    <row r="4" spans="1:14">
      <c r="A4" s="723" t="s">
        <v>382</v>
      </c>
      <c r="B4" s="723"/>
      <c r="C4" s="723"/>
      <c r="D4" s="723"/>
      <c r="E4" s="723"/>
      <c r="F4" s="723"/>
      <c r="G4" s="723"/>
      <c r="H4" s="723"/>
      <c r="I4" s="723"/>
      <c r="J4" s="32"/>
    </row>
    <row r="5" spans="1:14">
      <c r="A5" s="154" t="s">
        <v>50</v>
      </c>
      <c r="B5" s="154" t="s">
        <v>51</v>
      </c>
      <c r="C5" s="151" t="s">
        <v>52</v>
      </c>
      <c r="D5" s="151" t="s">
        <v>53</v>
      </c>
      <c r="E5" s="151" t="s">
        <v>54</v>
      </c>
      <c r="F5" s="151" t="s">
        <v>61</v>
      </c>
      <c r="G5" s="151" t="s">
        <v>62</v>
      </c>
      <c r="H5" s="151" t="s">
        <v>63</v>
      </c>
      <c r="I5" s="151" t="s">
        <v>64</v>
      </c>
      <c r="J5" s="105"/>
    </row>
    <row r="6" spans="1:14">
      <c r="A6" s="675" t="s">
        <v>10</v>
      </c>
      <c r="B6" s="724" t="s">
        <v>146</v>
      </c>
      <c r="C6" s="724"/>
      <c r="D6" s="724"/>
      <c r="E6" s="725" t="s">
        <v>149</v>
      </c>
      <c r="F6" s="725"/>
      <c r="G6" s="725"/>
      <c r="H6" s="725"/>
      <c r="I6" s="712" t="s">
        <v>150</v>
      </c>
      <c r="J6" s="105"/>
    </row>
    <row r="7" spans="1:14" ht="39" customHeight="1">
      <c r="A7" s="675"/>
      <c r="B7" s="152" t="s">
        <v>138</v>
      </c>
      <c r="C7" s="152" t="s">
        <v>139</v>
      </c>
      <c r="D7" s="154" t="s">
        <v>137</v>
      </c>
      <c r="E7" s="187" t="s">
        <v>147</v>
      </c>
      <c r="F7" s="188" t="s">
        <v>308</v>
      </c>
      <c r="G7" s="188" t="s">
        <v>309</v>
      </c>
      <c r="H7" s="188" t="s">
        <v>92</v>
      </c>
      <c r="I7" s="712"/>
      <c r="J7" s="105"/>
      <c r="N7" s="318" t="s">
        <v>378</v>
      </c>
    </row>
    <row r="8" spans="1:14" ht="36" customHeight="1">
      <c r="A8" s="133" t="s">
        <v>219</v>
      </c>
      <c r="B8" s="277" t="e">
        <f>'NRCC A. General Info'!J4:K5</f>
        <v>#VALUE!</v>
      </c>
      <c r="C8" s="276" t="s">
        <v>251</v>
      </c>
      <c r="D8" s="267" t="e">
        <f>B8*C8</f>
        <v>#VALUE!</v>
      </c>
      <c r="E8" s="277" t="s">
        <v>250</v>
      </c>
      <c r="F8" s="277" t="s">
        <v>148</v>
      </c>
      <c r="G8" s="98"/>
      <c r="H8" s="99" t="e">
        <f>F8*G8</f>
        <v>#VALUE!</v>
      </c>
      <c r="I8" s="156"/>
      <c r="J8" s="105"/>
    </row>
    <row r="9" spans="1:14" ht="36" customHeight="1">
      <c r="A9" s="157"/>
      <c r="B9" s="270"/>
      <c r="C9" s="270"/>
      <c r="D9" s="157"/>
      <c r="E9" s="277" t="s">
        <v>250</v>
      </c>
      <c r="F9" s="277" t="s">
        <v>148</v>
      </c>
      <c r="G9" s="98"/>
      <c r="H9" s="99" t="e">
        <f>F9*G9</f>
        <v>#VALUE!</v>
      </c>
      <c r="I9" s="156"/>
      <c r="J9" s="105"/>
    </row>
    <row r="10" spans="1:14" ht="39.75" customHeight="1">
      <c r="A10" s="718"/>
      <c r="B10" s="718"/>
      <c r="C10" s="7"/>
      <c r="D10" s="719" t="s">
        <v>151</v>
      </c>
      <c r="E10" s="720"/>
      <c r="F10" s="720"/>
      <c r="G10" s="721"/>
      <c r="H10" s="278" t="s">
        <v>297</v>
      </c>
      <c r="I10" s="281" t="s">
        <v>299</v>
      </c>
      <c r="J10" s="105"/>
    </row>
    <row r="11" spans="1:14">
      <c r="B11" s="8"/>
      <c r="C11" s="8"/>
      <c r="D11" s="8"/>
      <c r="E11" s="8"/>
      <c r="F11" s="8"/>
      <c r="G11" s="97"/>
      <c r="H11" s="94" t="s">
        <v>152</v>
      </c>
      <c r="I11" s="319"/>
      <c r="J11" s="105"/>
    </row>
    <row r="12" spans="1:14" ht="26.5">
      <c r="A12" s="8"/>
      <c r="B12" s="8"/>
      <c r="C12" s="8"/>
      <c r="D12" s="8"/>
      <c r="E12" s="8"/>
      <c r="H12" s="282" t="s">
        <v>230</v>
      </c>
      <c r="I12" s="281" t="s">
        <v>300</v>
      </c>
      <c r="J12" s="105"/>
    </row>
    <row r="13" spans="1:14" ht="15">
      <c r="A13" s="320" t="s">
        <v>364</v>
      </c>
      <c r="B13" s="317"/>
      <c r="C13" s="317"/>
      <c r="D13" s="317"/>
      <c r="E13" s="317"/>
      <c r="F13" s="317"/>
      <c r="G13" s="302"/>
      <c r="H13" s="137"/>
      <c r="I13" s="137"/>
    </row>
    <row r="14" spans="1:14" ht="15">
      <c r="A14" s="730" t="s">
        <v>310</v>
      </c>
      <c r="B14" s="730"/>
      <c r="C14" s="730"/>
      <c r="D14" s="730"/>
      <c r="E14" s="730"/>
      <c r="F14" s="730"/>
      <c r="G14" s="730"/>
      <c r="H14" s="730"/>
      <c r="I14" s="730"/>
      <c r="J14" s="730"/>
    </row>
    <row r="23" spans="12:12">
      <c r="L23" s="135"/>
    </row>
  </sheetData>
  <mergeCells count="10">
    <mergeCell ref="A14:J14"/>
    <mergeCell ref="A10:B10"/>
    <mergeCell ref="D10:G10"/>
    <mergeCell ref="F1:G1"/>
    <mergeCell ref="A3:I3"/>
    <mergeCell ref="A4:I4"/>
    <mergeCell ref="A6:A7"/>
    <mergeCell ref="B6:D6"/>
    <mergeCell ref="E6:H6"/>
    <mergeCell ref="I6:I7"/>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5"/>
  <sheetViews>
    <sheetView zoomScale="80" zoomScaleNormal="80" workbookViewId="0">
      <selection activeCell="J10" sqref="J10"/>
    </sheetView>
  </sheetViews>
  <sheetFormatPr defaultColWidth="9.1796875" defaultRowHeight="14.5"/>
  <cols>
    <col min="1" max="1" width="36.81640625" style="104" customWidth="1"/>
    <col min="2" max="2" width="30.453125" style="104" customWidth="1"/>
    <col min="3" max="3" width="14.54296875" style="104" customWidth="1"/>
    <col min="4" max="4" width="12.453125" style="104" customWidth="1"/>
    <col min="5" max="5" width="13.54296875" style="104" customWidth="1"/>
    <col min="6" max="6" width="13.453125" style="104" customWidth="1"/>
    <col min="7" max="7" width="9.1796875" style="104" customWidth="1"/>
    <col min="8" max="8" width="13.81640625" style="104" customWidth="1"/>
    <col min="9" max="9" width="18.26953125" style="104" customWidth="1"/>
    <col min="10" max="10" width="14.54296875" style="104" customWidth="1"/>
    <col min="11" max="11" width="13.1796875" style="104" customWidth="1"/>
    <col min="12" max="16384" width="9.1796875" style="104"/>
  </cols>
  <sheetData>
    <row r="1" spans="1:14">
      <c r="B1" s="108"/>
      <c r="C1" s="104" t="s">
        <v>69</v>
      </c>
      <c r="D1" s="109"/>
      <c r="E1" s="104" t="s">
        <v>70</v>
      </c>
      <c r="G1" s="425"/>
      <c r="H1" s="425"/>
      <c r="I1" s="104" t="s">
        <v>71</v>
      </c>
      <c r="L1" s="110"/>
      <c r="M1" s="104" t="s">
        <v>72</v>
      </c>
    </row>
    <row r="2" spans="1:14">
      <c r="A2" s="105"/>
      <c r="B2" s="105"/>
      <c r="C2" s="105"/>
      <c r="D2" s="105"/>
      <c r="E2" s="105"/>
      <c r="F2" s="105"/>
      <c r="G2" s="105"/>
      <c r="H2" s="105"/>
      <c r="I2" s="105"/>
      <c r="J2" s="105"/>
    </row>
    <row r="3" spans="1:14" ht="15" customHeight="1">
      <c r="A3" s="722" t="s">
        <v>226</v>
      </c>
      <c r="B3" s="722"/>
      <c r="C3" s="722"/>
      <c r="D3" s="722"/>
      <c r="E3" s="722"/>
      <c r="F3" s="722"/>
      <c r="G3" s="722"/>
      <c r="H3" s="722"/>
      <c r="I3" s="722"/>
      <c r="J3" s="722"/>
      <c r="K3" s="31"/>
    </row>
    <row r="4" spans="1:14" ht="29.15" customHeight="1">
      <c r="A4" s="723" t="s">
        <v>383</v>
      </c>
      <c r="B4" s="723"/>
      <c r="C4" s="723"/>
      <c r="D4" s="723"/>
      <c r="E4" s="723"/>
      <c r="F4" s="723"/>
      <c r="G4" s="723"/>
      <c r="H4" s="723"/>
      <c r="I4" s="723"/>
      <c r="J4" s="723"/>
      <c r="K4" s="32"/>
    </row>
    <row r="5" spans="1:14">
      <c r="A5" s="154" t="s">
        <v>50</v>
      </c>
      <c r="B5" s="154" t="s">
        <v>51</v>
      </c>
      <c r="C5" s="154" t="s">
        <v>52</v>
      </c>
      <c r="D5" s="151" t="s">
        <v>53</v>
      </c>
      <c r="E5" s="151" t="s">
        <v>54</v>
      </c>
      <c r="F5" s="151" t="s">
        <v>61</v>
      </c>
      <c r="G5" s="151" t="s">
        <v>62</v>
      </c>
      <c r="H5" s="151" t="s">
        <v>63</v>
      </c>
      <c r="I5" s="151" t="s">
        <v>64</v>
      </c>
      <c r="J5" s="151" t="s">
        <v>153</v>
      </c>
      <c r="K5" s="105"/>
    </row>
    <row r="6" spans="1:14">
      <c r="A6" s="675" t="s">
        <v>10</v>
      </c>
      <c r="B6" s="675" t="s">
        <v>185</v>
      </c>
      <c r="C6" s="724" t="s">
        <v>146</v>
      </c>
      <c r="D6" s="724"/>
      <c r="E6" s="724"/>
      <c r="F6" s="725" t="s">
        <v>149</v>
      </c>
      <c r="G6" s="725"/>
      <c r="H6" s="725"/>
      <c r="I6" s="725"/>
      <c r="J6" s="712" t="s">
        <v>150</v>
      </c>
      <c r="K6" s="105"/>
    </row>
    <row r="7" spans="1:14" ht="39" customHeight="1">
      <c r="A7" s="675"/>
      <c r="B7" s="675"/>
      <c r="C7" s="152" t="s">
        <v>186</v>
      </c>
      <c r="D7" s="152" t="s">
        <v>139</v>
      </c>
      <c r="E7" s="154" t="s">
        <v>137</v>
      </c>
      <c r="F7" s="154" t="s">
        <v>147</v>
      </c>
      <c r="G7" s="188" t="s">
        <v>311</v>
      </c>
      <c r="H7" s="188" t="s">
        <v>309</v>
      </c>
      <c r="I7" s="188" t="s">
        <v>92</v>
      </c>
      <c r="J7" s="712"/>
      <c r="K7" s="105"/>
    </row>
    <row r="8" spans="1:14" ht="36" customHeight="1">
      <c r="A8" s="136"/>
      <c r="B8" s="265" t="s">
        <v>85</v>
      </c>
      <c r="C8" s="266"/>
      <c r="D8" s="283" t="s">
        <v>251</v>
      </c>
      <c r="E8" s="267" t="e">
        <f>C8*D8</f>
        <v>#VALUE!</v>
      </c>
      <c r="F8" s="277" t="s">
        <v>250</v>
      </c>
      <c r="G8" s="277" t="s">
        <v>148</v>
      </c>
      <c r="H8" s="98"/>
      <c r="I8" s="99" t="e">
        <f>G8*H8</f>
        <v>#VALUE!</v>
      </c>
      <c r="J8" s="100"/>
      <c r="K8" s="105"/>
    </row>
    <row r="9" spans="1:14" ht="36" customHeight="1">
      <c r="A9" s="155"/>
      <c r="B9" s="269"/>
      <c r="C9" s="157"/>
      <c r="D9" s="270"/>
      <c r="E9" s="157"/>
      <c r="F9" s="277" t="s">
        <v>250</v>
      </c>
      <c r="G9" s="277" t="s">
        <v>148</v>
      </c>
      <c r="H9" s="98"/>
      <c r="I9" s="99" t="e">
        <f>G9*H9</f>
        <v>#VALUE!</v>
      </c>
      <c r="J9" s="100"/>
      <c r="K9" s="105"/>
      <c r="N9" s="318" t="s">
        <v>379</v>
      </c>
    </row>
    <row r="10" spans="1:14" ht="43.5" customHeight="1">
      <c r="A10" s="732" t="s">
        <v>384</v>
      </c>
      <c r="B10" s="732"/>
      <c r="C10" s="732"/>
      <c r="D10" s="733"/>
      <c r="E10" s="720" t="s">
        <v>151</v>
      </c>
      <c r="F10" s="720"/>
      <c r="G10" s="720"/>
      <c r="H10" s="721"/>
      <c r="I10" s="278" t="s">
        <v>160</v>
      </c>
      <c r="J10" s="279" t="s">
        <v>479</v>
      </c>
      <c r="K10" s="105"/>
    </row>
    <row r="11" spans="1:14" ht="15" customHeight="1">
      <c r="A11" s="731" t="s">
        <v>312</v>
      </c>
      <c r="B11" s="731"/>
      <c r="C11" s="731"/>
      <c r="D11" s="731"/>
      <c r="E11" s="731"/>
      <c r="F11" s="731"/>
      <c r="G11" s="8"/>
      <c r="H11" s="97"/>
      <c r="I11" s="94" t="s">
        <v>152</v>
      </c>
      <c r="J11" s="319"/>
      <c r="K11" s="105"/>
    </row>
    <row r="12" spans="1:14">
      <c r="A12" s="731"/>
      <c r="B12" s="731"/>
      <c r="C12" s="731"/>
      <c r="D12" s="731"/>
      <c r="E12" s="731"/>
      <c r="F12" s="731"/>
      <c r="I12" s="273" t="s">
        <v>229</v>
      </c>
      <c r="J12" s="280" t="s">
        <v>255</v>
      </c>
      <c r="K12" s="105"/>
    </row>
    <row r="13" spans="1:14">
      <c r="A13" s="105"/>
      <c r="B13" s="105"/>
      <c r="C13" s="105"/>
      <c r="D13" s="105"/>
      <c r="E13" s="105"/>
      <c r="F13" s="105"/>
      <c r="G13" s="105"/>
      <c r="H13" s="137"/>
      <c r="I13" s="137"/>
      <c r="J13" s="319"/>
    </row>
    <row r="14" spans="1:14">
      <c r="A14" s="160"/>
      <c r="B14" s="185" t="s">
        <v>163</v>
      </c>
      <c r="C14" s="105"/>
      <c r="D14" s="105"/>
      <c r="E14" s="105"/>
      <c r="F14" s="105"/>
      <c r="G14" s="105"/>
      <c r="H14" s="105"/>
      <c r="I14" s="105"/>
      <c r="J14" s="105"/>
    </row>
    <row r="15" spans="1:14">
      <c r="A15" s="284" t="s">
        <v>212</v>
      </c>
      <c r="B15" s="186" t="s">
        <v>164</v>
      </c>
      <c r="C15" s="105"/>
      <c r="D15" s="105"/>
      <c r="E15" s="105"/>
      <c r="F15" s="105"/>
      <c r="G15" s="105"/>
      <c r="H15" s="105"/>
      <c r="I15" s="105"/>
      <c r="J15" s="105"/>
    </row>
    <row r="16" spans="1:14">
      <c r="A16" s="215"/>
      <c r="B16" s="186" t="s">
        <v>165</v>
      </c>
    </row>
    <row r="17" spans="1:2">
      <c r="A17" s="215"/>
      <c r="B17" s="186" t="s">
        <v>166</v>
      </c>
    </row>
    <row r="18" spans="1:2">
      <c r="A18" s="215"/>
      <c r="B18" s="186" t="s">
        <v>167</v>
      </c>
    </row>
    <row r="19" spans="1:2">
      <c r="A19" s="284" t="s">
        <v>212</v>
      </c>
      <c r="B19" s="186" t="s">
        <v>168</v>
      </c>
    </row>
    <row r="20" spans="1:2">
      <c r="A20" s="215"/>
      <c r="B20" s="186" t="s">
        <v>169</v>
      </c>
    </row>
    <row r="21" spans="1:2">
      <c r="A21" s="215"/>
      <c r="B21" s="186" t="s">
        <v>170</v>
      </c>
    </row>
    <row r="22" spans="1:2">
      <c r="A22" s="284" t="s">
        <v>213</v>
      </c>
      <c r="B22" s="186" t="s">
        <v>171</v>
      </c>
    </row>
    <row r="23" spans="1:2">
      <c r="A23" s="215"/>
      <c r="B23" s="186" t="s">
        <v>172</v>
      </c>
    </row>
    <row r="24" spans="1:2" ht="29.25" customHeight="1">
      <c r="A24" s="284" t="s">
        <v>214</v>
      </c>
      <c r="B24" s="190" t="s">
        <v>184</v>
      </c>
    </row>
    <row r="25" spans="1:2" ht="26">
      <c r="A25" s="321" t="s">
        <v>212</v>
      </c>
      <c r="B25" s="294" t="s">
        <v>365</v>
      </c>
    </row>
  </sheetData>
  <mergeCells count="11">
    <mergeCell ref="A11:F12"/>
    <mergeCell ref="E10:H10"/>
    <mergeCell ref="G1:H1"/>
    <mergeCell ref="A3:J3"/>
    <mergeCell ref="A4:J4"/>
    <mergeCell ref="A6:A7"/>
    <mergeCell ref="B6:B7"/>
    <mergeCell ref="C6:E6"/>
    <mergeCell ref="F6:I6"/>
    <mergeCell ref="J6:J7"/>
    <mergeCell ref="A10:D10"/>
  </mergeCells>
  <pageMargins left="0.5" right="0.5" top="0.75" bottom="0.75" header="0.3" footer="0.3"/>
  <pageSetup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
  <sheetViews>
    <sheetView zoomScale="52" zoomScaleNormal="100" workbookViewId="0">
      <selection activeCell="A5" sqref="A5:L5"/>
    </sheetView>
  </sheetViews>
  <sheetFormatPr defaultColWidth="9.1796875" defaultRowHeight="13"/>
  <cols>
    <col min="1" max="1" width="23.54296875" style="15" customWidth="1"/>
    <col min="2" max="2" width="36.26953125" style="15" customWidth="1"/>
    <col min="3" max="3" width="8.1796875" style="15" customWidth="1"/>
    <col min="4" max="4" width="4" style="15" customWidth="1"/>
    <col min="5" max="5" width="14" style="15" customWidth="1"/>
    <col min="6" max="6" width="1.81640625" style="15" customWidth="1"/>
    <col min="7" max="7" width="6.81640625" style="15" customWidth="1"/>
    <col min="8" max="8" width="4.81640625" style="15" customWidth="1"/>
    <col min="9" max="9" width="0.7265625" style="15" hidden="1" customWidth="1"/>
    <col min="10" max="10" width="15.81640625" style="15" customWidth="1"/>
    <col min="11" max="11" width="9.7265625" style="15" customWidth="1"/>
    <col min="12" max="12" width="10.1796875" style="15" customWidth="1"/>
    <col min="13" max="16384" width="9.1796875" style="14"/>
  </cols>
  <sheetData>
    <row r="1" spans="1:17" s="36" customFormat="1" ht="14.5">
      <c r="A1" s="41"/>
      <c r="B1" s="36" t="s">
        <v>69</v>
      </c>
      <c r="C1" s="42"/>
      <c r="D1" s="36" t="s">
        <v>70</v>
      </c>
      <c r="F1" s="425"/>
      <c r="G1" s="425"/>
      <c r="H1" s="36" t="s">
        <v>71</v>
      </c>
      <c r="K1" s="43"/>
      <c r="L1" s="36" t="s">
        <v>72</v>
      </c>
    </row>
    <row r="2" spans="1:17" ht="15" customHeight="1"/>
    <row r="3" spans="1:17" ht="15" customHeight="1">
      <c r="A3" s="541" t="s">
        <v>235</v>
      </c>
      <c r="B3" s="541"/>
      <c r="C3" s="541"/>
      <c r="D3" s="541"/>
      <c r="E3" s="541"/>
      <c r="F3" s="541"/>
      <c r="G3" s="541"/>
      <c r="H3" s="541"/>
      <c r="I3" s="541"/>
      <c r="J3" s="541"/>
      <c r="K3" s="541"/>
      <c r="L3" s="541"/>
    </row>
    <row r="4" spans="1:17" ht="50.15" customHeight="1">
      <c r="A4" s="542" t="s">
        <v>476</v>
      </c>
      <c r="B4" s="543"/>
      <c r="C4" s="543"/>
      <c r="D4" s="543"/>
      <c r="E4" s="543"/>
      <c r="F4" s="543"/>
      <c r="G4" s="543"/>
      <c r="H4" s="543"/>
      <c r="I4" s="543"/>
      <c r="J4" s="543"/>
      <c r="K4" s="543"/>
      <c r="L4" s="543"/>
      <c r="N4" s="182"/>
    </row>
    <row r="5" spans="1:17" ht="16.5" customHeight="1">
      <c r="A5" s="734" t="s">
        <v>127</v>
      </c>
      <c r="B5" s="734"/>
      <c r="C5" s="734"/>
      <c r="D5" s="734"/>
      <c r="E5" s="734"/>
      <c r="F5" s="734"/>
      <c r="G5" s="734"/>
      <c r="H5" s="734"/>
      <c r="I5" s="734"/>
      <c r="J5" s="734"/>
      <c r="K5" s="734"/>
      <c r="L5" s="734"/>
    </row>
    <row r="6" spans="1:17" ht="16.5" customHeight="1">
      <c r="A6" s="146" t="s">
        <v>50</v>
      </c>
      <c r="B6" s="146" t="s">
        <v>51</v>
      </c>
      <c r="C6" s="735" t="s">
        <v>52</v>
      </c>
      <c r="D6" s="736"/>
      <c r="E6" s="146" t="s">
        <v>53</v>
      </c>
      <c r="F6" s="735" t="s">
        <v>54</v>
      </c>
      <c r="G6" s="755"/>
      <c r="H6" s="755"/>
      <c r="I6" s="755"/>
      <c r="J6" s="147" t="s">
        <v>61</v>
      </c>
      <c r="K6" s="735" t="s">
        <v>62</v>
      </c>
      <c r="L6" s="736"/>
    </row>
    <row r="7" spans="1:17" ht="24" customHeight="1">
      <c r="A7" s="737" t="s">
        <v>13</v>
      </c>
      <c r="B7" s="737" t="s">
        <v>12</v>
      </c>
      <c r="C7" s="738" t="s">
        <v>314</v>
      </c>
      <c r="D7" s="739"/>
      <c r="E7" s="737" t="s">
        <v>11</v>
      </c>
      <c r="F7" s="738" t="s">
        <v>315</v>
      </c>
      <c r="G7" s="742"/>
      <c r="H7" s="742"/>
      <c r="I7" s="742"/>
      <c r="J7" s="617" t="s">
        <v>129</v>
      </c>
      <c r="K7" s="743" t="s">
        <v>98</v>
      </c>
      <c r="L7" s="744"/>
      <c r="P7" s="76"/>
      <c r="Q7" s="76"/>
    </row>
    <row r="8" spans="1:17" ht="15" customHeight="1">
      <c r="A8" s="737"/>
      <c r="B8" s="737"/>
      <c r="C8" s="740"/>
      <c r="D8" s="741"/>
      <c r="E8" s="737"/>
      <c r="F8" s="738"/>
      <c r="G8" s="742"/>
      <c r="H8" s="742"/>
      <c r="I8" s="742"/>
      <c r="J8" s="617"/>
      <c r="K8" s="131" t="s">
        <v>99</v>
      </c>
      <c r="L8" s="131" t="s">
        <v>100</v>
      </c>
    </row>
    <row r="9" spans="1:17" s="75" customFormat="1" ht="32.25" customHeight="1">
      <c r="A9" s="54"/>
      <c r="B9" s="54"/>
      <c r="C9" s="756"/>
      <c r="D9" s="756"/>
      <c r="E9" s="285" t="s">
        <v>94</v>
      </c>
      <c r="F9" s="563"/>
      <c r="G9" s="563"/>
      <c r="H9" s="563"/>
      <c r="I9" s="564"/>
      <c r="J9" s="158">
        <f>C9*F9</f>
        <v>0</v>
      </c>
      <c r="K9" s="91" t="s">
        <v>93</v>
      </c>
      <c r="L9" s="91" t="s">
        <v>93</v>
      </c>
    </row>
    <row r="10" spans="1:17" ht="18.75" customHeight="1">
      <c r="A10" s="168"/>
      <c r="B10" s="168"/>
      <c r="C10" s="168"/>
      <c r="D10" s="168"/>
      <c r="E10" s="238"/>
      <c r="F10" s="238"/>
      <c r="G10" s="238"/>
      <c r="H10" s="286" t="s">
        <v>128</v>
      </c>
      <c r="I10" s="238"/>
      <c r="J10" s="287" t="s">
        <v>256</v>
      </c>
      <c r="K10" s="163"/>
      <c r="L10" s="164"/>
    </row>
    <row r="11" spans="1:17" ht="18.75" customHeight="1">
      <c r="A11" s="169"/>
      <c r="B11" s="339"/>
      <c r="C11" s="339"/>
      <c r="D11" s="339"/>
      <c r="E11" s="340"/>
      <c r="F11" s="340"/>
      <c r="G11" s="340"/>
      <c r="H11" s="341" t="s">
        <v>403</v>
      </c>
      <c r="I11" s="92"/>
      <c r="J11" s="165"/>
      <c r="K11" s="166"/>
      <c r="L11" s="167"/>
    </row>
    <row r="12" spans="1:17" ht="18.75" customHeight="1">
      <c r="A12" s="745" t="s">
        <v>188</v>
      </c>
      <c r="B12" s="746"/>
      <c r="C12" s="746"/>
      <c r="D12" s="746"/>
      <c r="E12" s="746"/>
      <c r="F12" s="746"/>
      <c r="G12" s="746"/>
      <c r="H12" s="746"/>
      <c r="I12" s="746"/>
      <c r="J12" s="746"/>
      <c r="K12" s="746"/>
      <c r="L12" s="747"/>
    </row>
    <row r="13" spans="1:17" ht="18.75" customHeight="1">
      <c r="A13" s="748" t="s">
        <v>252</v>
      </c>
      <c r="B13" s="749"/>
      <c r="C13" s="749"/>
      <c r="D13" s="749"/>
      <c r="E13" s="749"/>
      <c r="F13" s="749"/>
      <c r="G13" s="749"/>
      <c r="H13" s="749"/>
      <c r="I13" s="749"/>
      <c r="J13" s="749"/>
      <c r="K13" s="749"/>
      <c r="L13" s="750"/>
    </row>
    <row r="14" spans="1:17" ht="72">
      <c r="A14" s="252" t="s">
        <v>248</v>
      </c>
      <c r="B14" s="752" t="s">
        <v>247</v>
      </c>
      <c r="C14" s="753"/>
      <c r="D14" s="753"/>
      <c r="E14" s="753"/>
      <c r="F14" s="753"/>
      <c r="G14" s="753"/>
      <c r="H14" s="753"/>
      <c r="I14" s="753"/>
      <c r="J14" s="753"/>
      <c r="K14" s="753"/>
      <c r="L14" s="754"/>
      <c r="M14" s="170"/>
      <c r="N14" s="170"/>
      <c r="O14" s="170"/>
    </row>
    <row r="15" spans="1:17" ht="17.25" customHeight="1">
      <c r="A15" s="342" t="s">
        <v>404</v>
      </c>
      <c r="B15" s="343"/>
      <c r="C15" s="343"/>
      <c r="D15" s="343"/>
      <c r="E15" s="343"/>
      <c r="F15" s="343"/>
      <c r="G15" s="343"/>
      <c r="H15" s="334"/>
      <c r="I15" s="334"/>
      <c r="J15" s="344"/>
      <c r="K15" s="344"/>
      <c r="L15" s="345"/>
      <c r="O15" s="77"/>
      <c r="P15" s="77"/>
    </row>
    <row r="16" spans="1:17" ht="21.65" customHeight="1">
      <c r="A16" s="751" t="s">
        <v>313</v>
      </c>
      <c r="B16" s="751"/>
      <c r="C16" s="751"/>
      <c r="D16" s="751"/>
      <c r="E16" s="751"/>
      <c r="F16" s="751"/>
      <c r="G16" s="751"/>
      <c r="H16" s="751"/>
      <c r="I16" s="751"/>
      <c r="J16" s="751"/>
      <c r="K16" s="751"/>
      <c r="L16" s="751"/>
    </row>
    <row r="17" spans="1:17" ht="12.75" customHeight="1">
      <c r="E17" s="550" t="s">
        <v>95</v>
      </c>
    </row>
    <row r="18" spans="1:17" ht="24.75" customHeight="1">
      <c r="E18" s="550"/>
      <c r="L18" s="14"/>
    </row>
    <row r="19" spans="1:17">
      <c r="E19" s="74" t="s">
        <v>96</v>
      </c>
      <c r="L19" s="14"/>
    </row>
    <row r="20" spans="1:17" s="15" customFormat="1" ht="14.5">
      <c r="E20" s="74" t="s">
        <v>97</v>
      </c>
      <c r="M20" s="14"/>
      <c r="N20" s="14"/>
      <c r="O20" s="14"/>
      <c r="P20" s="14"/>
      <c r="Q20" s="14"/>
    </row>
    <row r="21" spans="1:17" s="15" customFormat="1">
      <c r="E21" s="74" t="s">
        <v>66</v>
      </c>
      <c r="M21" s="14"/>
      <c r="N21" s="14"/>
      <c r="O21" s="14"/>
      <c r="P21" s="14"/>
      <c r="Q21" s="14"/>
    </row>
    <row r="22" spans="1:17">
      <c r="A22" s="129"/>
    </row>
    <row r="23" spans="1:17">
      <c r="A23" s="129"/>
    </row>
    <row r="24" spans="1:17">
      <c r="A24" s="129"/>
    </row>
  </sheetData>
  <mergeCells count="21">
    <mergeCell ref="F1:G1"/>
    <mergeCell ref="C6:D6"/>
    <mergeCell ref="F6:I6"/>
    <mergeCell ref="C9:D9"/>
    <mergeCell ref="F9:I9"/>
    <mergeCell ref="E17:E18"/>
    <mergeCell ref="A3:L3"/>
    <mergeCell ref="A4:L4"/>
    <mergeCell ref="A5:L5"/>
    <mergeCell ref="K6:L6"/>
    <mergeCell ref="A7:A8"/>
    <mergeCell ref="B7:B8"/>
    <mergeCell ref="C7:D8"/>
    <mergeCell ref="E7:E8"/>
    <mergeCell ref="F7:I8"/>
    <mergeCell ref="J7:J8"/>
    <mergeCell ref="K7:L7"/>
    <mergeCell ref="A12:L12"/>
    <mergeCell ref="A13:L13"/>
    <mergeCell ref="A16:L16"/>
    <mergeCell ref="B14:L14"/>
  </mergeCells>
  <pageMargins left="0.5" right="0.5" top="0.75" bottom="0.75" header="0.3" footer="0.3"/>
  <pageSetup orientation="landscape" horizontalDpi="1200" verticalDpi="1200"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16"/>
  <sheetViews>
    <sheetView zoomScale="73" zoomScaleNormal="100" workbookViewId="0">
      <selection activeCell="C15" sqref="C15"/>
    </sheetView>
  </sheetViews>
  <sheetFormatPr defaultColWidth="9.1796875" defaultRowHeight="14.5"/>
  <cols>
    <col min="1" max="1" width="10.81640625" style="104" customWidth="1"/>
    <col min="2" max="2" width="10.7265625" style="104" customWidth="1"/>
    <col min="3" max="3" width="77" style="104" customWidth="1"/>
    <col min="4" max="4" width="10.7265625" style="104" customWidth="1"/>
    <col min="5" max="5" width="11" style="104" customWidth="1"/>
    <col min="6" max="6" width="12.7265625" style="104" customWidth="1"/>
    <col min="7" max="7" width="4.7265625" style="104" customWidth="1"/>
    <col min="8" max="8" width="3.7265625" style="104" customWidth="1"/>
    <col min="9" max="9" width="25.7265625" style="104" customWidth="1"/>
    <col min="10" max="10" width="3.7265625" style="104" customWidth="1"/>
    <col min="11" max="11" width="24.7265625" style="104" customWidth="1"/>
    <col min="12" max="16384" width="9.1796875" style="104"/>
  </cols>
  <sheetData>
    <row r="1" spans="1:19">
      <c r="A1" s="108"/>
      <c r="B1" s="104" t="s">
        <v>69</v>
      </c>
      <c r="D1" s="109"/>
      <c r="E1" s="104" t="s">
        <v>70</v>
      </c>
      <c r="G1" s="425"/>
      <c r="H1" s="425"/>
      <c r="I1" s="104" t="s">
        <v>71</v>
      </c>
      <c r="L1" s="110"/>
      <c r="M1" s="104" t="s">
        <v>72</v>
      </c>
    </row>
    <row r="2" spans="1:19">
      <c r="A2" s="105"/>
      <c r="B2" s="105"/>
      <c r="C2" s="105"/>
      <c r="D2" s="105"/>
      <c r="E2" s="105"/>
      <c r="F2" s="105"/>
      <c r="G2" s="105"/>
      <c r="H2" s="105"/>
      <c r="I2" s="105"/>
      <c r="J2" s="105"/>
      <c r="K2" s="105"/>
    </row>
    <row r="3" spans="1:19" ht="15" customHeight="1">
      <c r="A3" s="757" t="s">
        <v>451</v>
      </c>
      <c r="B3" s="758"/>
      <c r="C3" s="758"/>
      <c r="D3" s="758"/>
      <c r="E3" s="759"/>
      <c r="F3" s="112"/>
      <c r="G3" s="112"/>
      <c r="H3" s="112"/>
      <c r="I3" s="112"/>
      <c r="J3" s="112"/>
      <c r="K3" s="112"/>
      <c r="L3" s="106"/>
      <c r="M3" s="106"/>
      <c r="N3" s="106"/>
      <c r="O3" s="106"/>
      <c r="P3" s="106"/>
      <c r="Q3" s="106"/>
      <c r="R3" s="106"/>
      <c r="S3" s="106"/>
    </row>
    <row r="4" spans="1:19" ht="45" customHeight="1">
      <c r="A4" s="473" t="s">
        <v>452</v>
      </c>
      <c r="B4" s="474"/>
      <c r="C4" s="474"/>
      <c r="D4" s="474"/>
      <c r="E4" s="475"/>
      <c r="F4" s="111"/>
      <c r="G4" s="111"/>
      <c r="H4" s="111"/>
      <c r="I4" s="111"/>
      <c r="J4" s="111"/>
      <c r="K4" s="111"/>
      <c r="L4" s="106"/>
      <c r="M4" s="106"/>
      <c r="N4" s="106"/>
      <c r="O4" s="106"/>
      <c r="P4" s="106"/>
      <c r="Q4" s="106"/>
      <c r="R4" s="106"/>
      <c r="S4" s="106"/>
    </row>
    <row r="5" spans="1:19">
      <c r="A5" s="760" t="s">
        <v>130</v>
      </c>
      <c r="B5" s="760" t="s">
        <v>131</v>
      </c>
      <c r="C5" s="760" t="s">
        <v>132</v>
      </c>
      <c r="D5" s="760" t="s">
        <v>98</v>
      </c>
      <c r="E5" s="760"/>
      <c r="F5" s="105"/>
      <c r="G5" s="105"/>
      <c r="H5" s="105"/>
      <c r="I5" s="105"/>
      <c r="J5" s="105"/>
      <c r="K5" s="105"/>
    </row>
    <row r="6" spans="1:19">
      <c r="A6" s="760"/>
      <c r="B6" s="760"/>
      <c r="C6" s="760"/>
      <c r="D6" s="159" t="s">
        <v>99</v>
      </c>
      <c r="E6" s="159" t="s">
        <v>100</v>
      </c>
      <c r="F6" s="105"/>
      <c r="G6" s="105"/>
      <c r="H6" s="105"/>
      <c r="I6" s="105"/>
      <c r="J6" s="105"/>
      <c r="K6" s="105"/>
    </row>
    <row r="7" spans="1:19" ht="22.5" customHeight="1">
      <c r="A7" s="115" t="s">
        <v>134</v>
      </c>
      <c r="B7" s="117" t="s">
        <v>133</v>
      </c>
      <c r="C7" s="114" t="s">
        <v>405</v>
      </c>
      <c r="D7" s="113" t="s">
        <v>93</v>
      </c>
      <c r="E7" s="113" t="s">
        <v>93</v>
      </c>
      <c r="F7" s="105"/>
      <c r="G7" s="105"/>
      <c r="H7" s="105"/>
      <c r="I7" s="105"/>
      <c r="J7" s="105"/>
      <c r="K7" s="105"/>
    </row>
    <row r="8" spans="1:19" ht="26.5">
      <c r="A8" s="346" t="s">
        <v>134</v>
      </c>
      <c r="B8" s="347" t="s">
        <v>133</v>
      </c>
      <c r="C8" s="348" t="s">
        <v>136</v>
      </c>
      <c r="D8" s="347" t="s">
        <v>93</v>
      </c>
      <c r="E8" s="347" t="s">
        <v>93</v>
      </c>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4" spans="1:19">
      <c r="B14" s="107"/>
      <c r="C14" s="107"/>
      <c r="D14" s="107"/>
      <c r="E14" s="107"/>
      <c r="F14" s="107"/>
      <c r="G14" s="107"/>
      <c r="H14" s="107"/>
      <c r="I14" s="107"/>
      <c r="J14" s="107"/>
      <c r="K14" s="107"/>
      <c r="L14" s="107"/>
      <c r="M14" s="107"/>
      <c r="N14" s="107"/>
      <c r="O14" s="107"/>
      <c r="P14" s="107"/>
      <c r="Q14" s="107"/>
    </row>
    <row r="16" spans="1:19">
      <c r="C16" s="38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1499-99A4-44BF-8165-DB55707B4F68}">
  <dimension ref="A1:S16"/>
  <sheetViews>
    <sheetView zoomScale="73" zoomScaleNormal="100" workbookViewId="0">
      <selection activeCell="C13" sqref="C13"/>
    </sheetView>
  </sheetViews>
  <sheetFormatPr defaultColWidth="9.1796875" defaultRowHeight="14.5"/>
  <cols>
    <col min="1" max="1" width="10.81640625" style="104" customWidth="1"/>
    <col min="2" max="2" width="10.7265625" style="104" customWidth="1"/>
    <col min="3" max="3" width="77" style="104" customWidth="1"/>
    <col min="4" max="4" width="10.7265625" style="104" customWidth="1"/>
    <col min="5" max="5" width="11" style="104" customWidth="1"/>
    <col min="6" max="6" width="12.7265625" style="104" customWidth="1"/>
    <col min="7" max="7" width="4.7265625" style="104" customWidth="1"/>
    <col min="8" max="8" width="3.7265625" style="104" customWidth="1"/>
    <col min="9" max="9" width="25.7265625" style="104" customWidth="1"/>
    <col min="10" max="10" width="3.7265625" style="104" customWidth="1"/>
    <col min="11" max="11" width="24.7265625" style="104" customWidth="1"/>
    <col min="12" max="16384" width="9.1796875" style="104"/>
  </cols>
  <sheetData>
    <row r="1" spans="1:19">
      <c r="A1" s="108"/>
      <c r="B1" s="104" t="s">
        <v>69</v>
      </c>
      <c r="D1" s="109"/>
      <c r="E1" s="104" t="s">
        <v>70</v>
      </c>
      <c r="G1" s="425"/>
      <c r="H1" s="425"/>
      <c r="I1" s="104" t="s">
        <v>71</v>
      </c>
      <c r="L1" s="110"/>
      <c r="M1" s="104" t="s">
        <v>72</v>
      </c>
    </row>
    <row r="2" spans="1:19">
      <c r="A2" s="105"/>
      <c r="B2" s="105"/>
      <c r="C2" s="105"/>
      <c r="D2" s="105"/>
      <c r="E2" s="105"/>
      <c r="F2" s="105"/>
      <c r="G2" s="105"/>
      <c r="H2" s="105"/>
      <c r="I2" s="105"/>
      <c r="J2" s="105"/>
      <c r="K2" s="105"/>
    </row>
    <row r="3" spans="1:19" ht="15" customHeight="1">
      <c r="A3" s="757" t="s">
        <v>451</v>
      </c>
      <c r="B3" s="758"/>
      <c r="C3" s="758"/>
      <c r="D3" s="758"/>
      <c r="E3" s="759"/>
      <c r="F3" s="112"/>
      <c r="G3" s="112"/>
      <c r="H3" s="112"/>
      <c r="I3" s="112"/>
      <c r="J3" s="112"/>
      <c r="K3" s="112"/>
      <c r="L3" s="106"/>
      <c r="M3" s="106"/>
      <c r="N3" s="106"/>
      <c r="O3" s="106"/>
      <c r="P3" s="106"/>
      <c r="Q3" s="106"/>
      <c r="R3" s="106"/>
      <c r="S3" s="106"/>
    </row>
    <row r="4" spans="1:19" ht="45" customHeight="1">
      <c r="A4" s="473" t="s">
        <v>452</v>
      </c>
      <c r="B4" s="474"/>
      <c r="C4" s="474"/>
      <c r="D4" s="474"/>
      <c r="E4" s="475"/>
      <c r="F4" s="111"/>
      <c r="G4" s="111"/>
      <c r="H4" s="111"/>
      <c r="I4" s="111"/>
      <c r="J4" s="111"/>
      <c r="K4" s="111"/>
      <c r="L4" s="106"/>
      <c r="M4" s="106"/>
      <c r="N4" s="106"/>
      <c r="O4" s="106"/>
      <c r="P4" s="106"/>
      <c r="Q4" s="106"/>
      <c r="R4" s="106"/>
      <c r="S4" s="106"/>
    </row>
    <row r="5" spans="1:19">
      <c r="A5" s="760" t="s">
        <v>130</v>
      </c>
      <c r="B5" s="760" t="s">
        <v>131</v>
      </c>
      <c r="C5" s="760" t="s">
        <v>132</v>
      </c>
      <c r="D5" s="760" t="s">
        <v>98</v>
      </c>
      <c r="E5" s="760"/>
      <c r="F5" s="105"/>
      <c r="G5" s="105"/>
      <c r="H5" s="105"/>
      <c r="I5" s="105"/>
      <c r="J5" s="105"/>
      <c r="K5" s="105"/>
    </row>
    <row r="6" spans="1:19">
      <c r="A6" s="760"/>
      <c r="B6" s="760"/>
      <c r="C6" s="760"/>
      <c r="D6" s="368" t="s">
        <v>99</v>
      </c>
      <c r="E6" s="368" t="s">
        <v>100</v>
      </c>
      <c r="F6" s="105"/>
      <c r="G6" s="105"/>
      <c r="H6" s="105"/>
      <c r="I6" s="105"/>
      <c r="J6" s="105"/>
      <c r="K6" s="105"/>
    </row>
    <row r="7" spans="1:19" ht="22.5" customHeight="1">
      <c r="A7" s="115" t="s">
        <v>134</v>
      </c>
      <c r="B7" s="117" t="s">
        <v>133</v>
      </c>
      <c r="C7" s="387" t="s">
        <v>470</v>
      </c>
      <c r="D7" s="113" t="s">
        <v>93</v>
      </c>
      <c r="E7" s="113" t="s">
        <v>93</v>
      </c>
      <c r="F7" s="105"/>
      <c r="G7" s="105"/>
      <c r="H7" s="105"/>
      <c r="I7" s="105"/>
      <c r="J7" s="105"/>
      <c r="K7" s="105"/>
    </row>
    <row r="8" spans="1:19" ht="26.5">
      <c r="A8" s="346" t="s">
        <v>134</v>
      </c>
      <c r="B8" s="347" t="s">
        <v>133</v>
      </c>
      <c r="C8" s="348" t="s">
        <v>136</v>
      </c>
      <c r="D8" s="347" t="s">
        <v>93</v>
      </c>
      <c r="E8" s="347" t="s">
        <v>93</v>
      </c>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4" spans="1:19">
      <c r="B14" s="107"/>
      <c r="C14" s="107"/>
      <c r="D14" s="107"/>
      <c r="E14" s="107"/>
      <c r="F14" s="107"/>
      <c r="G14" s="107"/>
      <c r="H14" s="107"/>
      <c r="I14" s="107"/>
      <c r="J14" s="107"/>
      <c r="K14" s="107"/>
      <c r="L14" s="107"/>
      <c r="M14" s="107"/>
      <c r="N14" s="107"/>
      <c r="O14" s="107"/>
      <c r="P14" s="107"/>
      <c r="Q14" s="107"/>
    </row>
    <row r="16" spans="1:19">
      <c r="C16" s="38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13"/>
  <sheetViews>
    <sheetView zoomScaleNormal="100" workbookViewId="0">
      <selection activeCell="C14" sqref="C14"/>
    </sheetView>
  </sheetViews>
  <sheetFormatPr defaultColWidth="9.1796875" defaultRowHeight="14.5"/>
  <cols>
    <col min="1" max="1" width="10.81640625" style="104" customWidth="1"/>
    <col min="2" max="2" width="10.7265625" style="104" customWidth="1"/>
    <col min="3" max="3" width="77" style="104" customWidth="1"/>
    <col min="4" max="4" width="10.7265625" style="104" customWidth="1"/>
    <col min="5" max="5" width="11" style="104" customWidth="1"/>
    <col min="6" max="6" width="12.7265625" style="104" customWidth="1"/>
    <col min="7" max="7" width="4.7265625" style="104" customWidth="1"/>
    <col min="8" max="8" width="3.7265625" style="104" customWidth="1"/>
    <col min="9" max="9" width="25.7265625" style="104" customWidth="1"/>
    <col min="10" max="10" width="3.7265625" style="104" customWidth="1"/>
    <col min="11" max="11" width="24.7265625" style="104" customWidth="1"/>
    <col min="12" max="16384" width="9.1796875" style="104"/>
  </cols>
  <sheetData>
    <row r="1" spans="1:19">
      <c r="A1" s="108"/>
      <c r="B1" s="104" t="s">
        <v>69</v>
      </c>
      <c r="D1" s="109"/>
      <c r="E1" s="104" t="s">
        <v>70</v>
      </c>
      <c r="G1" s="425"/>
      <c r="H1" s="425"/>
      <c r="I1" s="104" t="s">
        <v>71</v>
      </c>
      <c r="L1" s="110"/>
      <c r="M1" s="104" t="s">
        <v>72</v>
      </c>
    </row>
    <row r="2" spans="1:19">
      <c r="A2" s="105"/>
      <c r="B2" s="105"/>
      <c r="C2" s="105"/>
      <c r="D2" s="105"/>
      <c r="E2" s="105"/>
      <c r="F2" s="105"/>
      <c r="G2" s="105"/>
      <c r="H2" s="105"/>
      <c r="I2" s="105"/>
      <c r="J2" s="105"/>
      <c r="K2" s="105"/>
    </row>
    <row r="3" spans="1:19" ht="15" customHeight="1">
      <c r="A3" s="470" t="s">
        <v>453</v>
      </c>
      <c r="B3" s="471"/>
      <c r="C3" s="471"/>
      <c r="D3" s="471"/>
      <c r="E3" s="472"/>
      <c r="F3" s="112"/>
      <c r="G3" s="112"/>
      <c r="H3" s="112"/>
      <c r="I3" s="112"/>
      <c r="J3" s="112"/>
      <c r="K3" s="112"/>
      <c r="L3" s="106"/>
      <c r="M3" s="106"/>
      <c r="N3" s="106"/>
      <c r="O3" s="106"/>
      <c r="P3" s="106"/>
      <c r="Q3" s="106"/>
      <c r="R3" s="106"/>
      <c r="S3" s="106"/>
    </row>
    <row r="4" spans="1:19" ht="43" customHeight="1">
      <c r="A4" s="531" t="s">
        <v>406</v>
      </c>
      <c r="B4" s="532"/>
      <c r="C4" s="532"/>
      <c r="D4" s="532"/>
      <c r="E4" s="533"/>
      <c r="F4" s="111"/>
      <c r="G4" s="111"/>
      <c r="H4" s="111"/>
      <c r="I4" s="111"/>
      <c r="J4" s="111"/>
      <c r="K4" s="111"/>
      <c r="L4" s="106"/>
      <c r="M4" s="106"/>
      <c r="N4" s="106"/>
      <c r="O4" s="106"/>
      <c r="P4" s="106"/>
      <c r="Q4" s="106"/>
      <c r="R4" s="106"/>
      <c r="S4" s="106"/>
    </row>
    <row r="5" spans="1:19">
      <c r="A5" s="760" t="s">
        <v>130</v>
      </c>
      <c r="B5" s="760" t="s">
        <v>131</v>
      </c>
      <c r="C5" s="760" t="s">
        <v>132</v>
      </c>
      <c r="D5" s="760" t="s">
        <v>98</v>
      </c>
      <c r="E5" s="760"/>
      <c r="F5" s="105"/>
      <c r="G5" s="105"/>
      <c r="H5" s="105"/>
      <c r="I5" s="105"/>
      <c r="J5" s="105"/>
      <c r="K5" s="105"/>
    </row>
    <row r="6" spans="1:19">
      <c r="A6" s="760"/>
      <c r="B6" s="760"/>
      <c r="C6" s="760"/>
      <c r="D6" s="159" t="s">
        <v>99</v>
      </c>
      <c r="E6" s="159" t="s">
        <v>100</v>
      </c>
      <c r="F6" s="105"/>
      <c r="G6" s="105"/>
      <c r="H6" s="105"/>
      <c r="I6" s="105"/>
      <c r="J6" s="105"/>
      <c r="K6" s="105"/>
    </row>
    <row r="7" spans="1:19" ht="34.5" customHeight="1">
      <c r="A7" s="115" t="s">
        <v>134</v>
      </c>
      <c r="B7" s="117" t="s">
        <v>133</v>
      </c>
      <c r="C7" s="116" t="s">
        <v>241</v>
      </c>
      <c r="D7" s="113" t="s">
        <v>93</v>
      </c>
      <c r="E7" s="113" t="s">
        <v>93</v>
      </c>
      <c r="F7" s="105"/>
      <c r="G7" s="105"/>
      <c r="H7" s="105"/>
      <c r="I7" s="105"/>
      <c r="J7" s="105"/>
      <c r="K7" s="105"/>
    </row>
    <row r="8" spans="1:19">
      <c r="A8" s="105"/>
      <c r="B8" s="105"/>
      <c r="C8" s="105"/>
      <c r="D8" s="105"/>
      <c r="E8" s="105"/>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1" spans="1:19">
      <c r="A11" s="105"/>
      <c r="B11" s="105"/>
      <c r="C11" s="105"/>
      <c r="D11" s="105"/>
      <c r="E11" s="105"/>
      <c r="F11" s="105"/>
      <c r="G11" s="105"/>
      <c r="H11" s="105"/>
      <c r="I11" s="105"/>
      <c r="J11" s="105"/>
      <c r="K11" s="105"/>
    </row>
    <row r="13" spans="1:19">
      <c r="C13" s="358" t="s">
        <v>473</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9198-A646-4B42-A8B8-449661E1595B}">
  <dimension ref="A1:S14"/>
  <sheetViews>
    <sheetView topLeftCell="B1" zoomScaleNormal="100" workbookViewId="0">
      <selection activeCell="C14" sqref="C14"/>
    </sheetView>
  </sheetViews>
  <sheetFormatPr defaultColWidth="9.1796875" defaultRowHeight="14.5"/>
  <cols>
    <col min="1" max="1" width="10.81640625" style="104" customWidth="1"/>
    <col min="2" max="2" width="10.7265625" style="104" customWidth="1"/>
    <col min="3" max="3" width="77" style="104" customWidth="1"/>
    <col min="4" max="4" width="10.7265625" style="104" customWidth="1"/>
    <col min="5" max="5" width="11" style="104" customWidth="1"/>
    <col min="6" max="6" width="12.7265625" style="104" customWidth="1"/>
    <col min="7" max="7" width="4.7265625" style="104" customWidth="1"/>
    <col min="8" max="8" width="3.7265625" style="104" customWidth="1"/>
    <col min="9" max="9" width="25.7265625" style="104" customWidth="1"/>
    <col min="10" max="10" width="3.7265625" style="104" customWidth="1"/>
    <col min="11" max="11" width="24.7265625" style="104" customWidth="1"/>
    <col min="12" max="16384" width="9.1796875" style="104"/>
  </cols>
  <sheetData>
    <row r="1" spans="1:19">
      <c r="A1" s="108"/>
      <c r="B1" s="104" t="s">
        <v>69</v>
      </c>
      <c r="D1" s="109"/>
      <c r="E1" s="104" t="s">
        <v>70</v>
      </c>
      <c r="G1" s="425"/>
      <c r="H1" s="425"/>
      <c r="I1" s="104" t="s">
        <v>71</v>
      </c>
      <c r="L1" s="110"/>
      <c r="M1" s="104" t="s">
        <v>72</v>
      </c>
    </row>
    <row r="2" spans="1:19">
      <c r="A2" s="105"/>
      <c r="B2" s="105"/>
      <c r="C2" s="105"/>
      <c r="D2" s="105"/>
      <c r="E2" s="105"/>
      <c r="F2" s="105"/>
      <c r="G2" s="105"/>
      <c r="H2" s="105"/>
      <c r="I2" s="105"/>
      <c r="J2" s="105"/>
      <c r="K2" s="105"/>
    </row>
    <row r="3" spans="1:19" ht="15" customHeight="1">
      <c r="A3" s="470" t="s">
        <v>453</v>
      </c>
      <c r="B3" s="471"/>
      <c r="C3" s="471"/>
      <c r="D3" s="471"/>
      <c r="E3" s="472"/>
      <c r="F3" s="112"/>
      <c r="G3" s="112"/>
      <c r="H3" s="112"/>
      <c r="I3" s="112"/>
      <c r="J3" s="112"/>
      <c r="K3" s="112"/>
      <c r="L3" s="106"/>
      <c r="M3" s="106"/>
      <c r="N3" s="106"/>
      <c r="O3" s="106"/>
      <c r="P3" s="106"/>
      <c r="Q3" s="106"/>
      <c r="R3" s="106"/>
      <c r="S3" s="106"/>
    </row>
    <row r="4" spans="1:19" ht="43" customHeight="1">
      <c r="A4" s="531" t="s">
        <v>406</v>
      </c>
      <c r="B4" s="532"/>
      <c r="C4" s="532"/>
      <c r="D4" s="532"/>
      <c r="E4" s="533"/>
      <c r="F4" s="111"/>
      <c r="G4" s="111"/>
      <c r="H4" s="111"/>
      <c r="I4" s="111"/>
      <c r="J4" s="111"/>
      <c r="K4" s="111"/>
      <c r="L4" s="106"/>
      <c r="M4" s="106"/>
      <c r="N4" s="106"/>
      <c r="O4" s="106"/>
      <c r="P4" s="106"/>
      <c r="Q4" s="106"/>
      <c r="R4" s="106"/>
      <c r="S4" s="106"/>
    </row>
    <row r="5" spans="1:19">
      <c r="A5" s="760" t="s">
        <v>130</v>
      </c>
      <c r="B5" s="760" t="s">
        <v>131</v>
      </c>
      <c r="C5" s="760" t="s">
        <v>132</v>
      </c>
      <c r="D5" s="760" t="s">
        <v>98</v>
      </c>
      <c r="E5" s="760"/>
      <c r="F5" s="105"/>
      <c r="G5" s="105"/>
      <c r="H5" s="105"/>
      <c r="I5" s="105"/>
      <c r="J5" s="105"/>
      <c r="K5" s="105"/>
    </row>
    <row r="6" spans="1:19">
      <c r="A6" s="760"/>
      <c r="B6" s="760"/>
      <c r="C6" s="760"/>
      <c r="D6" s="368" t="s">
        <v>99</v>
      </c>
      <c r="E6" s="368" t="s">
        <v>100</v>
      </c>
      <c r="F6" s="105"/>
      <c r="G6" s="105"/>
      <c r="H6" s="105"/>
      <c r="I6" s="105"/>
      <c r="J6" s="105"/>
      <c r="K6" s="105"/>
    </row>
    <row r="7" spans="1:19" ht="34.5" customHeight="1">
      <c r="A7" s="115" t="s">
        <v>134</v>
      </c>
      <c r="B7" s="117" t="s">
        <v>133</v>
      </c>
      <c r="C7" s="388" t="s">
        <v>471</v>
      </c>
      <c r="D7" s="113" t="s">
        <v>93</v>
      </c>
      <c r="E7" s="113" t="s">
        <v>93</v>
      </c>
      <c r="F7" s="105"/>
      <c r="G7" s="105"/>
      <c r="H7" s="105"/>
      <c r="I7" s="105"/>
      <c r="J7" s="105"/>
      <c r="K7" s="105"/>
    </row>
    <row r="8" spans="1:19">
      <c r="A8" s="105"/>
      <c r="B8" s="105"/>
      <c r="C8" s="105"/>
      <c r="D8" s="105"/>
      <c r="E8" s="105"/>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1" spans="1:19">
      <c r="A11" s="105"/>
      <c r="B11" s="105"/>
      <c r="C11" s="105"/>
      <c r="D11" s="105"/>
      <c r="E11" s="105"/>
      <c r="F11" s="105"/>
      <c r="G11" s="105"/>
      <c r="H11" s="105"/>
      <c r="I11" s="105"/>
      <c r="J11" s="105"/>
      <c r="K11" s="105"/>
    </row>
    <row r="14" spans="1:19">
      <c r="C14" s="358" t="s">
        <v>472</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4191648E-47E2-4DF3-8FB5-7F8C5CEBB376}"/>
</file>

<file path=customXml/itemProps2.xml><?xml version="1.0" encoding="utf-8"?>
<ds:datastoreItem xmlns:ds="http://schemas.openxmlformats.org/officeDocument/2006/customXml" ds:itemID="{86CB3AEA-EC00-4785-BC52-D2A325F9436C}"/>
</file>

<file path=customXml/itemProps3.xml><?xml version="1.0" encoding="utf-8"?>
<ds:datastoreItem xmlns:ds="http://schemas.openxmlformats.org/officeDocument/2006/customXml" ds:itemID="{FB181B54-3410-453B-B7C9-6A56DAD035E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19</vt:i4>
      </vt:variant>
    </vt:vector>
  </HeadingPairs>
  <TitlesOfParts>
    <vt:vector size="43" baseType="lpstr">
      <vt:lpstr>Change Log</vt:lpstr>
      <vt:lpstr>Table Sequence</vt:lpstr>
      <vt:lpstr>Hyperlinks</vt:lpstr>
      <vt:lpstr>NRCC Headers</vt:lpstr>
      <vt:lpstr>LMCC Headers</vt:lpstr>
      <vt:lpstr>NRCC A. General Info</vt:lpstr>
      <vt:lpstr>LMCC A. General Info</vt:lpstr>
      <vt:lpstr>B. Project Scope</vt:lpstr>
      <vt:lpstr>C. Compliance</vt:lpstr>
      <vt:lpstr>D. Exceptional Conditions</vt:lpstr>
      <vt:lpstr>E. Additional Remarks</vt:lpstr>
      <vt:lpstr>F. Lighting Schedule</vt:lpstr>
      <vt:lpstr>G. BUG</vt:lpstr>
      <vt:lpstr>H. Lighting Controls</vt:lpstr>
      <vt:lpstr>I. Allowance General </vt:lpstr>
      <vt:lpstr>J. Per Application</vt:lpstr>
      <vt:lpstr>K. Sales Frontage</vt:lpstr>
      <vt:lpstr>L. Ornamental</vt:lpstr>
      <vt:lpstr>M. Per Specific Area</vt:lpstr>
      <vt:lpstr>N. Exist. Cond.</vt:lpstr>
      <vt:lpstr>O. NRCI</vt:lpstr>
      <vt:lpstr>O. LMCI</vt:lpstr>
      <vt:lpstr>P. NRCA</vt:lpstr>
      <vt:lpstr>P. LMCA</vt:lpstr>
      <vt:lpstr>'B. Project Scope'!Print_Area</vt:lpstr>
      <vt:lpstr>'C. Compliance'!Print_Area</vt:lpstr>
      <vt:lpstr>'D. Exceptional Conditions'!Print_Area</vt:lpstr>
      <vt:lpstr>'E. Additional Remarks'!Print_Area</vt:lpstr>
      <vt:lpstr>'G. BUG'!Print_Area</vt:lpstr>
      <vt:lpstr>'H. Lighting Controls'!Print_Area</vt:lpstr>
      <vt:lpstr>'I. Allowance General '!Print_Area</vt:lpstr>
      <vt:lpstr>'J. Per Application'!Print_Area</vt:lpstr>
      <vt:lpstr>'K. Sales Frontage'!Print_Area</vt:lpstr>
      <vt:lpstr>'L. Ornamental'!Print_Area</vt:lpstr>
      <vt:lpstr>'LMCC A. General Info'!Print_Area</vt:lpstr>
      <vt:lpstr>'LMCC Headers'!Print_Area</vt:lpstr>
      <vt:lpstr>'M. Per Specific Area'!Print_Area</vt:lpstr>
      <vt:lpstr>'NRCC A. General Info'!Print_Area</vt:lpstr>
      <vt:lpstr>'NRCC Headers'!Print_Area</vt:lpstr>
      <vt:lpstr>'O. LMCI'!Print_Area</vt:lpstr>
      <vt:lpstr>'O. NRCI'!Print_Area</vt:lpstr>
      <vt:lpstr>'P. LMCA'!Print_Area</vt:lpstr>
      <vt:lpstr>'P. NRCA'!Print_Area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Sally Blair</cp:lastModifiedBy>
  <cp:lastPrinted>2018-10-01T20:11:59Z</cp:lastPrinted>
  <dcterms:created xsi:type="dcterms:W3CDTF">2017-03-06T18:27:21Z</dcterms:created>
  <dcterms:modified xsi:type="dcterms:W3CDTF">2022-03-15T17:52:19Z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