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threadedComments/threadedComment1.xml" ContentType="application/vnd.ms-excel.threadedcomments+xml"/>
  <Override PartName="/xl/comments11.xml" ContentType="application/vnd.openxmlformats-officedocument.spreadsheetml.comments+xml"/>
  <Override PartName="/xl/drawings/drawing6.xml" ContentType="application/vnd.openxmlformats-officedocument.drawing+xml"/>
  <Override PartName="/xl/comments12.xml" ContentType="application/vnd.openxmlformats-officedocument.spreadsheetml.comments+xml"/>
  <Override PartName="/xl/drawings/drawing7.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https://caenergy.sharepoint.com/sites/EnergyCodeUpdate/Shared Documents/2022 Energy Code Update/2022 Compliance Documents/Mockups from NORESCO/Mockups from NORESCO/NRCC-LMCC/"/>
    </mc:Choice>
  </mc:AlternateContent>
  <xr:revisionPtr revIDLastSave="0" documentId="13_ncr:1_{6C0EB2DB-0273-4D0C-AECE-EFCC78A57041}" xr6:coauthVersionLast="47" xr6:coauthVersionMax="47" xr10:uidLastSave="{00000000-0000-0000-0000-000000000000}"/>
  <bookViews>
    <workbookView xWindow="-120" yWindow="-120" windowWidth="29040" windowHeight="15840" tabRatio="942" activeTab="3" xr2:uid="{00000000-000D-0000-FFFF-FFFF00000000}"/>
  </bookViews>
  <sheets>
    <sheet name="Table Sequence" sheetId="17" r:id="rId1"/>
    <sheet name="Hyperlinks" sheetId="49" r:id="rId2"/>
    <sheet name="NRCC Headers" sheetId="1" r:id="rId3"/>
    <sheet name="LMCC Headers" sheetId="57" r:id="rId4"/>
    <sheet name="NRCC A. General Info" sheetId="20" r:id="rId5"/>
    <sheet name="LMCC A. General Info" sheetId="58" r:id="rId6"/>
    <sheet name="NRCC B. Project Scope" sheetId="7" r:id="rId7"/>
    <sheet name="LMCC B. Project Scope" sheetId="55" r:id="rId8"/>
    <sheet name="C. Compliance" sheetId="11" r:id="rId9"/>
    <sheet name="D. Exceptional Conditions" sheetId="18" r:id="rId10"/>
    <sheet name="E. Additional Remarks" sheetId="19" r:id="rId11"/>
    <sheet name="F. Allocated Zone" sheetId="51" r:id="rId12"/>
    <sheet name="G. PV" sheetId="34" r:id="rId13"/>
    <sheet name="H. SWH_NOT USED" sheetId="50" state="hidden" r:id="rId14"/>
    <sheet name="H. SWH" sheetId="52" r:id="rId15"/>
    <sheet name="I. Tstat+EE" sheetId="26" r:id="rId16"/>
    <sheet name="NRCC J. PV&amp;Batt" sheetId="56" r:id="rId17"/>
    <sheet name="LMCC J. PV&amp;Batt" sheetId="54" r:id="rId18"/>
    <sheet name="K. NRCI" sheetId="43" r:id="rId19"/>
    <sheet name="K. LMCI" sheetId="59" r:id="rId20"/>
    <sheet name="L. NRCA" sheetId="42" r:id="rId21"/>
    <sheet name="L. LMCA" sheetId="60" r:id="rId22"/>
  </sheets>
  <externalReferences>
    <externalReference r:id="rId23"/>
  </externalReferences>
  <definedNames>
    <definedName name="CalcMethod" localSheetId="11">'NRCC B. Project Scope'!#REF!</definedName>
    <definedName name="CalcMethod" localSheetId="14">'NRCC B. Project Scope'!#REF!</definedName>
    <definedName name="CalcMethod" localSheetId="13">'NRCC B. Project Scope'!#REF!</definedName>
    <definedName name="CalcMethod" localSheetId="1">'NRCC B. Project Scope'!#REF!</definedName>
    <definedName name="CalcMethod" localSheetId="19">'[1]B. Project Scope'!#REF!</definedName>
    <definedName name="CalcMethod" localSheetId="18">'[1]B. Project Scope'!#REF!</definedName>
    <definedName name="CalcMethod" localSheetId="21">'[1]B. Project Scope'!#REF!</definedName>
    <definedName name="CalcMethod" localSheetId="20">'[1]B. Project Scope'!#REF!</definedName>
    <definedName name="CalcMethod" localSheetId="7">'LMCC B. Project Scope'!#REF!</definedName>
    <definedName name="CalcMethod">'NRCC B. Project Scope'!#REF!</definedName>
    <definedName name="_xlnm.Print_Area" localSheetId="8">'C. Compliance'!$A$3:$O$12</definedName>
    <definedName name="_xlnm.Print_Area" localSheetId="9">'D. Exceptional Conditions'!$A$2:$K$7</definedName>
    <definedName name="_xlnm.Print_Area" localSheetId="10">'E. Additional Remarks'!$A$2:$K$7</definedName>
    <definedName name="_xlnm.Print_Area" localSheetId="12">'G. PV'!$A$2:$AG$12</definedName>
    <definedName name="_xlnm.Print_Area" localSheetId="14">'H. SWH'!$A$2:$AP$12</definedName>
    <definedName name="_xlnm.Print_Area" localSheetId="13">'H. SWH_NOT USED'!$A$2:$AN$13</definedName>
    <definedName name="_xlnm.Print_Area" localSheetId="15">'I. Tstat+EE'!#REF!</definedName>
    <definedName name="_xlnm.Print_Area" localSheetId="19">'K. LMCI'!$A$2:$K$5</definedName>
    <definedName name="_xlnm.Print_Area" localSheetId="18">'K. NRCI'!$A$2:$K$5</definedName>
    <definedName name="_xlnm.Print_Area" localSheetId="21">'L. LMCA'!$A$2:$K$4</definedName>
    <definedName name="_xlnm.Print_Area" localSheetId="20">'L. NRCA'!$A$2:$K$4</definedName>
    <definedName name="_xlnm.Print_Area" localSheetId="5">'LMCC A. General Info'!$A$2:$L$2</definedName>
    <definedName name="_xlnm.Print_Area" localSheetId="7">'LMCC B. Project Scope'!$A$2:$I$12</definedName>
    <definedName name="_xlnm.Print_Area" localSheetId="3">'LMCC Headers'!$A$3:$K$24</definedName>
    <definedName name="_xlnm.Print_Area" localSheetId="4">'NRCC A. General Info'!$A$2:$L$2</definedName>
    <definedName name="_xlnm.Print_Area" localSheetId="6">'NRCC B. Project Scope'!$A$2:$I$13</definedName>
    <definedName name="_xlnm.Print_Area" localSheetId="2">'NRCC Headers'!$A$3:$K$24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2" i="11" l="1" a="1"/>
  <c r="A12" i="11" s="1"/>
  <c r="L9" i="51" l="1"/>
  <c r="C10" i="11" l="1"/>
  <c r="A10" i="11" l="1"/>
  <c r="M9" i="51"/>
  <c r="D9" i="51"/>
  <c r="B8"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12" authorId="0" shapeId="0" xr:uid="{272E6CA7-E0EA-4288-B7F6-D532FA24CEBE}">
      <text>
        <r>
          <rPr>
            <b/>
            <sz val="9"/>
            <color indexed="10"/>
            <rFont val="Tahoma"/>
            <family val="2"/>
          </rPr>
          <t>11.5.12:</t>
        </r>
        <r>
          <rPr>
            <sz val="9"/>
            <color indexed="10"/>
            <rFont val="Tahoma"/>
            <family val="2"/>
          </rPr>
          <t xml:space="preserve">
This is select all that apply
</t>
        </r>
      </text>
    </comment>
    <comment ref="K37" authorId="0" shapeId="0" xr:uid="{00000000-0006-0000-0300-000004000000}">
      <text>
        <r>
          <rPr>
            <b/>
            <sz val="9"/>
            <color indexed="81"/>
            <rFont val="Tahoma"/>
            <family val="2"/>
          </rPr>
          <t>10.27.21:</t>
        </r>
        <r>
          <rPr>
            <sz val="9"/>
            <color indexed="81"/>
            <rFont val="Tahoma"/>
            <family val="2"/>
          </rPr>
          <t xml:space="preserve">
</t>
        </r>
        <r>
          <rPr>
            <b/>
            <strike/>
            <sz val="9"/>
            <color indexed="10"/>
            <rFont val="Tahoma"/>
            <family val="2"/>
          </rPr>
          <t>Last 3</t>
        </r>
        <r>
          <rPr>
            <b/>
            <sz val="9"/>
            <color indexed="10"/>
            <rFont val="Tahoma"/>
            <family val="2"/>
          </rPr>
          <t xml:space="preserve"> This Healthcare</t>
        </r>
        <r>
          <rPr>
            <sz val="9"/>
            <color indexed="81"/>
            <rFont val="Tahoma"/>
            <family val="2"/>
          </rPr>
          <t xml:space="preserve"> option triggers "STOP!" message in row 10.</t>
        </r>
      </text>
    </comment>
    <comment ref="K45" authorId="0" shapeId="0" xr:uid="{2F0F5A2E-22D2-4934-B6BD-96E26CA25FFE}">
      <text>
        <r>
          <rPr>
            <b/>
            <sz val="9"/>
            <color indexed="81"/>
            <rFont val="Tahoma"/>
            <family val="2"/>
          </rPr>
          <t>Sally Blair:</t>
        </r>
        <r>
          <rPr>
            <sz val="9"/>
            <color indexed="81"/>
            <rFont val="Tahoma"/>
            <family val="2"/>
          </rPr>
          <t xml:space="preserve">
Triggers STOP! Note in row 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19" authorId="0" shapeId="0" xr:uid="{F5964E28-0620-4F81-8097-2BC46C2B0D27}">
      <text>
        <r>
          <rPr>
            <b/>
            <sz val="9"/>
            <color indexed="81"/>
            <rFont val="Tahoma"/>
            <family val="2"/>
          </rPr>
          <t>Sally Blair:</t>
        </r>
        <r>
          <rPr>
            <sz val="9"/>
            <color indexed="81"/>
            <rFont val="Tahoma"/>
            <family val="2"/>
          </rPr>
          <t xml:space="preserve">
Triggers STOP! Note in row 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6" authorId="0" shapeId="0" xr:uid="{9EBE5D3A-2D9D-460C-8316-D65CF8D55FE1}">
      <text>
        <r>
          <rPr>
            <b/>
            <sz val="9"/>
            <color indexed="10"/>
            <rFont val="Tahoma"/>
            <family val="2"/>
          </rPr>
          <t>10.26.21:</t>
        </r>
        <r>
          <rPr>
            <sz val="9"/>
            <color indexed="10"/>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11" authorId="0" shapeId="0" xr:uid="{00000000-0006-0000-0400-000003000000}">
      <text>
        <r>
          <rPr>
            <b/>
            <sz val="9"/>
            <color indexed="81"/>
            <rFont val="Tahoma"/>
            <family val="2"/>
          </rPr>
          <t>2019 Update:</t>
        </r>
        <r>
          <rPr>
            <sz val="9"/>
            <color indexed="81"/>
            <rFont val="Tahoma"/>
            <family val="2"/>
          </rPr>
          <t xml:space="preserve">
This should only be available if the form user selects the Hotel/Motel or High-rise multifamily options in Table A column 04.</t>
        </r>
      </text>
    </comment>
    <comment ref="A12" authorId="1" shapeId="0" xr:uid="{00000000-0006-0000-0400-000004000000}">
      <text>
        <r>
          <rPr>
            <b/>
            <sz val="9"/>
            <color indexed="81"/>
            <rFont val="Tahoma"/>
            <family val="2"/>
          </rPr>
          <t>Rebecca Rice:</t>
        </r>
        <r>
          <rPr>
            <sz val="9"/>
            <color indexed="81"/>
            <rFont val="Tahoma"/>
            <family val="2"/>
          </rPr>
          <t xml:space="preserve">
The smart thermostat + EE option checkbox should only be available if the form user selects the high-rise multi-family option on Table A</t>
        </r>
      </text>
    </comment>
    <comment ref="A14" authorId="0" shapeId="0" xr:uid="{94276F7A-1A90-4AEE-BA28-3C817454D303}">
      <text>
        <r>
          <rPr>
            <b/>
            <sz val="9"/>
            <color indexed="10"/>
            <rFont val="Tahoma"/>
            <family val="2"/>
          </rPr>
          <t>10.29.21:</t>
        </r>
        <r>
          <rPr>
            <sz val="9"/>
            <color indexed="10"/>
            <rFont val="Tahoma"/>
            <family val="2"/>
          </rPr>
          <t xml:space="preserve">
= true if "New Construction w roof &lt;= 533ft2" selected in A05</t>
        </r>
      </text>
    </comment>
    <comment ref="A15" authorId="0" shapeId="0" xr:uid="{8F232A07-5F13-4115-B0E4-EFE5547516B5}">
      <text>
        <r>
          <rPr>
            <b/>
            <sz val="9"/>
            <color indexed="10"/>
            <rFont val="Tahoma"/>
            <family val="2"/>
          </rPr>
          <t>10.29.21:</t>
        </r>
        <r>
          <rPr>
            <sz val="9"/>
            <color indexed="10"/>
            <rFont val="Tahoma"/>
            <family val="2"/>
          </rPr>
          <t xml:space="preserve">
= true if:
- Highrise MF, hotel/motel in A04 AND Bldg &gt; 10 stories in A06 OR
- Any other occupancy selected in A04 AND Bldg &gt; 3 stories in A06</t>
        </r>
      </text>
    </comment>
    <comment ref="A23" authorId="0" shapeId="0" xr:uid="{5872C837-F1A1-4A56-B9D6-7670906A5931}">
      <text>
        <r>
          <rPr>
            <b/>
            <sz val="9"/>
            <color indexed="10"/>
            <rFont val="Tahoma"/>
            <family val="2"/>
          </rPr>
          <t>10.26.21:</t>
        </r>
        <r>
          <rPr>
            <sz val="9"/>
            <color indexed="10"/>
            <rFont val="Tahoma"/>
            <family val="2"/>
          </rPr>
          <t xml:space="preserve">
This subtable is triggered if PV/battery requirements apply from Table A.</t>
        </r>
      </text>
    </comment>
    <comment ref="A25" authorId="0" shapeId="0" xr:uid="{F9E12A5F-0B7E-4D6E-B240-0DDA8F71AC16}">
      <text>
        <r>
          <rPr>
            <b/>
            <sz val="9"/>
            <color indexed="10"/>
            <rFont val="Tahoma"/>
            <family val="2"/>
          </rPr>
          <t>10.31.21:</t>
        </r>
        <r>
          <rPr>
            <sz val="9"/>
            <color indexed="10"/>
            <rFont val="Tahoma"/>
            <family val="2"/>
          </rPr>
          <t xml:space="preserve">
= True if:
- Table J "Total Installed PV" &gt;= "Total Required PV" AND
- Table J "Total Energy Capacity Designed" &gt;= "Total Required Energy Capacity" AND
- Table J "Total Power Capacity Designed" &gt;= "Total Required Power Capacity"</t>
        </r>
      </text>
    </comment>
    <comment ref="A26" authorId="0" shapeId="0" xr:uid="{E39D05A8-76B1-44C6-8457-D5FE13726EEF}">
      <text>
        <r>
          <rPr>
            <b/>
            <sz val="9"/>
            <color indexed="10"/>
            <rFont val="Tahoma"/>
            <family val="2"/>
          </rPr>
          <t>10.31..21:</t>
        </r>
        <r>
          <rPr>
            <sz val="9"/>
            <color indexed="10"/>
            <rFont val="Tahoma"/>
            <family val="2"/>
          </rPr>
          <t xml:space="preserve">
= True if:
- Table J "Total Required PV" = 0 because Sum col 07 &lt; 0.03 x Sum col 02 (See Table J logic.) Bless us all.</t>
        </r>
      </text>
    </comment>
    <comment ref="A27" authorId="0" shapeId="0" xr:uid="{D87E6C79-F8F4-477C-B442-D298A123D882}">
      <text>
        <r>
          <rPr>
            <b/>
            <sz val="9"/>
            <color indexed="10"/>
            <rFont val="Tahoma"/>
            <family val="2"/>
          </rPr>
          <t>10.31.21:</t>
        </r>
        <r>
          <rPr>
            <sz val="9"/>
            <color indexed="10"/>
            <rFont val="Tahoma"/>
            <family val="2"/>
          </rPr>
          <t xml:space="preserve">
= True if:
- Table J "Total Required PV" = 0 because Sum col 08 &lt; 4 (See Table J logic.) </t>
        </r>
      </text>
    </comment>
    <comment ref="A28" authorId="0" shapeId="0" xr:uid="{5D2782CD-E8D8-46FC-85F0-4E82BB21E21A}">
      <text>
        <r>
          <rPr>
            <b/>
            <sz val="9"/>
            <color indexed="10"/>
            <rFont val="Tahoma"/>
            <family val="2"/>
          </rPr>
          <t>10.31.21:</t>
        </r>
        <r>
          <rPr>
            <sz val="9"/>
            <color indexed="10"/>
            <rFont val="Tahoma"/>
            <family val="2"/>
          </rPr>
          <t xml:space="preserve">
= True if:
- Table J "Total Required PV" = 0 because Sum col 07 &lt; 80 (See Table J logic.) </t>
        </r>
      </text>
    </comment>
    <comment ref="A38" authorId="0" shapeId="0" xr:uid="{C98A4E12-83E1-4F44-AD64-4CCB9507BD7D}">
      <text>
        <r>
          <rPr>
            <b/>
            <sz val="9"/>
            <color indexed="10"/>
            <rFont val="Tahoma"/>
            <family val="2"/>
          </rPr>
          <t>11.5.21:</t>
        </r>
        <r>
          <rPr>
            <sz val="9"/>
            <color indexed="10"/>
            <rFont val="Tahoma"/>
            <family val="2"/>
          </rPr>
          <t xml:space="preserve">
This subtable is triggered by a question in the UI asking if they are documenting compliance with Solar Thermal Water heating per §170.2(d)3C for multifamilyand hotel/ motel occupancies.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6" authorId="0" shapeId="0" xr:uid="{86BC31DC-05DE-4394-A190-9C4FC8748190}">
      <text>
        <r>
          <rPr>
            <b/>
            <sz val="9"/>
            <color indexed="10"/>
            <rFont val="Tahoma"/>
            <family val="2"/>
          </rPr>
          <t>10.26.21:</t>
        </r>
        <r>
          <rPr>
            <sz val="9"/>
            <color indexed="10"/>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11" authorId="1" shapeId="0" xr:uid="{7F187B67-4395-4086-9E22-F13185DEE2E2}">
      <text>
        <r>
          <rPr>
            <b/>
            <sz val="9"/>
            <color indexed="81"/>
            <rFont val="Tahoma"/>
            <family val="2"/>
          </rPr>
          <t xml:space="preserve">10.29.21:
</t>
        </r>
        <r>
          <rPr>
            <sz val="9"/>
            <color indexed="81"/>
            <rFont val="Tahoma"/>
            <family val="2"/>
          </rPr>
          <t xml:space="preserve">The smart thermostat + EE option checkbox should only be available if the form user selects the </t>
        </r>
        <r>
          <rPr>
            <b/>
            <sz val="9"/>
            <color indexed="12"/>
            <rFont val="Tahoma"/>
            <family val="2"/>
          </rPr>
          <t>low-rise</t>
        </r>
        <r>
          <rPr>
            <sz val="9"/>
            <color indexed="81"/>
            <rFont val="Tahoma"/>
            <family val="2"/>
          </rPr>
          <t xml:space="preserve"> multifamily option on Table A</t>
        </r>
      </text>
    </comment>
    <comment ref="A13" authorId="0" shapeId="0" xr:uid="{ED24EF84-3E40-4F46-90B5-280E8B5A9849}">
      <text>
        <r>
          <rPr>
            <b/>
            <sz val="9"/>
            <color indexed="10"/>
            <rFont val="Tahoma"/>
            <family val="2"/>
          </rPr>
          <t>10.29.21:</t>
        </r>
        <r>
          <rPr>
            <sz val="9"/>
            <color indexed="10"/>
            <rFont val="Tahoma"/>
            <family val="2"/>
          </rPr>
          <t xml:space="preserve">
= true if "New Construction w roof &lt;= 533ft2" selected in A05</t>
        </r>
      </text>
    </comment>
    <comment ref="A22" authorId="0" shapeId="0" xr:uid="{E449E193-5683-4641-A6AC-43A840F5173B}">
      <text>
        <r>
          <rPr>
            <b/>
            <sz val="9"/>
            <color indexed="10"/>
            <rFont val="Tahoma"/>
            <family val="2"/>
          </rPr>
          <t>10.26.21:</t>
        </r>
        <r>
          <rPr>
            <sz val="9"/>
            <color indexed="10"/>
            <rFont val="Tahoma"/>
            <family val="2"/>
          </rPr>
          <t xml:space="preserve">
This subtable is triggered if PV/battery requirements apply from Table A.</t>
        </r>
      </text>
    </comment>
    <comment ref="A24" authorId="0" shapeId="0" xr:uid="{52438DD6-46AC-4BC9-BF96-54F956A53791}">
      <text>
        <r>
          <rPr>
            <b/>
            <sz val="9"/>
            <color indexed="10"/>
            <rFont val="Tahoma"/>
            <family val="2"/>
          </rPr>
          <t>10.31.21:</t>
        </r>
        <r>
          <rPr>
            <sz val="9"/>
            <color indexed="10"/>
            <rFont val="Tahoma"/>
            <family val="2"/>
          </rPr>
          <t xml:space="preserve">
= True if:
</t>
        </r>
        <r>
          <rPr>
            <b/>
            <sz val="9"/>
            <color indexed="39"/>
            <rFont val="Tahoma"/>
            <family val="2"/>
          </rPr>
          <t>- Table J col 10 &gt;= Table J col 09</t>
        </r>
        <r>
          <rPr>
            <sz val="9"/>
            <color indexed="10"/>
            <rFont val="Tahoma"/>
            <family val="2"/>
          </rPr>
          <t xml:space="preserve">
</t>
        </r>
      </text>
    </comment>
    <comment ref="A26" authorId="0" shapeId="0" xr:uid="{2215B914-9286-4611-A18E-BE140DCCB87F}">
      <text>
        <r>
          <rPr>
            <b/>
            <sz val="9"/>
            <color indexed="10"/>
            <rFont val="Tahoma"/>
            <family val="2"/>
          </rPr>
          <t>10.31.21:</t>
        </r>
        <r>
          <rPr>
            <sz val="9"/>
            <color indexed="10"/>
            <rFont val="Tahoma"/>
            <family val="2"/>
          </rPr>
          <t xml:space="preserve">
= True if:
- Table J "Total Required PV" = 0 because Sum col 08 &lt; </t>
        </r>
        <r>
          <rPr>
            <b/>
            <strike/>
            <sz val="9"/>
            <color indexed="12"/>
            <rFont val="Tahoma"/>
            <family val="2"/>
          </rPr>
          <t>4</t>
        </r>
        <r>
          <rPr>
            <b/>
            <sz val="9"/>
            <color indexed="12"/>
            <rFont val="Tahoma"/>
            <family val="2"/>
          </rPr>
          <t xml:space="preserve"> 1.8</t>
        </r>
        <r>
          <rPr>
            <sz val="9"/>
            <color indexed="10"/>
            <rFont val="Tahoma"/>
            <family val="2"/>
          </rPr>
          <t xml:space="preserve"> (See Table J logic.) </t>
        </r>
      </text>
    </comment>
    <comment ref="A27" authorId="0" shapeId="0" xr:uid="{A85994F0-AF86-4A14-B130-B6CD03D01DD3}">
      <text>
        <r>
          <rPr>
            <b/>
            <sz val="9"/>
            <color indexed="10"/>
            <rFont val="Tahoma"/>
            <family val="2"/>
          </rPr>
          <t>10.31.21:</t>
        </r>
        <r>
          <rPr>
            <sz val="9"/>
            <color indexed="10"/>
            <rFont val="Tahoma"/>
            <family val="2"/>
          </rPr>
          <t xml:space="preserve">
= True if:
- Table J "Total Required PV" = 0 because Sum col </t>
        </r>
        <r>
          <rPr>
            <b/>
            <strike/>
            <sz val="9"/>
            <color indexed="12"/>
            <rFont val="Tahoma"/>
            <family val="2"/>
          </rPr>
          <t>07</t>
        </r>
        <r>
          <rPr>
            <b/>
            <sz val="9"/>
            <color indexed="12"/>
            <rFont val="Tahoma"/>
            <family val="2"/>
          </rPr>
          <t xml:space="preserve"> 05</t>
        </r>
        <r>
          <rPr>
            <sz val="9"/>
            <color indexed="10"/>
            <rFont val="Tahoma"/>
            <family val="2"/>
          </rPr>
          <t xml:space="preserve"> &lt; 80 (See Table J logic.) </t>
        </r>
      </text>
    </comment>
    <comment ref="A38" authorId="0" shapeId="0" xr:uid="{DE029B13-06E1-4B47-B5C2-39EFF76DE61F}">
      <text>
        <r>
          <rPr>
            <b/>
            <sz val="9"/>
            <color indexed="10"/>
            <rFont val="Tahoma"/>
            <family val="2"/>
          </rPr>
          <t>11.5.21:</t>
        </r>
        <r>
          <rPr>
            <sz val="9"/>
            <color indexed="10"/>
            <rFont val="Tahoma"/>
            <family val="2"/>
          </rPr>
          <t xml:space="preserve">
This subtable is triggered by a question in the UI asking if they are documenting compliance with Solar Thermal Water heating per §170.2(d)3C for multifamilyand hotel/ motel occupancies.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O8" authorId="0" shapeId="0" xr:uid="{00000000-0006-0000-0500-000003000000}">
      <text>
        <r>
          <rPr>
            <b/>
            <sz val="9"/>
            <color indexed="10"/>
            <rFont val="Tahoma"/>
            <family val="2"/>
          </rPr>
          <t>10.29.31:</t>
        </r>
        <r>
          <rPr>
            <sz val="9"/>
            <color indexed="81"/>
            <rFont val="Tahoma"/>
            <family val="2"/>
          </rPr>
          <t xml:space="preserve">
Compliance depends on the path taken.  Here is what would make each path say "COMPLIES"
</t>
        </r>
        <r>
          <rPr>
            <b/>
            <sz val="9"/>
            <color indexed="81"/>
            <rFont val="Tahoma"/>
            <family val="2"/>
          </rPr>
          <t>Allocated Solar Zone:</t>
        </r>
        <r>
          <rPr>
            <sz val="9"/>
            <color indexed="81"/>
            <rFont val="Tahoma"/>
            <family val="2"/>
          </rPr>
          <t xml:space="preserve">
If 02 &gt;</t>
        </r>
        <r>
          <rPr>
            <b/>
            <sz val="9"/>
            <color indexed="10"/>
            <rFont val="Tahoma"/>
            <family val="2"/>
          </rPr>
          <t>=</t>
        </r>
        <r>
          <rPr>
            <sz val="9"/>
            <color indexed="81"/>
            <rFont val="Tahoma"/>
            <family val="2"/>
          </rPr>
          <t xml:space="preserve"> 01 and all subareas in Table F say "COMPLIES" OR
If 01 says "0" and 02 says "NA"
</t>
        </r>
        <r>
          <rPr>
            <b/>
            <sz val="9"/>
            <color indexed="81"/>
            <rFont val="Tahoma"/>
            <family val="2"/>
          </rPr>
          <t>Installed PV System:</t>
        </r>
        <r>
          <rPr>
            <sz val="9"/>
            <color indexed="81"/>
            <rFont val="Tahoma"/>
            <family val="2"/>
          </rPr>
          <t xml:space="preserve">
If 04 &gt;</t>
        </r>
        <r>
          <rPr>
            <b/>
            <sz val="9"/>
            <color indexed="10"/>
            <rFont val="Tahoma"/>
            <family val="2"/>
          </rPr>
          <t>=</t>
        </r>
        <r>
          <rPr>
            <sz val="9"/>
            <color indexed="81"/>
            <rFont val="Tahoma"/>
            <family val="2"/>
          </rPr>
          <t xml:space="preserve"> 03
</t>
        </r>
        <r>
          <rPr>
            <b/>
            <sz val="9"/>
            <color indexed="81"/>
            <rFont val="Tahoma"/>
            <family val="2"/>
          </rPr>
          <t>Installed SHW System:</t>
        </r>
        <r>
          <rPr>
            <sz val="9"/>
            <color indexed="81"/>
            <rFont val="Tahoma"/>
            <family val="2"/>
          </rPr>
          <t xml:space="preserve">
If 06 &gt;</t>
        </r>
        <r>
          <rPr>
            <b/>
            <sz val="9"/>
            <color indexed="10"/>
            <rFont val="Tahoma"/>
            <family val="2"/>
          </rPr>
          <t>=</t>
        </r>
        <r>
          <rPr>
            <sz val="9"/>
            <color indexed="81"/>
            <rFont val="Tahoma"/>
            <family val="2"/>
          </rPr>
          <t xml:space="preserve"> 05 AND Table H column 03 says "Yes" if not greyed out.
</t>
        </r>
        <r>
          <rPr>
            <b/>
            <sz val="9"/>
            <color indexed="81"/>
            <rFont val="Tahoma"/>
            <family val="2"/>
          </rPr>
          <t>Smart Tsat + EE Measure:</t>
        </r>
        <r>
          <rPr>
            <sz val="9"/>
            <color indexed="81"/>
            <rFont val="Tahoma"/>
            <family val="2"/>
          </rPr>
          <t xml:space="preserve">
If 07 says "YES" AND 08 is populated.
Otherwise this is blank until the user selects a compliance path in Table B.  Once the user selects a path, this should say "DOES NOT COMPLY" until one of the criteria above is met.
</t>
        </r>
        <r>
          <rPr>
            <b/>
            <sz val="9"/>
            <color indexed="10"/>
            <rFont val="Tahoma"/>
            <family val="2"/>
          </rPr>
          <t>Here is what would make this say "COMPLIES with Exceptions":
B01 Solar Readiness subtable says:
- Roof designed for vehicular traffic OR
- Roof too small OR
- Number of building stories</t>
        </r>
      </text>
    </comment>
    <comment ref="C10" authorId="0" shapeId="0" xr:uid="{00000000-0006-0000-0500-000004000000}">
      <text>
        <r>
          <rPr>
            <b/>
            <sz val="9"/>
            <color indexed="81"/>
            <rFont val="Tahoma"/>
            <family val="2"/>
          </rPr>
          <t>Sally Blair:</t>
        </r>
        <r>
          <rPr>
            <sz val="9"/>
            <color indexed="81"/>
            <rFont val="Tahoma"/>
            <family val="2"/>
          </rPr>
          <t xml:space="preserve">
If Table F column 19 is greyed out, this says "NA"</t>
        </r>
      </text>
    </comment>
    <comment ref="E10" authorId="0" shapeId="0" xr:uid="{0BF6E282-070C-4A01-9D07-57E0F199B93B}">
      <text>
        <r>
          <rPr>
            <b/>
            <sz val="9"/>
            <color indexed="10"/>
            <rFont val="Tahoma"/>
            <family val="2"/>
          </rPr>
          <t>10.29.21:</t>
        </r>
        <r>
          <rPr>
            <sz val="9"/>
            <color indexed="81"/>
            <rFont val="Tahoma"/>
            <family val="2"/>
          </rPr>
          <t xml:space="preserve">
col 02 for Table G </t>
        </r>
        <r>
          <rPr>
            <b/>
            <sz val="9"/>
            <color indexed="10"/>
            <rFont val="Tahoma"/>
            <family val="2"/>
          </rPr>
          <t>OR</t>
        </r>
        <r>
          <rPr>
            <sz val="9"/>
            <color indexed="81"/>
            <rFont val="Tahoma"/>
            <family val="2"/>
          </rPr>
          <t xml:space="preserve">
</t>
        </r>
        <r>
          <rPr>
            <b/>
            <sz val="9"/>
            <color indexed="10"/>
            <rFont val="Tahoma"/>
            <family val="2"/>
          </rPr>
          <t>col 09 x 1000 for LMCC Table J OR
"Total Required" x 1000 for NRCC Table J</t>
        </r>
      </text>
    </comment>
    <comment ref="G10" authorId="0" shapeId="0" xr:uid="{4950344F-38FD-4D41-90D7-923BA571E13D}">
      <text>
        <r>
          <rPr>
            <b/>
            <sz val="9"/>
            <color indexed="10"/>
            <rFont val="Tahoma"/>
            <family val="2"/>
          </rPr>
          <t>10.29.21:</t>
        </r>
        <r>
          <rPr>
            <sz val="9"/>
            <color indexed="81"/>
            <rFont val="Tahoma"/>
            <family val="2"/>
          </rPr>
          <t xml:space="preserve">
col 03 for Table G </t>
        </r>
        <r>
          <rPr>
            <b/>
            <sz val="9"/>
            <color indexed="10"/>
            <rFont val="Tahoma"/>
            <family val="2"/>
          </rPr>
          <t>OR
col 10 x 1000 for LMCC Table J OR
"Total Installed" x 1000 for NRCC Table J</t>
        </r>
      </text>
    </comment>
    <comment ref="I10" authorId="0" shapeId="0" xr:uid="{00000000-0006-0000-0500-000005000000}">
      <text>
        <r>
          <rPr>
            <b/>
            <sz val="9"/>
            <color indexed="81"/>
            <rFont val="Tahoma"/>
            <family val="2"/>
          </rPr>
          <t>Sally Blair:</t>
        </r>
        <r>
          <rPr>
            <sz val="9"/>
            <color indexed="81"/>
            <rFont val="Tahoma"/>
            <family val="2"/>
          </rPr>
          <t xml:space="preserve">
Gray out any of these cells that do not hold a value
</t>
        </r>
        <r>
          <rPr>
            <b/>
            <sz val="9"/>
            <color indexed="81"/>
            <rFont val="Tahoma"/>
            <family val="2"/>
          </rPr>
          <t>Usability Update:</t>
        </r>
        <r>
          <rPr>
            <sz val="9"/>
            <color indexed="81"/>
            <rFont val="Tahoma"/>
            <family val="2"/>
          </rPr>
          <t xml:space="preserve">
If the "Drain water heat recovery" box in Table H is unchecked, here are the values for this cell:
0.2 for CZ 1-9 and 0.35 for CZ 10-16 (this did not change from 2016 form).
If the "Drain water heat recovery" box in Table H is checked, here are the values for this cell:
0.15 for CZ 1-9 and 0.30 for CZ 10-16</t>
        </r>
      </text>
    </comment>
    <comment ref="M10" authorId="0" shapeId="0" xr:uid="{00000000-0006-0000-0500-000007000000}">
      <text>
        <r>
          <rPr>
            <b/>
            <sz val="9"/>
            <color indexed="81"/>
            <rFont val="Tahoma"/>
            <family val="2"/>
          </rPr>
          <t>Sally Blair:</t>
        </r>
        <r>
          <rPr>
            <sz val="9"/>
            <color indexed="81"/>
            <rFont val="Tahoma"/>
            <family val="2"/>
          </rPr>
          <t xml:space="preserve">
Says "Yes" if checkbox in Table I is checked and location in contract documents is indicated in Table I.</t>
        </r>
      </text>
    </comment>
    <comment ref="N10" authorId="0" shapeId="0" xr:uid="{00000000-0006-0000-0500-000008000000}">
      <text>
        <r>
          <rPr>
            <b/>
            <sz val="9"/>
            <color indexed="81"/>
            <rFont val="Tahoma"/>
            <family val="2"/>
          </rPr>
          <t>Sally Blair:</t>
        </r>
        <r>
          <rPr>
            <sz val="9"/>
            <color indexed="81"/>
            <rFont val="Tahoma"/>
            <family val="2"/>
          </rPr>
          <t xml:space="preserve">
Measure is brought in from Table I when checkbox is checked AND location in contract documents is indicated.</t>
        </r>
      </text>
    </comment>
    <comment ref="A12" authorId="0" shapeId="0" xr:uid="{00000000-0006-0000-0500-000009000000}">
      <text>
        <r>
          <rPr>
            <b/>
            <sz val="9"/>
            <color indexed="81"/>
            <rFont val="Tahoma"/>
            <family val="2"/>
          </rPr>
          <t>Sally Blair:</t>
        </r>
        <r>
          <rPr>
            <sz val="9"/>
            <color indexed="81"/>
            <rFont val="Tahoma"/>
            <family val="2"/>
          </rPr>
          <t xml:space="preserve">
grey out unless Allocated Solar Zone in Table B is checked.</t>
        </r>
      </text>
    </comment>
    <comment ref="O12" authorId="0" shapeId="0" xr:uid="{00000000-0006-0000-0500-00000B000000}">
      <text>
        <r>
          <rPr>
            <b/>
            <sz val="9"/>
            <color indexed="81"/>
            <rFont val="Tahoma"/>
            <family val="2"/>
          </rPr>
          <t>Sally Blair:</t>
        </r>
        <r>
          <rPr>
            <sz val="9"/>
            <color indexed="81"/>
            <rFont val="Tahoma"/>
            <family val="2"/>
          </rPr>
          <t xml:space="preserve">
Says "COMPLIES" if sheet  # is populated.  Says "DOES NOT COMPLY" if Allocated Solar Zone is checked in Table B, but sheet # is left blank.  Says "Not Applicable" if Installed PV, Installed SHW or Tstat paths are selected in Table B.</t>
        </r>
      </text>
    </comment>
    <comment ref="O13" authorId="0" shapeId="0" xr:uid="{6BACD969-6992-46D3-81FD-BE8B6B2D62C8}">
      <text>
        <r>
          <rPr>
            <b/>
            <sz val="9"/>
            <color indexed="10"/>
            <rFont val="Tahoma"/>
            <family val="2"/>
          </rPr>
          <t>11.5.21:</t>
        </r>
        <r>
          <rPr>
            <sz val="9"/>
            <color indexed="10"/>
            <rFont val="Tahoma"/>
            <family val="2"/>
          </rPr>
          <t xml:space="preserve">
NRCC Says "COMPLIES" if 
- Table J Battery Storage System Designed Total Energy Capacity is &gt;= Required Min AND
- Table J Battery Storage System Designed Total POwer Capacity &gt;= Required Min 
Says "Not Applicable" if 
- Table J is not triggered
Else Says "DOES NOT COMPLY"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00000000-0006-0000-0700-000001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9" authorId="0" shapeId="0" xr:uid="{00000000-0006-0000-0800-000003000000}">
      <text>
        <r>
          <rPr>
            <b/>
            <sz val="9"/>
            <color indexed="81"/>
            <rFont val="Tahoma"/>
            <family val="2"/>
          </rPr>
          <t>Sally Blair:</t>
        </r>
        <r>
          <rPr>
            <sz val="9"/>
            <color indexed="81"/>
            <rFont val="Tahoma"/>
            <family val="2"/>
          </rPr>
          <t xml:space="preserve">
Columns 03 - 04 open for user input when "Total New or Added Roof Area" is selected in column 01- otherwise, they grey out because they're NA.   If the user changes the selection in column 01, this need to update accordingly</t>
        </r>
      </text>
    </comment>
    <comment ref="M9" authorId="0" shapeId="0" xr:uid="{00000000-0006-0000-0800-000004000000}">
      <text>
        <r>
          <rPr>
            <b/>
            <sz val="9"/>
            <color indexed="81"/>
            <rFont val="Tahoma"/>
            <family val="2"/>
          </rPr>
          <t>Sally Blair:</t>
        </r>
        <r>
          <rPr>
            <sz val="9"/>
            <color indexed="81"/>
            <rFont val="Tahoma"/>
            <family val="2"/>
          </rPr>
          <t xml:space="preserve">
Columns 05-07 open for user input when "Potential Solar Zone" is selected in column 01- otherwise, they grey out because they're NA.  If the user changes the selection in column 01, this need to update accordingly.</t>
        </r>
      </text>
    </comment>
    <comment ref="O9" authorId="0" shapeId="0" xr:uid="{00000000-0006-0000-0800-000005000000}">
      <text>
        <r>
          <rPr>
            <b/>
            <sz val="9"/>
            <color indexed="81"/>
            <rFont val="Tahoma"/>
            <family val="2"/>
          </rPr>
          <t>Sally Blair:</t>
        </r>
        <r>
          <rPr>
            <sz val="9"/>
            <color indexed="81"/>
            <rFont val="Tahoma"/>
            <family val="2"/>
          </rPr>
          <t xml:space="preserve">
Column 04 OR 07 depending on calculation method selected in column 01  -- This value is tranferred to Table C, Column 01
If this value is 0, column 09 - 19 need to grey out.</t>
        </r>
      </text>
    </comment>
    <comment ref="E12" authorId="0" shapeId="0" xr:uid="{00000000-0006-0000-0800-000006000000}">
      <text>
        <r>
          <rPr>
            <b/>
            <sz val="9"/>
            <color indexed="81"/>
            <rFont val="Tahoma"/>
            <family val="2"/>
          </rPr>
          <t>Sally Blair:</t>
        </r>
        <r>
          <rPr>
            <sz val="9"/>
            <color indexed="81"/>
            <rFont val="Tahoma"/>
            <family val="2"/>
          </rPr>
          <t xml:space="preserve">
This cell is only accessible if user selects "Steep-Sloped" in column 11.  Otherwise it is greyed out.  Needs to adjust if user changes selection in column 11.
</t>
        </r>
      </text>
    </comment>
    <comment ref="M12" authorId="0" shapeId="0" xr:uid="{00000000-0006-0000-0800-000007000000}">
      <text>
        <r>
          <rPr>
            <b/>
            <sz val="9"/>
            <color indexed="81"/>
            <rFont val="Tahoma"/>
            <family val="2"/>
          </rPr>
          <t>Sally Blair:</t>
        </r>
        <r>
          <rPr>
            <sz val="9"/>
            <color indexed="81"/>
            <rFont val="Tahoma"/>
            <family val="2"/>
          </rPr>
          <t xml:space="preserve">
If column 02 is &lt;= 10,000 ft2, then this = 80 ft2; 
If column 02 is &gt; 10,000 ft2, then this =160 ft2.
</t>
        </r>
      </text>
    </comment>
    <comment ref="O14" authorId="0" shapeId="0" xr:uid="{00000000-0006-0000-0800-000008000000}">
      <text>
        <r>
          <rPr>
            <b/>
            <sz val="9"/>
            <color indexed="81"/>
            <rFont val="Tahoma"/>
            <family val="2"/>
          </rPr>
          <t>Sally Blair:</t>
        </r>
        <r>
          <rPr>
            <sz val="9"/>
            <color indexed="81"/>
            <rFont val="Tahoma"/>
            <family val="2"/>
          </rPr>
          <t xml:space="preserve">
Says "COMPLIES" if:
- column 12 is greyed out 
- columns 13/14/15 all say "Yes" AND
- column 16 input is &gt; 5 AND
- column 18 is &gt; column 17
OR 
- column 12 is not greyed out and has a value between 110-270 input AND
- columns 13/14/15 all say "Yes" AND
- column 16 input is &gt; 5 AND
- column 18 is &gt; column 17
Column 19 goes blank and greys out if column 08 = 0
Otherwise, says DOES NOT COMPLY
 If any of the sub areas say "Does not comply" then a note should be triggered in Table D about a subarea being out of compliance: "Table F indicates a subarea that is not in compliance with the requirements.  Please revisit Table F."</t>
        </r>
      </text>
    </comment>
    <comment ref="N15" authorId="0" shapeId="0" xr:uid="{00000000-0006-0000-0800-000009000000}">
      <text>
        <r>
          <rPr>
            <b/>
            <sz val="9"/>
            <color indexed="81"/>
            <rFont val="Tahoma"/>
            <family val="2"/>
          </rPr>
          <t>Sally Blair:</t>
        </r>
        <r>
          <rPr>
            <sz val="9"/>
            <color indexed="81"/>
            <rFont val="Tahoma"/>
            <family val="2"/>
          </rPr>
          <t xml:space="preserve">
Transferred to Table C. column 02</t>
        </r>
      </text>
    </comment>
    <comment ref="K18" authorId="0" shapeId="0" xr:uid="{00000000-0006-0000-0800-00000A000000}">
      <text>
        <r>
          <rPr>
            <b/>
            <sz val="9"/>
            <color indexed="81"/>
            <rFont val="Tahoma"/>
            <family val="2"/>
          </rPr>
          <t>Sally Blair:</t>
        </r>
        <r>
          <rPr>
            <sz val="9"/>
            <color indexed="81"/>
            <rFont val="Tahoma"/>
            <family val="2"/>
          </rPr>
          <t xml:space="preserve">
Transfers to Table C Row 12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B8" authorId="0" shapeId="0" xr:uid="{00000000-0006-0000-0900-000002000000}">
      <text>
        <r>
          <rPr>
            <b/>
            <sz val="9"/>
            <color indexed="81"/>
            <rFont val="Tahoma"/>
            <family val="2"/>
          </rPr>
          <t>Rebecca Rice:</t>
        </r>
        <r>
          <rPr>
            <sz val="9"/>
            <color indexed="81"/>
            <rFont val="Tahoma"/>
            <family val="2"/>
          </rPr>
          <t xml:space="preserve">
This value is transferred to Table C, Column 03.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Rosemary Howley</author>
  </authors>
  <commentList>
    <comment ref="L6" authorId="0" shapeId="0" xr:uid="{00000000-0006-0000-0A00-000001000000}">
      <text>
        <r>
          <rPr>
            <b/>
            <sz val="9"/>
            <color indexed="81"/>
            <rFont val="Tahoma"/>
            <family val="2"/>
          </rPr>
          <t>Sally Blair:</t>
        </r>
        <r>
          <rPr>
            <sz val="9"/>
            <color indexed="81"/>
            <rFont val="Tahoma"/>
            <family val="2"/>
          </rPr>
          <t xml:space="preserve">
Gray until associated checkbox on the far left is clicked.  Then opens for user input.</t>
        </r>
      </text>
    </comment>
    <comment ref="J10" authorId="1" shapeId="0" xr:uid="{00000000-0006-0000-0A00-000002000000}">
      <text>
        <r>
          <rPr>
            <b/>
            <sz val="9"/>
            <color indexed="81"/>
            <rFont val="Tahoma"/>
            <family val="2"/>
          </rPr>
          <t>Rebecca Rice:</t>
        </r>
        <r>
          <rPr>
            <sz val="9"/>
            <color indexed="81"/>
            <rFont val="Tahoma"/>
            <family val="2"/>
          </rPr>
          <t xml:space="preserve">
Unless this says "NA" Transferred to Table C, Column 6</t>
        </r>
      </text>
    </comment>
    <comment ref="K10" authorId="0" shapeId="0" xr:uid="{00000000-0006-0000-0A00-000003000000}">
      <text>
        <r>
          <rPr>
            <b/>
            <sz val="9"/>
            <color indexed="81"/>
            <rFont val="Tahoma"/>
            <family val="2"/>
          </rPr>
          <t>Sally Blair:</t>
        </r>
        <r>
          <rPr>
            <sz val="9"/>
            <color indexed="81"/>
            <rFont val="Tahoma"/>
            <family val="2"/>
          </rPr>
          <t xml:space="preserve">
Ben. If the user selects OG-100 above, this field turns gray because it's NA.  
If the user selects OG-300 above, columns 01-09 turn gray and this field is active.
Unless this is gray, transfer to Table C, Column 6</t>
        </r>
      </text>
    </comment>
    <comment ref="B17" authorId="2" shapeId="0" xr:uid="{00000000-0006-0000-0A00-000004000000}">
      <text>
        <r>
          <rPr>
            <b/>
            <sz val="9"/>
            <color indexed="81"/>
            <rFont val="Tahoma"/>
            <family val="2"/>
          </rPr>
          <t>Rosemary Howley:</t>
        </r>
        <r>
          <rPr>
            <sz val="9"/>
            <color indexed="81"/>
            <rFont val="Tahoma"/>
            <family val="2"/>
          </rPr>
          <t xml:space="preserve">
Sally, the panel type has two parts in the CEC calculator: the "Model" which is the model name and number, and the "SRCC #".  The SRCC# is from the ICC-SRCC directory of OG-100 rated solar panels.   See screen shots below.
When you pick something from the T24 Solar Calc dropdown for either Model or SRCC#, the other part of the Panel Type description automatically comes up.  The T24 solar calculator has a database of maybe 400 panel types with information about them such as collector size that is used in the calculation.  I printed out a sample report to give you an idea of what's in there.  If you actually want to recreate the calculation here, then I think you'll have to get the database from the CEC.
CEC, does it make sense to build the panel type database in the T24 Solar Calculator into the form? I'm thinking yes, can we get the data in the database?
</t>
        </r>
        <r>
          <rPr>
            <b/>
            <sz val="10"/>
            <color indexed="81"/>
            <rFont val="Tahoma"/>
            <family val="2"/>
          </rPr>
          <t xml:space="preserve">Alexis:
I emailed Danny to ensure that this was okay to do. He does not think we should incorporate the Solar Calculator into the table because </t>
        </r>
        <r>
          <rPr>
            <b/>
            <i/>
            <sz val="10"/>
            <color indexed="81"/>
            <rFont val="Tahoma"/>
            <family val="2"/>
          </rPr>
          <t xml:space="preserve">"the programming language behind the calculator is some rare programming language called flat assembler. Additionally, the underlining method is very old and not worth the time to translate." </t>
        </r>
        <r>
          <rPr>
            <b/>
            <sz val="10"/>
            <color indexed="81"/>
            <rFont val="Tahoma"/>
            <family val="2"/>
          </rPr>
          <t xml:space="preserve">He is trying to get a more up to date and appropriate tool to use. I don't know how you want to proceed...
</t>
        </r>
        <r>
          <rPr>
            <sz val="10"/>
            <color indexed="81"/>
            <rFont val="Tahoma"/>
            <family val="2"/>
          </rPr>
          <t>Ben, let's build this table and then wait and see what the CEC can give us as far as database goes.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tc={C89195A8-2EB7-49BD-B345-21650F83044D}</author>
    <author>Alhabibi, Haider@Energy</author>
  </authors>
  <commentList>
    <comment ref="A5" authorId="0" shapeId="0" xr:uid="{482AFCED-7AA9-4B07-BC3C-69A4394DED30}">
      <text>
        <r>
          <rPr>
            <b/>
            <strike/>
            <sz val="9"/>
            <color indexed="10"/>
            <rFont val="Tahoma"/>
            <family val="2"/>
          </rPr>
          <t>2.15.22:</t>
        </r>
        <r>
          <rPr>
            <strike/>
            <sz val="9"/>
            <color indexed="10"/>
            <rFont val="Tahoma"/>
            <family val="2"/>
          </rPr>
          <t xml:space="preserve">
This no longer needs to be a selection since OG-300 is not an option. OG-100 automatically applies if this table is triggered so this description of what an OG-100 system is should just be static in this table.</t>
        </r>
      </text>
    </comment>
    <comment ref="B6" authorId="1" shapeId="0" xr:uid="{C89195A8-2EB7-49BD-B345-21650F83044D}">
      <text>
        <t>[Threaded comment]
Your version of Excel allows you to read this threaded comment; however, any edits to it will get removed if the file is opened in a newer version of Excel. Learn more: https://go.microsoft.com/fwlink/?linkid=870924
Comment:
    OG-300 systems are only intented for single family and should not be used for multifamily or nonres.  This box should be deleted</t>
      </text>
    </comment>
    <comment ref="A7" authorId="0" shapeId="0" xr:uid="{00000000-0006-0000-0B00-000002000000}">
      <text>
        <r>
          <rPr>
            <b/>
            <sz val="9"/>
            <color indexed="81"/>
            <rFont val="Tahoma"/>
            <family val="2"/>
          </rPr>
          <t>2.15.22:</t>
        </r>
        <r>
          <rPr>
            <sz val="9"/>
            <color indexed="81"/>
            <rFont val="Tahoma"/>
            <family val="2"/>
          </rPr>
          <t xml:space="preserve">
</t>
        </r>
        <r>
          <rPr>
            <strike/>
            <sz val="9"/>
            <color indexed="10"/>
            <rFont val="Tahoma"/>
            <family val="2"/>
          </rPr>
          <t>This box needs to be able to be checked at the same time as either OG-100 or OG-300.  It also</t>
        </r>
        <r>
          <rPr>
            <sz val="9"/>
            <color indexed="10"/>
            <rFont val="Tahoma"/>
            <family val="2"/>
          </rPr>
          <t xml:space="preserve"> If this box is checked it</t>
        </r>
        <r>
          <rPr>
            <sz val="9"/>
            <color indexed="81"/>
            <rFont val="Tahoma"/>
            <family val="2"/>
          </rPr>
          <t xml:space="preserve"> updates the required SSF in Table C column 05.</t>
        </r>
      </text>
    </comment>
    <comment ref="B7" authorId="2" shapeId="0" xr:uid="{3F676890-680E-40F4-9EAB-0EE04CF34BC8}">
      <text>
        <r>
          <rPr>
            <b/>
            <sz val="9"/>
            <color indexed="81"/>
            <rFont val="Tahoma"/>
            <family val="2"/>
          </rPr>
          <t>Haider Alhabibi:</t>
        </r>
        <r>
          <rPr>
            <sz val="9"/>
            <color indexed="81"/>
            <rFont val="Tahoma"/>
            <family val="2"/>
          </rPr>
          <t xml:space="preserve">
</t>
        </r>
        <r>
          <rPr>
            <b/>
            <sz val="9"/>
            <color indexed="81"/>
            <rFont val="Tahoma"/>
            <family val="2"/>
          </rPr>
          <t xml:space="preserve">Danny's comment: </t>
        </r>
        <r>
          <rPr>
            <sz val="9"/>
            <color indexed="81"/>
            <rFont val="Tahoma"/>
            <family val="2"/>
          </rPr>
          <t xml:space="preserve">OG-300 systems are only intented for single family and should not be used for multifamily or nonres.  This box should be deleted
</t>
        </r>
        <r>
          <rPr>
            <b/>
            <sz val="9"/>
            <color indexed="81"/>
            <rFont val="Tahoma"/>
            <family val="2"/>
          </rPr>
          <t>Sally: Deleted all OG-300 fields</t>
        </r>
      </text>
    </comment>
    <comment ref="I9" authorId="0" shapeId="0" xr:uid="{00000000-0006-0000-0B00-000003000000}">
      <text>
        <r>
          <rPr>
            <b/>
            <sz val="9"/>
            <color indexed="81"/>
            <rFont val="Tahoma"/>
            <family val="2"/>
          </rPr>
          <t>Sally Blair:</t>
        </r>
        <r>
          <rPr>
            <sz val="9"/>
            <color indexed="81"/>
            <rFont val="Tahoma"/>
            <family val="2"/>
          </rPr>
          <t xml:space="preserve">
Either column 02 or column 04 transfers to Table C column 06- depending on which is not greyed out and holds a value.</t>
        </r>
      </text>
    </comment>
    <comment ref="D11" authorId="0" shapeId="0" xr:uid="{00000000-0006-0000-0B00-000004000000}">
      <text>
        <r>
          <rPr>
            <b/>
            <strike/>
            <sz val="9"/>
            <color indexed="10"/>
            <rFont val="Tahoma"/>
            <family val="2"/>
          </rPr>
          <t>2.15.22:</t>
        </r>
        <r>
          <rPr>
            <strike/>
            <sz val="9"/>
            <color indexed="10"/>
            <rFont val="Tahoma"/>
            <family val="2"/>
          </rPr>
          <t xml:space="preserve">
grays out and does not allow input if OG-300 is selected above.  Same with column 04</t>
        </r>
      </text>
    </comment>
    <comment ref="F11" authorId="0" shapeId="0" xr:uid="{00000000-0006-0000-0B00-000005000000}">
      <text>
        <r>
          <rPr>
            <b/>
            <sz val="9"/>
            <color indexed="10"/>
            <rFont val="Tahoma"/>
            <family val="2"/>
          </rPr>
          <t>2.15.22:</t>
        </r>
        <r>
          <rPr>
            <sz val="9"/>
            <color indexed="10"/>
            <rFont val="Tahoma"/>
            <family val="2"/>
          </rPr>
          <t xml:space="preserve">
</t>
        </r>
        <r>
          <rPr>
            <strike/>
            <sz val="9"/>
            <color indexed="10"/>
            <rFont val="Tahoma"/>
            <family val="2"/>
          </rPr>
          <t>grays out and does not allow input if OG-100 is selected above.</t>
        </r>
        <r>
          <rPr>
            <sz val="9"/>
            <color indexed="10"/>
            <rFont val="Tahoma"/>
            <family val="2"/>
          </rPr>
          <t xml:space="preserve">  </t>
        </r>
      </text>
    </comment>
    <comment ref="A12" authorId="0" shapeId="0" xr:uid="{59FFA8DA-7ED7-430C-9BD1-23BE17242970}">
      <text>
        <r>
          <rPr>
            <b/>
            <sz val="9"/>
            <color indexed="81"/>
            <rFont val="Tahoma"/>
            <family val="2"/>
          </rPr>
          <t>CEC</t>
        </r>
        <r>
          <rPr>
            <sz val="9"/>
            <color indexed="81"/>
            <rFont val="Tahoma"/>
            <family val="2"/>
          </rPr>
          <t xml:space="preserve">
CEC, please confirm the SWH calculator will still be around at this URL for 2022.
</t>
        </r>
        <r>
          <rPr>
            <b/>
            <sz val="9"/>
            <color indexed="81"/>
            <rFont val="Tahoma"/>
            <family val="2"/>
          </rPr>
          <t xml:space="preserve">Haider Alhabibi:: 
Danny's comment: </t>
        </r>
        <r>
          <rPr>
            <sz val="9"/>
            <color indexed="81"/>
            <rFont val="Tahoma"/>
            <family val="2"/>
          </rPr>
          <t xml:space="preserve">Need to remove the footnote that reference the outdated calculator. This will be in a sperate module in CEBCC.
</t>
        </r>
        <r>
          <rPr>
            <b/>
            <sz val="9"/>
            <color indexed="81"/>
            <rFont val="Tahoma"/>
            <family val="2"/>
          </rPr>
          <t>Sally: DONE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7" authorId="0" shapeId="0" xr:uid="{00000000-0006-0000-0C00-000002000000}">
      <text>
        <r>
          <rPr>
            <b/>
            <sz val="9"/>
            <color indexed="81"/>
            <rFont val="Tahoma"/>
            <family val="2"/>
          </rPr>
          <t xml:space="preserve">Sally Blair:
</t>
        </r>
        <r>
          <rPr>
            <sz val="9"/>
            <color indexed="81"/>
            <rFont val="Tahoma"/>
            <family val="2"/>
          </rPr>
          <t>when this box is checked AND the location in contract documents is indicated, Table C column 07 turns to "YES".  It turns to "NO" if unchecked OR if the location in contract documents is blank.</t>
        </r>
      </text>
    </comment>
    <comment ref="B12" authorId="0" shapeId="0" xr:uid="{00000000-0006-0000-0C00-000003000000}">
      <text>
        <r>
          <rPr>
            <b/>
            <sz val="9"/>
            <color indexed="81"/>
            <rFont val="Tahoma"/>
            <family val="2"/>
          </rPr>
          <t>Sally Blair:</t>
        </r>
        <r>
          <rPr>
            <sz val="9"/>
            <color indexed="81"/>
            <rFont val="Tahoma"/>
            <family val="2"/>
          </rPr>
          <t xml:space="preserve">
Depending on which box they check, this EE measure "name" will show up in Table C column 08.</t>
        </r>
      </text>
    </comment>
    <comment ref="D16" authorId="1" shapeId="0" xr:uid="{00000000-0006-0000-0C00-000005000000}">
      <text>
        <r>
          <rPr>
            <b/>
            <sz val="9"/>
            <color indexed="81"/>
            <rFont val="Tahoma"/>
            <family val="2"/>
          </rPr>
          <t>2019 Update:</t>
        </r>
        <r>
          <rPr>
            <sz val="9"/>
            <color indexed="81"/>
            <rFont val="Tahoma"/>
            <family val="2"/>
          </rPr>
          <t xml:space="preserve">
Add logic so this can get picked up in Table C, column 08 if checked here. Also hyperlink to the code section.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8" authorId="0" shapeId="0" xr:uid="{33B4102E-FDD4-4099-9D09-CA6E89540BF1}">
      <text>
        <r>
          <rPr>
            <b/>
            <sz val="9"/>
            <color indexed="81"/>
            <rFont val="Tahoma"/>
            <family val="2"/>
          </rPr>
          <t>10.31.21:</t>
        </r>
        <r>
          <rPr>
            <sz val="9"/>
            <color indexed="81"/>
            <rFont val="Tahoma"/>
            <family val="2"/>
          </rPr>
          <t xml:space="preserve">
Eq 140.10-A is same as Eq 170.2-D to the right. A depends on occupancy from col 01 &amp; CZ from A02. CFA comes from col 02.</t>
        </r>
      </text>
    </comment>
    <comment ref="H9" authorId="0" shapeId="0" xr:uid="{28CECBA1-5EFC-4E01-B449-8946C7E409C1}">
      <text>
        <r>
          <rPr>
            <b/>
            <sz val="9"/>
            <color indexed="81"/>
            <rFont val="Tahoma"/>
            <family val="2"/>
          </rPr>
          <t>10.31.21:</t>
        </r>
        <r>
          <rPr>
            <sz val="9"/>
            <color indexed="81"/>
            <rFont val="Tahoma"/>
            <family val="2"/>
          </rPr>
          <t xml:space="preserve">
Equals
- Sum col 08 for all spaces OR
- 0 if Sum col 08 &lt; 4 OR
- 0 if Sum col 07 &lt; 0.03 x Sum col 02 OR
- 0 if Sum col 07 &lt; 80
</t>
        </r>
      </text>
    </comment>
    <comment ref="G11" authorId="0" shapeId="0" xr:uid="{E41051B1-0396-4FD8-A0AD-D0FD5950FA2D}">
      <text>
        <r>
          <rPr>
            <b/>
            <sz val="9"/>
            <color indexed="81"/>
            <rFont val="Tahoma"/>
            <family val="2"/>
          </rPr>
          <t>11.5.21:</t>
        </r>
        <r>
          <rPr>
            <sz val="9"/>
            <color indexed="81"/>
            <rFont val="Tahoma"/>
            <family val="2"/>
          </rPr>
          <t xml:space="preserve">
User needs to be able to add space that would duplicate Excel row 8 col 01-08.</t>
        </r>
      </text>
    </comment>
    <comment ref="D38" authorId="0" shapeId="0" xr:uid="{3AFAA181-23D3-48AA-AD83-0C111CD773AF}">
      <text>
        <r>
          <rPr>
            <b/>
            <sz val="9"/>
            <color indexed="81"/>
            <rFont val="Tahoma"/>
            <family val="2"/>
          </rPr>
          <t>10..31.21:</t>
        </r>
        <r>
          <rPr>
            <sz val="9"/>
            <color indexed="81"/>
            <rFont val="Tahoma"/>
            <family val="2"/>
          </rPr>
          <t xml:space="preserve">
See Eq 140.10-B to the right &amp; Table for B factors based on occupancy in Col01</t>
        </r>
      </text>
    </comment>
    <comment ref="E38" authorId="0" shapeId="0" xr:uid="{E34C5972-78A3-4C57-BE34-D684270E415C}">
      <text>
        <r>
          <rPr>
            <b/>
            <sz val="9"/>
            <color indexed="81"/>
            <rFont val="Tahoma"/>
            <family val="2"/>
          </rPr>
          <t>10.31.21:</t>
        </r>
        <r>
          <rPr>
            <sz val="9"/>
            <color indexed="81"/>
            <rFont val="Tahoma"/>
            <family val="2"/>
          </rPr>
          <t xml:space="preserve">
See Table 140.10-B to the right for C factors based on occupancy in Col01</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032F4E51-B597-4E98-9567-C9D95DDC6577}">
      <text>
        <r>
          <rPr>
            <b/>
            <sz val="9"/>
            <color indexed="12"/>
            <rFont val="Tahoma"/>
            <family val="2"/>
          </rPr>
          <t>10.29.21:</t>
        </r>
        <r>
          <rPr>
            <sz val="9"/>
            <color indexed="12"/>
            <rFont val="Tahoma"/>
            <family val="2"/>
          </rPr>
          <t xml:space="preserve">
We don't need space type or conditioned floor area for LMCC so column 01 is different.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22354B40-67FD-4FCB-95AA-5973CA008466}">
      <text>
        <r>
          <rPr>
            <b/>
            <sz val="9"/>
            <color indexed="10"/>
            <rFont val="Tahoma"/>
            <family val="2"/>
          </rPr>
          <t>10.31.21:</t>
        </r>
        <r>
          <rPr>
            <sz val="9"/>
            <color indexed="10"/>
            <rFont val="Tahoma"/>
            <family val="2"/>
          </rPr>
          <t xml:space="preserve">
Need to update URL when available.</t>
        </r>
      </text>
    </comment>
    <comment ref="B7" authorId="0" shapeId="0" xr:uid="{00000000-0006-0000-0D00-000002000000}">
      <text>
        <r>
          <rPr>
            <b/>
            <sz val="9"/>
            <color indexed="10"/>
            <rFont val="Tahoma"/>
            <family val="2"/>
          </rPr>
          <t>10.31.21:</t>
        </r>
        <r>
          <rPr>
            <sz val="9"/>
            <color indexed="10"/>
            <rFont val="Tahoma"/>
            <family val="2"/>
          </rPr>
          <t xml:space="preserve">
</t>
        </r>
        <r>
          <rPr>
            <strike/>
            <sz val="9"/>
            <color indexed="10"/>
            <rFont val="Tahoma"/>
            <family val="2"/>
          </rPr>
          <t>This form defaults to "No", but changes to Yes if Table G is triggered.  It moves back to "No" if Table G minimizes.</t>
        </r>
      </text>
    </comment>
    <comment ref="B8" authorId="0" shapeId="0" xr:uid="{00000000-0006-0000-0D00-000003000000}">
      <text>
        <r>
          <rPr>
            <b/>
            <sz val="9"/>
            <color indexed="81"/>
            <rFont val="Tahoma"/>
            <family val="2"/>
          </rPr>
          <t>10.31.21:</t>
        </r>
        <r>
          <rPr>
            <sz val="9"/>
            <color indexed="81"/>
            <rFont val="Tahoma"/>
            <family val="2"/>
          </rPr>
          <t xml:space="preserve">
</t>
        </r>
        <r>
          <rPr>
            <strike/>
            <sz val="9"/>
            <color indexed="10"/>
            <rFont val="Tahoma"/>
            <family val="2"/>
          </rPr>
          <t>This form defaults to "No", but changes to "Yes" if Table H is triggered.  It moves back to "No" if Table H minimizes.  These are editable like the other forms, but if the user changes from what the form thinks is right, the note needs to pop up in Table D.</t>
        </r>
      </text>
    </comment>
    <comment ref="A9" authorId="0" shapeId="0" xr:uid="{96AEA255-BAB5-49EC-A4C0-5597BF88C817}">
      <text>
        <r>
          <rPr>
            <b/>
            <sz val="9"/>
            <color indexed="10"/>
            <rFont val="Tahoma"/>
            <family val="2"/>
          </rPr>
          <t>10.31.21:</t>
        </r>
        <r>
          <rPr>
            <sz val="9"/>
            <color indexed="10"/>
            <rFont val="Tahoma"/>
            <family val="2"/>
          </rPr>
          <t xml:space="preserve">
Defaults to Yes and can not be changed to No.</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BE9B6E6-CA3C-4CC7-B1CF-A01EFAB33BA9}">
      <text>
        <r>
          <rPr>
            <b/>
            <sz val="9"/>
            <color indexed="10"/>
            <rFont val="Tahoma"/>
            <family val="2"/>
          </rPr>
          <t>10.31.21:</t>
        </r>
        <r>
          <rPr>
            <sz val="9"/>
            <color indexed="10"/>
            <rFont val="Tahoma"/>
            <family val="2"/>
          </rPr>
          <t xml:space="preserve">
Need to update URL when available.</t>
        </r>
      </text>
    </comment>
    <comment ref="B7" authorId="0" shapeId="0" xr:uid="{3E2EDC3E-BC9B-49F9-AD56-C60C26D5B310}">
      <text>
        <r>
          <rPr>
            <b/>
            <sz val="9"/>
            <color indexed="10"/>
            <rFont val="Tahoma"/>
            <family val="2"/>
          </rPr>
          <t>10.31.21:</t>
        </r>
        <r>
          <rPr>
            <sz val="9"/>
            <color indexed="10"/>
            <rFont val="Tahoma"/>
            <family val="2"/>
          </rPr>
          <t xml:space="preserve">
</t>
        </r>
        <r>
          <rPr>
            <strike/>
            <sz val="9"/>
            <color indexed="10"/>
            <rFont val="Tahoma"/>
            <family val="2"/>
          </rPr>
          <t>This form defaults to "No", but changes to Yes if Table G is triggered.  It moves back to "No" if Table G minimizes.</t>
        </r>
      </text>
    </comment>
    <comment ref="B8" authorId="0" shapeId="0" xr:uid="{95E1D741-8D39-4D7B-9B43-35EE25A3C3F6}">
      <text>
        <r>
          <rPr>
            <b/>
            <sz val="9"/>
            <color indexed="81"/>
            <rFont val="Tahoma"/>
            <family val="2"/>
          </rPr>
          <t>10.31.21:</t>
        </r>
        <r>
          <rPr>
            <sz val="9"/>
            <color indexed="81"/>
            <rFont val="Tahoma"/>
            <family val="2"/>
          </rPr>
          <t xml:space="preserve">
</t>
        </r>
        <r>
          <rPr>
            <strike/>
            <sz val="9"/>
            <color indexed="10"/>
            <rFont val="Tahoma"/>
            <family val="2"/>
          </rPr>
          <t>This form defaults to "No", but changes to "Yes" if Table H is triggered.  It moves back to "No" if Table H minimizes.  These are editable like the other forms, but if the user changes from what the form thinks is right, the note needs to pop up in Table D.</t>
        </r>
      </text>
    </comment>
    <comment ref="A9" authorId="0" shapeId="0" xr:uid="{97BAD789-F7C3-4A19-ADCA-62244DEDF814}">
      <text>
        <r>
          <rPr>
            <b/>
            <sz val="9"/>
            <color indexed="10"/>
            <rFont val="Tahoma"/>
            <family val="2"/>
          </rPr>
          <t>10.31.21:</t>
        </r>
        <r>
          <rPr>
            <sz val="9"/>
            <color indexed="10"/>
            <rFont val="Tahoma"/>
            <family val="2"/>
          </rPr>
          <t xml:space="preserve">
Defaults to Yes and can not be changed to No.</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<sst xmlns="http://schemas.openxmlformats.org/spreadsheetml/2006/main" count="868" uniqueCount="426">
  <si>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</si>
  <si>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</si>
  <si>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</si>
  <si>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</si>
  <si>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</si>
  <si>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</si>
  <si>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</si>
  <si>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</si>
  <si>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</si>
  <si>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</si>
  <si>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</si>
  <si>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</si>
  <si>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</si>
  <si>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</si>
  <si>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</si>
  <si>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</si>
  <si>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</si>
  <si>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</si>
  <si>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</si>
  <si>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</si>
  <si>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</si>
  <si>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</si>
  <si>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</si>
  <si>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</si>
  <si>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</si>
  <si>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</si>
  <si>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</si>
  <si>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</si>
  <si>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</si>
  <si>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</si>
  <si>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</si>
  <si>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</si>
  <si>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</si>
  <si>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</si>
  <si>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</si>
  <si>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</si>
  <si>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</si>
  <si>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</si>
  <si>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</si>
  <si>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</si>
  <si>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</si>
  <si>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</si>
  <si>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</si>
  <si>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</si>
  <si>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I)</t>
  </si>
  <si>
    <t>06</t>
  </si>
  <si>
    <t>07</t>
  </si>
  <si>
    <t>08</t>
  </si>
  <si>
    <t>09</t>
  </si>
  <si>
    <t>(See Table F)</t>
  </si>
  <si>
    <t>User input</t>
  </si>
  <si>
    <t>auto calculated</t>
  </si>
  <si>
    <t>From another Table</t>
  </si>
  <si>
    <t>From look up table</t>
  </si>
  <si>
    <t>CERTIFICATE OF COMPLIANCE</t>
  </si>
  <si>
    <t>Dropdown, see below for list</t>
  </si>
  <si>
    <t>&lt;&lt; triggers Table I.</t>
  </si>
  <si>
    <t>o</t>
  </si>
  <si>
    <t>Field Inspector</t>
  </si>
  <si>
    <t>Pass</t>
  </si>
  <si>
    <t>Fail</t>
  </si>
  <si>
    <t>YES</t>
  </si>
  <si>
    <t>NO</t>
  </si>
  <si>
    <t>Form/Title</t>
  </si>
  <si>
    <t>m</t>
  </si>
  <si>
    <t>●</t>
  </si>
  <si>
    <t>10</t>
  </si>
  <si>
    <t>Table Tip:</t>
  </si>
  <si>
    <t>Tables</t>
  </si>
  <si>
    <t>NRCI-SPV-01-E - Must be submitted for all newly installed Photovoltaic Systems (PV) being used to comply with §110.10(b)1B for high-rise multifamily, Hotel/Motel buildings less than 10 stories and nonresidential buildings less than 4 stories.</t>
  </si>
  <si>
    <t>Allocated Solar Zone</t>
  </si>
  <si>
    <t>Permanently Installed Solar Photovoltaic (PV) System</t>
  </si>
  <si>
    <t>Permanently Installed Solar Water Heating System</t>
  </si>
  <si>
    <t>Smart Thermostats and Alternative Efficiency Measure</t>
  </si>
  <si>
    <t>Other nonresidential bldg 3 stories or fewer</t>
  </si>
  <si>
    <t>My project consists of (check one):</t>
  </si>
  <si>
    <t>&lt;&lt; triggers Table F.</t>
  </si>
  <si>
    <t>Climate Zone</t>
  </si>
  <si>
    <t>Installed PV System</t>
  </si>
  <si>
    <t>Required Minimum DC Power Rating (Watts)</t>
  </si>
  <si>
    <t>Designed DC Power Rating (Watts)</t>
  </si>
  <si>
    <t>Installed SWH System</t>
  </si>
  <si>
    <t>Required Minimum Solar Savings Fraction</t>
  </si>
  <si>
    <t>(See Table H)</t>
  </si>
  <si>
    <t>Smart Tstat and Alternative EE Measure</t>
  </si>
  <si>
    <t>JA5 Compliant Thermostat Specified?</t>
  </si>
  <si>
    <t>Alternative Energy Efficiency Measure</t>
  </si>
  <si>
    <t>OR</t>
  </si>
  <si>
    <t>COMPLIES or DOES NOT COMPLY or Not Applicable</t>
  </si>
  <si>
    <t>Location in Construction Documents showing PV System/ Components</t>
  </si>
  <si>
    <t>Dropdown See list below</t>
  </si>
  <si>
    <t>Panel Type</t>
  </si>
  <si>
    <t>Collector Fluid</t>
  </si>
  <si>
    <t># of Collectors</t>
  </si>
  <si>
    <t>Panel Orientation</t>
  </si>
  <si>
    <t>Tank Volume (gal)</t>
  </si>
  <si>
    <t># of Residential Units or Hotel/Motel Rooms Served</t>
  </si>
  <si>
    <t>Panel Type Dropdown</t>
  </si>
  <si>
    <t>Collector Fluid Dropdown</t>
  </si>
  <si>
    <t>Tilt (deg)</t>
  </si>
  <si>
    <t>Azimuth (deg)</t>
  </si>
  <si>
    <t>OG-100 Certified Collectors</t>
  </si>
  <si>
    <t>OG-300 Certified System</t>
  </si>
  <si>
    <t>The collectors specified are certified by the Solar Rating and Certification Company (SRCC) as OG-100.</t>
  </si>
  <si>
    <t>Designed Solar Savings Fraction for OG-100</t>
  </si>
  <si>
    <t>11</t>
  </si>
  <si>
    <t>Rated Solar Savings Fraction for OG-300</t>
  </si>
  <si>
    <t>Designed/Rated Solar Savings Fraction</t>
  </si>
  <si>
    <t>Table Instructions:  Complete this table if the project is installing a solar water heating (SWH) system to comply with §110.10(b)1B Exception 2.</t>
  </si>
  <si>
    <t>In addition, my project consists of (check at least one):</t>
  </si>
  <si>
    <t>Energy Star Appliances and EC Motor</t>
  </si>
  <si>
    <t>The contract documents include an ENERGY STAR dishwasher AND EITHER an ENERGY STAR refrigerator OR a whole house fan driven by an electronically commutated motor.</t>
  </si>
  <si>
    <t>Location in contract documents:</t>
  </si>
  <si>
    <t>Home Automation System</t>
  </si>
  <si>
    <t>Greywater irrigation system</t>
  </si>
  <si>
    <t>Rainwater Catchment System</t>
  </si>
  <si>
    <t>The contract documents include a rainwater catchment system designed to comply with the California Plumbing Code and any applicable local ordinances, and that uses rainwater flowing from at least 65% of the available  roof area.</t>
  </si>
  <si>
    <t>Measure from Table I column 02</t>
  </si>
  <si>
    <t>Water</t>
  </si>
  <si>
    <t>Glycol</t>
  </si>
  <si>
    <t>Air</t>
  </si>
  <si>
    <t>Building Type Dropdown</t>
  </si>
  <si>
    <t>Plan sheet showing roof design for vehicle traffic, parking or heliport exception:</t>
  </si>
  <si>
    <t>New Construction</t>
  </si>
  <si>
    <t>Minimum Solar Zone Area Calculation Method Dropdown</t>
  </si>
  <si>
    <t>Potential Solar Zone</t>
  </si>
  <si>
    <t>Total New or Added Roof Area</t>
  </si>
  <si>
    <t xml:space="preserve">Minimum Solar Zone Area Calculation Method </t>
  </si>
  <si>
    <t>Need to to give enough room for user text</t>
  </si>
  <si>
    <t>Building Plan Reference</t>
  </si>
  <si>
    <t>Yes</t>
  </si>
  <si>
    <t>No</t>
  </si>
  <si>
    <t>Subarea Name or Tag</t>
  </si>
  <si>
    <t>Remove Last</t>
  </si>
  <si>
    <t>Solar Zone Free of Obstructions dropdown</t>
  </si>
  <si>
    <t>Solar Zone Distance from Obstructions dropdown</t>
  </si>
  <si>
    <t>Subarea Complies with Title 24, Part 9</t>
  </si>
  <si>
    <t>Complies with Title 24, Part 9 dropdown</t>
  </si>
  <si>
    <t>Subarea Complies?</t>
  </si>
  <si>
    <r>
      <t>The project has allocated a solar zone on the roof plan per requirements in §110.10(b</t>
    </r>
    <r>
      <rPr>
        <sz val="10"/>
        <rFont val="Calibri"/>
        <family val="2"/>
        <scheme val="minor"/>
      </rPr>
      <t>), as documented in Table F.</t>
    </r>
  </si>
  <si>
    <r>
      <t>The project includes a permanently installed solar electric system having a nameplate DC power rating, measured under Standard Test Conditions, of no less than one watt per square foot of roof are</t>
    </r>
    <r>
      <rPr>
        <sz val="10"/>
        <rFont val="Calibri"/>
        <family val="2"/>
      </rPr>
      <t>a, as documented in Table G.</t>
    </r>
  </si>
  <si>
    <t>This value is transferred to Table C, Column 04</t>
  </si>
  <si>
    <t xml:space="preserve"> </t>
  </si>
  <si>
    <t>The system specified is certified by the Solar Rating and Certification Company (SRCC) as OG-300 and will be installed in the exact configuration and California climate zone for which it was rated.</t>
  </si>
  <si>
    <t>§110.10</t>
  </si>
  <si>
    <t>§150.1(c)8Biii</t>
  </si>
  <si>
    <t>§110.10(b)</t>
  </si>
  <si>
    <t>§110.10(b)1B</t>
  </si>
  <si>
    <t>Header 1st page, A</t>
  </si>
  <si>
    <t>B</t>
  </si>
  <si>
    <t>B, F, G, H, I, J</t>
  </si>
  <si>
    <t>Construction Type Dropdown</t>
  </si>
  <si>
    <t>Construction Type</t>
  </si>
  <si>
    <t>YES/NO</t>
  </si>
  <si>
    <r>
      <t>Required Minimum Area 
(ft</t>
    </r>
    <r>
      <rPr>
        <vertAlign val="superscript"/>
        <sz val="10"/>
        <rFont val="Calibri"/>
        <family val="2"/>
      </rPr>
      <t>2</t>
    </r>
    <r>
      <rPr>
        <sz val="10"/>
        <rFont val="Calibri"/>
        <family val="2"/>
      </rPr>
      <t>)</t>
    </r>
  </si>
  <si>
    <t>&lt;</t>
  </si>
  <si>
    <t>The note about making changes in the NRCI table need to show up too just like on LTI.  Note Table letters will need to be updated to match this form.</t>
  </si>
  <si>
    <t>Designed System 
DC Power Rating 
(Watts)</t>
  </si>
  <si>
    <t>SRCC #</t>
  </si>
  <si>
    <t>Model #'s from CEC Panel Database</t>
  </si>
  <si>
    <t>Depending on whether the project is using OG-100 Certified Collectors or an OG-300 Certified System, the Solar Savings Fraction is either calculated by Table H., or the Rated Solar Savings Fraction is entered.   This Solar Savings Fraction (SSF) is transferred to Table C. and compared to the Required Minimum SSF.  For OG-100 Certified Collectors, the calculations performed using CEC's T24 Solar Calculator have been built into this table.  The T24 Solar Calculator refers to "Solar Fraction", which is the same as the Solar Savings Fraction.</t>
  </si>
  <si>
    <t>Smart Thermostats</t>
  </si>
  <si>
    <r>
      <t>Conditioned Floor Area Served (ft</t>
    </r>
    <r>
      <rPr>
        <vertAlign val="superscript"/>
        <sz val="9"/>
        <color theme="1"/>
        <rFont val="Calibri"/>
        <family val="2"/>
        <scheme val="minor"/>
      </rPr>
      <t>2</t>
    </r>
    <r>
      <rPr>
        <sz val="9"/>
        <color theme="1"/>
        <rFont val="Calibri"/>
        <family val="2"/>
        <scheme val="minor"/>
      </rPr>
      <t>)</t>
    </r>
  </si>
  <si>
    <r>
      <t>Total Roof Area</t>
    </r>
    <r>
      <rPr>
        <vertAlign val="superscript"/>
        <sz val="9"/>
        <color theme="1"/>
        <rFont val="Calibri"/>
        <family val="2"/>
        <scheme val="minor"/>
      </rPr>
      <t>1</t>
    </r>
    <r>
      <rPr>
        <sz val="9"/>
        <color theme="1"/>
        <rFont val="Calibri"/>
        <family val="2"/>
        <scheme val="minor"/>
      </rPr>
      <t xml:space="preserve"> (ft</t>
    </r>
    <r>
      <rPr>
        <vertAlign val="superscript"/>
        <sz val="9"/>
        <color theme="1"/>
        <rFont val="Calibri"/>
        <family val="2"/>
        <scheme val="minor"/>
      </rPr>
      <t>2</t>
    </r>
    <r>
      <rPr>
        <sz val="9"/>
        <color theme="1"/>
        <rFont val="Calibri"/>
        <family val="2"/>
        <scheme val="minor"/>
      </rPr>
      <t>)</t>
    </r>
  </si>
  <si>
    <t>Alternative Efficiency Measure</t>
  </si>
  <si>
    <t>H. PERMANENTLY INSTALLED SOLAR HOT WATER SYSTEM</t>
  </si>
  <si>
    <r>
      <t>Total New or Added Roof Area
(ft</t>
    </r>
    <r>
      <rPr>
        <vertAlign val="superscript"/>
        <sz val="10"/>
        <rFont val="Calibri"/>
        <family val="2"/>
      </rPr>
      <t>2</t>
    </r>
    <r>
      <rPr>
        <sz val="10"/>
        <rFont val="Calibri"/>
        <family val="2"/>
      </rPr>
      <t>)</t>
    </r>
  </si>
  <si>
    <r>
      <t>Total New or Added Roof Area Covered with Skylights
(ft</t>
    </r>
    <r>
      <rPr>
        <vertAlign val="superscript"/>
        <sz val="10"/>
        <rFont val="Calibri"/>
        <family val="2"/>
      </rPr>
      <t>2</t>
    </r>
    <r>
      <rPr>
        <sz val="10"/>
        <rFont val="Calibri"/>
        <family val="2"/>
      </rPr>
      <t>)</t>
    </r>
  </si>
  <si>
    <r>
      <t>Total Potential Solar Zone Area  
(ft</t>
    </r>
    <r>
      <rPr>
        <vertAlign val="superscript"/>
        <sz val="10"/>
        <rFont val="Calibri"/>
        <family val="2"/>
      </rPr>
      <t>2</t>
    </r>
    <r>
      <rPr>
        <sz val="10"/>
        <rFont val="Calibri"/>
        <family val="2"/>
      </rPr>
      <t>)</t>
    </r>
  </si>
  <si>
    <r>
      <t>Minimum Solar Zone Based on Potential Zone (0.5 x (Total Potential Zone))
(ft</t>
    </r>
    <r>
      <rPr>
        <vertAlign val="superscript"/>
        <sz val="10"/>
        <rFont val="Calibri"/>
        <family val="2"/>
      </rPr>
      <t>2</t>
    </r>
    <r>
      <rPr>
        <sz val="10"/>
        <rFont val="Calibri"/>
        <family val="2"/>
      </rPr>
      <t>)</t>
    </r>
  </si>
  <si>
    <r>
      <rPr>
        <i/>
        <vertAlign val="superscript"/>
        <sz val="10"/>
        <color rgb="FF000000"/>
        <rFont val="Calibri"/>
        <family val="2"/>
      </rPr>
      <t>1</t>
    </r>
    <r>
      <rPr>
        <i/>
        <sz val="10"/>
        <color rgb="FF000000"/>
        <rFont val="Calibri"/>
        <family val="2"/>
      </rPr>
      <t xml:space="preserve"> FOOTNOTE:   This field is used to document how the percentage of annual solar access was determined per §110.10(b)1B.  Solar access is the ratio of solar insolation including shade to the solar insolation without shade. Shading from obstructions located on the roof or any other part of the building shall not be included in the determination of annual solar access.</t>
    </r>
  </si>
  <si>
    <t>F. ALLOCATED SOLAR ZONE</t>
  </si>
  <si>
    <r>
      <t>Required Minimum Solar Zone Area
(ft</t>
    </r>
    <r>
      <rPr>
        <vertAlign val="superscript"/>
        <sz val="10"/>
        <rFont val="Calibri"/>
        <family val="2"/>
      </rPr>
      <t>2</t>
    </r>
    <r>
      <rPr>
        <sz val="10"/>
        <rFont val="Calibri"/>
        <family val="2"/>
      </rPr>
      <t>)</t>
    </r>
  </si>
  <si>
    <r>
      <t>Designated Area 
(ft</t>
    </r>
    <r>
      <rPr>
        <vertAlign val="superscript"/>
        <sz val="10"/>
        <rFont val="Calibri"/>
        <family val="2"/>
      </rPr>
      <t>2</t>
    </r>
    <r>
      <rPr>
        <sz val="10"/>
        <rFont val="Calibri"/>
        <family val="2"/>
      </rPr>
      <t>)</t>
    </r>
  </si>
  <si>
    <t>Designated Solar Zone Subareas</t>
  </si>
  <si>
    <t>12</t>
  </si>
  <si>
    <t>13</t>
  </si>
  <si>
    <t>14</t>
  </si>
  <si>
    <t>15</t>
  </si>
  <si>
    <t>16</t>
  </si>
  <si>
    <t>17</t>
  </si>
  <si>
    <t>18</t>
  </si>
  <si>
    <t>19</t>
  </si>
  <si>
    <r>
      <t>Total Designated Solar Zone Area (ft</t>
    </r>
    <r>
      <rPr>
        <b/>
        <vertAlign val="superscript"/>
        <sz val="11"/>
        <color rgb="FF000000"/>
        <rFont val="Calibri"/>
        <family val="2"/>
      </rPr>
      <t>2</t>
    </r>
    <r>
      <rPr>
        <b/>
        <sz val="11"/>
        <color rgb="FF000000"/>
        <rFont val="Calibri"/>
        <family val="2"/>
      </rPr>
      <t>):</t>
    </r>
  </si>
  <si>
    <t xml:space="preserve">Required Minimum Solar Zone </t>
  </si>
  <si>
    <t xml:space="preserve">Roof/ Overhang Slope dropdown </t>
  </si>
  <si>
    <t>Solar Zone Subarea Free of Obstructions per §110.10(b)3A</t>
  </si>
  <si>
    <t>Subarea is Required Distance from Potential Obstructions  per §110.10(b)3B</t>
  </si>
  <si>
    <r>
      <t>Designated Area 
(ft</t>
    </r>
    <r>
      <rPr>
        <vertAlign val="superscript"/>
        <sz val="10"/>
        <rFont val="Calibri"/>
        <family val="2"/>
        <scheme val="minor"/>
      </rPr>
      <t>2</t>
    </r>
    <r>
      <rPr>
        <sz val="10"/>
        <rFont val="Calibri"/>
        <family val="2"/>
        <scheme val="minor"/>
      </rPr>
      <t>)</t>
    </r>
  </si>
  <si>
    <r>
      <t>Min. Area Required per Subarea 
(ft</t>
    </r>
    <r>
      <rPr>
        <vertAlign val="superscript"/>
        <sz val="10"/>
        <rFont val="Calibri"/>
        <family val="2"/>
      </rPr>
      <t>2</t>
    </r>
    <r>
      <rPr>
        <sz val="10"/>
        <rFont val="Calibri"/>
        <family val="2"/>
      </rPr>
      <t>)</t>
    </r>
  </si>
  <si>
    <t>Add Subarea</t>
  </si>
  <si>
    <t>Potential Solar Zone Areas:  Roof Areas with ≥ 70% Solar Access</t>
  </si>
  <si>
    <r>
      <t>Method/Tool(s) Used to Determine Annual Solar Access for Potential Zones</t>
    </r>
    <r>
      <rPr>
        <vertAlign val="superscript"/>
        <sz val="10"/>
        <rFont val="Calibri"/>
        <family val="2"/>
      </rPr>
      <t>1</t>
    </r>
  </si>
  <si>
    <r>
      <t>Low-Sloped Area 
(≤ 2:12 pitch)
(ft</t>
    </r>
    <r>
      <rPr>
        <vertAlign val="superscript"/>
        <sz val="10"/>
        <color rgb="FF000000"/>
        <rFont val="Calibri"/>
        <family val="2"/>
        <scheme val="minor"/>
      </rPr>
      <t>2</t>
    </r>
    <r>
      <rPr>
        <sz val="10"/>
        <color rgb="FF000000"/>
        <rFont val="Calibri"/>
        <family val="2"/>
        <scheme val="minor"/>
      </rPr>
      <t>)</t>
    </r>
  </si>
  <si>
    <t>Interconnection Pathways</t>
  </si>
  <si>
    <t>Location in construction documents showing the location for inverters and metering equipment and a pathway for the routing of conduit/ plumbing to the electrical service/ water heating system per §110.10(c).</t>
  </si>
  <si>
    <t>The contract documents include a home automation system that is capable of, at a minimum, controlling the appliances and lighting of the dwelling and responding to demand response signals.</t>
  </si>
  <si>
    <t>Footer for every page:</t>
  </si>
  <si>
    <r>
      <t>Minimum Solar Zone Based on Total or Added Roof Area                        
(0.15 x (Roof-Skylt))
(ft</t>
    </r>
    <r>
      <rPr>
        <vertAlign val="superscript"/>
        <sz val="10"/>
        <rFont val="Calibri"/>
        <family val="2"/>
      </rPr>
      <t>2</t>
    </r>
    <r>
      <rPr>
        <sz val="10"/>
        <rFont val="Calibri"/>
        <family val="2"/>
      </rPr>
      <t>)</t>
    </r>
  </si>
  <si>
    <t>Reference Joint Appendix 5 JA5</t>
  </si>
  <si>
    <t>See dropdown</t>
  </si>
  <si>
    <t>The contract documents include alternative plumbing piping to permit the discharge from the clothes washer and all showers and bathtubs to be used for an irrigation system in compliance with the California Plumbing Code and any applicable local ordinances.</t>
  </si>
  <si>
    <t>Reference Residential Appendix RA 4</t>
  </si>
  <si>
    <r>
      <rPr>
        <i/>
        <vertAlign val="superscript"/>
        <sz val="10"/>
        <color theme="1"/>
        <rFont val="Calibri"/>
        <family val="2"/>
        <scheme val="minor"/>
      </rPr>
      <t>1</t>
    </r>
    <r>
      <rPr>
        <i/>
        <sz val="10"/>
        <color theme="1"/>
        <rFont val="Calibri"/>
        <family val="2"/>
        <scheme val="minor"/>
      </rPr>
      <t xml:space="preserve"> FOOTNOTES: Newly Constructed Projects should report total roof area; Additions should report newly added roof area.</t>
    </r>
  </si>
  <si>
    <t>Dropdown for Output</t>
  </si>
  <si>
    <r>
      <t>Output from CEC's T24 SWH Calculator Attached</t>
    </r>
    <r>
      <rPr>
        <vertAlign val="superscript"/>
        <sz val="9"/>
        <rFont val="Calibri"/>
        <family val="2"/>
        <scheme val="minor"/>
      </rPr>
      <t>1</t>
    </r>
  </si>
  <si>
    <r>
      <t xml:space="preserve">The SWH system is built-up and specifies collectors certified by the Solar Rating &amp; Certification Company (SRCC) </t>
    </r>
    <r>
      <rPr>
        <sz val="10"/>
        <rFont val="Calibri"/>
        <family val="2"/>
        <scheme val="minor"/>
      </rPr>
      <t>or the International Association of Plumbing &amp; Mechanical Officials (IAPMO) as OG-100.</t>
    </r>
  </si>
  <si>
    <t>The system specified is certified by the Solar Rating and Certification Company (SRCC) or the International Association of Plumbing &amp; Mechanical Officials (IAPMO) as OG-300 and will be installed in the exact configuration and California climate zone for which it was rated.</t>
  </si>
  <si>
    <t>SRCC # or IAPMO File #</t>
  </si>
  <si>
    <t>Climate Zone Dropdown</t>
  </si>
  <si>
    <r>
      <t xml:space="preserve">Roof or 
Overhang Slope
(Low </t>
    </r>
    <r>
      <rPr>
        <u/>
        <sz val="10"/>
        <rFont val="Calibri"/>
        <family val="2"/>
      </rPr>
      <t>&lt;</t>
    </r>
    <r>
      <rPr>
        <sz val="10"/>
        <rFont val="Calibri"/>
        <family val="2"/>
      </rPr>
      <t xml:space="preserve"> 2:12 pitch)
(Steep &gt; 2:12 pitch)</t>
    </r>
  </si>
  <si>
    <t xml:space="preserve">Low-Sloped </t>
  </si>
  <si>
    <t xml:space="preserve">Steep-Sloped  </t>
  </si>
  <si>
    <t>sum of column 18 for subareas that say "COMPLIES" in column 19</t>
  </si>
  <si>
    <t>If Table H is triggered and column 03 is not greyed out, but does not say "Yes", this note should be triggered: "Table H column 03 does not indicate the output from CEC's Solar Water Heating Calculator has been attached.  Please attach the output and indicate this in Table H."</t>
  </si>
  <si>
    <t>This is a heading.  The project name, address and date prepared should be a user input on the first page, but that should populate the heading on all other pages.</t>
  </si>
  <si>
    <t>Comment:</t>
  </si>
  <si>
    <t>If any of the sub areas in Table F say "Does not comply" then a note should be triggered: "Table F indicates a subarea that is not in compliance with the requirements.  Please revisit Table F."</t>
  </si>
  <si>
    <t>Certification #</t>
  </si>
  <si>
    <t>IAPMO File #</t>
  </si>
  <si>
    <t>SRCC # or IAPMO File # dropdown</t>
  </si>
  <si>
    <t>Is the Smallest Dimension 5 feet or greater?</t>
  </si>
  <si>
    <t>The Smallest Dimension dropdown</t>
  </si>
  <si>
    <t>Steep-Sloped Roof or Overhang dropdown</t>
  </si>
  <si>
    <t>The contract documents clearly specify that all thermostats in each dwelling unit comply with  §110.12(a)   prior to granting of an occupancy permit by the enforcing agency.</t>
  </si>
  <si>
    <t>03a</t>
  </si>
  <si>
    <t>§110.12(a)</t>
  </si>
  <si>
    <t>F</t>
  </si>
  <si>
    <t>§110.10(c)</t>
  </si>
  <si>
    <t>§110.10(b)3A</t>
  </si>
  <si>
    <t>§110.10(b)3B</t>
  </si>
  <si>
    <t>B, I</t>
  </si>
  <si>
    <t>The project is a hotel/motel or high-rise multifamily occupancy and includes a permanently installed domestic solar water-heating system complying with §150.1(c)8Biii and Reference Residential Appendix RA4, as documented in Table H.</t>
  </si>
  <si>
    <t>STOP!  Roofs designed for vehicle traffic, parking or for heliports are not required to comply with solar ready requirements in §110.10.  Document this exception by providing the plan sheet showing the roof design in 03a to the right and completing the signature page.</t>
  </si>
  <si>
    <t>All other building types</t>
  </si>
  <si>
    <t>Provide Solar Ready Area no exceptions</t>
  </si>
  <si>
    <t>Exception to Solar Ready Area:
Installed Solar Photovoltaic System</t>
  </si>
  <si>
    <t>Exception to Solar Ready Area:
Installed Solar Water Heating System</t>
  </si>
  <si>
    <t>Exception to Solar Ready Area:
Smart Thermostat and Alternative Energy Efficiency Measure</t>
  </si>
  <si>
    <t>The contract documents demonstrate compliance with Title 24, Part 11, §A4.106.8.2 requirements for electric vehicle charging spaces.</t>
  </si>
  <si>
    <t>Part 11: Electric Vehicle Charging Space</t>
  </si>
  <si>
    <t>Drain Water Heat Recovery</t>
  </si>
  <si>
    <t>Table H, column 03 or 05</t>
  </si>
  <si>
    <r>
      <rPr>
        <b/>
        <sz val="10"/>
        <color theme="9"/>
        <rFont val="Calibri"/>
        <family val="2"/>
        <scheme val="minor"/>
      </rPr>
      <t xml:space="preserve">[d:OnlyUI] </t>
    </r>
    <r>
      <rPr>
        <sz val="10"/>
        <color theme="1"/>
        <rFont val="Calibri"/>
        <family val="2"/>
        <scheme val="minor"/>
      </rPr>
      <t>Table E allows user input of additional information to support the compliance documentation.</t>
    </r>
    <r>
      <rPr>
        <b/>
        <sz val="10"/>
        <color theme="9"/>
        <rFont val="Calibri"/>
        <family val="2"/>
        <scheme val="minor"/>
      </rPr>
      <t xml:space="preserve"> [d:/OnlyUI]</t>
    </r>
  </si>
  <si>
    <r>
      <t>Steep-Sloped Area 
(&gt; 2:12 pitch), Oriented 90° - 300°
(ft</t>
    </r>
    <r>
      <rPr>
        <vertAlign val="superscript"/>
        <sz val="10"/>
        <rFont val="Calibri"/>
        <family val="2"/>
      </rPr>
      <t>2</t>
    </r>
    <r>
      <rPr>
        <sz val="10"/>
        <rFont val="Calibri"/>
        <family val="2"/>
      </rPr>
      <t>)</t>
    </r>
  </si>
  <si>
    <t>Is Steep-Sloped Roof or Overhang between 90 and 300 degrees?</t>
  </si>
  <si>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Nonresidential Compliance: http://www.energy.ca.gov/title24/20</t>
    </r>
    <r>
      <rPr>
        <b/>
        <strike/>
        <sz val="10"/>
        <color rgb="FFFF0000"/>
        <rFont val="Calibri"/>
        <family val="2"/>
        <scheme val="minor"/>
      </rPr>
      <t>19</t>
    </r>
    <r>
      <rPr>
        <b/>
        <sz val="10"/>
        <color rgb="FFFF0000"/>
        <rFont val="Calibri"/>
        <family val="2"/>
        <scheme val="minor"/>
      </rPr>
      <t>22</t>
    </r>
    <r>
      <rPr>
        <sz val="10"/>
        <color theme="1"/>
        <rFont val="Calibri"/>
        <family val="2"/>
        <scheme val="minor"/>
      </rPr>
      <t>standards</t>
    </r>
  </si>
  <si>
    <r>
      <rPr>
        <b/>
        <sz val="10"/>
        <color rgb="FFFF0000"/>
        <rFont val="Calibri"/>
        <family val="2"/>
        <scheme val="minor"/>
      </rPr>
      <t>I-2 and I-2.1</t>
    </r>
    <r>
      <rPr>
        <sz val="10"/>
        <rFont val="Calibri"/>
        <family val="2"/>
        <scheme val="minor"/>
      </rPr>
      <t xml:space="preserve"> Healthcare Facilities</t>
    </r>
  </si>
  <si>
    <t xml:space="preserve">Results in this table are automatically calculated from data input and calculations in Tables F through I. 
Note: If any cell on this table says "COMPLIES with Exceptional Conditions" refer to Table D. Exceptional Conditions for guidance or see the applicable Table referenced below. </t>
  </si>
  <si>
    <r>
      <t xml:space="preserve">Solar </t>
    </r>
    <r>
      <rPr>
        <b/>
        <strike/>
        <sz val="12"/>
        <color rgb="FFFF0000"/>
        <rFont val="Arial"/>
        <family val="2"/>
      </rPr>
      <t xml:space="preserve">Ready Areas </t>
    </r>
    <r>
      <rPr>
        <b/>
        <sz val="12"/>
        <color rgb="FFFF0000"/>
        <rFont val="Arial"/>
        <family val="2"/>
      </rPr>
      <t>And Battery</t>
    </r>
  </si>
  <si>
    <r>
      <t>NRCC-S</t>
    </r>
    <r>
      <rPr>
        <b/>
        <strike/>
        <sz val="8"/>
        <color rgb="FFFF0000"/>
        <rFont val="Calibri"/>
        <family val="2"/>
        <scheme val="minor"/>
      </rPr>
      <t>R</t>
    </r>
    <r>
      <rPr>
        <b/>
        <sz val="8"/>
        <color rgb="FFFF0000"/>
        <rFont val="Calibri"/>
        <family val="2"/>
        <scheme val="minor"/>
      </rPr>
      <t>AB</t>
    </r>
    <r>
      <rPr>
        <sz val="8"/>
        <color rgb="FF000000"/>
        <rFont val="Calibri"/>
        <family val="2"/>
        <scheme val="minor"/>
      </rPr>
      <t xml:space="preserve">-E </t>
    </r>
    <r>
      <rPr>
        <b/>
        <strike/>
        <sz val="8"/>
        <color rgb="FFFF0000"/>
        <rFont val="Calibri"/>
        <family val="2"/>
        <scheme val="minor"/>
      </rPr>
      <t>(Created (1/20)</t>
    </r>
  </si>
  <si>
    <r>
      <t>NRCC-S</t>
    </r>
    <r>
      <rPr>
        <b/>
        <strike/>
        <sz val="11"/>
        <color rgb="FFFF0000"/>
        <rFont val="Calibri"/>
        <family val="2"/>
        <scheme val="minor"/>
      </rPr>
      <t>R</t>
    </r>
    <r>
      <rPr>
        <b/>
        <sz val="11"/>
        <color rgb="FFFF0000"/>
        <rFont val="Calibri"/>
        <family val="2"/>
        <scheme val="minor"/>
      </rPr>
      <t>AB</t>
    </r>
    <r>
      <rPr>
        <sz val="11"/>
        <color rgb="FF000000"/>
        <rFont val="Calibri"/>
        <family val="2"/>
        <scheme val="minor"/>
      </rPr>
      <t>-E</t>
    </r>
  </si>
  <si>
    <t>Grocery</t>
  </si>
  <si>
    <t>Office</t>
  </si>
  <si>
    <t>Financial Institution</t>
  </si>
  <si>
    <t>Unleased Tenant Space</t>
  </si>
  <si>
    <t>Retail</t>
  </si>
  <si>
    <t>Warehouse</t>
  </si>
  <si>
    <t>Auditorium</t>
  </si>
  <si>
    <t>Convention Center</t>
  </si>
  <si>
    <t>Library</t>
  </si>
  <si>
    <t>Medical Office Bldg/ Clinic</t>
  </si>
  <si>
    <t>Restaurant</t>
  </si>
  <si>
    <t>Theater</t>
  </si>
  <si>
    <r>
      <t>The compliance path the project is using to comply per §110.10(b)1B</t>
    </r>
    <r>
      <rPr>
        <b/>
        <i/>
        <sz val="10"/>
        <color rgb="FFFF0000"/>
        <rFont val="Calibri"/>
        <family val="2"/>
      </rPr>
      <t>/§140.10/§170.2(g and h)</t>
    </r>
    <r>
      <rPr>
        <i/>
        <sz val="10"/>
        <color rgb="FF231F20"/>
        <rFont val="Calibri"/>
        <family val="2"/>
      </rPr>
      <t xml:space="preserve"> is indicated below.</t>
    </r>
    <r>
      <rPr>
        <b/>
        <i/>
        <sz val="10"/>
        <color theme="9"/>
        <rFont val="Calibri"/>
        <family val="2"/>
      </rPr>
      <t xml:space="preserve"> </t>
    </r>
  </si>
  <si>
    <t>Compliance with Solar Readiness Requirements in §110.10(b)1B</t>
  </si>
  <si>
    <t>Gymnasium</t>
  </si>
  <si>
    <t xml:space="preserve">Parking Garage </t>
  </si>
  <si>
    <t>Relocatable Public School</t>
  </si>
  <si>
    <t>Support Area</t>
  </si>
  <si>
    <t>Commercial Industrial             </t>
  </si>
  <si>
    <t>Data Center  </t>
  </si>
  <si>
    <t>School or Classroom</t>
  </si>
  <si>
    <t>Number of Stories</t>
  </si>
  <si>
    <t>Number of Stories Dropdown</t>
  </si>
  <si>
    <t>Bldg &lt;= 3 stories</t>
  </si>
  <si>
    <t>Bldg 4-10 stories</t>
  </si>
  <si>
    <t>Bldg &gt; 10 stories</t>
  </si>
  <si>
    <r>
      <t xml:space="preserve">Hotel/Motel </t>
    </r>
    <r>
      <rPr>
        <b/>
        <strike/>
        <sz val="10"/>
        <color rgb="FFFF0000"/>
        <rFont val="Calibri"/>
        <family val="2"/>
        <scheme val="minor"/>
      </rPr>
      <t>10 stories or fewer</t>
    </r>
  </si>
  <si>
    <r>
      <t xml:space="preserve">High-rise multifamily </t>
    </r>
    <r>
      <rPr>
        <b/>
        <strike/>
        <sz val="10"/>
        <color rgb="FFFF0000"/>
        <rFont val="Calibri"/>
        <family val="2"/>
        <scheme val="minor"/>
      </rPr>
      <t>10 stories or fewer</t>
    </r>
  </si>
  <si>
    <t>Religious Facility           </t>
  </si>
  <si>
    <r>
      <rPr>
        <b/>
        <strike/>
        <sz val="10"/>
        <color rgb="FFFF0000"/>
        <rFont val="Calibri"/>
        <family val="2"/>
        <scheme val="minor"/>
      </rPr>
      <t xml:space="preserve">Building with total roof area </t>
    </r>
    <r>
      <rPr>
        <b/>
        <strike/>
        <u/>
        <sz val="10"/>
        <color rgb="FFFF0000"/>
        <rFont val="Calibri"/>
        <family val="2"/>
        <scheme val="minor"/>
      </rPr>
      <t>&lt;</t>
    </r>
    <r>
      <rPr>
        <b/>
        <strike/>
        <sz val="10"/>
        <color rgb="FFFF0000"/>
        <rFont val="Calibri"/>
        <family val="2"/>
        <scheme val="minor"/>
      </rPr>
      <t xml:space="preserve"> 533 ft</t>
    </r>
    <r>
      <rPr>
        <b/>
        <strike/>
        <vertAlign val="superscript"/>
        <sz val="10"/>
        <color rgb="FFFF0000"/>
        <rFont val="Calibri"/>
        <family val="2"/>
        <scheme val="minor"/>
      </rPr>
      <t>2</t>
    </r>
  </si>
  <si>
    <r>
      <t>New Construction w roof &lt;= 533ft</t>
    </r>
    <r>
      <rPr>
        <b/>
        <vertAlign val="superscript"/>
        <sz val="10"/>
        <color rgb="FFFF0000"/>
        <rFont val="Calibri"/>
        <family val="2"/>
        <scheme val="minor"/>
      </rPr>
      <t>2</t>
    </r>
  </si>
  <si>
    <t>Exception to Solar Ready Area:
Roof is designed for vehicular traffic, parking or for heliport</t>
  </si>
  <si>
    <t>Plan sheet showing roof designed for vehiclar traffic, parking, or heliport:</t>
  </si>
  <si>
    <t>Compliance with Solar Photovoltaic (PV) and Battery Requirements in §140.10/§170.2 (g &amp; h)</t>
  </si>
  <si>
    <t>Provided PV system and battery storage sized per §140.10/§170.2 (g &amp; h)</t>
  </si>
  <si>
    <t>The total of all available Solar Access Roof Area is less than three percent of the conditioned floor area as documented in Table J.</t>
  </si>
  <si>
    <t>Exception to Solar Ready Area:
Roof too small</t>
  </si>
  <si>
    <t>Exception to Solar Ready Area:
Number of building stories</t>
  </si>
  <si>
    <t>&lt;&lt; triggers "COMPLIES with Exceptions" in Table C</t>
  </si>
  <si>
    <r>
      <t xml:space="preserve">COMPLIES or
DOES NOT COMPLY </t>
    </r>
    <r>
      <rPr>
        <b/>
        <sz val="11"/>
        <color rgb="FFFF0000"/>
        <rFont val="Calibri"/>
        <family val="2"/>
        <scheme val="minor"/>
      </rPr>
      <t>or
COMPLIES with Exceptions</t>
    </r>
  </si>
  <si>
    <t>The project is nonresidential &gt; 3 stories or multifamily/hotel/motel &gt; 10 stories.</t>
  </si>
  <si>
    <t>&lt; triggers none, Healthcare is exempt from all requirements</t>
  </si>
  <si>
    <t>Exception to PV &amp; Battery:
Not enough Solar Access Roof Area</t>
  </si>
  <si>
    <t>Exception to PV &amp; Battery:
Required PV &lt; 4kW</t>
  </si>
  <si>
    <t>The required PV system size is less than 4 kWdc as documented in Table J.</t>
  </si>
  <si>
    <t>Exception to PV &amp; Battery:
No contiguous Solar Access Roof Area</t>
  </si>
  <si>
    <t>Exception to PV &amp; Battery:
Can't meet snow load</t>
  </si>
  <si>
    <t>The project has a roof design where the enforcement authority has verified it is not possible for the PV system, including panels, modules, components, supports, and attachments to the roof structure, to meet ASCE 7-16, Chapter 7, Snow Loads.</t>
  </si>
  <si>
    <t>The project is a multi-tenant building in an area where a load serving entity does not provide either a Virtual Net Metering (VNEM) or community solar program.</t>
  </si>
  <si>
    <t>Exception to PV &amp; Battery:
Multi-tenant without VNEM or Community Solar</t>
  </si>
  <si>
    <t>&lt;&lt;triggers Solar Readiness subtable</t>
  </si>
  <si>
    <t>The project has included an installed PV system and battery storage system per requirements in §140.10/ §170.2(g &amp; h), as documented in Table J.</t>
  </si>
  <si>
    <r>
      <t>STOP! Healthcare facilities</t>
    </r>
    <r>
      <rPr>
        <b/>
        <i/>
        <strike/>
        <sz val="11"/>
        <color rgb="FFFF0000"/>
        <rFont val="Calibri"/>
        <family val="2"/>
        <scheme val="minor"/>
      </rPr>
      <t xml:space="preserve">, some Nonresidential buildings greater than three stories, </t>
    </r>
    <r>
      <rPr>
        <b/>
        <strike/>
        <sz val="11"/>
        <color rgb="FFFF0000"/>
        <rFont val="Calibri"/>
        <family val="2"/>
        <scheme val="minor"/>
      </rPr>
      <t>Hotel/Motel buildings greater than 10 stories, High-rise mulitfamily  greater than 10 stories,</t>
    </r>
    <r>
      <rPr>
        <b/>
        <i/>
        <strike/>
        <sz val="11"/>
        <color rgb="FFFF0000"/>
        <rFont val="Calibri"/>
        <family val="2"/>
        <scheme val="minor"/>
      </rPr>
      <t xml:space="preserve"> and some buildings with total roof area less than or equal to 533ft</t>
    </r>
    <r>
      <rPr>
        <b/>
        <i/>
        <strike/>
        <vertAlign val="superscript"/>
        <sz val="11"/>
        <color rgb="FFFF0000"/>
        <rFont val="Calibri"/>
        <family val="2"/>
        <scheme val="minor"/>
      </rPr>
      <t>2</t>
    </r>
    <r>
      <rPr>
        <b/>
        <i/>
        <sz val="11"/>
        <color theme="1"/>
        <rFont val="Calibri"/>
        <family val="2"/>
        <scheme val="minor"/>
      </rPr>
      <t xml:space="preserve"> are not required to comply with the requirements of §110.10</t>
    </r>
    <r>
      <rPr>
        <b/>
        <i/>
        <sz val="11"/>
        <color rgb="FFFF0000"/>
        <rFont val="Calibri"/>
        <family val="2"/>
        <scheme val="minor"/>
      </rPr>
      <t>/§140.10/§170.2(g and h)</t>
    </r>
    <r>
      <rPr>
        <b/>
        <i/>
        <sz val="11"/>
        <color theme="1"/>
        <rFont val="Calibri"/>
        <family val="2"/>
        <scheme val="minor"/>
      </rPr>
      <t xml:space="preserve"> and do not need to complete this compliance document. </t>
    </r>
  </si>
  <si>
    <r>
      <t>The project is a hotel/motel or high-rise multifamily occupancy and includes a permanently installed domestic solar water-heating system complying with</t>
    </r>
    <r>
      <rPr>
        <strike/>
        <sz val="10"/>
        <rFont val="Calibri"/>
        <family val="2"/>
        <scheme val="minor"/>
      </rPr>
      <t xml:space="preserve"> </t>
    </r>
    <r>
      <rPr>
        <b/>
        <strike/>
        <sz val="10"/>
        <color rgb="FFFF0000"/>
        <rFont val="Calibri"/>
        <family val="2"/>
        <scheme val="minor"/>
      </rPr>
      <t>§150.1(c)8Biii</t>
    </r>
    <r>
      <rPr>
        <b/>
        <sz val="10"/>
        <color rgb="FFFF0000"/>
        <rFont val="Calibri"/>
        <family val="2"/>
        <scheme val="minor"/>
      </rPr>
      <t xml:space="preserve"> §170.2(d)3C</t>
    </r>
    <r>
      <rPr>
        <sz val="10"/>
        <rFont val="Calibri"/>
        <family val="2"/>
        <scheme val="minor"/>
      </rPr>
      <t xml:space="preserve"> and Reference Residential Appendix RA4, as documented in Table H.</t>
    </r>
  </si>
  <si>
    <r>
      <t>The compliance path the project is using to comply per §110.10(b)1B</t>
    </r>
    <r>
      <rPr>
        <b/>
        <i/>
        <sz val="10"/>
        <color rgb="FF0070C0"/>
        <rFont val="Calibri"/>
        <family val="2"/>
      </rPr>
      <t>/§170.2(f)</t>
    </r>
    <r>
      <rPr>
        <i/>
        <sz val="10"/>
        <color rgb="FF231F20"/>
        <rFont val="Calibri"/>
        <family val="2"/>
      </rPr>
      <t xml:space="preserve"> is indicated below.</t>
    </r>
    <r>
      <rPr>
        <b/>
        <i/>
        <sz val="10"/>
        <color theme="9"/>
        <rFont val="Calibri"/>
        <family val="2"/>
      </rPr>
      <t xml:space="preserve"> </t>
    </r>
  </si>
  <si>
    <r>
      <t xml:space="preserve">The project is a </t>
    </r>
    <r>
      <rPr>
        <b/>
        <strike/>
        <sz val="10"/>
        <color rgb="FFFF0000"/>
        <rFont val="Calibri"/>
        <family val="2"/>
      </rPr>
      <t xml:space="preserve">high-rise </t>
    </r>
    <r>
      <rPr>
        <sz val="10"/>
        <color rgb="FF231F20"/>
        <rFont val="Calibri"/>
        <family val="2"/>
      </rPr>
      <t>multifamily occupancy where all thermostats in each dwelling unit comply with §110.12(a) AND at least one additional measure listed in Exception 4 to §110.10(b)1B is in</t>
    </r>
    <r>
      <rPr>
        <sz val="10"/>
        <rFont val="Calibri"/>
        <family val="2"/>
      </rPr>
      <t>stalled, as documented in Table I</t>
    </r>
    <r>
      <rPr>
        <sz val="10"/>
        <color rgb="FF231F20"/>
        <rFont val="Calibri"/>
        <family val="2"/>
      </rPr>
      <t>.</t>
    </r>
  </si>
  <si>
    <t>The project includes a permanently installed solar electric system having a nameplate DC power rating, measured under Standard Test Conditions, of no less than one watt per square foot of roof area, as documented in Table G.</t>
  </si>
  <si>
    <r>
      <t xml:space="preserve">Compliance with Solar Photovoltaic (PV) </t>
    </r>
    <r>
      <rPr>
        <b/>
        <strike/>
        <sz val="11"/>
        <color rgb="FF0070C0"/>
        <rFont val="Calibri"/>
        <family val="2"/>
      </rPr>
      <t>and Battery</t>
    </r>
    <r>
      <rPr>
        <b/>
        <sz val="11"/>
        <color rgb="FFFF0000"/>
        <rFont val="Calibri"/>
        <family val="2"/>
      </rPr>
      <t xml:space="preserve"> Requirements in </t>
    </r>
    <r>
      <rPr>
        <b/>
        <sz val="11"/>
        <color rgb="FF0070C0"/>
        <rFont val="Calibri"/>
        <family val="2"/>
      </rPr>
      <t>§170.2 (f)</t>
    </r>
  </si>
  <si>
    <r>
      <t xml:space="preserve">The required PV system size is less than </t>
    </r>
    <r>
      <rPr>
        <b/>
        <strike/>
        <sz val="10"/>
        <color rgb="FF0070C0"/>
        <rFont val="Calibri"/>
        <family val="2"/>
      </rPr>
      <t>4</t>
    </r>
    <r>
      <rPr>
        <b/>
        <sz val="10"/>
        <color rgb="FF0070C0"/>
        <rFont val="Calibri"/>
        <family val="2"/>
      </rPr>
      <t xml:space="preserve"> 1.8</t>
    </r>
    <r>
      <rPr>
        <sz val="10"/>
        <color rgb="FFFF0000"/>
        <rFont val="Calibri"/>
        <family val="2"/>
      </rPr>
      <t xml:space="preserve"> kWdc as documented in Table J.</t>
    </r>
  </si>
  <si>
    <r>
      <t xml:space="preserve">The project has included an installed PV system </t>
    </r>
    <r>
      <rPr>
        <b/>
        <strike/>
        <sz val="10"/>
        <color rgb="FF0070C0"/>
        <rFont val="Calibri"/>
        <family val="2"/>
        <scheme val="minor"/>
      </rPr>
      <t>and battery storage system</t>
    </r>
    <r>
      <rPr>
        <sz val="10"/>
        <color rgb="FFFF0000"/>
        <rFont val="Calibri"/>
        <family val="2"/>
        <scheme val="minor"/>
      </rPr>
      <t xml:space="preserve"> per requirements in </t>
    </r>
    <r>
      <rPr>
        <b/>
        <strike/>
        <sz val="10"/>
        <color rgb="FF0070C0"/>
        <rFont val="Calibri"/>
        <family val="2"/>
        <scheme val="minor"/>
      </rPr>
      <t xml:space="preserve">§140.10/ </t>
    </r>
    <r>
      <rPr>
        <sz val="10"/>
        <color rgb="FFFF0000"/>
        <rFont val="Calibri"/>
        <family val="2"/>
        <scheme val="minor"/>
      </rPr>
      <t>§170.2</t>
    </r>
    <r>
      <rPr>
        <b/>
        <sz val="10"/>
        <color rgb="FF0070C0"/>
        <rFont val="Calibri"/>
        <family val="2"/>
        <scheme val="minor"/>
      </rPr>
      <t>(f)</t>
    </r>
    <r>
      <rPr>
        <sz val="10"/>
        <color rgb="FFFF0000"/>
        <rFont val="Calibri"/>
        <family val="2"/>
        <scheme val="minor"/>
      </rPr>
      <t>, as documented in Table J.</t>
    </r>
  </si>
  <si>
    <t>This table indicates thermostats compliant with §110.12(a) have been specified and which additional energy efficiency measure has been included in the design for high-rise multifamily occupancies complying with Exception 4 to §110.10(b)1B.</t>
  </si>
  <si>
    <t>J. PHOTOVOLTAIC (PV) AND BATTERY SYSTEMS</t>
  </si>
  <si>
    <t>This entire table is new for 2022</t>
  </si>
  <si>
    <t xml:space="preserve">This table is completed if the project is designating a solar zone to comply with §110.10(b)1B. New construction considers the total roof area; Additions consider only newly added roof area.
This table demonstrates that the project has designated the minimum area required for the Allocated Solar Zone, and also that the requirements for Solar Zone Subareas have been met.  Each subarea must be shown on a roof plan or documented in construction documents.  The solar zones must also comply with fire code requirements, including, but not limited to, setback and pathway requirements. Requirements for interconnection pathways must also be included in construction documents, and the location is specified in this table. </t>
  </si>
  <si>
    <r>
      <rPr>
        <b/>
        <strike/>
        <sz val="10"/>
        <color rgb="FFFF0000"/>
        <rFont val="Calibri"/>
        <family val="2"/>
        <scheme val="minor"/>
      </rPr>
      <t>Roof is designed for vehicle traffic, parking or for heliport</t>
    </r>
    <r>
      <rPr>
        <b/>
        <sz val="10"/>
        <color rgb="FFFF0000"/>
        <rFont val="Calibri"/>
        <family val="2"/>
        <scheme val="minor"/>
      </rPr>
      <t xml:space="preserve"> Conditioned Floor Area (ft</t>
    </r>
    <r>
      <rPr>
        <b/>
        <vertAlign val="superscript"/>
        <sz val="10"/>
        <color rgb="FFFF0000"/>
        <rFont val="Calibri"/>
        <family val="2"/>
        <scheme val="minor"/>
      </rPr>
      <t>2</t>
    </r>
    <r>
      <rPr>
        <b/>
        <sz val="10"/>
        <color rgb="FFFF0000"/>
        <rFont val="Calibri"/>
        <family val="2"/>
        <scheme val="minor"/>
      </rPr>
      <t>)</t>
    </r>
  </si>
  <si>
    <t>user input</t>
  </si>
  <si>
    <t>Photovoltaic (PV) System</t>
  </si>
  <si>
    <t>Plansheet or Document showing Solar Access Calculations</t>
  </si>
  <si>
    <r>
      <t>Solar Access Roof Area (SARA)
(ft</t>
    </r>
    <r>
      <rPr>
        <vertAlign val="superscript"/>
        <sz val="10"/>
        <rFont val="Calibri"/>
        <family val="2"/>
      </rPr>
      <t>2</t>
    </r>
    <r>
      <rPr>
        <sz val="10"/>
        <rFont val="Calibri"/>
        <family val="2"/>
      </rPr>
      <t>)</t>
    </r>
  </si>
  <si>
    <t xml:space="preserve"># of Dwelling Units </t>
  </si>
  <si>
    <r>
      <t>Min Size of PV System Required
(kW</t>
    </r>
    <r>
      <rPr>
        <vertAlign val="subscript"/>
        <sz val="10"/>
        <rFont val="Calibri"/>
        <family val="2"/>
      </rPr>
      <t>dc</t>
    </r>
    <r>
      <rPr>
        <sz val="10"/>
        <rFont val="Calibri"/>
        <family val="2"/>
      </rPr>
      <t>)</t>
    </r>
  </si>
  <si>
    <t>equals Min (col 06 vs. Eq 170.2-C)</t>
  </si>
  <si>
    <r>
      <t>(See Table</t>
    </r>
    <r>
      <rPr>
        <b/>
        <sz val="10"/>
        <color rgb="FFFF0000"/>
        <rFont val="Calibri"/>
        <family val="2"/>
      </rPr>
      <t>s</t>
    </r>
    <r>
      <rPr>
        <sz val="10"/>
        <rFont val="Calibri"/>
        <family val="2"/>
      </rPr>
      <t xml:space="preserve"> G </t>
    </r>
    <r>
      <rPr>
        <b/>
        <sz val="10"/>
        <color rgb="FFFF0000"/>
        <rFont val="Calibri"/>
        <family val="2"/>
      </rPr>
      <t>or J</t>
    </r>
    <r>
      <rPr>
        <sz val="10"/>
        <rFont val="Calibri"/>
        <family val="2"/>
      </rPr>
      <t>)</t>
    </r>
  </si>
  <si>
    <r>
      <t>Size of PV system in Design
(kW</t>
    </r>
    <r>
      <rPr>
        <vertAlign val="subscript"/>
        <sz val="10"/>
        <rFont val="Calibri"/>
        <family val="2"/>
      </rPr>
      <t>dc</t>
    </r>
    <r>
      <rPr>
        <sz val="10"/>
        <rFont val="Calibri"/>
        <family val="2"/>
      </rPr>
      <t>)</t>
    </r>
  </si>
  <si>
    <t>zero is acceptable</t>
  </si>
  <si>
    <r>
      <rPr>
        <i/>
        <vertAlign val="superscript"/>
        <sz val="10"/>
        <color theme="1"/>
        <rFont val="Calibri"/>
        <family val="2"/>
        <scheme val="minor"/>
      </rPr>
      <t>1</t>
    </r>
    <r>
      <rPr>
        <i/>
        <sz val="10"/>
        <color theme="1"/>
        <rFont val="Calibri"/>
        <family val="2"/>
        <scheme val="minor"/>
      </rPr>
      <t xml:space="preserve"> FOOTNOTES: Includes the area of the building’s roof space capable of structurally supporting a PV system, and the area of all roof space on covered parking areas, carports, and all other newly constructed structures on the site that are compatible with supporting a PV system per Title 24, Part 2, Section 1511.2.</t>
    </r>
  </si>
  <si>
    <t>Battery Storage System</t>
  </si>
  <si>
    <t>Installed battery storage systems must meet the minimum requirements in Joint Appendix JA12.</t>
  </si>
  <si>
    <t>This table documents compliance with prescriptive photovoltaic and battery system requirements in §140.10/§170.2(g &amp; h). Unless the project meets one of the listed exceptions or trades-off PV in an energy model using the performance path, §140.10/§170.2(g &amp; h) requires installed photovoltaic and battery systems for newly constructed buildings. The installed PV systems must meet the minimum requirements in Joint Appendix 11.</t>
  </si>
  <si>
    <r>
      <t xml:space="preserve">This table documents compliance with prescriptive photovoltaic </t>
    </r>
    <r>
      <rPr>
        <b/>
        <i/>
        <strike/>
        <sz val="10"/>
        <color theme="8"/>
        <rFont val="Calibri"/>
        <family val="2"/>
      </rPr>
      <t>and battery</t>
    </r>
    <r>
      <rPr>
        <i/>
        <sz val="10"/>
        <rFont val="Calibri"/>
        <family val="2"/>
      </rPr>
      <t xml:space="preserve"> system requirements in </t>
    </r>
    <r>
      <rPr>
        <b/>
        <i/>
        <sz val="10"/>
        <color theme="8"/>
        <rFont val="Calibri"/>
        <family val="2"/>
      </rPr>
      <t>§170.2(f)</t>
    </r>
    <r>
      <rPr>
        <i/>
        <sz val="10"/>
        <rFont val="Calibri"/>
        <family val="2"/>
      </rPr>
      <t xml:space="preserve">. Unless the project meets one of the listed exceptions or trades-off PV in an energy model using the performance path, </t>
    </r>
    <r>
      <rPr>
        <b/>
        <i/>
        <sz val="10"/>
        <color theme="8"/>
        <rFont val="Calibri"/>
        <family val="2"/>
      </rPr>
      <t>§170.2(f)</t>
    </r>
    <r>
      <rPr>
        <i/>
        <sz val="10"/>
        <rFont val="Calibri"/>
        <family val="2"/>
      </rPr>
      <t xml:space="preserve"> requires installed photovoltaic </t>
    </r>
    <r>
      <rPr>
        <b/>
        <i/>
        <strike/>
        <sz val="10"/>
        <color theme="8"/>
        <rFont val="Calibri"/>
        <family val="2"/>
      </rPr>
      <t>and battery</t>
    </r>
    <r>
      <rPr>
        <i/>
        <sz val="10"/>
        <rFont val="Calibri"/>
        <family val="2"/>
      </rPr>
      <t xml:space="preserve"> systems for newly constructed buildings. The installed PV systems must meet the minimum requirements in Joint Appendix 11.</t>
    </r>
  </si>
  <si>
    <t>Space Type Covered by Roof</t>
  </si>
  <si>
    <t xml:space="preserve">Dropdown </t>
  </si>
  <si>
    <t>High-rise Multifamily</t>
  </si>
  <si>
    <t>School</t>
  </si>
  <si>
    <t>Hotel/Motel</t>
  </si>
  <si>
    <t>Medical Office/Clinic</t>
  </si>
  <si>
    <t>HRR Eq 170.2-D same as NR Eq 140.10-A</t>
  </si>
  <si>
    <r>
      <t>Conditioned Floor Area
(ft</t>
    </r>
    <r>
      <rPr>
        <vertAlign val="superscript"/>
        <sz val="10"/>
        <rFont val="Calibri"/>
        <family val="2"/>
      </rPr>
      <t>2</t>
    </r>
    <r>
      <rPr>
        <sz val="10"/>
        <rFont val="Calibri"/>
        <family val="2"/>
      </rPr>
      <t>)</t>
    </r>
  </si>
  <si>
    <t>CZ from A02, Bldg type from Col 01</t>
  </si>
  <si>
    <r>
      <t>Area of New Roof</t>
    </r>
    <r>
      <rPr>
        <vertAlign val="superscript"/>
        <sz val="10"/>
        <rFont val="Calibri"/>
        <family val="2"/>
      </rPr>
      <t xml:space="preserve">1 </t>
    </r>
    <r>
      <rPr>
        <sz val="10"/>
        <rFont val="Calibri"/>
        <family val="2"/>
      </rPr>
      <t xml:space="preserve">
(ft</t>
    </r>
    <r>
      <rPr>
        <vertAlign val="superscript"/>
        <sz val="10"/>
        <rFont val="Calibri"/>
        <family val="2"/>
      </rPr>
      <t>2</t>
    </r>
    <r>
      <rPr>
        <sz val="10"/>
        <rFont val="Calibri"/>
        <family val="2"/>
      </rPr>
      <t>)</t>
    </r>
  </si>
  <si>
    <t>equals col03-col04-col06</t>
  </si>
  <si>
    <r>
      <t>Max Size of PV system that will fit on SARA
(kW</t>
    </r>
    <r>
      <rPr>
        <b/>
        <vertAlign val="subscript"/>
        <sz val="10"/>
        <color theme="8"/>
        <rFont val="Calibri"/>
        <family val="2"/>
      </rPr>
      <t>dc</t>
    </r>
    <r>
      <rPr>
        <b/>
        <sz val="10"/>
        <color theme="8"/>
        <rFont val="Calibri"/>
        <family val="2"/>
      </rPr>
      <t>)</t>
    </r>
  </si>
  <si>
    <t>equals Min ((col 07 x 14) vs. Eq 140.10-A)</t>
  </si>
  <si>
    <t>Eq 170.2-C should be: ((CFA x A)/1000) + (Ndu x B)</t>
  </si>
  <si>
    <t>CZ from A02 &amp; CFA from A03</t>
  </si>
  <si>
    <r>
      <t>Total Size PV System in Design (kW</t>
    </r>
    <r>
      <rPr>
        <b/>
        <vertAlign val="subscript"/>
        <sz val="11"/>
        <color theme="1"/>
        <rFont val="Calibri"/>
        <family val="2"/>
        <scheme val="minor"/>
      </rPr>
      <t>dc</t>
    </r>
    <r>
      <rPr>
        <b/>
        <sz val="11"/>
        <color theme="1"/>
        <rFont val="Calibri"/>
        <family val="2"/>
        <scheme val="minor"/>
      </rPr>
      <t>):</t>
    </r>
  </si>
  <si>
    <r>
      <t>Exception to PV &amp; Battery:
Required PV &lt;</t>
    </r>
    <r>
      <rPr>
        <sz val="10"/>
        <color rgb="FF0070C0"/>
        <rFont val="Calibri"/>
        <family val="2"/>
        <scheme val="minor"/>
      </rPr>
      <t xml:space="preserve"> </t>
    </r>
    <r>
      <rPr>
        <strike/>
        <sz val="10"/>
        <color rgb="FF0070C0"/>
        <rFont val="Calibri"/>
        <family val="2"/>
        <scheme val="minor"/>
      </rPr>
      <t>4</t>
    </r>
    <r>
      <rPr>
        <sz val="10"/>
        <color rgb="FF0070C0"/>
        <rFont val="Calibri"/>
        <family val="2"/>
        <scheme val="minor"/>
      </rPr>
      <t xml:space="preserve"> 1.8</t>
    </r>
    <r>
      <rPr>
        <sz val="10"/>
        <color rgb="FFFF0000"/>
        <rFont val="Calibri"/>
        <family val="2"/>
        <scheme val="minor"/>
      </rPr>
      <t xml:space="preserve"> kW</t>
    </r>
  </si>
  <si>
    <r>
      <t xml:space="preserve">Provided PV system </t>
    </r>
    <r>
      <rPr>
        <b/>
        <strike/>
        <sz val="10"/>
        <color rgb="FF0070C0"/>
        <rFont val="Calibri"/>
        <family val="2"/>
        <scheme val="minor"/>
      </rPr>
      <t>and battery storage</t>
    </r>
    <r>
      <rPr>
        <sz val="10"/>
        <color rgb="FFFF0000"/>
        <rFont val="Calibri"/>
        <family val="2"/>
        <scheme val="minor"/>
      </rPr>
      <t xml:space="preserve"> sized per </t>
    </r>
    <r>
      <rPr>
        <b/>
        <strike/>
        <sz val="10"/>
        <color rgb="FF0070C0"/>
        <rFont val="Calibri"/>
        <family val="2"/>
        <scheme val="minor"/>
      </rPr>
      <t>§140.10/</t>
    </r>
    <r>
      <rPr>
        <sz val="10"/>
        <color rgb="FFFF0000"/>
        <rFont val="Calibri"/>
        <family val="2"/>
        <scheme val="minor"/>
      </rPr>
      <t xml:space="preserve">§170.2 </t>
    </r>
    <r>
      <rPr>
        <b/>
        <sz val="10"/>
        <color rgb="FF0070C0"/>
        <rFont val="Calibri"/>
        <family val="2"/>
        <scheme val="minor"/>
      </rPr>
      <t>(f)</t>
    </r>
  </si>
  <si>
    <r>
      <t>Total Min Size PV System Required for all Spaces (kW</t>
    </r>
    <r>
      <rPr>
        <b/>
        <vertAlign val="subscript"/>
        <sz val="11"/>
        <color theme="1"/>
        <rFont val="Calibri"/>
        <family val="2"/>
        <scheme val="minor"/>
      </rPr>
      <t>dc</t>
    </r>
    <r>
      <rPr>
        <b/>
        <sz val="11"/>
        <color theme="1"/>
        <rFont val="Calibri"/>
        <family val="2"/>
        <scheme val="minor"/>
      </rPr>
      <t>):</t>
    </r>
  </si>
  <si>
    <t>&lt;Triggered if "Total PV Required" above is &gt;0</t>
  </si>
  <si>
    <t>from Col 01 above</t>
  </si>
  <si>
    <t>from Col 08 above</t>
  </si>
  <si>
    <t>Min Battery Rated Energy Capacity Required
(kWh)</t>
  </si>
  <si>
    <t>equals (col02 x B)/(col03^0.5)</t>
  </si>
  <si>
    <r>
      <t>Rated Single Charge-Discharge AC Efficiency of Battery System</t>
    </r>
    <r>
      <rPr>
        <vertAlign val="superscript"/>
        <sz val="10"/>
        <rFont val="Calibri"/>
        <family val="2"/>
      </rPr>
      <t>1</t>
    </r>
  </si>
  <si>
    <r>
      <rPr>
        <i/>
        <vertAlign val="superscript"/>
        <sz val="10"/>
        <color theme="1"/>
        <rFont val="Calibri"/>
        <family val="2"/>
        <scheme val="minor"/>
      </rPr>
      <t>1</t>
    </r>
    <r>
      <rPr>
        <i/>
        <sz val="10"/>
        <color theme="1"/>
        <rFont val="Calibri"/>
        <family val="2"/>
        <scheme val="minor"/>
      </rPr>
      <t xml:space="preserve"> FOOTNOTE: Rated single charge-discharge cycle AC to AC (round-trip) efficiency of the battery storage system</t>
    </r>
  </si>
  <si>
    <t>equals Col02 x C</t>
  </si>
  <si>
    <t>equals Sum Col04 for all spaces</t>
  </si>
  <si>
    <t>equals Sum Col05 for all spaces</t>
  </si>
  <si>
    <r>
      <t>Min Power Capacity of Battery Required
(kW</t>
    </r>
    <r>
      <rPr>
        <vertAlign val="subscript"/>
        <sz val="10"/>
        <rFont val="Calibri"/>
        <family val="2"/>
      </rPr>
      <t>dc</t>
    </r>
    <r>
      <rPr>
        <sz val="10"/>
        <rFont val="Calibri"/>
        <family val="2"/>
      </rPr>
      <t>)</t>
    </r>
  </si>
  <si>
    <t>Total Min Energy (kWh) and Power (kW) Capacity Required:</t>
  </si>
  <si>
    <t>Total Energy (kWh) and Power (kW) Capacity in Design:</t>
  </si>
  <si>
    <t>Photovoltaic and Battery Systems</t>
  </si>
  <si>
    <t>Table A &amp; B</t>
  </si>
  <si>
    <r>
      <t xml:space="preserve">Table </t>
    </r>
    <r>
      <rPr>
        <b/>
        <strike/>
        <sz val="11"/>
        <color rgb="FFFF0000"/>
        <rFont val="Arial"/>
        <family val="2"/>
      </rPr>
      <t>J</t>
    </r>
    <r>
      <rPr>
        <b/>
        <sz val="11"/>
        <color rgb="FFFF0000"/>
        <rFont val="Arial"/>
        <family val="2"/>
      </rPr>
      <t xml:space="preserve"> K</t>
    </r>
  </si>
  <si>
    <r>
      <t xml:space="preserve">Table </t>
    </r>
    <r>
      <rPr>
        <b/>
        <strike/>
        <sz val="11"/>
        <color rgb="FFFF0000"/>
        <rFont val="Arial"/>
        <family val="2"/>
      </rPr>
      <t>K</t>
    </r>
    <r>
      <rPr>
        <b/>
        <sz val="11"/>
        <color rgb="FFFF0000"/>
        <rFont val="Arial"/>
        <family val="2"/>
      </rPr>
      <t xml:space="preserve"> L</t>
    </r>
  </si>
  <si>
    <t>§140.10</t>
  </si>
  <si>
    <t>§170.2(f-h)</t>
  </si>
  <si>
    <r>
      <rPr>
        <b/>
        <sz val="8"/>
        <color rgb="FF0070C0"/>
        <rFont val="Calibri"/>
        <family val="2"/>
        <scheme val="minor"/>
      </rPr>
      <t>LM</t>
    </r>
    <r>
      <rPr>
        <sz val="8"/>
        <color rgb="FF000000"/>
        <rFont val="Calibri"/>
        <family val="2"/>
        <scheme val="minor"/>
      </rPr>
      <t>CC-S</t>
    </r>
    <r>
      <rPr>
        <b/>
        <sz val="8"/>
        <color rgb="FFFF0000"/>
        <rFont val="Calibri"/>
        <family val="2"/>
        <scheme val="minor"/>
      </rPr>
      <t>AB</t>
    </r>
    <r>
      <rPr>
        <sz val="8"/>
        <color rgb="FF000000"/>
        <rFont val="Calibri"/>
        <family val="2"/>
        <scheme val="minor"/>
      </rPr>
      <t xml:space="preserve">-E </t>
    </r>
  </si>
  <si>
    <r>
      <rPr>
        <b/>
        <sz val="11"/>
        <color rgb="FF0070C0"/>
        <rFont val="Calibri"/>
        <family val="2"/>
        <scheme val="minor"/>
      </rPr>
      <t>LM</t>
    </r>
    <r>
      <rPr>
        <sz val="11"/>
        <color rgb="FF000000"/>
        <rFont val="Calibri"/>
        <family val="2"/>
        <scheme val="minor"/>
      </rPr>
      <t>CC-S</t>
    </r>
    <r>
      <rPr>
        <b/>
        <strike/>
        <sz val="11"/>
        <color rgb="FFFF0000"/>
        <rFont val="Calibri"/>
        <family val="2"/>
        <scheme val="minor"/>
      </rPr>
      <t>R</t>
    </r>
    <r>
      <rPr>
        <b/>
        <sz val="11"/>
        <color rgb="FFFF0000"/>
        <rFont val="Calibri"/>
        <family val="2"/>
        <scheme val="minor"/>
      </rPr>
      <t>AB</t>
    </r>
    <r>
      <rPr>
        <sz val="11"/>
        <color rgb="FF000000"/>
        <rFont val="Calibri"/>
        <family val="2"/>
        <scheme val="minor"/>
      </rPr>
      <t>-E</t>
    </r>
  </si>
  <si>
    <r>
      <t xml:space="preserve">STOP! Healthcare facilities, some Nonresidential buildings greater than three stories, </t>
    </r>
    <r>
      <rPr>
        <b/>
        <strike/>
        <sz val="11"/>
        <color rgb="FF0070C0"/>
        <rFont val="Calibri"/>
        <family val="2"/>
        <scheme val="minor"/>
      </rPr>
      <t>Hotel/Motel buildings greater than 10 stories, High-rise mulitfamily  greater than 10 stories,</t>
    </r>
    <r>
      <rPr>
        <b/>
        <i/>
        <strike/>
        <sz val="11"/>
        <color rgb="FF0070C0"/>
        <rFont val="Calibri"/>
        <family val="2"/>
        <scheme val="minor"/>
      </rPr>
      <t xml:space="preserve"> and some buildings with total roof area less than or equal to 533ft</t>
    </r>
    <r>
      <rPr>
        <b/>
        <i/>
        <strike/>
        <vertAlign val="superscript"/>
        <sz val="11"/>
        <color rgb="FF0070C0"/>
        <rFont val="Calibri"/>
        <family val="2"/>
        <scheme val="minor"/>
      </rPr>
      <t>2</t>
    </r>
    <r>
      <rPr>
        <b/>
        <i/>
        <strike/>
        <sz val="11"/>
        <color rgb="FF0070C0"/>
        <rFont val="Calibri"/>
        <family val="2"/>
        <scheme val="minor"/>
      </rPr>
      <t xml:space="preserve"> are not required to comply with the requirements of §110.10/§140.10/§170.2(g and h) and do not need to complete this compliance document. </t>
    </r>
  </si>
  <si>
    <t>Multifamily/ Mixed-Use</t>
  </si>
  <si>
    <r>
      <t xml:space="preserve">There are no Certificates of Acceptance applicable to solar </t>
    </r>
    <r>
      <rPr>
        <b/>
        <i/>
        <strike/>
        <sz val="10"/>
        <color rgb="FFFF0000"/>
        <rFont val="Calibri"/>
        <family val="2"/>
      </rPr>
      <t>ready</t>
    </r>
    <r>
      <rPr>
        <b/>
        <i/>
        <sz val="10"/>
        <color rgb="FFFF0000"/>
        <rFont val="Calibri"/>
        <family val="2"/>
      </rPr>
      <t xml:space="preserve"> readiness or PV/battery requirements.</t>
    </r>
  </si>
  <si>
    <r>
      <rPr>
        <b/>
        <strike/>
        <sz val="11"/>
        <color rgb="FFFF0000"/>
        <rFont val="Calibri"/>
        <family val="2"/>
      </rPr>
      <t>K</t>
    </r>
    <r>
      <rPr>
        <b/>
        <sz val="11"/>
        <color rgb="FFFF0000"/>
        <rFont val="Calibri"/>
        <family val="2"/>
      </rPr>
      <t xml:space="preserve"> L</t>
    </r>
    <r>
      <rPr>
        <b/>
        <sz val="11"/>
        <color rgb="FF231F20"/>
        <rFont val="Calibri"/>
        <family val="2"/>
      </rPr>
      <t>. DECLARATION OF REQUIRED CERTIFICATES OF ACCEPTANCE</t>
    </r>
  </si>
  <si>
    <r>
      <rPr>
        <b/>
        <strike/>
        <sz val="11"/>
        <color rgb="FFFF0000"/>
        <rFont val="Calibri"/>
        <family val="2"/>
      </rPr>
      <t>J</t>
    </r>
    <r>
      <rPr>
        <b/>
        <sz val="11"/>
        <color rgb="FFFF0000"/>
        <rFont val="Calibri"/>
        <family val="2"/>
      </rPr>
      <t xml:space="preserve"> K.</t>
    </r>
    <r>
      <rPr>
        <b/>
        <sz val="11"/>
        <color rgb="FF231F20"/>
        <rFont val="Calibri"/>
        <family val="2"/>
      </rPr>
      <t xml:space="preserve"> DECLARATION OF REQUIRED CERTIFICATES OF INSTALLATION</t>
    </r>
  </si>
  <si>
    <r>
      <rPr>
        <i/>
        <sz val="10"/>
        <rFont val="Calibri"/>
        <family val="2"/>
      </rP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i/>
        <sz val="10"/>
        <color rgb="FFFF0000"/>
        <rFont val="Calibri"/>
        <family val="2"/>
      </rPr>
      <t>https://www.energy.ca.gov/title24/2019standards/2019_compliance_documents/Nonresidential_Documents/NRCI/</t>
    </r>
    <r>
      <rPr>
        <b/>
        <i/>
        <sz val="10"/>
        <color rgb="FFFF0000"/>
        <rFont val="Calibri"/>
        <family val="2"/>
      </rPr>
      <t xml:space="preserve"> </t>
    </r>
  </si>
  <si>
    <t>NRCI-SAB-E - Must be submitted for all buildings that must comply with solar readiness or PV/Battery requirements.</t>
  </si>
  <si>
    <t>NRCI-STH-01-E - Must be submitted for all newly installed Solar Water Heating systems being used to comply with §110.10(b)1B for high-rise multifamily, Hotel/Motel buildings less than 10 stories and nonresidential buildings less than 4 stories.</t>
  </si>
  <si>
    <r>
      <rPr>
        <b/>
        <sz val="10"/>
        <color rgb="FF0070C0"/>
        <rFont val="Calibri"/>
        <family val="2"/>
        <scheme val="minor"/>
      </rPr>
      <t>LM</t>
    </r>
    <r>
      <rPr>
        <sz val="10"/>
        <color rgb="FFFF0000"/>
        <rFont val="Calibri"/>
        <family val="2"/>
        <scheme val="minor"/>
      </rPr>
      <t>CI-SAB-E - Must be submitted for all buildings that must comply with solar readiness or PV/Battery requirements.</t>
    </r>
  </si>
  <si>
    <r>
      <t>STOP!  Alterations</t>
    </r>
    <r>
      <rPr>
        <b/>
        <i/>
        <sz val="11"/>
        <color rgb="FFFF0000"/>
        <rFont val="Calibri"/>
        <family val="2"/>
        <scheme val="minor"/>
      </rPr>
      <t>,</t>
    </r>
    <r>
      <rPr>
        <b/>
        <i/>
        <sz val="11"/>
        <color theme="1"/>
        <rFont val="Calibri"/>
        <family val="2"/>
        <scheme val="minor"/>
      </rPr>
      <t xml:space="preserve"> or additions that increase roof area by ≤ 2,000 ft</t>
    </r>
    <r>
      <rPr>
        <b/>
        <i/>
        <vertAlign val="superscript"/>
        <sz val="11"/>
        <color theme="1"/>
        <rFont val="Calibri"/>
        <family val="2"/>
        <scheme val="minor"/>
      </rPr>
      <t>2</t>
    </r>
    <r>
      <rPr>
        <b/>
        <i/>
        <sz val="11"/>
        <color rgb="FFFF0000"/>
        <rFont val="Calibri"/>
        <family val="2"/>
        <scheme val="minor"/>
      </rPr>
      <t>,</t>
    </r>
    <r>
      <rPr>
        <b/>
        <i/>
        <sz val="11"/>
        <color theme="1"/>
        <rFont val="Calibri"/>
        <family val="2"/>
        <scheme val="minor"/>
      </rPr>
      <t xml:space="preserve"> are not required to comply with </t>
    </r>
    <r>
      <rPr>
        <b/>
        <i/>
        <strike/>
        <sz val="11"/>
        <color rgb="FFFF0000"/>
        <rFont val="Calibri"/>
        <family val="2"/>
        <scheme val="minor"/>
      </rPr>
      <t xml:space="preserve">solar ready </t>
    </r>
    <r>
      <rPr>
        <b/>
        <i/>
        <sz val="11"/>
        <color theme="1"/>
        <rFont val="Calibri"/>
        <family val="2"/>
        <scheme val="minor"/>
      </rPr>
      <t>requirements in §110.10</t>
    </r>
    <r>
      <rPr>
        <b/>
        <i/>
        <sz val="11"/>
        <color rgb="FFFF0000"/>
        <rFont val="Calibri"/>
        <family val="2"/>
        <scheme val="minor"/>
      </rPr>
      <t>/§140.10/§170.2(g and h)</t>
    </r>
    <r>
      <rPr>
        <b/>
        <i/>
        <sz val="11"/>
        <color theme="1"/>
        <rFont val="Calibri"/>
        <family val="2"/>
        <scheme val="minor"/>
      </rPr>
      <t xml:space="preserve"> and do not need to complete this compliance document.  </t>
    </r>
  </si>
  <si>
    <r>
      <t>STOP!  Alterations</t>
    </r>
    <r>
      <rPr>
        <b/>
        <i/>
        <sz val="11"/>
        <color rgb="FFFF0000"/>
        <rFont val="Calibri"/>
        <family val="2"/>
        <scheme val="minor"/>
      </rPr>
      <t>,</t>
    </r>
    <r>
      <rPr>
        <b/>
        <i/>
        <sz val="11"/>
        <color theme="1"/>
        <rFont val="Calibri"/>
        <family val="2"/>
        <scheme val="minor"/>
      </rPr>
      <t xml:space="preserve"> or additions that increase roof area by ≤ 2,000 ft</t>
    </r>
    <r>
      <rPr>
        <b/>
        <i/>
        <vertAlign val="superscript"/>
        <sz val="11"/>
        <color theme="1"/>
        <rFont val="Calibri"/>
        <family val="2"/>
        <scheme val="minor"/>
      </rPr>
      <t>2</t>
    </r>
    <r>
      <rPr>
        <b/>
        <i/>
        <sz val="11"/>
        <color rgb="FFFF0000"/>
        <rFont val="Calibri"/>
        <family val="2"/>
        <scheme val="minor"/>
      </rPr>
      <t>,</t>
    </r>
    <r>
      <rPr>
        <b/>
        <i/>
        <sz val="11"/>
        <color theme="1"/>
        <rFont val="Calibri"/>
        <family val="2"/>
        <scheme val="minor"/>
      </rPr>
      <t xml:space="preserve"> are not required to comply with </t>
    </r>
    <r>
      <rPr>
        <b/>
        <i/>
        <strike/>
        <sz val="11"/>
        <color rgb="FFFF0000"/>
        <rFont val="Calibri"/>
        <family val="2"/>
        <scheme val="minor"/>
      </rPr>
      <t xml:space="preserve">solar ready </t>
    </r>
    <r>
      <rPr>
        <b/>
        <i/>
        <sz val="11"/>
        <color theme="1"/>
        <rFont val="Calibri"/>
        <family val="2"/>
        <scheme val="minor"/>
      </rPr>
      <t>requirements in §110.10</t>
    </r>
    <r>
      <rPr>
        <b/>
        <i/>
        <sz val="11"/>
        <color rgb="FFFF0000"/>
        <rFont val="Calibri"/>
        <family val="2"/>
        <scheme val="minor"/>
      </rPr>
      <t>/</t>
    </r>
    <r>
      <rPr>
        <b/>
        <i/>
        <strike/>
        <sz val="11"/>
        <color rgb="FF0070C0"/>
        <rFont val="Calibri"/>
        <family val="2"/>
        <scheme val="minor"/>
      </rPr>
      <t>§140.10/</t>
    </r>
    <r>
      <rPr>
        <b/>
        <i/>
        <sz val="11"/>
        <color rgb="FFFF0000"/>
        <rFont val="Calibri"/>
        <family val="2"/>
        <scheme val="minor"/>
      </rPr>
      <t>§170.2</t>
    </r>
    <r>
      <rPr>
        <b/>
        <i/>
        <sz val="11"/>
        <color rgb="FF0070C0"/>
        <rFont val="Calibri"/>
        <family val="2"/>
        <scheme val="minor"/>
      </rPr>
      <t>(f)</t>
    </r>
    <r>
      <rPr>
        <b/>
        <i/>
        <sz val="11"/>
        <color theme="1"/>
        <rFont val="Calibri"/>
        <family val="2"/>
        <scheme val="minor"/>
      </rPr>
      <t xml:space="preserve"> and do not need to complete this compliance document.  </t>
    </r>
  </si>
  <si>
    <r>
      <t xml:space="preserve">Dropdown </t>
    </r>
    <r>
      <rPr>
        <b/>
        <i/>
        <sz val="10"/>
        <color rgb="FFFF0000"/>
        <rFont val="Calibri"/>
        <family val="2"/>
        <scheme val="minor"/>
      </rPr>
      <t>(select all that apply)</t>
    </r>
    <r>
      <rPr>
        <b/>
        <i/>
        <sz val="10"/>
        <rFont val="Calibri"/>
        <family val="2"/>
        <scheme val="minor"/>
      </rPr>
      <t>, see below for list</t>
    </r>
  </si>
  <si>
    <r>
      <t>Addition</t>
    </r>
    <r>
      <rPr>
        <b/>
        <strike/>
        <sz val="10"/>
        <color rgb="FFFF0000"/>
        <rFont val="Calibri"/>
        <family val="2"/>
        <scheme val="minor"/>
      </rPr>
      <t>/ Alteration</t>
    </r>
    <r>
      <rPr>
        <sz val="10"/>
        <color theme="1"/>
        <rFont val="Calibri"/>
        <family val="2"/>
        <scheme val="minor"/>
      </rPr>
      <t xml:space="preserve"> increases roof area &gt; 2,000 ft</t>
    </r>
    <r>
      <rPr>
        <vertAlign val="superscript"/>
        <sz val="10"/>
        <color theme="1"/>
        <rFont val="Calibri"/>
        <family val="2"/>
        <scheme val="minor"/>
      </rPr>
      <t>2</t>
    </r>
  </si>
  <si>
    <r>
      <rPr>
        <b/>
        <sz val="10"/>
        <color rgb="FFFF0000"/>
        <rFont val="Calibri"/>
        <family val="2"/>
        <scheme val="minor"/>
      </rPr>
      <t>Alteration/</t>
    </r>
    <r>
      <rPr>
        <sz val="10"/>
        <color theme="1"/>
        <rFont val="Calibri"/>
        <family val="2"/>
        <scheme val="minor"/>
      </rPr>
      <t xml:space="preserve"> Addition</t>
    </r>
    <r>
      <rPr>
        <b/>
        <strike/>
        <sz val="10"/>
        <color rgb="FFFF0000"/>
        <rFont val="Calibri"/>
        <family val="2"/>
        <scheme val="minor"/>
      </rPr>
      <t>/ Alteration</t>
    </r>
    <r>
      <rPr>
        <sz val="10"/>
        <color theme="1"/>
        <rFont val="Calibri"/>
        <family val="2"/>
        <scheme val="minor"/>
      </rPr>
      <t xml:space="preserve"> increases roof area ≤ 2,000 ft</t>
    </r>
    <r>
      <rPr>
        <vertAlign val="superscript"/>
        <sz val="10"/>
        <color theme="1"/>
        <rFont val="Calibri"/>
        <family val="2"/>
        <scheme val="minor"/>
      </rPr>
      <t>2</t>
    </r>
  </si>
  <si>
    <t>&lt;triggers PV/Battery subtable in Table B if either New Construction choices in col05; triggers Solar Ready in Table B if Add&gt; 2000sf</t>
  </si>
  <si>
    <t>&lt; triggers Solar Ready if New Const. or Add &gt;2,000ft2 in col 05 AND &lt;= 3 stories in col 06</t>
  </si>
  <si>
    <t>&lt;triggers PV/Battery subtable in Table B if either New Construction choices in col05; triggers Solar Ready in Table B if Add &gt; 2000sf</t>
  </si>
  <si>
    <r>
      <t>The project is new construction and has a total roof area &lt;= 533 square feet.</t>
    </r>
    <r>
      <rPr>
        <vertAlign val="superscript"/>
        <sz val="10"/>
        <color rgb="FFFF0000"/>
        <rFont val="Calibri"/>
        <family val="2"/>
      </rPr>
      <t>1</t>
    </r>
  </si>
  <si>
    <r>
      <rPr>
        <b/>
        <i/>
        <vertAlign val="superscript"/>
        <sz val="10"/>
        <color rgb="FFFF0000"/>
        <rFont val="Calibri"/>
        <family val="2"/>
        <scheme val="minor"/>
      </rPr>
      <t>1</t>
    </r>
    <r>
      <rPr>
        <b/>
        <i/>
        <sz val="10"/>
        <color rgb="FFFF0000"/>
        <rFont val="Calibri"/>
        <family val="2"/>
        <scheme val="minor"/>
      </rPr>
      <t xml:space="preserve"> FOOTNOTE: Buildings with roof area &lt;= 533 ft</t>
    </r>
    <r>
      <rPr>
        <b/>
        <i/>
        <vertAlign val="superscript"/>
        <sz val="10"/>
        <color rgb="FFFF0000"/>
        <rFont val="Calibri"/>
        <family val="2"/>
        <scheme val="minor"/>
      </rPr>
      <t>2</t>
    </r>
    <r>
      <rPr>
        <b/>
        <i/>
        <sz val="10"/>
        <color rgb="FFFF0000"/>
        <rFont val="Calibri"/>
        <family val="2"/>
        <scheme val="minor"/>
      </rPr>
      <t xml:space="preserve"> would have a required solar zone &lt; 80ft</t>
    </r>
    <r>
      <rPr>
        <b/>
        <i/>
        <vertAlign val="superscript"/>
        <sz val="10"/>
        <color rgb="FFFF0000"/>
        <rFont val="Calibri"/>
        <family val="2"/>
        <scheme val="minor"/>
      </rPr>
      <t>2</t>
    </r>
    <r>
      <rPr>
        <b/>
        <i/>
        <sz val="10"/>
        <color rgb="FFFF0000"/>
        <rFont val="Calibri"/>
        <family val="2"/>
        <scheme val="minor"/>
      </rPr>
      <t xml:space="preserve"> and are therefore exempt per §110.10(b)1.</t>
    </r>
  </si>
  <si>
    <t>The total of all available Solar Access Roof Area(s) of the project site is less than three percent of the conditioned floor area as documented in Table J.</t>
  </si>
  <si>
    <t>The Solar Access Roof Area(s) of the project site contains less than 80 contiguous square feet as documented in Table J.</t>
  </si>
  <si>
    <r>
      <t>This document is used to demonstrate compliance with prescriptive PV and battery requirements in §140.10/§170.2 for nonresidential, multifamily and mixed-use buildings and prescriptive solar thermal requirements in §170.2(d)3C for multifamilyand hotel/ motel occupancies.
When PV/battery/solar thermal requirements don't apply or are traded using the performance approach, this document demonstrates compliance with mandatory solar readiness requirements in §110.10/ §160.8 for newly constructed buildings which are either multifamily ten stories or fewer, hotel/motel ten stories or fewer or all other nonresidential buildings three stories or fewer.  It is also used to demonstrate compliance with solar readiness in §110.10/ §160.8 for additions to nonresidential, multifamily or hotel/motel building types which add more than 2,000 ft</t>
    </r>
    <r>
      <rPr>
        <b/>
        <i/>
        <vertAlign val="superscript"/>
        <sz val="10"/>
        <color rgb="FFFF0000"/>
        <rFont val="Calibri"/>
        <family val="2"/>
      </rPr>
      <t>2</t>
    </r>
    <r>
      <rPr>
        <b/>
        <i/>
        <sz val="10"/>
        <color rgb="FFFF0000"/>
        <rFont val="Calibri"/>
        <family val="2"/>
      </rPr>
      <t xml:space="preserve"> of roof area.  Alterations, or additions of less than 2,000 ft</t>
    </r>
    <r>
      <rPr>
        <b/>
        <i/>
        <vertAlign val="superscript"/>
        <sz val="10"/>
        <color rgb="FFFF0000"/>
        <rFont val="Calibri"/>
        <family val="2"/>
      </rPr>
      <t>2</t>
    </r>
    <r>
      <rPr>
        <b/>
        <i/>
        <sz val="10"/>
        <color rgb="FFFF0000"/>
        <rFont val="Calibri"/>
        <family val="2"/>
      </rPr>
      <t xml:space="preserve"> of roof area, are not required to comply with solar readiness, solar PV and battery requirements and do not need to complete this document.</t>
    </r>
  </si>
  <si>
    <r>
      <t xml:space="preserve">This document is used to demonstrate compliance with prescriptive PV and battery requirements in §140.10/§170.2 for </t>
    </r>
    <r>
      <rPr>
        <b/>
        <i/>
        <strike/>
        <sz val="10"/>
        <color rgb="FF0070C0"/>
        <rFont val="Calibri"/>
        <family val="2"/>
      </rPr>
      <t>nonresidential,</t>
    </r>
    <r>
      <rPr>
        <b/>
        <i/>
        <sz val="10"/>
        <color rgb="FFFF0000"/>
        <rFont val="Calibri"/>
        <family val="2"/>
      </rPr>
      <t xml:space="preserve"> </t>
    </r>
    <r>
      <rPr>
        <b/>
        <i/>
        <sz val="10"/>
        <color rgb="FF0070C0"/>
        <rFont val="Calibri"/>
        <family val="2"/>
      </rPr>
      <t>low-rise</t>
    </r>
    <r>
      <rPr>
        <b/>
        <i/>
        <sz val="10"/>
        <color rgb="FFFF0000"/>
        <rFont val="Calibri"/>
        <family val="2"/>
      </rPr>
      <t xml:space="preserve"> multifamily and </t>
    </r>
    <r>
      <rPr>
        <b/>
        <i/>
        <sz val="10"/>
        <color rgb="FF0070C0"/>
        <rFont val="Calibri"/>
        <family val="2"/>
      </rPr>
      <t>low-rise</t>
    </r>
    <r>
      <rPr>
        <b/>
        <i/>
        <sz val="10"/>
        <color rgb="FFFF0000"/>
        <rFont val="Calibri"/>
        <family val="2"/>
      </rPr>
      <t xml:space="preserve"> mixed-use buildings and prescriptive solar thermal requirements in §170.2(d)3C for </t>
    </r>
    <r>
      <rPr>
        <b/>
        <i/>
        <sz val="10"/>
        <color rgb="FF0070C0"/>
        <rFont val="Calibri"/>
        <family val="2"/>
      </rPr>
      <t>low-rise</t>
    </r>
    <r>
      <rPr>
        <b/>
        <i/>
        <sz val="10"/>
        <color rgb="FFFF0000"/>
        <rFont val="Calibri"/>
        <family val="2"/>
      </rPr>
      <t xml:space="preserve"> multifamily and hotel/motel occupancies.
When PV/battery/solar thermal requirements don't apply or are traded using the performance approach, this document demonstrates compliance with mandatory solar readiness requirements in §110.10/ §160.8 for newly constructed buildings which are </t>
    </r>
    <r>
      <rPr>
        <b/>
        <i/>
        <strike/>
        <sz val="10"/>
        <color rgb="FFFF0000"/>
        <rFont val="Calibri"/>
        <family val="2"/>
      </rPr>
      <t>either</t>
    </r>
    <r>
      <rPr>
        <b/>
        <i/>
        <sz val="10"/>
        <color rgb="FFFF0000"/>
        <rFont val="Calibri"/>
        <family val="2"/>
      </rPr>
      <t xml:space="preserve"> </t>
    </r>
    <r>
      <rPr>
        <b/>
        <i/>
        <sz val="10"/>
        <color rgb="FF0070C0"/>
        <rFont val="Calibri"/>
        <family val="2"/>
      </rPr>
      <t>low-rise</t>
    </r>
    <r>
      <rPr>
        <b/>
        <i/>
        <sz val="10"/>
        <color rgb="FFFF0000"/>
        <rFont val="Calibri"/>
        <family val="2"/>
      </rPr>
      <t xml:space="preserve"> multifamily </t>
    </r>
    <r>
      <rPr>
        <b/>
        <i/>
        <sz val="10"/>
        <color rgb="FF0070C0"/>
        <rFont val="Calibri"/>
        <family val="2"/>
      </rPr>
      <t>or low-rise mixed-use</t>
    </r>
    <r>
      <rPr>
        <b/>
        <i/>
        <sz val="10"/>
        <color rgb="FFFF0000"/>
        <rFont val="Calibri"/>
        <family val="2"/>
      </rPr>
      <t xml:space="preserve"> </t>
    </r>
    <r>
      <rPr>
        <b/>
        <i/>
        <strike/>
        <sz val="10"/>
        <color rgb="FF0070C0"/>
        <rFont val="Calibri"/>
        <family val="2"/>
      </rPr>
      <t>ten stories or fewer, hotel/motel ten stories or fewer or all other nonresidential buildings three stories or fewer</t>
    </r>
    <r>
      <rPr>
        <b/>
        <i/>
        <sz val="10"/>
        <color rgb="FFFF0000"/>
        <rFont val="Calibri"/>
        <family val="2"/>
      </rPr>
      <t xml:space="preserve">.  It is also used to demonstrate compliance with solar readiness in </t>
    </r>
    <r>
      <rPr>
        <b/>
        <i/>
        <strike/>
        <sz val="10"/>
        <color rgb="FF0070C0"/>
        <rFont val="Calibri"/>
        <family val="2"/>
      </rPr>
      <t xml:space="preserve">§110.10/ </t>
    </r>
    <r>
      <rPr>
        <b/>
        <i/>
        <sz val="10"/>
        <color rgb="FFFF0000"/>
        <rFont val="Calibri"/>
        <family val="2"/>
      </rPr>
      <t xml:space="preserve">§160.8 for additions to </t>
    </r>
    <r>
      <rPr>
        <b/>
        <i/>
        <strike/>
        <sz val="10"/>
        <color rgb="FF0070C0"/>
        <rFont val="Calibri"/>
        <family val="2"/>
      </rPr>
      <t>nonresidential,</t>
    </r>
    <r>
      <rPr>
        <b/>
        <i/>
        <sz val="10"/>
        <color rgb="FFFF0000"/>
        <rFont val="Calibri"/>
        <family val="2"/>
      </rPr>
      <t xml:space="preserve"> </t>
    </r>
    <r>
      <rPr>
        <b/>
        <i/>
        <sz val="10"/>
        <color rgb="FF0070C0"/>
        <rFont val="Calibri"/>
        <family val="2"/>
      </rPr>
      <t xml:space="preserve">low-rise </t>
    </r>
    <r>
      <rPr>
        <b/>
        <i/>
        <sz val="10"/>
        <color rgb="FFFF0000"/>
        <rFont val="Calibri"/>
        <family val="2"/>
      </rPr>
      <t xml:space="preserve">multifamily </t>
    </r>
    <r>
      <rPr>
        <b/>
        <i/>
        <strike/>
        <sz val="10"/>
        <color rgb="FF0070C0"/>
        <rFont val="Calibri"/>
        <family val="2"/>
      </rPr>
      <t>or hotel/motel building types</t>
    </r>
    <r>
      <rPr>
        <b/>
        <i/>
        <sz val="10"/>
        <color rgb="FFFF0000"/>
        <rFont val="Calibri"/>
        <family val="2"/>
      </rPr>
      <t xml:space="preserve"> which add more than 2,000 ft</t>
    </r>
    <r>
      <rPr>
        <b/>
        <i/>
        <vertAlign val="superscript"/>
        <sz val="10"/>
        <color rgb="FFFF0000"/>
        <rFont val="Calibri"/>
        <family val="2"/>
      </rPr>
      <t>2</t>
    </r>
    <r>
      <rPr>
        <b/>
        <i/>
        <sz val="10"/>
        <color rgb="FFFF0000"/>
        <rFont val="Calibri"/>
        <family val="2"/>
      </rPr>
      <t xml:space="preserve"> of roof area.  Alterations, or additions of less than 2,000 ft</t>
    </r>
    <r>
      <rPr>
        <b/>
        <i/>
        <vertAlign val="superscript"/>
        <sz val="10"/>
        <color rgb="FFFF0000"/>
        <rFont val="Calibri"/>
        <family val="2"/>
      </rPr>
      <t>2</t>
    </r>
    <r>
      <rPr>
        <b/>
        <i/>
        <sz val="10"/>
        <color rgb="FFFF0000"/>
        <rFont val="Calibri"/>
        <family val="2"/>
      </rPr>
      <t xml:space="preserve"> of roof area, are not required to comply with solar readiness, solar PV and battery requirements and do not need to complete this document.</t>
    </r>
  </si>
  <si>
    <t>Compliance with Solar Thermal Water Heating Requirements in §170.2(d)3C (Multifamily and hotel/ motel occupancies only)</t>
  </si>
  <si>
    <t>This table is completed if the project is installing a PV system to comply with §110.10(b)1B Exception 1.</t>
  </si>
  <si>
    <r>
      <t xml:space="preserve">G. PERMANENTLY INSTALLED SOLAR </t>
    </r>
    <r>
      <rPr>
        <b/>
        <strike/>
        <sz val="11"/>
        <color rgb="FFFF0000"/>
        <rFont val="Calibri"/>
        <family val="2"/>
        <scheme val="minor"/>
      </rPr>
      <t>PHOTOVOLTAIC (PV) SYSTEM</t>
    </r>
    <r>
      <rPr>
        <b/>
        <sz val="11"/>
        <color rgb="FFFF0000"/>
        <rFont val="Calibri"/>
        <family val="2"/>
        <scheme val="minor"/>
      </rPr>
      <t xml:space="preserve"> PV FOR SOLAR READY EXCEPTION</t>
    </r>
  </si>
  <si>
    <r>
      <t xml:space="preserve">This table is completed if the project is installing a solar water heating (SWH) system to comply with §110.10(b)1B Exception 2 </t>
    </r>
    <r>
      <rPr>
        <b/>
        <i/>
        <sz val="10"/>
        <color rgb="FFFF0000"/>
        <rFont val="Calibri"/>
        <family val="2"/>
        <scheme val="minor"/>
      </rPr>
      <t>or for multifamily/ hotel/ motel occupancies to demonstrate compliance with §170.2(d)3C.</t>
    </r>
  </si>
  <si>
    <r>
      <t xml:space="preserve">A drain water heat recovery system that is field verified by a HERS Rater as specified in the Reference Appendix RA3.6.9 is being used to lower the required Solar Savings Fraction per </t>
    </r>
    <r>
      <rPr>
        <b/>
        <strike/>
        <sz val="10"/>
        <color rgb="FFFF0000"/>
        <rFont val="Calibri"/>
        <family val="2"/>
        <scheme val="minor"/>
      </rPr>
      <t>§150.1(c)8Biii(b)</t>
    </r>
    <r>
      <rPr>
        <sz val="10"/>
        <rFont val="Calibri"/>
        <family val="2"/>
        <scheme val="minor"/>
      </rPr>
      <t xml:space="preserve"> </t>
    </r>
    <r>
      <rPr>
        <b/>
        <sz val="10"/>
        <color rgb="FFFF0000"/>
        <rFont val="Calibri"/>
        <family val="2"/>
        <scheme val="minor"/>
      </rPr>
      <t>§170.2(d)3Cii</t>
    </r>
    <r>
      <rPr>
        <sz val="10"/>
        <rFont val="Calibri"/>
        <family val="2"/>
        <scheme val="minor"/>
      </rPr>
      <t>.</t>
    </r>
  </si>
  <si>
    <r>
      <t xml:space="preserve">I. SMART THERMOSTATS AND ALTERNATIVE EFFICIENCY MEASURE </t>
    </r>
    <r>
      <rPr>
        <b/>
        <sz val="11"/>
        <color rgb="FFFF0000"/>
        <rFont val="Calibri"/>
        <family val="2"/>
      </rPr>
      <t>FOR SOLAR READY EXCEPTION</t>
    </r>
  </si>
  <si>
    <t>Add Space</t>
  </si>
  <si>
    <t>J. PHOTOVOLTAIC (PV) SYSTEMS</t>
  </si>
  <si>
    <r>
      <t xml:space="preserve">&lt;&lt; triggers Table G </t>
    </r>
    <r>
      <rPr>
        <b/>
        <i/>
        <strike/>
        <sz val="11"/>
        <color rgb="FFFF0000"/>
        <rFont val="Calibri"/>
        <family val="2"/>
        <scheme val="minor"/>
      </rPr>
      <t>&amp; NRCI-SPV form in Table J K to move to "Yes" (moves back to No if unselected)</t>
    </r>
  </si>
  <si>
    <r>
      <t>&lt;&lt; triggers Table H.</t>
    </r>
    <r>
      <rPr>
        <b/>
        <i/>
        <strike/>
        <sz val="11"/>
        <color rgb="FFFF0000"/>
        <rFont val="Calibri"/>
        <family val="2"/>
        <scheme val="minor"/>
      </rPr>
      <t xml:space="preserve"> &amp; NRCI-STH form in Table J K to move to o"Yes" (moves back to No if unselected)</t>
    </r>
  </si>
  <si>
    <t>The project includes a hotel/motel or multifamily occupancy with a gas or propane central water-heating system (serves 2+ dwelling units) and includes a permanently installed domestic solar water-heating system to comply with §170.2(d)3C and Reference Residential Appendix RA4, as documented in Table H.</t>
  </si>
  <si>
    <t>Battery storage system design meets the minimum requirements in Joint Appendix JA12 and the minimum energy (kWh)/ power (kW) capacity per Table J.</t>
  </si>
  <si>
    <t>WHAT SHOULD WE DO FOR LMCC BATTERY?</t>
  </si>
  <si>
    <t>The project includes a hotel/motel or multifamily occupancy with a gas or propane central water-heating system (serves 2+ dwelling units) and includes a permanently installed domestic solar water-heating system to comply with §170.2(d)3C and Reference Residential Appendix RA4, as documented in Table H.
Compliance meets Exception 2 to solar ready requirements in  §110.10(b).</t>
  </si>
  <si>
    <r>
      <t>Building</t>
    </r>
    <r>
      <rPr>
        <b/>
        <sz val="10"/>
        <color rgb="FFFF0000"/>
        <rFont val="Calibri"/>
        <family val="2"/>
        <scheme val="minor"/>
      </rPr>
      <t xml:space="preserve"> </t>
    </r>
    <r>
      <rPr>
        <b/>
        <strike/>
        <sz val="10"/>
        <color rgb="FFFF0000"/>
        <rFont val="Calibri"/>
        <family val="2"/>
        <scheme val="minor"/>
      </rPr>
      <t>Type</t>
    </r>
    <r>
      <rPr>
        <b/>
        <sz val="10"/>
        <color rgb="FFFF0000"/>
        <rFont val="Calibri"/>
        <family val="2"/>
        <scheme val="minor"/>
      </rPr>
      <t xml:space="preserve"> Occupancies</t>
    </r>
  </si>
  <si>
    <r>
      <t xml:space="preserve">equals </t>
    </r>
    <r>
      <rPr>
        <b/>
        <i/>
        <sz val="9"/>
        <color theme="8"/>
        <rFont val="Calibri"/>
        <family val="2"/>
      </rPr>
      <t>col02-col03-col04</t>
    </r>
  </si>
  <si>
    <t>CEC, if the project is LRMU, would the whole building use this LRMF formula in Eq 170.2-C or would the NR occupancy use Eq140.10-A And the CFA associated with dwelling units uses Eq 170.2-C? And is the answer you give conssitent with how to apply battery requirements too?</t>
  </si>
  <si>
    <r>
      <t>Roof Area &lt; 70% Solar Access</t>
    </r>
    <r>
      <rPr>
        <vertAlign val="superscript"/>
        <sz val="10"/>
        <rFont val="Calibri"/>
        <family val="2"/>
      </rPr>
      <t>2</t>
    </r>
    <r>
      <rPr>
        <sz val="10"/>
        <rFont val="Calibri"/>
        <family val="2"/>
      </rPr>
      <t xml:space="preserve">
(ft</t>
    </r>
    <r>
      <rPr>
        <vertAlign val="superscript"/>
        <sz val="10"/>
        <rFont val="Calibri"/>
        <family val="2"/>
      </rPr>
      <t>2</t>
    </r>
    <r>
      <rPr>
        <sz val="10"/>
        <rFont val="Calibri"/>
        <family val="2"/>
      </rPr>
      <t>)</t>
    </r>
  </si>
  <si>
    <r>
      <t>Occupied Roof Area</t>
    </r>
    <r>
      <rPr>
        <vertAlign val="superscript"/>
        <sz val="10"/>
        <rFont val="Calibri"/>
        <family val="2"/>
      </rPr>
      <t>3</t>
    </r>
    <r>
      <rPr>
        <sz val="10"/>
        <rFont val="Calibri"/>
        <family val="2"/>
      </rPr>
      <t xml:space="preserve"> 
(ft</t>
    </r>
    <r>
      <rPr>
        <vertAlign val="superscript"/>
        <sz val="10"/>
        <rFont val="Calibri"/>
        <family val="2"/>
      </rPr>
      <t>2</t>
    </r>
    <r>
      <rPr>
        <sz val="10"/>
        <rFont val="Calibri"/>
        <family val="2"/>
      </rPr>
      <t>)</t>
    </r>
  </si>
  <si>
    <r>
      <rPr>
        <i/>
        <vertAlign val="superscript"/>
        <sz val="10"/>
        <color theme="1"/>
        <rFont val="Calibri"/>
        <family val="2"/>
        <scheme val="minor"/>
      </rPr>
      <t>3</t>
    </r>
    <r>
      <rPr>
        <i/>
        <sz val="10"/>
        <color theme="1"/>
        <rFont val="Calibri"/>
        <family val="2"/>
        <scheme val="minor"/>
      </rPr>
      <t xml:space="preserve"> As specified by CBC Section 503.1.4</t>
    </r>
  </si>
  <si>
    <r>
      <rPr>
        <i/>
        <vertAlign val="superscript"/>
        <sz val="10"/>
        <color theme="1"/>
        <rFont val="Calibri"/>
        <family val="2"/>
        <scheme val="minor"/>
      </rPr>
      <t>2</t>
    </r>
    <r>
      <rPr>
        <i/>
        <sz val="10"/>
        <color theme="1"/>
        <rFont val="Calibri"/>
        <family val="2"/>
        <scheme val="minor"/>
      </rPr>
      <t xml:space="preserve"> Solar access must be determined using CEC approved solar access calculation tools found at: https://www.energy.ca.gov/programs-and-topics/programs/building-energy-efficiency-standards/solar-assessment-tools</t>
    </r>
  </si>
  <si>
    <r>
      <rPr>
        <b/>
        <i/>
        <vertAlign val="superscript"/>
        <sz val="10"/>
        <color theme="8"/>
        <rFont val="Calibri"/>
        <family val="2"/>
        <scheme val="minor"/>
      </rPr>
      <t>4</t>
    </r>
    <r>
      <rPr>
        <b/>
        <i/>
        <sz val="10"/>
        <color theme="8"/>
        <rFont val="Calibri"/>
        <family val="2"/>
        <scheme val="minor"/>
      </rPr>
      <t xml:space="preserve"> PV system sizes determined using Equation 170.2-C may be reduced by 25% if installed in conjunction with a battery storage system. The battery storage system shall meet the qualification requirements specified in Joint Appendix JA12 and have a minimum usable capacity of 7.5 kWh.</t>
    </r>
  </si>
  <si>
    <r>
      <t>Usable Capacity of Battery Storage</t>
    </r>
    <r>
      <rPr>
        <b/>
        <vertAlign val="superscript"/>
        <sz val="10"/>
        <color theme="8"/>
        <rFont val="Calibri"/>
        <family val="2"/>
      </rPr>
      <t>4</t>
    </r>
    <r>
      <rPr>
        <b/>
        <sz val="10"/>
        <color theme="8"/>
        <rFont val="Calibri"/>
        <family val="2"/>
      </rPr>
      <t xml:space="preserve"> 
(kWh)</t>
    </r>
  </si>
  <si>
    <t>See Table J for minimim battery capacity (kWh) being used to reduce required PV system size (kW).</t>
  </si>
  <si>
    <t>^ If col 08 &gt;=7.5, reduce PV system size calc'd by Equation 170.2-C by 25% &amp; trigger note on row 12 in Table D.</t>
  </si>
  <si>
    <t>^^ NA for LMCC</t>
  </si>
  <si>
    <t>Occupancy Covered by Roof</t>
  </si>
  <si>
    <t>Occupancy Dropdown</t>
  </si>
  <si>
    <t>&lt; exception to Solar Ready requirements.</t>
  </si>
  <si>
    <r>
      <rPr>
        <b/>
        <strike/>
        <sz val="10"/>
        <color rgb="FFFF0000"/>
        <rFont val="Calibri"/>
        <family val="2"/>
        <scheme val="minor"/>
      </rPr>
      <t>06</t>
    </r>
    <r>
      <rPr>
        <b/>
        <sz val="10"/>
        <color rgb="FFFF0000"/>
        <rFont val="Calibri"/>
        <family val="2"/>
        <scheme val="minor"/>
      </rPr>
      <t xml:space="preserve"> 05</t>
    </r>
  </si>
  <si>
    <r>
      <rPr>
        <i/>
        <vertAlign val="superscript"/>
        <sz val="10"/>
        <color rgb="FFFF0000"/>
        <rFont val="Calibri"/>
        <family val="2"/>
        <scheme val="minor"/>
      </rPr>
      <t>1</t>
    </r>
    <r>
      <rPr>
        <i/>
        <sz val="10"/>
        <color rgb="FFFF0000"/>
        <rFont val="Calibri"/>
        <family val="2"/>
        <scheme val="minor"/>
      </rPr>
      <t xml:space="preserve"> FOOTNOTES:</t>
    </r>
    <r>
      <rPr>
        <i/>
        <strike/>
        <sz val="10"/>
        <color rgb="FFFF0000"/>
        <rFont val="Calibri"/>
        <family val="2"/>
        <scheme val="minor"/>
      </rPr>
      <t xml:space="preserve"> </t>
    </r>
    <r>
      <rPr>
        <i/>
        <sz val="10"/>
        <color rgb="FFFF0000"/>
        <rFont val="Calibri"/>
        <family val="2"/>
        <scheme val="minor"/>
      </rPr>
      <t xml:space="preserve">Built-up SWH systems using OG-100 collectors must calculate the Designed Solar Savings Fraction using the SWH module in the CEC's CBECC software. </t>
    </r>
    <r>
      <rPr>
        <i/>
        <strike/>
        <sz val="10"/>
        <color rgb="FFFF0000"/>
        <rFont val="Calibri"/>
        <family val="2"/>
        <scheme val="minor"/>
      </rPr>
      <t xml:space="preserve">CEC's T24 Solar Water Heating Calculator.  The calculator can be accessed online at http://www.energy.ca.gov/title24/2016standards/worksheets/2016_Title-24_Solar_Water_Heating_Calc.zip.  </t>
    </r>
    <r>
      <rPr>
        <i/>
        <sz val="10"/>
        <color rgb="FFFF0000"/>
        <rFont val="Calibri"/>
        <family val="2"/>
        <scheme val="minor"/>
      </rPr>
      <t>The calculation output must be included within the permit application.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</si>
</sst>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4">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i/>
      <sz val="11"/>
      <color theme="1"/>
      <name val="Calibri"/>
      <family val="2"/>
      <scheme val="minor"/>
    </font>
    <font>
      <sz val="11"/>
      <name val="Arial"/>
      <family val="2"/>
    </font>
    <font>
      <sz val="11"/>
      <color rgb="FF000000"/>
      <name val="Calibri"/>
      <family val="2"/>
      <scheme val="minor"/>
    </font>
    <font>
      <sz val="8"/>
      <name val="Calibri"/>
      <family val="2"/>
      <scheme val="minor"/>
    </font>
    <font>
      <vertAlign val="superscript"/>
      <sz val="10"/>
      <color theme="1"/>
      <name val="Calibri"/>
      <family val="2"/>
      <scheme val="minor"/>
    </font>
    <font>
      <b/>
      <i/>
      <sz val="11"/>
      <color theme="1"/>
      <name val="Calibri"/>
      <family val="2"/>
      <scheme val="minor"/>
    </font>
    <font>
      <b/>
      <i/>
      <sz val="10"/>
      <color rgb="FFFF0000"/>
      <name val="Calibri"/>
      <family val="2"/>
      <scheme val="minor"/>
    </font>
    <font>
      <b/>
      <i/>
      <sz val="11"/>
      <color rgb="FFFF0000"/>
      <name val="Calibri"/>
      <family val="2"/>
      <scheme val="minor"/>
    </font>
    <font>
      <sz val="11"/>
      <color rgb="FF000000"/>
      <name val="Wingdings"/>
      <charset val="2"/>
    </font>
    <font>
      <b/>
      <sz val="9"/>
      <name val="Calibri"/>
      <family val="2"/>
      <scheme val="minor"/>
    </font>
    <font>
      <vertAlign val="superscript"/>
      <sz val="10"/>
      <name val="Calibri"/>
      <family val="2"/>
    </font>
    <font>
      <sz val="11"/>
      <color rgb="FF1F497D"/>
      <name val="Calibri"/>
      <family val="2"/>
      <scheme val="minor"/>
    </font>
    <font>
      <b/>
      <sz val="10"/>
      <color rgb="FF000000"/>
      <name val="Calibri"/>
      <family val="2"/>
      <scheme val="minor"/>
    </font>
    <font>
      <i/>
      <sz val="8"/>
      <color rgb="FFFF0000"/>
      <name val="Calibri"/>
      <family val="2"/>
      <scheme val="minor"/>
    </font>
    <font>
      <sz val="10"/>
      <name val="Calibri"/>
      <family val="2"/>
      <scheme val="minor"/>
    </font>
    <font>
      <b/>
      <i/>
      <vertAlign val="superscript"/>
      <sz val="11"/>
      <color theme="1"/>
      <name val="Calibri"/>
      <family val="2"/>
      <scheme val="minor"/>
    </font>
    <font>
      <b/>
      <sz val="11"/>
      <color rgb="FF000000"/>
      <name val="Calibri"/>
      <family val="2"/>
    </font>
    <font>
      <u/>
      <sz val="11"/>
      <name val="Calibri"/>
      <family val="2"/>
    </font>
    <font>
      <u/>
      <sz val="10"/>
      <name val="Calibri"/>
      <family val="2"/>
      <scheme val="minor"/>
    </font>
    <font>
      <vertAlign val="superscript"/>
      <sz val="9"/>
      <color theme="1"/>
      <name val="Calibri"/>
      <family val="2"/>
      <scheme val="minor"/>
    </font>
    <font>
      <sz val="9"/>
      <name val="Calibri"/>
      <family val="2"/>
      <scheme val="minor"/>
    </font>
    <font>
      <sz val="9"/>
      <color rgb="FF000000"/>
      <name val="Calibri"/>
      <family val="2"/>
      <scheme val="minor"/>
    </font>
    <font>
      <i/>
      <sz val="10"/>
      <color rgb="FF000000"/>
      <name val="Calibri"/>
      <family val="2"/>
    </font>
    <font>
      <vertAlign val="superscript"/>
      <sz val="10"/>
      <color rgb="FF000000"/>
      <name val="Calibri"/>
      <family val="2"/>
      <scheme val="minor"/>
    </font>
    <font>
      <i/>
      <vertAlign val="superscript"/>
      <sz val="10"/>
      <color rgb="FF000000"/>
      <name val="Calibri"/>
      <family val="2"/>
    </font>
    <font>
      <vertAlign val="superscript"/>
      <sz val="10"/>
      <name val="Calibri"/>
      <family val="2"/>
      <scheme val="minor"/>
    </font>
    <font>
      <b/>
      <vertAlign val="superscript"/>
      <sz val="11"/>
      <color rgb="FF000000"/>
      <name val="Calibri"/>
      <family val="2"/>
    </font>
    <font>
      <b/>
      <sz val="10"/>
      <color indexed="81"/>
      <name val="Tahoma"/>
      <family val="2"/>
    </font>
    <font>
      <b/>
      <i/>
      <sz val="10"/>
      <color indexed="81"/>
      <name val="Tahoma"/>
      <family val="2"/>
    </font>
    <font>
      <sz val="10"/>
      <color indexed="81"/>
      <name val="Tahoma"/>
      <family val="2"/>
    </font>
    <font>
      <vertAlign val="superscript"/>
      <sz val="9"/>
      <name val="Calibri"/>
      <family val="2"/>
      <scheme val="minor"/>
    </font>
    <font>
      <i/>
      <vertAlign val="superscript"/>
      <sz val="10"/>
      <color theme="1"/>
      <name val="Calibri"/>
      <family val="2"/>
      <scheme val="minor"/>
    </font>
    <font>
      <u/>
      <sz val="10"/>
      <name val="Calibri"/>
      <family val="2"/>
    </font>
    <font>
      <b/>
      <sz val="10"/>
      <color theme="9"/>
      <name val="Calibri"/>
      <family val="2"/>
      <scheme val="minor"/>
    </font>
    <font>
      <b/>
      <i/>
      <sz val="10"/>
      <color theme="9"/>
      <name val="Calibri"/>
      <family val="2"/>
    </font>
    <font>
      <b/>
      <i/>
      <sz val="10"/>
      <name val="Calibri"/>
      <family val="2"/>
      <scheme val="minor"/>
    </font>
    <font>
      <b/>
      <i/>
      <sz val="11"/>
      <name val="Calibri"/>
      <family val="2"/>
      <scheme val="minor"/>
    </font>
    <font>
      <i/>
      <sz val="11"/>
      <name val="Calibri"/>
      <family val="2"/>
    </font>
    <font>
      <i/>
      <sz val="8"/>
      <name val="Calibri"/>
      <family val="2"/>
      <scheme val="minor"/>
    </font>
    <font>
      <b/>
      <strike/>
      <sz val="8"/>
      <color rgb="FFFF0000"/>
      <name val="Calibri"/>
      <family val="2"/>
      <scheme val="minor"/>
    </font>
    <font>
      <b/>
      <sz val="10"/>
      <color rgb="FFFF0000"/>
      <name val="Calibri"/>
      <family val="2"/>
      <scheme val="minor"/>
    </font>
    <font>
      <b/>
      <strike/>
      <sz val="10"/>
      <color rgb="FFFF0000"/>
      <name val="Calibri"/>
      <family val="2"/>
      <scheme val="minor"/>
    </font>
    <font>
      <b/>
      <i/>
      <strike/>
      <sz val="10"/>
      <color rgb="FFFF0000"/>
      <name val="Calibri"/>
      <family val="2"/>
    </font>
    <font>
      <b/>
      <sz val="9"/>
      <color indexed="12"/>
      <name val="Tahoma"/>
      <family val="2"/>
    </font>
    <font>
      <sz val="9"/>
      <color indexed="12"/>
      <name val="Tahoma"/>
      <family val="2"/>
    </font>
    <font>
      <b/>
      <sz val="10"/>
      <color rgb="FF0070C0"/>
      <name val="Calibri"/>
      <family val="2"/>
      <scheme val="minor"/>
    </font>
    <font>
      <b/>
      <sz val="12"/>
      <color rgb="FFFF0000"/>
      <name val="Arial"/>
      <family val="2"/>
    </font>
    <font>
      <b/>
      <strike/>
      <sz val="12"/>
      <color rgb="FFFF0000"/>
      <name val="Arial"/>
      <family val="2"/>
    </font>
    <font>
      <b/>
      <sz val="8"/>
      <color rgb="FFFF0000"/>
      <name val="Calibri"/>
      <family val="2"/>
      <scheme val="minor"/>
    </font>
    <font>
      <b/>
      <sz val="11"/>
      <color rgb="FFFF0000"/>
      <name val="Calibri"/>
      <family val="2"/>
      <scheme val="minor"/>
    </font>
    <font>
      <b/>
      <strike/>
      <sz val="11"/>
      <color rgb="FFFF0000"/>
      <name val="Calibri"/>
      <family val="2"/>
      <scheme val="minor"/>
    </font>
    <font>
      <b/>
      <i/>
      <sz val="10"/>
      <color rgb="FFFF0000"/>
      <name val="Calibri"/>
      <family val="2"/>
    </font>
    <font>
      <sz val="10"/>
      <color rgb="FF0070C0"/>
      <name val="Calibri"/>
      <family val="2"/>
      <scheme val="minor"/>
    </font>
    <font>
      <b/>
      <sz val="9"/>
      <color indexed="10"/>
      <name val="Tahoma"/>
      <family val="2"/>
    </font>
    <font>
      <b/>
      <i/>
      <strike/>
      <sz val="11"/>
      <color rgb="FFFF0000"/>
      <name val="Calibri"/>
      <family val="2"/>
      <scheme val="minor"/>
    </font>
    <font>
      <b/>
      <sz val="11"/>
      <color rgb="FFFF0000"/>
      <name val="Calibri"/>
      <family val="2"/>
    </font>
    <font>
      <sz val="9"/>
      <color indexed="10"/>
      <name val="Tahoma"/>
      <family val="2"/>
    </font>
    <font>
      <b/>
      <strike/>
      <sz val="9"/>
      <color indexed="10"/>
      <name val="Tahoma"/>
      <family val="2"/>
    </font>
    <font>
      <b/>
      <vertAlign val="superscript"/>
      <sz val="10"/>
      <color rgb="FFFF0000"/>
      <name val="Calibri"/>
      <family val="2"/>
      <scheme val="minor"/>
    </font>
    <font>
      <b/>
      <strike/>
      <u/>
      <sz val="10"/>
      <color rgb="FFFF0000"/>
      <name val="Calibri"/>
      <family val="2"/>
      <scheme val="minor"/>
    </font>
    <font>
      <b/>
      <strike/>
      <vertAlign val="superscript"/>
      <sz val="10"/>
      <color rgb="FFFF0000"/>
      <name val="Calibri"/>
      <family val="2"/>
      <scheme val="minor"/>
    </font>
    <font>
      <sz val="10"/>
      <color rgb="FFFF0000"/>
      <name val="Wingdings"/>
      <charset val="2"/>
    </font>
    <font>
      <sz val="10"/>
      <color rgb="FFFF0000"/>
      <name val="Calibri"/>
      <family val="2"/>
    </font>
    <font>
      <vertAlign val="superscript"/>
      <sz val="10"/>
      <color rgb="FFFF0000"/>
      <name val="Calibri"/>
      <family val="2"/>
    </font>
    <font>
      <b/>
      <i/>
      <strike/>
      <vertAlign val="superscript"/>
      <sz val="11"/>
      <color rgb="FFFF0000"/>
      <name val="Calibri"/>
      <family val="2"/>
      <scheme val="minor"/>
    </font>
    <font>
      <strike/>
      <sz val="10"/>
      <name val="Calibri"/>
      <family val="2"/>
      <scheme val="minor"/>
    </font>
    <font>
      <b/>
      <i/>
      <sz val="10"/>
      <color rgb="FF0070C0"/>
      <name val="Calibri"/>
      <family val="2"/>
    </font>
    <font>
      <b/>
      <sz val="10"/>
      <color rgb="FFFF0000"/>
      <name val="Calibri"/>
      <family val="2"/>
    </font>
    <font>
      <b/>
      <strike/>
      <sz val="10"/>
      <color rgb="FFFF0000"/>
      <name val="Calibri"/>
      <family val="2"/>
    </font>
    <font>
      <strike/>
      <sz val="10"/>
      <color rgb="FFFF0000"/>
      <name val="Wingdings"/>
      <charset val="2"/>
    </font>
    <font>
      <b/>
      <strike/>
      <sz val="10"/>
      <color rgb="FF0070C0"/>
      <name val="Wingdings"/>
      <charset val="2"/>
    </font>
    <font>
      <b/>
      <strike/>
      <sz val="10"/>
      <color rgb="FF0070C0"/>
      <name val="Calibri"/>
      <family val="2"/>
      <scheme val="minor"/>
    </font>
    <font>
      <b/>
      <strike/>
      <sz val="10"/>
      <color rgb="FF0070C0"/>
      <name val="Calibri"/>
      <family val="2"/>
    </font>
    <font>
      <b/>
      <sz val="10"/>
      <color rgb="FF0070C0"/>
      <name val="Calibri"/>
      <family val="2"/>
    </font>
    <font>
      <b/>
      <sz val="11"/>
      <color rgb="FF0070C0"/>
      <name val="Calibri"/>
      <family val="2"/>
    </font>
    <font>
      <b/>
      <strike/>
      <sz val="11"/>
      <color rgb="FF0070C0"/>
      <name val="Calibri"/>
      <family val="2"/>
    </font>
    <font>
      <i/>
      <sz val="10"/>
      <color rgb="FFFF0000"/>
      <name val="Calibri"/>
      <family val="2"/>
      <scheme val="minor"/>
    </font>
    <font>
      <vertAlign val="subscript"/>
      <sz val="10"/>
      <name val="Calibri"/>
      <family val="2"/>
    </font>
    <font>
      <i/>
      <sz val="11"/>
      <color rgb="FFFF0000"/>
      <name val="Calibri"/>
      <family val="2"/>
      <scheme val="minor"/>
    </font>
    <font>
      <i/>
      <sz val="9"/>
      <color rgb="FFFF0000"/>
      <name val="Calibri"/>
      <family val="2"/>
      <scheme val="minor"/>
    </font>
    <font>
      <i/>
      <sz val="9"/>
      <color rgb="FFFF0000"/>
      <name val="Calibri"/>
      <family val="2"/>
    </font>
    <font>
      <b/>
      <i/>
      <sz val="10"/>
      <color theme="8"/>
      <name val="Calibri"/>
      <family val="2"/>
    </font>
    <font>
      <b/>
      <i/>
      <strike/>
      <sz val="10"/>
      <color theme="8"/>
      <name val="Calibri"/>
      <family val="2"/>
    </font>
    <font>
      <b/>
      <sz val="10"/>
      <color theme="8"/>
      <name val="Calibri"/>
      <family val="2"/>
    </font>
    <font>
      <b/>
      <vertAlign val="superscript"/>
      <sz val="10"/>
      <color theme="8"/>
      <name val="Calibri"/>
      <family val="2"/>
    </font>
    <font>
      <b/>
      <i/>
      <sz val="10"/>
      <color theme="8"/>
      <name val="Calibri"/>
      <family val="2"/>
      <scheme val="minor"/>
    </font>
    <font>
      <b/>
      <i/>
      <vertAlign val="superscript"/>
      <sz val="10"/>
      <color theme="8"/>
      <name val="Calibri"/>
      <family val="2"/>
      <scheme val="minor"/>
    </font>
    <font>
      <b/>
      <i/>
      <sz val="9"/>
      <color rgb="FFFF0000"/>
      <name val="Calibri"/>
      <family val="2"/>
      <scheme val="minor"/>
    </font>
    <font>
      <b/>
      <i/>
      <sz val="9"/>
      <name val="Calibri"/>
      <family val="2"/>
      <scheme val="minor"/>
    </font>
    <font>
      <b/>
      <i/>
      <sz val="9"/>
      <color theme="8"/>
      <name val="Calibri"/>
      <family val="2"/>
    </font>
    <font>
      <b/>
      <vertAlign val="subscript"/>
      <sz val="10"/>
      <color theme="8"/>
      <name val="Calibri"/>
      <family val="2"/>
    </font>
    <font>
      <b/>
      <vertAlign val="subscript"/>
      <sz val="11"/>
      <color theme="1"/>
      <name val="Calibri"/>
      <family val="2"/>
      <scheme val="minor"/>
    </font>
    <font>
      <strike/>
      <sz val="10"/>
      <color rgb="FFFF0000"/>
      <name val="Calibri"/>
      <family val="2"/>
      <scheme val="minor"/>
    </font>
    <font>
      <strike/>
      <sz val="10"/>
      <color rgb="FF0070C0"/>
      <name val="Calibri"/>
      <family val="2"/>
      <scheme val="minor"/>
    </font>
    <font>
      <b/>
      <strike/>
      <sz val="9"/>
      <color indexed="12"/>
      <name val="Tahoma"/>
      <family val="2"/>
    </font>
    <font>
      <b/>
      <sz val="9"/>
      <color indexed="39"/>
      <name val="Tahoma"/>
      <family val="2"/>
    </font>
    <font>
      <sz val="11"/>
      <color rgb="FFFF0000"/>
      <name val="Arial"/>
      <family val="2"/>
    </font>
    <font>
      <b/>
      <sz val="11"/>
      <color rgb="FFFF0000"/>
      <name val="Arial"/>
      <family val="2"/>
    </font>
    <font>
      <b/>
      <strike/>
      <sz val="11"/>
      <color rgb="FFFF0000"/>
      <name val="Arial"/>
      <family val="2"/>
    </font>
    <font>
      <b/>
      <sz val="8"/>
      <color rgb="FF0070C0"/>
      <name val="Calibri"/>
      <family val="2"/>
      <scheme val="minor"/>
    </font>
    <font>
      <b/>
      <sz val="11"/>
      <color rgb="FF0070C0"/>
      <name val="Calibri"/>
      <family val="2"/>
      <scheme val="minor"/>
    </font>
    <font>
      <b/>
      <i/>
      <strike/>
      <sz val="10"/>
      <color rgb="FF0070C0"/>
      <name val="Calibri"/>
      <family val="2"/>
    </font>
    <font>
      <b/>
      <i/>
      <sz val="11"/>
      <color rgb="FF0070C0"/>
      <name val="Calibri"/>
      <family val="2"/>
      <scheme val="minor"/>
    </font>
    <font>
      <b/>
      <i/>
      <strike/>
      <sz val="11"/>
      <color rgb="FF0070C0"/>
      <name val="Calibri"/>
      <family val="2"/>
      <scheme val="minor"/>
    </font>
    <font>
      <b/>
      <strike/>
      <sz val="11"/>
      <color rgb="FF0070C0"/>
      <name val="Calibri"/>
      <family val="2"/>
      <scheme val="minor"/>
    </font>
    <font>
      <b/>
      <i/>
      <strike/>
      <vertAlign val="superscript"/>
      <sz val="11"/>
      <color rgb="FF0070C0"/>
      <name val="Calibri"/>
      <family val="2"/>
      <scheme val="minor"/>
    </font>
    <font>
      <b/>
      <strike/>
      <sz val="11"/>
      <color rgb="FFFF0000"/>
      <name val="Calibri"/>
      <family val="2"/>
    </font>
    <font>
      <i/>
      <sz val="10"/>
      <color rgb="FFFF0000"/>
      <name val="Calibri"/>
      <family val="2"/>
    </font>
    <font>
      <strike/>
      <sz val="9"/>
      <color indexed="10"/>
      <name val="Tahoma"/>
      <family val="2"/>
    </font>
    <font>
      <sz val="16"/>
      <color rgb="FFFF0000"/>
      <name val="Arial"/>
      <family val="2"/>
    </font>
    <font>
      <strike/>
      <sz val="16"/>
      <color rgb="FFFF0000"/>
      <name val="Arial"/>
      <family val="2"/>
    </font>
    <font>
      <b/>
      <i/>
      <vertAlign val="superscript"/>
      <sz val="10"/>
      <color rgb="FFFF0000"/>
      <name val="Calibri"/>
      <family val="2"/>
    </font>
    <font>
      <b/>
      <i/>
      <vertAlign val="superscript"/>
      <sz val="10"/>
      <color rgb="FFFF0000"/>
      <name val="Calibri"/>
      <family val="2"/>
      <scheme val="minor"/>
    </font>
    <font>
      <sz val="11"/>
      <color rgb="FF0070C0"/>
      <name val="Calibri"/>
      <family val="2"/>
      <scheme val="minor"/>
    </font>
    <font>
      <sz val="10"/>
      <color theme="0"/>
      <name val="Calibri"/>
      <family val="2"/>
      <scheme val="minor"/>
    </font>
    <font>
      <i/>
      <strike/>
      <sz val="10"/>
      <color rgb="FFFF0000"/>
      <name val="Calibri"/>
      <family val="2"/>
      <scheme val="minor"/>
    </font>
    <font>
      <strike/>
      <sz val="8"/>
      <color rgb="FFFF0000"/>
      <name val="Calibri"/>
      <family val="2"/>
      <scheme val="minor"/>
    </font>
    <font>
      <strike/>
      <sz val="9"/>
      <color rgb="FFFF0000"/>
      <name val="Calibri"/>
      <family val="2"/>
      <scheme val="minor"/>
    </font>
    <font>
      <i/>
      <vertAlign val="superscript"/>
      <sz val="10"/>
      <color rgb="FFFF0000"/>
      <name val="Calibri"/>
      <family val="2"/>
      <scheme val="minor"/>
    </font>
  </fonts>
  <fills count="19">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AA4A5F"/>
        <bgColor indexed="64"/>
      </patternFill>
    </fill>
    <fill>
      <patternFill patternType="solid">
        <fgColor rgb="FFFFFF00"/>
        <bgColor indexed="64"/>
      </patternFill>
    </fill>
    <fill>
      <patternFill patternType="solid">
        <fgColor rgb="FFCC99FF"/>
        <bgColor indexed="64"/>
      </patternFill>
    </fill>
    <fill>
      <patternFill patternType="solid">
        <fgColor rgb="FFFF0000"/>
        <bgColor indexed="64"/>
      </patternFill>
    </fill>
    <fill>
      <patternFill patternType="solid">
        <fgColor rgb="FF0070C0"/>
        <bgColor indexed="64"/>
      </patternFill>
    </fill>
    <fill>
      <patternFill patternType="solid">
        <fgColor theme="5"/>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231F20"/>
      </left>
      <right/>
      <top style="thin">
        <color rgb="FF231F20"/>
      </top>
      <bottom style="thin">
        <color indexed="64"/>
      </bottom>
      <diagonal/>
    </border>
    <border>
      <left/>
      <right/>
      <top style="thin">
        <color rgb="FF231F20"/>
      </top>
      <bottom style="thin">
        <color indexed="64"/>
      </bottom>
      <diagonal/>
    </border>
    <border>
      <left/>
      <right style="thin">
        <color rgb="FF231F20"/>
      </right>
      <top style="thin">
        <color rgb="FF231F20"/>
      </top>
      <bottom style="thin">
        <color indexed="64"/>
      </bottom>
      <diagonal/>
    </border>
    <border>
      <left style="thin">
        <color indexed="64"/>
      </left>
      <right/>
      <top/>
      <bottom/>
      <diagonal/>
    </border>
  </borders>
  <cellStyleXfs count="15">
    <xf numFmtId="0" fontId="0" fillId="0" borderId="0"/>
    <xf numFmtId="0" fontId="31" fillId="0" borderId="0"/>
    <xf numFmtId="0" fontId="34" fillId="0" borderId="0"/>
    <xf numFmtId="0" fontId="35" fillId="0" borderId="0"/>
    <xf numFmtId="0" fontId="10" fillId="0" borderId="0"/>
    <xf numFmtId="0" fontId="8" fillId="0" borderId="0"/>
    <xf numFmtId="0" fontId="51" fillId="0" borderId="0"/>
    <xf numFmtId="0" fontId="7" fillId="0" borderId="0"/>
    <xf numFmtId="0" fontId="31" fillId="0" borderId="0"/>
    <xf numFmtId="0" fontId="7" fillId="0" borderId="0"/>
    <xf numFmtId="0" fontId="5" fillId="0" borderId="0"/>
    <xf numFmtId="0" fontId="5" fillId="0" borderId="0"/>
    <xf numFmtId="0" fontId="31" fillId="0" borderId="0"/>
    <xf numFmtId="0" fontId="5" fillId="0" borderId="0"/>
    <xf numFmtId="0" fontId="5" fillId="0" borderId="0"/>
  </cellStyleXfs>
  <cellXfs count="592">
    <xf numFmtId="0" fontId="0" fillId="0" borderId="0" xfId="0"/>
    <xf numFmtId="0" fontId="12" fillId="0" borderId="0" xfId="0" applyFont="1" applyFill="1" applyBorder="1" applyAlignment="1">
      <alignment horizontal="left" vertical="top"/>
    </xf>
    <xf numFmtId="0" fontId="0" fillId="0" borderId="0" xfId="0" applyFill="1" applyBorder="1" applyAlignment="1">
      <alignment horizontal="left" vertical="top"/>
    </xf>
    <xf numFmtId="0" fontId="15" fillId="0" borderId="0" xfId="0" applyFont="1" applyFill="1" applyBorder="1" applyAlignment="1">
      <alignment horizontal="left" vertical="top"/>
    </xf>
    <xf numFmtId="0" fontId="20" fillId="0" borderId="0" xfId="0" applyFont="1"/>
    <xf numFmtId="0" fontId="20" fillId="0" borderId="0" xfId="0" applyFont="1" applyAlignment="1">
      <alignment horizontal="center" vertical="center"/>
    </xf>
    <xf numFmtId="0" fontId="20" fillId="0" borderId="0" xfId="0" applyFont="1" applyBorder="1"/>
    <xf numFmtId="0" fontId="20" fillId="0" borderId="0" xfId="0" applyFont="1" applyFill="1" applyBorder="1" applyAlignment="1">
      <alignment horizontal="center" vertical="center"/>
    </xf>
    <xf numFmtId="0" fontId="20" fillId="0" borderId="0" xfId="0" applyFont="1" applyFill="1" applyBorder="1"/>
    <xf numFmtId="0" fontId="20" fillId="0" borderId="0" xfId="0" applyFont="1" applyFill="1" applyBorder="1" applyAlignment="1">
      <alignment horizontal="center"/>
    </xf>
    <xf numFmtId="0" fontId="20" fillId="0" borderId="0" xfId="0" applyFont="1" applyFill="1"/>
    <xf numFmtId="0" fontId="35" fillId="0" borderId="0" xfId="3" applyFill="1" applyBorder="1" applyAlignment="1">
      <alignment horizontal="left" vertical="top"/>
    </xf>
    <xf numFmtId="0" fontId="32" fillId="0" borderId="0" xfId="3" applyFont="1" applyFill="1" applyBorder="1" applyAlignment="1">
      <alignment horizontal="left" vertical="top"/>
    </xf>
    <xf numFmtId="0" fontId="29" fillId="0" borderId="0" xfId="3" applyFont="1" applyFill="1" applyBorder="1" applyAlignment="1">
      <alignment horizontal="left" vertical="top"/>
    </xf>
    <xf numFmtId="0" fontId="35" fillId="0" borderId="0" xfId="3" applyFill="1" applyBorder="1" applyAlignment="1">
      <alignment horizontal="left" vertical="center"/>
    </xf>
    <xf numFmtId="0" fontId="35" fillId="0" borderId="0" xfId="3" applyFill="1" applyBorder="1" applyAlignment="1">
      <alignment horizontal="center" vertical="center"/>
    </xf>
    <xf numFmtId="0" fontId="31" fillId="0" borderId="0" xfId="1" applyFill="1" applyBorder="1" applyAlignment="1">
      <alignment horizontal="left" vertical="top"/>
    </xf>
    <xf numFmtId="0" fontId="31" fillId="0" borderId="0" xfId="1" applyFill="1" applyBorder="1" applyAlignment="1">
      <alignment horizontal="center" vertical="top"/>
    </xf>
    <xf numFmtId="0" fontId="37" fillId="0" borderId="0" xfId="3" applyFont="1" applyFill="1" applyBorder="1" applyAlignment="1">
      <alignment vertical="center" wrapText="1"/>
    </xf>
    <xf numFmtId="0" fontId="33" fillId="0" borderId="0" xfId="3" applyFont="1" applyFill="1" applyBorder="1" applyAlignment="1">
      <alignment horizontal="right" vertical="center" wrapText="1"/>
    </xf>
    <xf numFmtId="0" fontId="37" fillId="0" borderId="0" xfId="3" applyFont="1" applyFill="1" applyBorder="1" applyAlignment="1">
      <alignment horizontal="left" vertical="center" wrapText="1"/>
    </xf>
    <xf numFmtId="0" fontId="0" fillId="0" borderId="0" xfId="0" applyFill="1" applyBorder="1"/>
    <xf numFmtId="0" fontId="20" fillId="0" borderId="0" xfId="0" applyFont="1" applyFill="1" applyBorder="1" applyAlignment="1"/>
    <xf numFmtId="0" fontId="43" fillId="0" borderId="0" xfId="0" applyFont="1" applyBorder="1" applyAlignment="1">
      <alignment horizontal="center" vertical="center"/>
    </xf>
    <xf numFmtId="0" fontId="44" fillId="6" borderId="0" xfId="4" applyFont="1" applyFill="1"/>
    <xf numFmtId="0" fontId="10" fillId="0" borderId="0" xfId="4"/>
    <xf numFmtId="0" fontId="10" fillId="0" borderId="0" xfId="4" applyFill="1"/>
    <xf numFmtId="0" fontId="10" fillId="0" borderId="0" xfId="4" applyAlignment="1">
      <alignment horizontal="center"/>
    </xf>
    <xf numFmtId="0" fontId="20" fillId="0" borderId="0" xfId="0" applyFont="1" applyBorder="1"/>
    <xf numFmtId="0" fontId="20" fillId="0" borderId="0" xfId="0" applyFont="1" applyBorder="1" applyAlignment="1">
      <alignment horizontal="right"/>
    </xf>
    <xf numFmtId="0" fontId="9" fillId="0" borderId="0" xfId="4" applyFont="1"/>
    <xf numFmtId="0" fontId="9" fillId="0" borderId="0" xfId="4" applyFont="1" applyFill="1"/>
    <xf numFmtId="0" fontId="50" fillId="0" borderId="0" xfId="0" applyFont="1"/>
    <xf numFmtId="0" fontId="7" fillId="0" borderId="0" xfId="4" applyFont="1"/>
    <xf numFmtId="0" fontId="7" fillId="0" borderId="0" xfId="4" applyFont="1" applyFill="1"/>
    <xf numFmtId="0" fontId="0" fillId="0" borderId="0" xfId="0" applyFill="1"/>
    <xf numFmtId="0" fontId="0" fillId="0" borderId="0" xfId="0"/>
    <xf numFmtId="0" fontId="53" fillId="0" borderId="0" xfId="0" applyFont="1" applyAlignment="1">
      <alignment vertical="top" wrapText="1"/>
    </xf>
    <xf numFmtId="0" fontId="0" fillId="0" borderId="1" xfId="0" applyFont="1" applyBorder="1" applyAlignment="1">
      <alignment horizontal="center" vertical="top" wrapText="1"/>
    </xf>
    <xf numFmtId="0" fontId="12" fillId="0" borderId="0" xfId="0" applyFont="1" applyFill="1" applyBorder="1" applyAlignment="1">
      <alignment horizontal="left" vertical="top"/>
    </xf>
    <xf numFmtId="0" fontId="0" fillId="10" borderId="0" xfId="0" applyFill="1"/>
    <xf numFmtId="0" fontId="0" fillId="8" borderId="0" xfId="0" applyFill="1"/>
    <xf numFmtId="0" fontId="0" fillId="5" borderId="0" xfId="0" applyFill="1"/>
    <xf numFmtId="0" fontId="20" fillId="8" borderId="2" xfId="0" applyFont="1" applyFill="1" applyBorder="1" applyAlignment="1">
      <alignment horizontal="right" vertical="center"/>
    </xf>
    <xf numFmtId="0" fontId="20" fillId="10" borderId="2" xfId="0" applyFont="1" applyFill="1" applyBorder="1"/>
    <xf numFmtId="0" fontId="0" fillId="0" borderId="0" xfId="0" applyFill="1" applyAlignment="1">
      <alignment horizontal="center"/>
    </xf>
    <xf numFmtId="0" fontId="20" fillId="10" borderId="9" xfId="0" applyFont="1" applyFill="1" applyBorder="1"/>
    <xf numFmtId="0" fontId="20" fillId="10" borderId="8" xfId="0" applyFont="1" applyFill="1" applyBorder="1"/>
    <xf numFmtId="0" fontId="0" fillId="0" borderId="0" xfId="0" applyFont="1"/>
    <xf numFmtId="0" fontId="56" fillId="0" borderId="9" xfId="0" applyFont="1" applyFill="1" applyBorder="1" applyAlignment="1">
      <alignment horizontal="left" vertical="top"/>
    </xf>
    <xf numFmtId="0" fontId="0" fillId="0" borderId="9" xfId="0" applyFont="1" applyFill="1" applyBorder="1" applyAlignment="1">
      <alignment horizontal="left" vertical="top"/>
    </xf>
    <xf numFmtId="0" fontId="57" fillId="0" borderId="9" xfId="0" applyFont="1" applyFill="1" applyBorder="1" applyAlignment="1">
      <alignment horizontal="right" vertical="center"/>
    </xf>
    <xf numFmtId="0" fontId="57" fillId="0" borderId="8" xfId="0" applyFont="1" applyFill="1" applyBorder="1" applyAlignment="1">
      <alignment horizontal="left" vertical="center"/>
    </xf>
    <xf numFmtId="0" fontId="0" fillId="11" borderId="0" xfId="0" applyFill="1" applyAlignment="1">
      <alignment horizontal="center"/>
    </xf>
    <xf numFmtId="0" fontId="53" fillId="0" borderId="0" xfId="0" applyFont="1" applyFill="1" applyBorder="1" applyAlignment="1">
      <alignment horizontal="center" vertical="center"/>
    </xf>
    <xf numFmtId="0" fontId="53" fillId="0" borderId="0" xfId="0" applyFont="1" applyFill="1" applyBorder="1" applyAlignment="1">
      <alignment horizontal="center" vertical="center" wrapText="1"/>
    </xf>
    <xf numFmtId="0" fontId="6" fillId="0" borderId="0" xfId="4" applyFont="1"/>
    <xf numFmtId="0" fontId="6" fillId="0" borderId="0" xfId="4" applyFont="1" applyFill="1"/>
    <xf numFmtId="0" fontId="20" fillId="11" borderId="9" xfId="0" applyFont="1" applyFill="1" applyBorder="1"/>
    <xf numFmtId="0" fontId="20" fillId="11" borderId="8" xfId="0" applyFont="1" applyFill="1" applyBorder="1"/>
    <xf numFmtId="0" fontId="20" fillId="11" borderId="2" xfId="0" applyFont="1" applyFill="1" applyBorder="1"/>
    <xf numFmtId="0" fontId="43" fillId="10" borderId="13" xfId="0" applyFont="1" applyFill="1" applyBorder="1" applyAlignment="1">
      <alignment horizontal="center" vertical="center"/>
    </xf>
    <xf numFmtId="0" fontId="62" fillId="0" borderId="0" xfId="0" applyFont="1"/>
    <xf numFmtId="0" fontId="38" fillId="0" borderId="0" xfId="1" applyFont="1" applyFill="1" applyBorder="1" applyAlignment="1">
      <alignment horizontal="left" vertical="top" wrapText="1"/>
    </xf>
    <xf numFmtId="0" fontId="64" fillId="0" borderId="0" xfId="1" applyFont="1" applyFill="1" applyBorder="1" applyAlignment="1">
      <alignment vertical="center" wrapText="1"/>
    </xf>
    <xf numFmtId="165" fontId="27" fillId="0" borderId="0" xfId="1" applyNumberFormat="1" applyFont="1" applyFill="1" applyBorder="1" applyAlignment="1">
      <alignment vertical="top" wrapText="1"/>
    </xf>
    <xf numFmtId="0" fontId="5" fillId="0" borderId="0" xfId="4" applyFont="1"/>
    <xf numFmtId="0" fontId="53" fillId="0" borderId="0" xfId="0" applyFont="1" applyFill="1" applyBorder="1" applyAlignment="1">
      <alignment vertical="center" wrapText="1"/>
    </xf>
    <xf numFmtId="0" fontId="0" fillId="0" borderId="0" xfId="0" applyFill="1" applyBorder="1" applyAlignment="1"/>
    <xf numFmtId="0" fontId="53" fillId="0" borderId="0" xfId="0" applyFont="1" applyFill="1" applyBorder="1" applyAlignment="1">
      <alignment vertical="center"/>
    </xf>
    <xf numFmtId="0" fontId="52" fillId="0" borderId="0" xfId="0" applyFont="1" applyFill="1" applyBorder="1" applyAlignment="1">
      <alignment vertical="center" wrapText="1"/>
    </xf>
    <xf numFmtId="0" fontId="52" fillId="0" borderId="0" xfId="0" applyFont="1" applyFill="1" applyBorder="1" applyAlignment="1">
      <alignment vertical="center"/>
    </xf>
    <xf numFmtId="0" fontId="54" fillId="0" borderId="0" xfId="0" applyFont="1" applyFill="1" applyBorder="1" applyAlignment="1">
      <alignment horizontal="center" vertical="center"/>
    </xf>
    <xf numFmtId="0" fontId="58" fillId="0" borderId="0" xfId="0" applyFont="1" applyFill="1" applyBorder="1" applyAlignment="1">
      <alignment horizontal="center" vertical="center"/>
    </xf>
    <xf numFmtId="0" fontId="20" fillId="0" borderId="0" xfId="0" applyFont="1" applyFill="1" applyBorder="1" applyAlignment="1">
      <alignment vertical="center"/>
    </xf>
    <xf numFmtId="0" fontId="0" fillId="0" borderId="0" xfId="0" applyFill="1" applyBorder="1" applyAlignment="1">
      <alignment vertical="center"/>
    </xf>
    <xf numFmtId="0" fontId="52" fillId="10" borderId="2" xfId="0" applyFont="1" applyFill="1" applyBorder="1" applyAlignment="1">
      <alignment horizontal="center" vertical="center"/>
    </xf>
    <xf numFmtId="0" fontId="0" fillId="10" borderId="2" xfId="0" applyFill="1" applyBorder="1" applyAlignment="1">
      <alignment horizontal="center"/>
    </xf>
    <xf numFmtId="0" fontId="55" fillId="7" borderId="9" xfId="0" applyFont="1" applyFill="1" applyBorder="1" applyAlignment="1"/>
    <xf numFmtId="0" fontId="55" fillId="7" borderId="8" xfId="0" applyFont="1" applyFill="1" applyBorder="1" applyAlignment="1"/>
    <xf numFmtId="0" fontId="11" fillId="7" borderId="6" xfId="0" applyFont="1" applyFill="1" applyBorder="1" applyAlignment="1"/>
    <xf numFmtId="0" fontId="11" fillId="7" borderId="9" xfId="0" applyFont="1" applyFill="1" applyBorder="1" applyAlignment="1"/>
    <xf numFmtId="0" fontId="55" fillId="0" borderId="0" xfId="0" applyFont="1" applyFill="1" applyBorder="1" applyAlignment="1"/>
    <xf numFmtId="49" fontId="20" fillId="0" borderId="0" xfId="0" applyNumberFormat="1" applyFont="1" applyFill="1" applyBorder="1" applyAlignment="1"/>
    <xf numFmtId="0" fontId="63" fillId="0" borderId="2" xfId="1" applyFont="1" applyFill="1" applyBorder="1" applyAlignment="1">
      <alignment horizontal="center" vertical="center" wrapText="1"/>
    </xf>
    <xf numFmtId="0" fontId="43" fillId="10" borderId="6" xfId="0" applyFont="1" applyFill="1" applyBorder="1" applyAlignment="1">
      <alignment horizontal="center" vertical="center"/>
    </xf>
    <xf numFmtId="0" fontId="0" fillId="0" borderId="0" xfId="0"/>
    <xf numFmtId="0" fontId="20" fillId="0" borderId="0" xfId="0" applyFont="1"/>
    <xf numFmtId="0" fontId="0" fillId="0" borderId="0" xfId="0" applyFill="1" applyBorder="1"/>
    <xf numFmtId="0" fontId="0" fillId="0" borderId="0" xfId="0" applyFill="1"/>
    <xf numFmtId="0" fontId="0" fillId="10" borderId="0" xfId="0" applyFill="1"/>
    <xf numFmtId="0" fontId="0" fillId="8" borderId="0" xfId="0" applyFill="1"/>
    <xf numFmtId="0" fontId="0" fillId="5" borderId="0" xfId="0" applyFill="1"/>
    <xf numFmtId="0" fontId="49" fillId="0" borderId="0" xfId="0" applyFont="1" applyFill="1" applyBorder="1" applyAlignment="1">
      <alignment vertical="top" wrapText="1"/>
    </xf>
    <xf numFmtId="0" fontId="21" fillId="0" borderId="0" xfId="0" applyFont="1" applyFill="1" applyBorder="1" applyAlignment="1">
      <alignment vertical="top" wrapText="1"/>
    </xf>
    <xf numFmtId="0" fontId="43" fillId="10" borderId="2" xfId="0" applyFont="1" applyFill="1" applyBorder="1" applyAlignment="1">
      <alignment horizontal="center" vertical="center"/>
    </xf>
    <xf numFmtId="0" fontId="27" fillId="0" borderId="0" xfId="1" applyFont="1" applyFill="1" applyBorder="1" applyAlignment="1">
      <alignment horizontal="center" vertical="top" wrapText="1"/>
    </xf>
    <xf numFmtId="0" fontId="66" fillId="0" borderId="0" xfId="0" applyFont="1"/>
    <xf numFmtId="49" fontId="20" fillId="0" borderId="0" xfId="2" applyNumberFormat="1" applyFont="1" applyFill="1" applyBorder="1" applyAlignment="1"/>
    <xf numFmtId="0" fontId="41" fillId="0" borderId="0" xfId="2" applyFont="1" applyFill="1" applyBorder="1"/>
    <xf numFmtId="0" fontId="20" fillId="0" borderId="0" xfId="2" applyFont="1" applyFill="1" applyBorder="1" applyAlignment="1">
      <alignment vertical="top"/>
    </xf>
    <xf numFmtId="0" fontId="24" fillId="0" borderId="0" xfId="2" applyFont="1" applyFill="1" applyBorder="1" applyAlignment="1"/>
    <xf numFmtId="0" fontId="24" fillId="0" borderId="0" xfId="2" applyFont="1" applyFill="1" applyBorder="1"/>
    <xf numFmtId="0" fontId="44" fillId="9" borderId="0" xfId="4" applyFont="1" applyFill="1"/>
    <xf numFmtId="0" fontId="20" fillId="12" borderId="0" xfId="0" applyFont="1" applyFill="1"/>
    <xf numFmtId="0" fontId="0" fillId="12" borderId="0" xfId="0" applyFill="1"/>
    <xf numFmtId="0" fontId="43" fillId="0" borderId="0" xfId="0" applyFont="1" applyFill="1" applyBorder="1" applyAlignment="1">
      <alignment horizontal="center" vertical="center"/>
    </xf>
    <xf numFmtId="0" fontId="4" fillId="0" borderId="0" xfId="4" applyFont="1"/>
    <xf numFmtId="0" fontId="4" fillId="0" borderId="0" xfId="4" applyFont="1" applyFill="1"/>
    <xf numFmtId="0" fontId="4" fillId="0" borderId="0" xfId="4" applyFont="1" applyAlignment="1">
      <alignment horizontal="center" vertical="center"/>
    </xf>
    <xf numFmtId="0" fontId="0" fillId="11" borderId="0" xfId="0" applyFill="1" applyAlignment="1">
      <alignment horizontal="center"/>
    </xf>
    <xf numFmtId="0" fontId="61" fillId="0" borderId="0" xfId="0" applyFont="1" applyFill="1" applyBorder="1" applyAlignment="1">
      <alignment vertical="center"/>
    </xf>
    <xf numFmtId="49" fontId="20" fillId="3" borderId="2" xfId="0" applyNumberFormat="1" applyFont="1" applyFill="1" applyBorder="1" applyAlignment="1">
      <alignment horizontal="center" vertical="center"/>
    </xf>
    <xf numFmtId="49" fontId="20" fillId="3" borderId="7" xfId="0" applyNumberFormat="1" applyFont="1" applyFill="1" applyBorder="1" applyAlignment="1">
      <alignment horizontal="center" vertical="center"/>
    </xf>
    <xf numFmtId="0" fontId="17" fillId="0" borderId="9" xfId="0" applyFont="1" applyFill="1" applyBorder="1" applyAlignment="1">
      <alignment horizontal="left" vertical="center" wrapText="1"/>
    </xf>
    <xf numFmtId="3" fontId="26" fillId="0" borderId="2" xfId="3" applyNumberFormat="1" applyFont="1" applyFill="1" applyBorder="1" applyAlignment="1">
      <alignment horizontal="center" vertical="center" wrapText="1"/>
    </xf>
    <xf numFmtId="0" fontId="67" fillId="4" borderId="2" xfId="3" applyFont="1" applyFill="1" applyBorder="1" applyAlignment="1">
      <alignment vertical="top" wrapText="1"/>
    </xf>
    <xf numFmtId="0" fontId="0" fillId="11" borderId="0" xfId="0" applyFill="1" applyAlignment="1"/>
    <xf numFmtId="0" fontId="52" fillId="10" borderId="2" xfId="0" applyFont="1" applyFill="1" applyBorder="1" applyAlignment="1">
      <alignment horizontal="center" vertical="center" wrapText="1"/>
    </xf>
    <xf numFmtId="0" fontId="0" fillId="4" borderId="2" xfId="0" applyFill="1" applyBorder="1" applyAlignment="1">
      <alignment horizontal="center"/>
    </xf>
    <xf numFmtId="0" fontId="68" fillId="5" borderId="2" xfId="0" applyFont="1" applyFill="1" applyBorder="1" applyAlignment="1">
      <alignment horizontal="center" vertical="center" wrapText="1"/>
    </xf>
    <xf numFmtId="0" fontId="29" fillId="0" borderId="0" xfId="1" applyFont="1" applyFill="1" applyBorder="1" applyAlignment="1">
      <alignment horizontal="center" vertical="top"/>
    </xf>
    <xf numFmtId="0" fontId="0" fillId="0" borderId="0" xfId="0" applyFont="1" applyBorder="1" applyAlignment="1">
      <alignment horizontal="center" vertical="top" wrapText="1"/>
    </xf>
    <xf numFmtId="0" fontId="3" fillId="0" borderId="0" xfId="4" applyFont="1"/>
    <xf numFmtId="0" fontId="18" fillId="0" borderId="0" xfId="0" applyFont="1"/>
    <xf numFmtId="0" fontId="39" fillId="10" borderId="2" xfId="1" applyFont="1" applyFill="1" applyBorder="1" applyAlignment="1">
      <alignment horizontal="center" vertical="top" wrapText="1"/>
    </xf>
    <xf numFmtId="0" fontId="47" fillId="0" borderId="0" xfId="1" applyFont="1" applyFill="1" applyBorder="1" applyAlignment="1">
      <alignment vertical="top" wrapText="1"/>
    </xf>
    <xf numFmtId="165" fontId="39" fillId="10" borderId="8" xfId="1" applyNumberFormat="1" applyFont="1" applyFill="1" applyBorder="1" applyAlignment="1">
      <alignment vertical="top" wrapText="1"/>
    </xf>
    <xf numFmtId="0" fontId="19" fillId="0" borderId="0" xfId="2" applyFont="1" applyFill="1" applyBorder="1"/>
    <xf numFmtId="164" fontId="27" fillId="13" borderId="10" xfId="1" applyNumberFormat="1" applyFont="1" applyFill="1" applyBorder="1" applyAlignment="1">
      <alignment horizontal="center" vertical="center" wrapText="1"/>
    </xf>
    <xf numFmtId="164" fontId="39" fillId="11" borderId="3" xfId="1" applyNumberFormat="1" applyFont="1" applyFill="1" applyBorder="1" applyAlignment="1">
      <alignment horizontal="center" vertical="top" wrapText="1"/>
    </xf>
    <xf numFmtId="49" fontId="20" fillId="3" borderId="6" xfId="0" applyNumberFormat="1" applyFont="1" applyFill="1" applyBorder="1" applyAlignment="1">
      <alignment horizontal="center" vertical="center"/>
    </xf>
    <xf numFmtId="0" fontId="29" fillId="0" borderId="2" xfId="1" applyFont="1" applyFill="1" applyBorder="1" applyAlignment="1">
      <alignment horizontal="center" vertical="top"/>
    </xf>
    <xf numFmtId="0" fontId="2" fillId="0" borderId="0" xfId="4" applyFont="1" applyFill="1"/>
    <xf numFmtId="0" fontId="2" fillId="0" borderId="0" xfId="4" applyFont="1"/>
    <xf numFmtId="3" fontId="73" fillId="0" borderId="2" xfId="3" applyNumberFormat="1" applyFont="1" applyFill="1" applyBorder="1" applyAlignment="1">
      <alignment horizontal="center" vertical="center" wrapText="1"/>
    </xf>
    <xf numFmtId="0" fontId="69" fillId="0" borderId="2" xfId="1" applyFont="1" applyFill="1" applyBorder="1" applyAlignment="1">
      <alignment horizontal="center" vertical="top"/>
    </xf>
    <xf numFmtId="0" fontId="69" fillId="0" borderId="8" xfId="1" applyFont="1" applyFill="1" applyBorder="1" applyAlignment="1">
      <alignment horizontal="center" vertical="top"/>
    </xf>
    <xf numFmtId="0" fontId="29" fillId="0" borderId="0" xfId="1" applyFont="1" applyFill="1" applyBorder="1" applyAlignment="1">
      <alignment horizontal="center" vertical="top"/>
    </xf>
    <xf numFmtId="49" fontId="20" fillId="3" borderId="2" xfId="0" applyNumberFormat="1" applyFont="1" applyFill="1" applyBorder="1" applyAlignment="1">
      <alignment horizontal="center"/>
    </xf>
    <xf numFmtId="0" fontId="53" fillId="3" borderId="2" xfId="0" applyFont="1" applyFill="1" applyBorder="1" applyAlignment="1">
      <alignment horizontal="center" vertical="center" wrapText="1"/>
    </xf>
    <xf numFmtId="0" fontId="76" fillId="3" borderId="2" xfId="1" applyFont="1" applyFill="1" applyBorder="1" applyAlignment="1">
      <alignment horizontal="center" vertical="center"/>
    </xf>
    <xf numFmtId="0" fontId="20" fillId="3" borderId="2" xfId="0" applyFont="1" applyFill="1" applyBorder="1" applyAlignment="1">
      <alignment horizontal="center" vertical="center" wrapText="1"/>
    </xf>
    <xf numFmtId="0" fontId="69" fillId="3" borderId="2" xfId="0" applyFont="1" applyFill="1" applyBorder="1" applyAlignment="1">
      <alignment horizontal="center" vertical="center" wrapText="1"/>
    </xf>
    <xf numFmtId="0" fontId="20" fillId="0" borderId="1" xfId="0" applyFont="1" applyFill="1" applyBorder="1" applyAlignment="1">
      <alignment horizontal="left" vertical="center"/>
    </xf>
    <xf numFmtId="0" fontId="20" fillId="3" borderId="2" xfId="0" applyFont="1" applyFill="1" applyBorder="1" applyAlignment="1">
      <alignment horizontal="center" vertical="center"/>
    </xf>
    <xf numFmtId="49" fontId="40" fillId="3" borderId="2" xfId="1" applyNumberFormat="1" applyFont="1" applyFill="1" applyBorder="1" applyAlignment="1">
      <alignment horizontal="center" vertical="top" wrapText="1"/>
    </xf>
    <xf numFmtId="0" fontId="18" fillId="3" borderId="2" xfId="1" applyFont="1" applyFill="1" applyBorder="1" applyAlignment="1">
      <alignment horizontal="center" vertical="center" wrapText="1"/>
    </xf>
    <xf numFmtId="0" fontId="28" fillId="5" borderId="3" xfId="1" applyFont="1" applyFill="1" applyBorder="1" applyAlignment="1">
      <alignment horizontal="center" vertical="center" wrapText="1"/>
    </xf>
    <xf numFmtId="165" fontId="27" fillId="12" borderId="0" xfId="1" applyNumberFormat="1" applyFont="1" applyFill="1" applyBorder="1" applyAlignment="1">
      <alignment horizontal="center" vertical="center" wrapText="1"/>
    </xf>
    <xf numFmtId="0" fontId="31" fillId="7" borderId="2" xfId="1" applyFill="1" applyBorder="1" applyAlignment="1">
      <alignment horizontal="left" vertical="top"/>
    </xf>
    <xf numFmtId="0" fontId="69" fillId="0" borderId="0" xfId="0" applyFont="1" applyBorder="1"/>
    <xf numFmtId="49" fontId="25" fillId="3" borderId="2" xfId="3" applyNumberFormat="1" applyFont="1" applyFill="1" applyBorder="1" applyAlignment="1">
      <alignment horizontal="center" vertical="center"/>
    </xf>
    <xf numFmtId="49" fontId="25" fillId="3" borderId="2" xfId="3" applyNumberFormat="1" applyFont="1" applyFill="1" applyBorder="1" applyAlignment="1">
      <alignment horizontal="center" vertical="center" wrapText="1"/>
    </xf>
    <xf numFmtId="0" fontId="18" fillId="3" borderId="2" xfId="3" applyFont="1" applyFill="1" applyBorder="1" applyAlignment="1">
      <alignment horizontal="center" vertical="center" wrapText="1"/>
    </xf>
    <xf numFmtId="0" fontId="22" fillId="3" borderId="2" xfId="3" applyFont="1" applyFill="1" applyBorder="1" applyAlignment="1">
      <alignment horizontal="center" vertical="center"/>
    </xf>
    <xf numFmtId="0" fontId="29" fillId="0" borderId="0" xfId="1" applyFont="1" applyFill="1" applyBorder="1" applyAlignment="1">
      <alignment horizontal="center" vertical="top"/>
    </xf>
    <xf numFmtId="0" fontId="1" fillId="0" borderId="0" xfId="4" applyFont="1" applyFill="1"/>
    <xf numFmtId="0" fontId="1" fillId="0" borderId="0" xfId="4" applyFont="1"/>
    <xf numFmtId="49" fontId="20" fillId="0" borderId="0" xfId="0" applyNumberFormat="1" applyFont="1" applyFill="1" applyBorder="1" applyAlignment="1">
      <alignment horizontal="center"/>
    </xf>
    <xf numFmtId="49" fontId="20" fillId="0" borderId="0" xfId="0" applyNumberFormat="1" applyFont="1" applyFill="1" applyBorder="1" applyAlignment="1">
      <alignment horizontal="center" vertical="center"/>
    </xf>
    <xf numFmtId="0" fontId="52" fillId="0" borderId="0" xfId="0" applyFont="1" applyFill="1" applyBorder="1" applyAlignment="1">
      <alignment horizontal="center" vertical="center" wrapText="1"/>
    </xf>
    <xf numFmtId="0" fontId="52" fillId="0" borderId="0" xfId="0" applyFont="1" applyFill="1" applyBorder="1" applyAlignment="1">
      <alignment horizontal="center" vertical="center"/>
    </xf>
    <xf numFmtId="0" fontId="0" fillId="0" borderId="0" xfId="0" applyFill="1" applyBorder="1" applyAlignment="1">
      <alignment horizontal="center"/>
    </xf>
    <xf numFmtId="0" fontId="42" fillId="0" borderId="0" xfId="0" applyFont="1" applyFill="1" applyBorder="1" applyAlignment="1">
      <alignment wrapText="1"/>
    </xf>
    <xf numFmtId="0" fontId="20" fillId="0" borderId="0" xfId="0" applyFont="1" applyFill="1" applyBorder="1" applyAlignment="1">
      <alignment vertical="center" wrapText="1"/>
    </xf>
    <xf numFmtId="0" fontId="20" fillId="0" borderId="0" xfId="0" applyFont="1" applyFill="1" applyBorder="1" applyAlignment="1">
      <alignment horizontal="center" vertical="center" wrapText="1"/>
    </xf>
    <xf numFmtId="0" fontId="69" fillId="0" borderId="0" xfId="0" applyFont="1" applyFill="1" applyBorder="1" applyAlignment="1">
      <alignment vertical="center" wrapText="1"/>
    </xf>
    <xf numFmtId="0" fontId="69" fillId="0" borderId="0" xfId="0" applyFont="1" applyFill="1" applyBorder="1" applyAlignment="1">
      <alignment horizontal="center" vertical="center" wrapText="1"/>
    </xf>
    <xf numFmtId="0" fontId="11" fillId="0" borderId="0" xfId="0" applyFont="1" applyFill="1" applyBorder="1" applyAlignment="1"/>
    <xf numFmtId="0" fontId="42" fillId="0" borderId="0" xfId="0" applyFont="1" applyFill="1" applyBorder="1" applyAlignment="1"/>
    <xf numFmtId="0" fontId="26" fillId="5" borderId="2" xfId="1" applyFont="1" applyFill="1" applyBorder="1" applyAlignment="1">
      <alignment horizontal="center" vertical="top"/>
    </xf>
    <xf numFmtId="0" fontId="20" fillId="0" borderId="2" xfId="0" applyFont="1" applyBorder="1" applyAlignment="1">
      <alignment horizontal="center" vertical="center"/>
    </xf>
    <xf numFmtId="0" fontId="23" fillId="0" borderId="0" xfId="0" applyFont="1"/>
    <xf numFmtId="0" fontId="69" fillId="0" borderId="0" xfId="0" applyFont="1"/>
    <xf numFmtId="0" fontId="69" fillId="0" borderId="0" xfId="0" applyFont="1" applyFill="1"/>
    <xf numFmtId="0" fontId="29" fillId="0" borderId="2" xfId="1" applyFont="1" applyFill="1" applyBorder="1" applyAlignment="1">
      <alignment horizontal="center" vertical="top"/>
    </xf>
    <xf numFmtId="0" fontId="29" fillId="0" borderId="0" xfId="1" applyFont="1" applyFill="1" applyBorder="1" applyAlignment="1">
      <alignment horizontal="center" vertical="top"/>
    </xf>
    <xf numFmtId="49" fontId="20" fillId="3" borderId="2" xfId="0" applyNumberFormat="1" applyFont="1" applyFill="1" applyBorder="1" applyAlignment="1">
      <alignment horizontal="center"/>
    </xf>
    <xf numFmtId="0" fontId="20" fillId="0" borderId="0" xfId="0" applyFont="1" applyBorder="1" applyAlignment="1">
      <alignment horizontal="center" vertical="center"/>
    </xf>
    <xf numFmtId="0" fontId="42" fillId="0" borderId="0" xfId="0" applyFont="1" applyFill="1" applyBorder="1" applyAlignment="1">
      <alignment horizontal="left" vertical="center" wrapText="1"/>
    </xf>
    <xf numFmtId="0" fontId="42" fillId="0" borderId="1" xfId="0" applyFont="1" applyFill="1" applyBorder="1" applyAlignment="1">
      <alignment horizontal="left" vertical="center" wrapText="1"/>
    </xf>
    <xf numFmtId="164" fontId="39" fillId="8" borderId="2" xfId="1" applyNumberFormat="1" applyFont="1" applyFill="1" applyBorder="1" applyAlignment="1">
      <alignment horizontal="center" vertical="top" wrapText="1"/>
    </xf>
    <xf numFmtId="0" fontId="1" fillId="0" borderId="0" xfId="4" applyFont="1" applyFill="1" applyAlignment="1">
      <alignment wrapText="1"/>
    </xf>
    <xf numFmtId="0" fontId="18" fillId="3" borderId="2" xfId="1" applyFont="1" applyFill="1" applyBorder="1" applyAlignment="1">
      <alignment horizontal="center" vertical="center" wrapText="1"/>
    </xf>
    <xf numFmtId="49" fontId="69" fillId="3" borderId="7" xfId="0" applyNumberFormat="1" applyFont="1" applyFill="1" applyBorder="1" applyAlignment="1">
      <alignment horizontal="center" vertical="center"/>
    </xf>
    <xf numFmtId="0" fontId="69" fillId="0" borderId="0" xfId="0" applyFont="1" applyFill="1" applyBorder="1" applyAlignment="1"/>
    <xf numFmtId="0" fontId="54" fillId="0" borderId="0" xfId="0" applyFont="1"/>
    <xf numFmtId="0" fontId="91" fillId="0" borderId="0" xfId="0" applyFont="1"/>
    <xf numFmtId="0" fontId="54" fillId="0" borderId="0" xfId="0" applyFont="1" applyFill="1" applyBorder="1"/>
    <xf numFmtId="3" fontId="69" fillId="11" borderId="2" xfId="3" applyNumberFormat="1" applyFont="1" applyFill="1" applyBorder="1" applyAlignment="1">
      <alignment horizontal="center" vertical="center" wrapText="1"/>
    </xf>
    <xf numFmtId="0" fontId="69" fillId="11" borderId="2" xfId="3" applyFont="1" applyFill="1" applyBorder="1" applyAlignment="1">
      <alignment horizontal="center" vertical="center" wrapText="1"/>
    </xf>
    <xf numFmtId="0" fontId="69" fillId="0" borderId="0" xfId="3" applyFont="1" applyFill="1" applyBorder="1" applyAlignment="1">
      <alignment horizontal="left" vertical="top"/>
    </xf>
    <xf numFmtId="0" fontId="22" fillId="5" borderId="2" xfId="1" applyFont="1" applyFill="1" applyBorder="1" applyAlignment="1">
      <alignment horizontal="center" vertical="center" wrapText="1"/>
    </xf>
    <xf numFmtId="0" fontId="27" fillId="8" borderId="8" xfId="1" applyFont="1" applyFill="1" applyBorder="1" applyAlignment="1">
      <alignment horizontal="center" vertical="top" wrapText="1"/>
    </xf>
    <xf numFmtId="165" fontId="25" fillId="8" borderId="2" xfId="1" applyNumberFormat="1" applyFont="1" applyFill="1" applyBorder="1" applyAlignment="1">
      <alignment horizontal="center" vertical="center" wrapText="1"/>
    </xf>
    <xf numFmtId="0" fontId="92" fillId="8" borderId="2" xfId="1" applyFont="1" applyFill="1" applyBorder="1" applyAlignment="1">
      <alignment vertical="top" wrapText="1"/>
    </xf>
    <xf numFmtId="0" fontId="92" fillId="10" borderId="2" xfId="1" applyFont="1" applyFill="1" applyBorder="1" applyAlignment="1">
      <alignment horizontal="center" vertical="top" wrapText="1"/>
    </xf>
    <xf numFmtId="0" fontId="58" fillId="4" borderId="2" xfId="0" applyFont="1" applyFill="1" applyBorder="1" applyAlignment="1">
      <alignment horizontal="center" vertical="center" wrapText="1"/>
    </xf>
    <xf numFmtId="0" fontId="58" fillId="10" borderId="2" xfId="0" applyFont="1" applyFill="1" applyBorder="1" applyAlignment="1">
      <alignment horizontal="center" vertical="center" wrapText="1"/>
    </xf>
    <xf numFmtId="0" fontId="93" fillId="10" borderId="2" xfId="0" applyFont="1" applyFill="1" applyBorder="1" applyAlignment="1">
      <alignment horizontal="center" vertical="center" wrapText="1"/>
    </xf>
    <xf numFmtId="0" fontId="54" fillId="10" borderId="2" xfId="0" applyFont="1" applyFill="1" applyBorder="1" applyAlignment="1">
      <alignment horizontal="center"/>
    </xf>
    <xf numFmtId="0" fontId="93" fillId="5" borderId="2" xfId="0" applyFont="1" applyFill="1" applyBorder="1" applyAlignment="1">
      <alignment horizontal="center" vertical="center"/>
    </xf>
    <xf numFmtId="0" fontId="49" fillId="0" borderId="9" xfId="0" applyFont="1" applyFill="1" applyBorder="1" applyAlignment="1">
      <alignment horizontal="left" vertical="top" wrapText="1"/>
    </xf>
    <xf numFmtId="0" fontId="49" fillId="0" borderId="8" xfId="0" applyFont="1" applyFill="1" applyBorder="1" applyAlignment="1">
      <alignment horizontal="left" vertical="top" wrapText="1"/>
    </xf>
    <xf numFmtId="0" fontId="57" fillId="14" borderId="8" xfId="0" applyFont="1" applyFill="1" applyBorder="1" applyAlignment="1">
      <alignment horizontal="right" vertical="center"/>
    </xf>
    <xf numFmtId="0" fontId="0" fillId="0" borderId="0" xfId="0" applyAlignment="1">
      <alignment vertical="center"/>
    </xf>
    <xf numFmtId="49" fontId="48" fillId="14" borderId="2" xfId="0" applyNumberFormat="1" applyFont="1" applyFill="1" applyBorder="1" applyAlignment="1">
      <alignment horizontal="center" vertical="center"/>
    </xf>
    <xf numFmtId="0" fontId="49" fillId="0" borderId="9" xfId="0" applyFont="1" applyFill="1" applyBorder="1" applyAlignment="1">
      <alignment horizontal="left" vertical="top" wrapText="1"/>
    </xf>
    <xf numFmtId="0" fontId="49" fillId="0" borderId="8" xfId="0" applyFont="1" applyFill="1" applyBorder="1" applyAlignment="1">
      <alignment horizontal="left" vertical="top" wrapText="1"/>
    </xf>
    <xf numFmtId="49" fontId="40" fillId="3" borderId="2" xfId="1" applyNumberFormat="1" applyFont="1" applyFill="1" applyBorder="1" applyAlignment="1">
      <alignment horizontal="center" vertical="top" wrapText="1"/>
    </xf>
    <xf numFmtId="0" fontId="18" fillId="3" borderId="14" xfId="1" applyFont="1" applyFill="1" applyBorder="1" applyAlignment="1">
      <alignment horizontal="center" vertical="center" wrapText="1"/>
    </xf>
    <xf numFmtId="49" fontId="96" fillId="14" borderId="2" xfId="0" applyNumberFormat="1" applyFont="1" applyFill="1" applyBorder="1" applyAlignment="1">
      <alignment horizontal="center" vertical="center"/>
    </xf>
    <xf numFmtId="49" fontId="40" fillId="3" borderId="2" xfId="1" applyNumberFormat="1" applyFont="1" applyFill="1" applyBorder="1" applyAlignment="1">
      <alignment horizontal="center" vertical="top" wrapText="1"/>
    </xf>
    <xf numFmtId="0" fontId="116" fillId="8" borderId="2" xfId="0" applyFont="1" applyFill="1" applyBorder="1" applyAlignment="1">
      <alignment horizontal="center" vertical="center"/>
    </xf>
    <xf numFmtId="0" fontId="91" fillId="0" borderId="0" xfId="0" applyFont="1" applyAlignment="1">
      <alignment vertical="center"/>
    </xf>
    <xf numFmtId="0" fontId="54" fillId="0" borderId="0" xfId="0" applyFont="1" applyFill="1" applyBorder="1" applyAlignment="1">
      <alignment vertical="center"/>
    </xf>
    <xf numFmtId="0" fontId="116" fillId="10" borderId="2" xfId="0" applyFont="1" applyFill="1" applyBorder="1" applyAlignment="1">
      <alignment horizontal="center" vertical="center"/>
    </xf>
    <xf numFmtId="0" fontId="50" fillId="0" borderId="0" xfId="0" applyFont="1" applyAlignment="1">
      <alignment vertical="center"/>
    </xf>
    <xf numFmtId="0" fontId="125" fillId="15" borderId="2" xfId="0" applyFont="1" applyFill="1" applyBorder="1" applyAlignment="1">
      <alignment horizontal="center" vertical="center"/>
    </xf>
    <xf numFmtId="0" fontId="124" fillId="14" borderId="7" xfId="0" applyFont="1" applyFill="1" applyBorder="1" applyAlignment="1">
      <alignment horizontal="center" vertical="center"/>
    </xf>
    <xf numFmtId="49" fontId="135" fillId="8" borderId="2" xfId="1" applyNumberFormat="1" applyFont="1" applyFill="1" applyBorder="1" applyAlignment="1">
      <alignment horizontal="center" vertical="top" wrapText="1"/>
    </xf>
    <xf numFmtId="0" fontId="134" fillId="8" borderId="2" xfId="0" applyFont="1" applyFill="1" applyBorder="1" applyAlignment="1">
      <alignment wrapText="1"/>
    </xf>
    <xf numFmtId="0" fontId="133" fillId="0" borderId="0" xfId="0" applyFont="1"/>
    <xf numFmtId="3" fontId="69" fillId="14" borderId="2" xfId="3" applyNumberFormat="1" applyFont="1" applyFill="1" applyBorder="1" applyAlignment="1">
      <alignment horizontal="center" vertical="center" wrapText="1"/>
    </xf>
    <xf numFmtId="0" fontId="138" fillId="15" borderId="14" xfId="1" applyFont="1" applyFill="1" applyBorder="1" applyAlignment="1">
      <alignment horizontal="center" vertical="center" wrapText="1"/>
    </xf>
    <xf numFmtId="0" fontId="142" fillId="5" borderId="2" xfId="0" applyFont="1" applyFill="1" applyBorder="1" applyAlignment="1">
      <alignment horizontal="center" vertical="center"/>
    </xf>
    <xf numFmtId="0" fontId="42" fillId="0" borderId="0" xfId="0" applyFont="1" applyAlignment="1">
      <alignment horizontal="left" vertical="center" wrapText="1"/>
    </xf>
    <xf numFmtId="0" fontId="143" fillId="5" borderId="2" xfId="0" applyFont="1" applyFill="1" applyBorder="1" applyAlignment="1">
      <alignment horizontal="center" vertical="center"/>
    </xf>
    <xf numFmtId="0" fontId="20" fillId="0" borderId="2" xfId="0" applyFont="1" applyBorder="1" applyAlignment="1">
      <alignment horizontal="center" vertical="center" wrapText="1"/>
    </xf>
    <xf numFmtId="0" fontId="61" fillId="0" borderId="0" xfId="0" applyFont="1" applyAlignment="1">
      <alignment horizontal="left" vertical="center" wrapText="1"/>
    </xf>
    <xf numFmtId="0" fontId="20" fillId="10" borderId="9" xfId="0" applyFont="1" applyFill="1" applyBorder="1"/>
    <xf numFmtId="0" fontId="20" fillId="11" borderId="9" xfId="0" applyFont="1" applyFill="1" applyBorder="1"/>
    <xf numFmtId="0" fontId="18" fillId="3" borderId="14" xfId="1" applyFont="1" applyFill="1" applyBorder="1" applyAlignment="1">
      <alignment horizontal="center" vertical="center" wrapText="1"/>
    </xf>
    <xf numFmtId="0" fontId="20" fillId="3" borderId="2" xfId="0" applyFont="1" applyFill="1" applyBorder="1" applyAlignment="1">
      <alignment horizontal="center" vertical="center"/>
    </xf>
    <xf numFmtId="49" fontId="135" fillId="15" borderId="2" xfId="1" applyNumberFormat="1" applyFont="1" applyFill="1" applyBorder="1" applyAlignment="1">
      <alignment horizontal="center" vertical="top" wrapText="1"/>
    </xf>
    <xf numFmtId="0" fontId="104" fillId="0" borderId="0" xfId="0" applyFont="1"/>
    <xf numFmtId="0" fontId="11" fillId="0" borderId="0" xfId="0" applyFont="1" applyAlignment="1">
      <alignment horizontal="right"/>
    </xf>
    <xf numFmtId="0" fontId="134" fillId="10" borderId="2" xfId="0" applyFont="1" applyFill="1" applyBorder="1" applyAlignment="1">
      <alignment wrapText="1"/>
    </xf>
    <xf numFmtId="0" fontId="27" fillId="0" borderId="0" xfId="0" applyFont="1" applyFill="1" applyBorder="1" applyAlignment="1">
      <alignment vertical="top" wrapText="1"/>
    </xf>
    <xf numFmtId="49" fontId="11" fillId="0" borderId="0" xfId="0" applyNumberFormat="1" applyFont="1" applyFill="1" applyBorder="1" applyAlignment="1">
      <alignment vertical="center"/>
    </xf>
    <xf numFmtId="0" fontId="42" fillId="0" borderId="0" xfId="0" applyFont="1" applyAlignment="1">
      <alignment vertical="center" wrapText="1"/>
    </xf>
    <xf numFmtId="0" fontId="142" fillId="11" borderId="2" xfId="0" applyFont="1" applyFill="1" applyBorder="1" applyAlignment="1">
      <alignment horizontal="center" vertical="center"/>
    </xf>
    <xf numFmtId="0" fontId="135" fillId="8" borderId="2" xfId="1" applyFont="1" applyFill="1" applyBorder="1" applyAlignment="1">
      <alignment horizontal="center" vertical="top" wrapText="1"/>
    </xf>
    <xf numFmtId="0" fontId="42" fillId="0" borderId="0" xfId="0" applyFont="1"/>
    <xf numFmtId="0" fontId="134" fillId="8" borderId="2" xfId="0" applyFont="1" applyFill="1" applyBorder="1" applyAlignment="1">
      <alignment horizontal="center" vertical="center" wrapText="1"/>
    </xf>
    <xf numFmtId="0" fontId="27" fillId="0" borderId="0" xfId="0" applyFont="1" applyFill="1" applyBorder="1" applyAlignment="1">
      <alignment vertical="center" wrapText="1"/>
    </xf>
    <xf numFmtId="0" fontId="151" fillId="0" borderId="0" xfId="4" applyFont="1" applyFill="1"/>
    <xf numFmtId="0" fontId="151" fillId="14" borderId="0" xfId="4" applyFont="1" applyFill="1"/>
    <xf numFmtId="0" fontId="1" fillId="14" borderId="0" xfId="4" applyFont="1" applyFill="1"/>
    <xf numFmtId="0" fontId="151" fillId="0" borderId="0" xfId="4" applyFont="1" applyFill="1" applyAlignment="1">
      <alignment wrapText="1"/>
    </xf>
    <xf numFmtId="0" fontId="57" fillId="15" borderId="8" xfId="0" applyFont="1" applyFill="1" applyBorder="1" applyAlignment="1">
      <alignment horizontal="right" vertical="center"/>
    </xf>
    <xf numFmtId="0" fontId="50" fillId="0" borderId="0" xfId="0" applyFont="1" applyFill="1" applyBorder="1"/>
    <xf numFmtId="0" fontId="50" fillId="0" borderId="0" xfId="0" applyFont="1" applyFill="1" applyBorder="1" applyAlignment="1">
      <alignment vertical="center"/>
    </xf>
    <xf numFmtId="0" fontId="95" fillId="0" borderId="0" xfId="0" applyFont="1" applyFill="1" applyBorder="1" applyAlignment="1">
      <alignment wrapText="1"/>
    </xf>
    <xf numFmtId="0" fontId="96" fillId="0" borderId="0" xfId="0" applyFont="1" applyFill="1" applyBorder="1" applyAlignment="1"/>
    <xf numFmtId="0" fontId="96" fillId="0" borderId="0" xfId="0" applyFont="1" applyFill="1" applyBorder="1" applyAlignment="1">
      <alignment wrapText="1"/>
    </xf>
    <xf numFmtId="0" fontId="69" fillId="0" borderId="0" xfId="0" applyFont="1" applyFill="1" applyBorder="1" applyAlignment="1">
      <alignment wrapText="1"/>
    </xf>
    <xf numFmtId="0" fontId="104" fillId="0" borderId="0" xfId="0" applyFont="1" applyFill="1" applyBorder="1" applyAlignment="1"/>
    <xf numFmtId="0" fontId="95" fillId="0" borderId="0" xfId="0" applyFont="1" applyFill="1" applyBorder="1" applyAlignment="1">
      <alignment vertical="center" wrapText="1"/>
    </xf>
    <xf numFmtId="0" fontId="50" fillId="0" borderId="0" xfId="0" applyFont="1" applyFill="1" applyBorder="1" applyAlignment="1"/>
    <xf numFmtId="0" fontId="164" fillId="14" borderId="2" xfId="0" applyFont="1" applyFill="1" applyBorder="1" applyAlignment="1">
      <alignment horizontal="center" vertical="center"/>
    </xf>
    <xf numFmtId="0" fontId="164" fillId="3" borderId="2" xfId="0" applyFont="1" applyFill="1" applyBorder="1" applyAlignment="1">
      <alignment horizontal="center" vertical="center"/>
    </xf>
    <xf numFmtId="0" fontId="48" fillId="14" borderId="2" xfId="0" applyFont="1" applyFill="1" applyBorder="1" applyAlignment="1">
      <alignment horizontal="left" vertical="center" wrapText="1"/>
    </xf>
    <xf numFmtId="0" fontId="116" fillId="14" borderId="2" xfId="0" applyFont="1" applyFill="1" applyBorder="1" applyAlignment="1">
      <alignment horizontal="center" vertical="center"/>
    </xf>
    <xf numFmtId="0" fontId="124" fillId="14" borderId="2" xfId="0" applyFont="1" applyFill="1" applyBorder="1" applyAlignment="1">
      <alignment horizontal="center" vertical="center"/>
    </xf>
    <xf numFmtId="0" fontId="165" fillId="14" borderId="2" xfId="0" applyFont="1" applyFill="1" applyBorder="1" applyAlignment="1">
      <alignment horizontal="center" vertical="center"/>
    </xf>
    <xf numFmtId="0" fontId="147" fillId="14" borderId="2" xfId="0" applyFont="1" applyFill="1" applyBorder="1" applyAlignment="1">
      <alignment horizontal="left" vertical="center" wrapText="1"/>
    </xf>
    <xf numFmtId="0" fontId="48" fillId="15" borderId="2" xfId="0" applyFont="1" applyFill="1" applyBorder="1" applyAlignment="1">
      <alignment horizontal="left" vertical="center" wrapText="1"/>
    </xf>
    <xf numFmtId="0" fontId="50" fillId="0" borderId="0" xfId="0" applyFont="1" applyAlignment="1"/>
    <xf numFmtId="0" fontId="169" fillId="16" borderId="0" xfId="3" applyFont="1" applyFill="1" applyBorder="1" applyAlignment="1">
      <alignment horizontal="left" vertical="top"/>
    </xf>
    <xf numFmtId="0" fontId="42" fillId="17" borderId="0" xfId="0" applyFont="1" applyFill="1" applyAlignment="1">
      <alignment horizontal="center" vertical="center" wrapText="1"/>
    </xf>
    <xf numFmtId="0" fontId="42" fillId="18" borderId="0" xfId="0" applyFont="1" applyFill="1" applyAlignment="1">
      <alignment horizontal="center" vertical="center" wrapText="1"/>
    </xf>
    <xf numFmtId="0" fontId="95" fillId="14" borderId="2" xfId="3" applyFont="1" applyFill="1" applyBorder="1" applyAlignment="1">
      <alignment vertical="top" wrapText="1"/>
    </xf>
    <xf numFmtId="49" fontId="147" fillId="14" borderId="2" xfId="0" applyNumberFormat="1" applyFont="1" applyFill="1" applyBorder="1" applyAlignment="1">
      <alignment horizontal="center"/>
    </xf>
    <xf numFmtId="0" fontId="171" fillId="14" borderId="2" xfId="0" applyFont="1" applyFill="1" applyBorder="1" applyAlignment="1">
      <alignment horizontal="center" vertical="center" wrapText="1"/>
    </xf>
    <xf numFmtId="0" fontId="14" fillId="14" borderId="0" xfId="0" applyFont="1" applyFill="1" applyBorder="1" applyAlignment="1">
      <alignment horizontal="left" vertical="top"/>
    </xf>
    <xf numFmtId="0" fontId="0" fillId="11" borderId="0" xfId="0" applyFill="1" applyAlignment="1">
      <alignment horizontal="center"/>
    </xf>
    <xf numFmtId="0" fontId="106" fillId="14" borderId="6" xfId="0" applyFont="1" applyFill="1" applyBorder="1" applyAlignment="1">
      <alignment horizontal="left" vertical="top" wrapText="1"/>
    </xf>
    <xf numFmtId="0" fontId="106" fillId="14" borderId="9" xfId="0" applyFont="1" applyFill="1" applyBorder="1" applyAlignment="1">
      <alignment horizontal="left" vertical="top" wrapText="1"/>
    </xf>
    <xf numFmtId="0" fontId="106" fillId="14" borderId="8" xfId="0" applyFont="1" applyFill="1" applyBorder="1" applyAlignment="1">
      <alignment horizontal="left" vertical="top" wrapText="1"/>
    </xf>
    <xf numFmtId="0" fontId="16" fillId="0" borderId="0" xfId="0" applyFont="1" applyFill="1" applyBorder="1" applyAlignment="1">
      <alignment horizontal="right" vertical="center"/>
    </xf>
    <xf numFmtId="0" fontId="20" fillId="0" borderId="6" xfId="0" applyFont="1" applyBorder="1" applyAlignment="1">
      <alignment horizontal="right"/>
    </xf>
    <xf numFmtId="0" fontId="20" fillId="0" borderId="8" xfId="0" applyFont="1" applyBorder="1" applyAlignment="1">
      <alignment horizontal="right"/>
    </xf>
    <xf numFmtId="0" fontId="20" fillId="10" borderId="6" xfId="0" applyFont="1" applyFill="1" applyBorder="1"/>
    <xf numFmtId="0" fontId="20" fillId="10" borderId="9" xfId="0" applyFont="1" applyFill="1" applyBorder="1"/>
    <xf numFmtId="0" fontId="20" fillId="0" borderId="6" xfId="0" applyFont="1" applyBorder="1"/>
    <xf numFmtId="0" fontId="20" fillId="0" borderId="8" xfId="0" applyFont="1" applyBorder="1"/>
    <xf numFmtId="0" fontId="16" fillId="14" borderId="0" xfId="0" applyFont="1" applyFill="1" applyBorder="1" applyAlignment="1">
      <alignment horizontal="left" vertical="center"/>
    </xf>
    <xf numFmtId="0" fontId="20" fillId="14" borderId="0" xfId="0" applyFont="1" applyFill="1" applyAlignment="1">
      <alignment horizontal="left"/>
    </xf>
    <xf numFmtId="0" fontId="20" fillId="11" borderId="6" xfId="0" applyFont="1" applyFill="1" applyBorder="1"/>
    <xf numFmtId="0" fontId="20" fillId="11" borderId="9" xfId="0" applyFont="1" applyFill="1" applyBorder="1"/>
    <xf numFmtId="0" fontId="16" fillId="15" borderId="0" xfId="0" applyFont="1" applyFill="1" applyBorder="1" applyAlignment="1">
      <alignment horizontal="left" vertical="center"/>
    </xf>
    <xf numFmtId="0" fontId="106" fillId="15" borderId="6" xfId="0" applyFont="1" applyFill="1" applyBorder="1" applyAlignment="1">
      <alignment horizontal="left" vertical="top" wrapText="1"/>
    </xf>
    <xf numFmtId="0" fontId="106" fillId="15" borderId="9" xfId="0" applyFont="1" applyFill="1" applyBorder="1" applyAlignment="1">
      <alignment horizontal="left" vertical="top" wrapText="1"/>
    </xf>
    <xf numFmtId="0" fontId="106" fillId="15" borderId="8" xfId="0" applyFont="1" applyFill="1" applyBorder="1" applyAlignment="1">
      <alignment horizontal="left" vertical="top" wrapText="1"/>
    </xf>
    <xf numFmtId="0" fontId="48" fillId="14" borderId="2" xfId="0" applyFont="1" applyFill="1" applyBorder="1" applyAlignment="1">
      <alignment horizontal="center"/>
    </xf>
    <xf numFmtId="0" fontId="104" fillId="14" borderId="6" xfId="0" applyFont="1" applyFill="1" applyBorder="1" applyAlignment="1">
      <alignment horizontal="center"/>
    </xf>
    <xf numFmtId="0" fontId="104" fillId="14" borderId="8" xfId="0" applyFont="1" applyFill="1" applyBorder="1" applyAlignment="1">
      <alignment horizontal="center"/>
    </xf>
    <xf numFmtId="0" fontId="95" fillId="14" borderId="6" xfId="0" applyFont="1" applyFill="1" applyBorder="1" applyAlignment="1">
      <alignment horizontal="center" wrapText="1"/>
    </xf>
    <xf numFmtId="0" fontId="95" fillId="14" borderId="8" xfId="0" applyFont="1" applyFill="1" applyBorder="1" applyAlignment="1">
      <alignment horizontal="center" wrapText="1"/>
    </xf>
    <xf numFmtId="0" fontId="20" fillId="14" borderId="2" xfId="0" applyFont="1" applyFill="1" applyBorder="1" applyAlignment="1">
      <alignment horizontal="center"/>
    </xf>
    <xf numFmtId="0" fontId="26" fillId="5" borderId="2" xfId="0" applyFont="1" applyFill="1" applyBorder="1" applyAlignment="1">
      <alignment horizontal="center"/>
    </xf>
    <xf numFmtId="0" fontId="20" fillId="0" borderId="2" xfId="0" applyFont="1" applyBorder="1" applyAlignment="1">
      <alignment horizontal="center"/>
    </xf>
    <xf numFmtId="0" fontId="96" fillId="14" borderId="2" xfId="0" applyFont="1" applyFill="1" applyBorder="1" applyAlignment="1">
      <alignment horizontal="center" wrapText="1"/>
    </xf>
    <xf numFmtId="0" fontId="69" fillId="14" borderId="2" xfId="0" applyFont="1" applyFill="1" applyBorder="1" applyAlignment="1">
      <alignment horizontal="center" wrapText="1"/>
    </xf>
    <xf numFmtId="0" fontId="69" fillId="14" borderId="2" xfId="0" applyFont="1" applyFill="1" applyBorder="1" applyAlignment="1">
      <alignment horizontal="center"/>
    </xf>
    <xf numFmtId="0" fontId="95" fillId="14" borderId="6" xfId="0" applyFont="1" applyFill="1" applyBorder="1" applyAlignment="1">
      <alignment horizontal="center"/>
    </xf>
    <xf numFmtId="0" fontId="95" fillId="14" borderId="8" xfId="0" applyFont="1" applyFill="1" applyBorder="1" applyAlignment="1">
      <alignment horizontal="center"/>
    </xf>
    <xf numFmtId="0" fontId="96" fillId="14" borderId="2" xfId="0" applyFont="1" applyFill="1" applyBorder="1" applyAlignment="1">
      <alignment horizontal="center"/>
    </xf>
    <xf numFmtId="0" fontId="20" fillId="0" borderId="2" xfId="0" applyFont="1" applyFill="1" applyBorder="1" applyAlignment="1">
      <alignment horizontal="center"/>
    </xf>
    <xf numFmtId="0" fontId="104" fillId="14" borderId="2" xfId="0" applyFont="1" applyFill="1" applyBorder="1" applyAlignment="1">
      <alignment horizontal="center"/>
    </xf>
    <xf numFmtId="0" fontId="95" fillId="14" borderId="2" xfId="0" applyFont="1" applyFill="1" applyBorder="1" applyAlignment="1">
      <alignment horizontal="center"/>
    </xf>
    <xf numFmtId="0" fontId="61" fillId="14" borderId="2" xfId="0" applyFont="1" applyFill="1" applyBorder="1" applyAlignment="1">
      <alignment horizontal="center" vertical="center"/>
    </xf>
    <xf numFmtId="49" fontId="96" fillId="14" borderId="2" xfId="0" applyNumberFormat="1" applyFont="1" applyFill="1" applyBorder="1" applyAlignment="1">
      <alignment horizontal="center" vertical="center" wrapText="1"/>
    </xf>
    <xf numFmtId="0" fontId="60" fillId="14" borderId="6" xfId="0" applyFont="1" applyFill="1" applyBorder="1" applyAlignment="1">
      <alignment horizontal="left" vertical="center" wrapText="1"/>
    </xf>
    <xf numFmtId="0" fontId="60" fillId="14" borderId="9" xfId="0" applyFont="1" applyFill="1" applyBorder="1" applyAlignment="1">
      <alignment horizontal="left" vertical="center" wrapText="1"/>
    </xf>
    <xf numFmtId="0" fontId="60" fillId="14" borderId="8" xfId="0" applyFont="1" applyFill="1" applyBorder="1" applyAlignment="1">
      <alignment horizontal="left" vertical="center" wrapText="1"/>
    </xf>
    <xf numFmtId="0" fontId="69" fillId="0" borderId="2" xfId="0" applyFont="1" applyFill="1" applyBorder="1" applyAlignment="1">
      <alignment horizontal="center"/>
    </xf>
    <xf numFmtId="0" fontId="60" fillId="14" borderId="2" xfId="0" applyFont="1" applyFill="1" applyBorder="1" applyAlignment="1">
      <alignment horizontal="left" vertical="center" wrapText="1"/>
    </xf>
    <xf numFmtId="0" fontId="109" fillId="14" borderId="2" xfId="0" applyFont="1" applyFill="1" applyBorder="1" applyAlignment="1">
      <alignment horizontal="left" vertical="center" wrapText="1"/>
    </xf>
    <xf numFmtId="0" fontId="69" fillId="0" borderId="6" xfId="0" applyFont="1" applyFill="1" applyBorder="1" applyAlignment="1">
      <alignment horizontal="center"/>
    </xf>
    <xf numFmtId="0" fontId="69" fillId="0" borderId="8" xfId="0" applyFont="1" applyFill="1" applyBorder="1" applyAlignment="1">
      <alignment horizontal="center"/>
    </xf>
    <xf numFmtId="0" fontId="95" fillId="14" borderId="6" xfId="0" applyFont="1" applyFill="1" applyBorder="1" applyAlignment="1">
      <alignment horizontal="center" vertical="center" wrapText="1"/>
    </xf>
    <xf numFmtId="0" fontId="95" fillId="14" borderId="8" xfId="0" applyFont="1" applyFill="1" applyBorder="1" applyAlignment="1">
      <alignment horizontal="center" vertical="center" wrapText="1"/>
    </xf>
    <xf numFmtId="0" fontId="20" fillId="3" borderId="6" xfId="0" applyFont="1" applyFill="1" applyBorder="1" applyAlignment="1">
      <alignment horizontal="left"/>
    </xf>
    <xf numFmtId="0" fontId="20" fillId="3" borderId="9" xfId="0" applyFont="1" applyFill="1" applyBorder="1" applyAlignment="1">
      <alignment horizontal="left"/>
    </xf>
    <xf numFmtId="0" fontId="69" fillId="14" borderId="6" xfId="0" applyFont="1" applyFill="1" applyBorder="1" applyAlignment="1">
      <alignment horizontal="left" vertical="center"/>
    </xf>
    <xf numFmtId="0" fontId="69" fillId="14" borderId="9" xfId="0" applyFont="1" applyFill="1" applyBorder="1" applyAlignment="1">
      <alignment horizontal="left" vertical="center"/>
    </xf>
    <xf numFmtId="0" fontId="90" fillId="14" borderId="2" xfId="0" applyFont="1" applyFill="1" applyBorder="1" applyAlignment="1">
      <alignment horizontal="center" vertical="center"/>
    </xf>
    <xf numFmtId="0" fontId="69" fillId="9" borderId="6" xfId="0" applyFont="1" applyFill="1" applyBorder="1" applyAlignment="1">
      <alignment horizontal="center"/>
    </xf>
    <xf numFmtId="0" fontId="69" fillId="9" borderId="9" xfId="0" applyFont="1" applyFill="1" applyBorder="1" applyAlignment="1">
      <alignment horizontal="center"/>
    </xf>
    <xf numFmtId="0" fontId="69" fillId="9" borderId="8" xfId="0" applyFont="1" applyFill="1" applyBorder="1" applyAlignment="1">
      <alignment horizontal="center"/>
    </xf>
    <xf numFmtId="0" fontId="21" fillId="2" borderId="19" xfId="0" applyFont="1" applyFill="1" applyBorder="1" applyAlignment="1">
      <alignment horizontal="left" vertical="top" wrapText="1"/>
    </xf>
    <xf numFmtId="0" fontId="21" fillId="2" borderId="20" xfId="0" applyFont="1" applyFill="1" applyBorder="1" applyAlignment="1">
      <alignment horizontal="left" vertical="top" wrapText="1"/>
    </xf>
    <xf numFmtId="0" fontId="21" fillId="2" borderId="21" xfId="0" applyFont="1" applyFill="1" applyBorder="1" applyAlignment="1">
      <alignment horizontal="left" vertical="top" wrapText="1"/>
    </xf>
    <xf numFmtId="0" fontId="69" fillId="3" borderId="6" xfId="0" applyFont="1" applyFill="1" applyBorder="1" applyAlignment="1">
      <alignment horizontal="left" vertical="center"/>
    </xf>
    <xf numFmtId="0" fontId="69" fillId="3" borderId="9" xfId="0" applyFont="1" applyFill="1" applyBorder="1" applyAlignment="1">
      <alignment horizontal="left" vertical="center"/>
    </xf>
    <xf numFmtId="0" fontId="90" fillId="5" borderId="2" xfId="0" applyFont="1" applyFill="1" applyBorder="1" applyAlignment="1">
      <alignment horizontal="center" vertical="center"/>
    </xf>
    <xf numFmtId="0" fontId="90" fillId="5" borderId="6" xfId="0" applyFont="1" applyFill="1" applyBorder="1" applyAlignment="1">
      <alignment horizontal="center"/>
    </xf>
    <xf numFmtId="0" fontId="90" fillId="5" borderId="9" xfId="0" applyFont="1" applyFill="1" applyBorder="1" applyAlignment="1">
      <alignment horizontal="center"/>
    </xf>
    <xf numFmtId="0" fontId="90" fillId="5" borderId="8" xfId="0" applyFont="1" applyFill="1" applyBorder="1" applyAlignment="1">
      <alignment horizontal="center"/>
    </xf>
    <xf numFmtId="49" fontId="48" fillId="14" borderId="2" xfId="0" applyNumberFormat="1" applyFont="1" applyFill="1" applyBorder="1" applyAlignment="1">
      <alignment horizontal="left" vertical="center"/>
    </xf>
    <xf numFmtId="0" fontId="95" fillId="14" borderId="9" xfId="0" applyFont="1" applyFill="1" applyBorder="1" applyAlignment="1">
      <alignment horizontal="center" vertical="center" wrapText="1"/>
    </xf>
    <xf numFmtId="0" fontId="20" fillId="14" borderId="9" xfId="0" applyFont="1" applyFill="1" applyBorder="1" applyAlignment="1">
      <alignment horizontal="center" vertical="center" wrapText="1"/>
    </xf>
    <xf numFmtId="0" fontId="131" fillId="14" borderId="9" xfId="0" applyFont="1" applyFill="1" applyBorder="1" applyAlignment="1">
      <alignment horizontal="center" vertical="center"/>
    </xf>
    <xf numFmtId="0" fontId="131" fillId="14" borderId="8" xfId="0" applyFont="1" applyFill="1" applyBorder="1" applyAlignment="1">
      <alignment horizontal="center" vertical="center"/>
    </xf>
    <xf numFmtId="0" fontId="96" fillId="14" borderId="6" xfId="0" applyFont="1" applyFill="1" applyBorder="1" applyAlignment="1">
      <alignment horizontal="left" vertical="center" wrapText="1"/>
    </xf>
    <xf numFmtId="0" fontId="96" fillId="14" borderId="9" xfId="0" applyFont="1" applyFill="1" applyBorder="1" applyAlignment="1">
      <alignment horizontal="left" vertical="center" wrapText="1"/>
    </xf>
    <xf numFmtId="0" fontId="96" fillId="14" borderId="8" xfId="0" applyFont="1" applyFill="1" applyBorder="1" applyAlignment="1">
      <alignment horizontal="left" vertical="center" wrapText="1"/>
    </xf>
    <xf numFmtId="0" fontId="126" fillId="15" borderId="2" xfId="0" applyFont="1" applyFill="1" applyBorder="1" applyAlignment="1">
      <alignment horizontal="center"/>
    </xf>
    <xf numFmtId="0" fontId="100" fillId="15" borderId="3" xfId="0" applyFont="1" applyFill="1" applyBorder="1" applyAlignment="1">
      <alignment horizontal="center"/>
    </xf>
    <xf numFmtId="0" fontId="60" fillId="15" borderId="6" xfId="0" applyFont="1" applyFill="1" applyBorder="1" applyAlignment="1">
      <alignment horizontal="left" vertical="center" wrapText="1"/>
    </xf>
    <xf numFmtId="0" fontId="60" fillId="15" borderId="9" xfId="0" applyFont="1" applyFill="1" applyBorder="1" applyAlignment="1">
      <alignment horizontal="left" vertical="center" wrapText="1"/>
    </xf>
    <xf numFmtId="0" fontId="60" fillId="15" borderId="8" xfId="0" applyFont="1" applyFill="1" applyBorder="1" applyAlignment="1">
      <alignment horizontal="left" vertical="center" wrapText="1"/>
    </xf>
    <xf numFmtId="0" fontId="158" fillId="15" borderId="2" xfId="0" applyFont="1" applyFill="1" applyBorder="1" applyAlignment="1">
      <alignment horizontal="left" vertical="center" wrapText="1"/>
    </xf>
    <xf numFmtId="0" fontId="26" fillId="15" borderId="2" xfId="0" applyFont="1" applyFill="1" applyBorder="1" applyAlignment="1">
      <alignment horizontal="center"/>
    </xf>
    <xf numFmtId="0" fontId="48" fillId="14" borderId="9" xfId="0" applyFont="1" applyFill="1" applyBorder="1" applyAlignment="1">
      <alignment horizontal="left" vertical="center" wrapText="1"/>
    </xf>
    <xf numFmtId="0" fontId="48" fillId="14" borderId="8" xfId="0" applyFont="1" applyFill="1" applyBorder="1" applyAlignment="1">
      <alignment horizontal="left" vertical="center"/>
    </xf>
    <xf numFmtId="0" fontId="117" fillId="14" borderId="6" xfId="0" applyFont="1" applyFill="1" applyBorder="1" applyAlignment="1">
      <alignment horizontal="left" vertical="center" wrapText="1"/>
    </xf>
    <xf numFmtId="0" fontId="117" fillId="14" borderId="9" xfId="0" applyFont="1" applyFill="1" applyBorder="1" applyAlignment="1">
      <alignment horizontal="left" vertical="center" wrapText="1"/>
    </xf>
    <xf numFmtId="0" fontId="117" fillId="14" borderId="8" xfId="0" applyFont="1" applyFill="1" applyBorder="1" applyAlignment="1">
      <alignment horizontal="left" vertical="center" wrapText="1"/>
    </xf>
    <xf numFmtId="0" fontId="110" fillId="14" borderId="9" xfId="0" applyFont="1" applyFill="1" applyBorder="1" applyAlignment="1">
      <alignment horizontal="left" vertical="top" wrapText="1"/>
    </xf>
    <xf numFmtId="0" fontId="110" fillId="14" borderId="8" xfId="0" applyFont="1" applyFill="1" applyBorder="1" applyAlignment="1">
      <alignment horizontal="left" vertical="top" wrapText="1"/>
    </xf>
    <xf numFmtId="49" fontId="50" fillId="14" borderId="6" xfId="0" applyNumberFormat="1" applyFont="1" applyFill="1" applyBorder="1" applyAlignment="1">
      <alignment horizontal="center" vertical="center"/>
    </xf>
    <xf numFmtId="49" fontId="50" fillId="14" borderId="9" xfId="0" applyNumberFormat="1" applyFont="1" applyFill="1" applyBorder="1" applyAlignment="1">
      <alignment horizontal="center" vertical="center"/>
    </xf>
    <xf numFmtId="49" fontId="50" fillId="14" borderId="8" xfId="0" applyNumberFormat="1" applyFont="1" applyFill="1" applyBorder="1" applyAlignment="1">
      <alignment horizontal="center" vertical="center"/>
    </xf>
    <xf numFmtId="0" fontId="48" fillId="14" borderId="6" xfId="0" applyFont="1" applyFill="1" applyBorder="1" applyAlignment="1">
      <alignment horizontal="left" vertical="center" wrapText="1"/>
    </xf>
    <xf numFmtId="0" fontId="48" fillId="14" borderId="8" xfId="0" applyFont="1" applyFill="1" applyBorder="1" applyAlignment="1">
      <alignment horizontal="left" vertical="center" wrapText="1"/>
    </xf>
    <xf numFmtId="0" fontId="91" fillId="14" borderId="22" xfId="0" applyFont="1" applyFill="1" applyBorder="1" applyAlignment="1">
      <alignment horizontal="left" vertical="center"/>
    </xf>
    <xf numFmtId="0" fontId="91" fillId="14" borderId="0" xfId="0" applyFont="1" applyFill="1" applyAlignment="1">
      <alignment horizontal="left" vertical="center"/>
    </xf>
    <xf numFmtId="0" fontId="104" fillId="14" borderId="22" xfId="0" applyFont="1" applyFill="1" applyBorder="1" applyAlignment="1">
      <alignment horizontal="center" vertical="center"/>
    </xf>
    <xf numFmtId="0" fontId="104" fillId="14" borderId="0" xfId="0" applyFont="1" applyFill="1" applyAlignment="1">
      <alignment horizontal="center" vertical="center"/>
    </xf>
    <xf numFmtId="0" fontId="17" fillId="14" borderId="6" xfId="0" applyFont="1" applyFill="1" applyBorder="1" applyAlignment="1">
      <alignment horizontal="left" vertical="center" wrapText="1"/>
    </xf>
    <xf numFmtId="0" fontId="17" fillId="14" borderId="9" xfId="0" applyFont="1" applyFill="1" applyBorder="1" applyAlignment="1">
      <alignment horizontal="left" vertical="center" wrapText="1"/>
    </xf>
    <xf numFmtId="0" fontId="17" fillId="14" borderId="8" xfId="0" applyFont="1" applyFill="1" applyBorder="1" applyAlignment="1">
      <alignment horizontal="left" vertical="center" wrapText="1"/>
    </xf>
    <xf numFmtId="0" fontId="20" fillId="0" borderId="9" xfId="0" applyFont="1" applyFill="1" applyBorder="1" applyAlignment="1">
      <alignment horizontal="left" vertical="center" wrapText="1"/>
    </xf>
    <xf numFmtId="0" fontId="20" fillId="0" borderId="8" xfId="0" applyFont="1" applyFill="1" applyBorder="1" applyAlignment="1">
      <alignment horizontal="left" vertical="center"/>
    </xf>
    <xf numFmtId="0" fontId="117" fillId="14" borderId="2" xfId="0" applyFont="1" applyFill="1" applyBorder="1" applyAlignment="1">
      <alignment horizontal="center" vertical="center" wrapText="1"/>
    </xf>
    <xf numFmtId="0" fontId="17" fillId="0" borderId="6" xfId="0" applyFont="1" applyFill="1" applyBorder="1" applyAlignment="1">
      <alignment horizontal="left" vertical="center" wrapText="1"/>
    </xf>
    <xf numFmtId="0" fontId="17" fillId="0" borderId="9"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69" fillId="14" borderId="6" xfId="0" applyFont="1" applyFill="1" applyBorder="1" applyAlignment="1">
      <alignment horizontal="left" vertical="center" wrapText="1"/>
    </xf>
    <xf numFmtId="0" fontId="20" fillId="14" borderId="9" xfId="0" applyFont="1" applyFill="1" applyBorder="1" applyAlignment="1">
      <alignment horizontal="left" vertical="center" wrapText="1"/>
    </xf>
    <xf numFmtId="0" fontId="20" fillId="14" borderId="8" xfId="0" applyFont="1" applyFill="1" applyBorder="1" applyAlignment="1">
      <alignment horizontal="left" vertical="center" wrapText="1"/>
    </xf>
    <xf numFmtId="0" fontId="20" fillId="0" borderId="8" xfId="0" applyFont="1" applyFill="1" applyBorder="1" applyAlignment="1">
      <alignment horizontal="left" vertical="center" wrapText="1"/>
    </xf>
    <xf numFmtId="0" fontId="21" fillId="2" borderId="6" xfId="0" applyFont="1" applyFill="1" applyBorder="1" applyAlignment="1">
      <alignment horizontal="left" vertical="top" wrapText="1"/>
    </xf>
    <xf numFmtId="0" fontId="21" fillId="2" borderId="9" xfId="0" applyFont="1" applyFill="1" applyBorder="1" applyAlignment="1">
      <alignment horizontal="left" vertical="top" wrapText="1"/>
    </xf>
    <xf numFmtId="0" fontId="21" fillId="2" borderId="8" xfId="0" applyFont="1" applyFill="1" applyBorder="1" applyAlignment="1">
      <alignment horizontal="left" vertical="top" wrapText="1"/>
    </xf>
    <xf numFmtId="0" fontId="49" fillId="14" borderId="6" xfId="0" applyFont="1" applyFill="1" applyBorder="1" applyAlignment="1">
      <alignment horizontal="left" vertical="top" wrapText="1"/>
    </xf>
    <xf numFmtId="0" fontId="49" fillId="14" borderId="9" xfId="0" applyFont="1" applyFill="1" applyBorder="1" applyAlignment="1">
      <alignment horizontal="left" vertical="top" wrapText="1"/>
    </xf>
    <xf numFmtId="0" fontId="49" fillId="14" borderId="8" xfId="0" applyFont="1" applyFill="1" applyBorder="1" applyAlignment="1">
      <alignment horizontal="left" vertical="top" wrapText="1"/>
    </xf>
    <xf numFmtId="0" fontId="96" fillId="14" borderId="9" xfId="0" applyFont="1" applyFill="1" applyBorder="1" applyAlignment="1">
      <alignment horizontal="left" vertical="center"/>
    </xf>
    <xf numFmtId="0" fontId="96" fillId="14" borderId="8" xfId="0" applyFont="1" applyFill="1" applyBorder="1" applyAlignment="1">
      <alignment horizontal="left" vertical="center"/>
    </xf>
    <xf numFmtId="0" fontId="20" fillId="0" borderId="9" xfId="0" applyFont="1" applyFill="1" applyBorder="1" applyAlignment="1">
      <alignment horizontal="left" vertical="center"/>
    </xf>
    <xf numFmtId="0" fontId="20" fillId="0" borderId="6" xfId="0" applyFont="1" applyFill="1" applyBorder="1" applyAlignment="1">
      <alignment horizontal="left" vertical="center"/>
    </xf>
    <xf numFmtId="49" fontId="0" fillId="0" borderId="6" xfId="0" applyNumberFormat="1" applyFont="1" applyFill="1" applyBorder="1" applyAlignment="1">
      <alignment horizontal="center" vertical="center"/>
    </xf>
    <xf numFmtId="49" fontId="0" fillId="0" borderId="9" xfId="0" applyNumberFormat="1" applyFont="1" applyFill="1" applyBorder="1" applyAlignment="1">
      <alignment horizontal="center" vertical="center"/>
    </xf>
    <xf numFmtId="49" fontId="0" fillId="0" borderId="8" xfId="0" applyNumberFormat="1" applyFont="1" applyFill="1" applyBorder="1" applyAlignment="1">
      <alignment horizontal="center" vertical="center"/>
    </xf>
    <xf numFmtId="0" fontId="61" fillId="14" borderId="10" xfId="0" applyFont="1" applyFill="1" applyBorder="1" applyAlignment="1">
      <alignment horizontal="left"/>
    </xf>
    <xf numFmtId="0" fontId="126" fillId="15" borderId="9" xfId="0" applyFont="1" applyFill="1" applyBorder="1" applyAlignment="1">
      <alignment horizontal="left" vertical="center" wrapText="1"/>
    </xf>
    <xf numFmtId="0" fontId="126" fillId="15" borderId="8" xfId="0" applyFont="1" applyFill="1" applyBorder="1" applyAlignment="1">
      <alignment horizontal="left" vertical="center"/>
    </xf>
    <xf numFmtId="0" fontId="127" fillId="15" borderId="6" xfId="0" applyFont="1" applyFill="1" applyBorder="1" applyAlignment="1">
      <alignment horizontal="left" vertical="center" wrapText="1"/>
    </xf>
    <xf numFmtId="0" fontId="127" fillId="15" borderId="9" xfId="0" applyFont="1" applyFill="1" applyBorder="1" applyAlignment="1">
      <alignment horizontal="left" vertical="center" wrapText="1"/>
    </xf>
    <xf numFmtId="0" fontId="127" fillId="15" borderId="8" xfId="0" applyFont="1" applyFill="1" applyBorder="1" applyAlignment="1">
      <alignment horizontal="left" vertical="center" wrapText="1"/>
    </xf>
    <xf numFmtId="0" fontId="48" fillId="15" borderId="9" xfId="0" applyFont="1" applyFill="1" applyBorder="1" applyAlignment="1">
      <alignment horizontal="left" vertical="center" wrapText="1"/>
    </xf>
    <xf numFmtId="0" fontId="48" fillId="15" borderId="8" xfId="0" applyFont="1" applyFill="1" applyBorder="1" applyAlignment="1">
      <alignment horizontal="left" vertical="center"/>
    </xf>
    <xf numFmtId="0" fontId="117" fillId="15" borderId="6" xfId="0" applyFont="1" applyFill="1" applyBorder="1" applyAlignment="1">
      <alignment horizontal="left" vertical="center" wrapText="1"/>
    </xf>
    <xf numFmtId="0" fontId="117" fillId="15" borderId="9" xfId="0" applyFont="1" applyFill="1" applyBorder="1" applyAlignment="1">
      <alignment horizontal="left" vertical="center" wrapText="1"/>
    </xf>
    <xf numFmtId="0" fontId="117" fillId="15" borderId="8" xfId="0" applyFont="1" applyFill="1" applyBorder="1" applyAlignment="1">
      <alignment horizontal="left" vertical="center" wrapText="1"/>
    </xf>
    <xf numFmtId="0" fontId="126" fillId="15" borderId="8" xfId="0" applyFont="1" applyFill="1" applyBorder="1" applyAlignment="1">
      <alignment horizontal="left" vertical="center" wrapText="1"/>
    </xf>
    <xf numFmtId="0" fontId="104" fillId="0" borderId="22" xfId="0" applyFont="1" applyFill="1" applyBorder="1" applyAlignment="1">
      <alignment horizontal="center" vertical="center"/>
    </xf>
    <xf numFmtId="0" fontId="104" fillId="0" borderId="0" xfId="0" applyFont="1" applyFill="1" applyAlignment="1">
      <alignment horizontal="center" vertical="center"/>
    </xf>
    <xf numFmtId="0" fontId="110" fillId="15" borderId="9" xfId="0" applyFont="1" applyFill="1" applyBorder="1" applyAlignment="1">
      <alignment horizontal="left" vertical="top" wrapText="1"/>
    </xf>
    <xf numFmtId="0" fontId="110" fillId="15" borderId="8" xfId="0" applyFont="1" applyFill="1" applyBorder="1" applyAlignment="1">
      <alignment horizontal="left" vertical="top" wrapText="1"/>
    </xf>
    <xf numFmtId="0" fontId="48" fillId="15" borderId="8" xfId="0" applyFont="1" applyFill="1" applyBorder="1" applyAlignment="1">
      <alignment horizontal="left" vertical="center" wrapText="1"/>
    </xf>
    <xf numFmtId="0" fontId="48" fillId="15" borderId="6" xfId="0" applyFont="1" applyFill="1" applyBorder="1" applyAlignment="1">
      <alignment horizontal="left" vertical="center" wrapText="1"/>
    </xf>
    <xf numFmtId="0" fontId="91" fillId="0" borderId="22" xfId="0" applyFont="1" applyFill="1" applyBorder="1" applyAlignment="1">
      <alignment horizontal="left" vertical="center"/>
    </xf>
    <xf numFmtId="0" fontId="91" fillId="0" borderId="0" xfId="0" applyFont="1" applyFill="1" applyAlignment="1">
      <alignment horizontal="left" vertical="center"/>
    </xf>
    <xf numFmtId="0" fontId="126" fillId="15" borderId="6" xfId="0" applyFont="1" applyFill="1" applyBorder="1" applyAlignment="1">
      <alignment horizontal="left" vertical="center" wrapText="1"/>
    </xf>
    <xf numFmtId="0" fontId="49" fillId="15" borderId="6" xfId="0" applyFont="1" applyFill="1" applyBorder="1" applyAlignment="1">
      <alignment horizontal="left" vertical="top" wrapText="1"/>
    </xf>
    <xf numFmtId="0" fontId="49" fillId="15" borderId="9" xfId="0" applyFont="1" applyFill="1" applyBorder="1" applyAlignment="1">
      <alignment horizontal="left" vertical="top" wrapText="1"/>
    </xf>
    <xf numFmtId="0" fontId="49" fillId="15" borderId="8" xfId="0" applyFont="1" applyFill="1" applyBorder="1" applyAlignment="1">
      <alignment horizontal="left" vertical="top" wrapText="1"/>
    </xf>
    <xf numFmtId="49" fontId="72" fillId="3" borderId="3" xfId="3" applyNumberFormat="1" applyFont="1" applyFill="1" applyBorder="1" applyAlignment="1">
      <alignment horizontal="center" vertical="center"/>
    </xf>
    <xf numFmtId="49" fontId="72" fillId="3" borderId="5" xfId="3" applyNumberFormat="1" applyFont="1" applyFill="1" applyBorder="1" applyAlignment="1">
      <alignment horizontal="center" vertical="center"/>
    </xf>
    <xf numFmtId="0" fontId="75" fillId="11" borderId="6" xfId="3" applyFont="1" applyFill="1" applyBorder="1" applyAlignment="1">
      <alignment horizontal="right" vertical="top" wrapText="1"/>
    </xf>
    <xf numFmtId="0" fontId="75" fillId="11" borderId="9" xfId="3" applyFont="1" applyFill="1" applyBorder="1" applyAlignment="1">
      <alignment horizontal="right" vertical="top" wrapText="1"/>
    </xf>
    <xf numFmtId="0" fontId="75" fillId="11" borderId="8" xfId="3" applyFont="1" applyFill="1" applyBorder="1" applyAlignment="1">
      <alignment horizontal="right" vertical="top" wrapText="1"/>
    </xf>
    <xf numFmtId="0" fontId="75" fillId="0" borderId="2" xfId="3" applyFont="1" applyFill="1" applyBorder="1" applyAlignment="1">
      <alignment horizontal="left" vertical="center" wrapText="1"/>
    </xf>
    <xf numFmtId="0" fontId="75" fillId="14" borderId="10" xfId="3" applyFont="1" applyFill="1" applyBorder="1" applyAlignment="1">
      <alignment horizontal="right" vertical="center"/>
    </xf>
    <xf numFmtId="0" fontId="75" fillId="14" borderId="11" xfId="3" applyFont="1" applyFill="1" applyBorder="1" applyAlignment="1">
      <alignment horizontal="right" vertical="center"/>
    </xf>
    <xf numFmtId="0" fontId="22" fillId="2" borderId="2" xfId="3" applyFont="1" applyFill="1" applyBorder="1" applyAlignment="1">
      <alignment horizontal="left" vertical="top" wrapText="1"/>
    </xf>
    <xf numFmtId="0" fontId="36" fillId="2" borderId="2" xfId="3" applyFont="1" applyFill="1" applyBorder="1" applyAlignment="1">
      <alignment horizontal="left" vertical="top" wrapText="1"/>
    </xf>
    <xf numFmtId="0" fontId="49" fillId="0" borderId="2" xfId="3" applyFont="1" applyFill="1" applyBorder="1" applyAlignment="1">
      <alignment horizontal="left" vertical="top" wrapText="1"/>
    </xf>
    <xf numFmtId="0" fontId="18" fillId="3" borderId="6" xfId="3" applyFont="1" applyFill="1" applyBorder="1" applyAlignment="1">
      <alignment horizontal="center" vertical="center" wrapText="1"/>
    </xf>
    <xf numFmtId="0" fontId="18" fillId="3" borderId="9" xfId="3" applyFont="1" applyFill="1" applyBorder="1" applyAlignment="1">
      <alignment horizontal="center" vertical="center" wrapText="1"/>
    </xf>
    <xf numFmtId="0" fontId="18" fillId="3" borderId="8" xfId="3" applyFont="1" applyFill="1" applyBorder="1" applyAlignment="1">
      <alignment horizontal="center" vertical="center" wrapText="1"/>
    </xf>
    <xf numFmtId="0" fontId="22" fillId="3" borderId="2" xfId="3" applyFont="1" applyFill="1" applyBorder="1" applyAlignment="1">
      <alignment horizontal="center" vertical="center"/>
    </xf>
    <xf numFmtId="0" fontId="30" fillId="14" borderId="3" xfId="3" applyFont="1" applyFill="1" applyBorder="1" applyAlignment="1">
      <alignment horizontal="center" vertical="center" wrapText="1"/>
    </xf>
    <xf numFmtId="0" fontId="30" fillId="14" borderId="4" xfId="3" applyFont="1" applyFill="1" applyBorder="1" applyAlignment="1">
      <alignment horizontal="center" vertical="center" wrapText="1"/>
    </xf>
    <xf numFmtId="0" fontId="30" fillId="14" borderId="5" xfId="3" applyFont="1" applyFill="1" applyBorder="1" applyAlignment="1">
      <alignment horizontal="center" vertical="center" wrapText="1"/>
    </xf>
    <xf numFmtId="0" fontId="18" fillId="14" borderId="6" xfId="3" applyFont="1" applyFill="1" applyBorder="1" applyAlignment="1">
      <alignment horizontal="center" vertical="center" wrapText="1"/>
    </xf>
    <xf numFmtId="0" fontId="18" fillId="14" borderId="9" xfId="3" applyFont="1" applyFill="1" applyBorder="1" applyAlignment="1">
      <alignment horizontal="center" vertical="center" wrapText="1"/>
    </xf>
    <xf numFmtId="0" fontId="18" fillId="14" borderId="8" xfId="3" applyFont="1" applyFill="1" applyBorder="1" applyAlignment="1">
      <alignment horizontal="center" vertical="center" wrapText="1"/>
    </xf>
    <xf numFmtId="0" fontId="18" fillId="3" borderId="3" xfId="3" applyFont="1" applyFill="1" applyBorder="1" applyAlignment="1">
      <alignment horizontal="center" vertical="center" wrapText="1"/>
    </xf>
    <xf numFmtId="0" fontId="18" fillId="3" borderId="4" xfId="3" applyFont="1" applyFill="1" applyBorder="1" applyAlignment="1">
      <alignment horizontal="center" vertical="center" wrapText="1"/>
    </xf>
    <xf numFmtId="0" fontId="18" fillId="3" borderId="5" xfId="3" applyFont="1" applyFill="1" applyBorder="1" applyAlignment="1">
      <alignment horizontal="center" vertical="center" wrapText="1"/>
    </xf>
    <xf numFmtId="0" fontId="20" fillId="5" borderId="7" xfId="0" applyFont="1" applyFill="1" applyBorder="1" applyAlignment="1">
      <alignment horizontal="left" vertical="top" wrapText="1"/>
    </xf>
    <xf numFmtId="0" fontId="20" fillId="5" borderId="10" xfId="0" applyFont="1" applyFill="1" applyBorder="1" applyAlignment="1">
      <alignment horizontal="left" vertical="top" wrapText="1"/>
    </xf>
    <xf numFmtId="0" fontId="20" fillId="5" borderId="11" xfId="0" applyFont="1" applyFill="1" applyBorder="1" applyAlignment="1">
      <alignment horizontal="left" vertical="top" wrapText="1"/>
    </xf>
    <xf numFmtId="0" fontId="20" fillId="5" borderId="13" xfId="0" applyFont="1" applyFill="1" applyBorder="1" applyAlignment="1">
      <alignment horizontal="left" vertical="top" wrapText="1"/>
    </xf>
    <xf numFmtId="0" fontId="20" fillId="5" borderId="1" xfId="0" applyFont="1" applyFill="1" applyBorder="1" applyAlignment="1">
      <alignment horizontal="left" vertical="top" wrapText="1"/>
    </xf>
    <xf numFmtId="0" fontId="20" fillId="5" borderId="12" xfId="0" applyFont="1" applyFill="1" applyBorder="1" applyAlignment="1">
      <alignment horizontal="left" vertical="top" wrapText="1"/>
    </xf>
    <xf numFmtId="0" fontId="49" fillId="0" borderId="6" xfId="0" applyFont="1" applyFill="1" applyBorder="1" applyAlignment="1">
      <alignment horizontal="left" vertical="top" wrapText="1"/>
    </xf>
    <xf numFmtId="0" fontId="49" fillId="0" borderId="9" xfId="0" applyFont="1" applyFill="1" applyBorder="1" applyAlignment="1">
      <alignment horizontal="left" vertical="top" wrapText="1"/>
    </xf>
    <xf numFmtId="0" fontId="49" fillId="0" borderId="8" xfId="0" applyFont="1" applyFill="1" applyBorder="1" applyAlignment="1">
      <alignment horizontal="left" vertical="top" wrapText="1"/>
    </xf>
    <xf numFmtId="0" fontId="48" fillId="14" borderId="0" xfId="0" applyFont="1" applyFill="1" applyAlignment="1">
      <alignment horizontal="left"/>
    </xf>
    <xf numFmtId="0" fontId="20" fillId="10" borderId="7" xfId="0" applyFont="1" applyFill="1" applyBorder="1" applyAlignment="1">
      <alignment horizontal="left" vertical="top" wrapText="1"/>
    </xf>
    <xf numFmtId="0" fontId="20" fillId="10" borderId="10" xfId="0" applyFont="1" applyFill="1" applyBorder="1" applyAlignment="1">
      <alignment horizontal="left" vertical="top" wrapText="1"/>
    </xf>
    <xf numFmtId="0" fontId="20" fillId="10" borderId="11" xfId="0" applyFont="1" applyFill="1" applyBorder="1" applyAlignment="1">
      <alignment horizontal="left" vertical="top" wrapText="1"/>
    </xf>
    <xf numFmtId="0" fontId="20" fillId="10" borderId="13" xfId="0" applyFont="1" applyFill="1" applyBorder="1" applyAlignment="1">
      <alignment horizontal="left" vertical="top" wrapText="1"/>
    </xf>
    <xf numFmtId="0" fontId="20" fillId="10" borderId="1" xfId="0" applyFont="1" applyFill="1" applyBorder="1" applyAlignment="1">
      <alignment horizontal="left" vertical="top" wrapText="1"/>
    </xf>
    <xf numFmtId="0" fontId="20" fillId="10" borderId="12" xfId="0" applyFont="1" applyFill="1" applyBorder="1" applyAlignment="1">
      <alignment horizontal="left" vertical="top" wrapText="1"/>
    </xf>
    <xf numFmtId="0" fontId="18" fillId="3" borderId="3" xfId="1" applyFont="1" applyFill="1" applyBorder="1" applyAlignment="1">
      <alignment horizontal="center" vertical="center" wrapText="1"/>
    </xf>
    <xf numFmtId="0" fontId="18" fillId="3" borderId="5" xfId="1" applyFont="1" applyFill="1" applyBorder="1" applyAlignment="1">
      <alignment horizontal="center" vertical="center" wrapText="1"/>
    </xf>
    <xf numFmtId="0" fontId="29" fillId="3" borderId="2" xfId="1" applyFont="1" applyFill="1" applyBorder="1" applyAlignment="1">
      <alignment horizontal="center" vertical="center" wrapText="1"/>
    </xf>
    <xf numFmtId="165" fontId="39" fillId="10" borderId="2" xfId="1" applyNumberFormat="1" applyFont="1" applyFill="1" applyBorder="1" applyAlignment="1">
      <alignment horizontal="center" vertical="top" wrapText="1"/>
    </xf>
    <xf numFmtId="0" fontId="71" fillId="3" borderId="2" xfId="1" applyFont="1" applyFill="1" applyBorder="1" applyAlignment="1">
      <alignment horizontal="left" vertical="top" wrapText="1"/>
    </xf>
    <xf numFmtId="49" fontId="40" fillId="3" borderId="6" xfId="1" applyNumberFormat="1" applyFont="1" applyFill="1" applyBorder="1" applyAlignment="1">
      <alignment horizontal="center" vertical="top" wrapText="1"/>
    </xf>
    <xf numFmtId="49" fontId="40" fillId="3" borderId="8" xfId="1" applyNumberFormat="1" applyFont="1" applyFill="1" applyBorder="1" applyAlignment="1">
      <alignment horizontal="center" vertical="top" wrapText="1"/>
    </xf>
    <xf numFmtId="49" fontId="40" fillId="3" borderId="2" xfId="1" applyNumberFormat="1" applyFont="1" applyFill="1" applyBorder="1" applyAlignment="1">
      <alignment horizontal="center" vertical="top" wrapText="1"/>
    </xf>
    <xf numFmtId="0" fontId="18" fillId="3" borderId="2" xfId="1" applyFont="1" applyFill="1" applyBorder="1" applyAlignment="1">
      <alignment horizontal="center" vertical="center" wrapText="1"/>
    </xf>
    <xf numFmtId="0" fontId="25" fillId="8" borderId="2" xfId="1" applyFont="1" applyFill="1" applyBorder="1" applyAlignment="1">
      <alignment horizontal="center" vertical="center" wrapText="1"/>
    </xf>
    <xf numFmtId="0" fontId="69" fillId="3" borderId="2" xfId="1" applyFont="1" applyFill="1" applyBorder="1" applyAlignment="1">
      <alignment horizontal="center" vertical="center" wrapText="1"/>
    </xf>
    <xf numFmtId="0" fontId="69" fillId="3" borderId="3" xfId="1" applyFont="1" applyFill="1" applyBorder="1" applyAlignment="1">
      <alignment horizontal="center" vertical="center" wrapText="1"/>
    </xf>
    <xf numFmtId="0" fontId="69" fillId="3" borderId="5" xfId="1" applyFont="1" applyFill="1" applyBorder="1" applyAlignment="1">
      <alignment horizontal="center" vertical="center" wrapText="1"/>
    </xf>
    <xf numFmtId="0" fontId="29" fillId="0" borderId="2" xfId="1" applyFont="1" applyFill="1" applyBorder="1" applyAlignment="1">
      <alignment horizontal="center" vertical="top"/>
    </xf>
    <xf numFmtId="0" fontId="22" fillId="5" borderId="13" xfId="1" applyFont="1" applyFill="1" applyBorder="1" applyAlignment="1">
      <alignment horizontal="center" vertical="top" wrapText="1"/>
    </xf>
    <xf numFmtId="0" fontId="22" fillId="5" borderId="12" xfId="1" applyFont="1" applyFill="1" applyBorder="1" applyAlignment="1">
      <alignment horizontal="center" vertical="top" wrapText="1"/>
    </xf>
    <xf numFmtId="0" fontId="28" fillId="5" borderId="2" xfId="1" applyFont="1" applyFill="1" applyBorder="1" applyAlignment="1">
      <alignment horizontal="center" vertical="center" wrapText="1"/>
    </xf>
    <xf numFmtId="0" fontId="71" fillId="0" borderId="6" xfId="1" applyFont="1" applyFill="1" applyBorder="1" applyAlignment="1">
      <alignment horizontal="right"/>
    </xf>
    <xf numFmtId="0" fontId="71" fillId="0" borderId="9" xfId="1" applyFont="1" applyFill="1" applyBorder="1" applyAlignment="1">
      <alignment horizontal="right"/>
    </xf>
    <xf numFmtId="0" fontId="77" fillId="0" borderId="10" xfId="1" applyFont="1" applyFill="1" applyBorder="1" applyAlignment="1">
      <alignment horizontal="left" vertical="center" wrapText="1"/>
    </xf>
    <xf numFmtId="0" fontId="22" fillId="5" borderId="6" xfId="1" applyFont="1" applyFill="1" applyBorder="1" applyAlignment="1">
      <alignment horizontal="center" vertical="center" wrapText="1"/>
    </xf>
    <xf numFmtId="0" fontId="22" fillId="5" borderId="8" xfId="1" applyFont="1" applyFill="1" applyBorder="1" applyAlignment="1">
      <alignment horizontal="center" vertical="center" wrapText="1"/>
    </xf>
    <xf numFmtId="0" fontId="29" fillId="0" borderId="9" xfId="1" applyFont="1" applyFill="1" applyBorder="1" applyAlignment="1">
      <alignment horizontal="left" vertical="center"/>
    </xf>
    <xf numFmtId="0" fontId="31" fillId="10" borderId="2" xfId="1" applyFill="1" applyBorder="1" applyAlignment="1">
      <alignment horizontal="center" vertical="top"/>
    </xf>
    <xf numFmtId="0" fontId="18" fillId="3" borderId="14" xfId="1" applyFont="1" applyFill="1" applyBorder="1" applyAlignment="1">
      <alignment horizontal="center" vertical="center" wrapText="1"/>
    </xf>
    <xf numFmtId="49" fontId="40" fillId="3" borderId="9" xfId="1" applyNumberFormat="1" applyFont="1" applyFill="1" applyBorder="1" applyAlignment="1">
      <alignment horizontal="center" vertical="top" wrapText="1"/>
    </xf>
    <xf numFmtId="0" fontId="25" fillId="8" borderId="2" xfId="1" applyFont="1" applyFill="1" applyBorder="1" applyAlignment="1">
      <alignment horizontal="center" vertical="top" wrapText="1"/>
    </xf>
    <xf numFmtId="0" fontId="18" fillId="3" borderId="15" xfId="1" applyFont="1" applyFill="1" applyBorder="1" applyAlignment="1">
      <alignment horizontal="center" vertical="center" wrapText="1"/>
    </xf>
    <xf numFmtId="0" fontId="18" fillId="3" borderId="0" xfId="1" applyFont="1" applyFill="1" applyBorder="1" applyAlignment="1">
      <alignment horizontal="center" vertical="center" wrapText="1"/>
    </xf>
    <xf numFmtId="0" fontId="18" fillId="3" borderId="17" xfId="1" applyFont="1" applyFill="1" applyBorder="1" applyAlignment="1">
      <alignment horizontal="center" vertical="center" wrapText="1"/>
    </xf>
    <xf numFmtId="0" fontId="18" fillId="3" borderId="1" xfId="1" applyFont="1" applyFill="1" applyBorder="1" applyAlignment="1">
      <alignment horizontal="center" vertical="center" wrapText="1"/>
    </xf>
    <xf numFmtId="0" fontId="28" fillId="5" borderId="7" xfId="1" applyFont="1" applyFill="1" applyBorder="1" applyAlignment="1">
      <alignment horizontal="center" vertical="center" wrapText="1"/>
    </xf>
    <xf numFmtId="0" fontId="28" fillId="5" borderId="11" xfId="1" applyFont="1" applyFill="1" applyBorder="1" applyAlignment="1">
      <alignment horizontal="center" vertical="center" wrapText="1"/>
    </xf>
    <xf numFmtId="0" fontId="29" fillId="0" borderId="6" xfId="1" applyFont="1" applyFill="1" applyBorder="1" applyAlignment="1">
      <alignment horizontal="center" vertical="top"/>
    </xf>
    <xf numFmtId="0" fontId="29" fillId="0" borderId="8" xfId="1" applyFont="1" applyFill="1" applyBorder="1" applyAlignment="1">
      <alignment horizontal="center" vertical="top"/>
    </xf>
    <xf numFmtId="0" fontId="27" fillId="0" borderId="2" xfId="1" applyFont="1" applyFill="1" applyBorder="1" applyAlignment="1">
      <alignment horizontal="left" vertical="center" wrapText="1"/>
    </xf>
    <xf numFmtId="0" fontId="21" fillId="2" borderId="2" xfId="0" applyFont="1" applyFill="1" applyBorder="1" applyAlignment="1">
      <alignment horizontal="left" vertical="top" wrapText="1"/>
    </xf>
    <xf numFmtId="0" fontId="27" fillId="10" borderId="6" xfId="1" applyFont="1" applyFill="1" applyBorder="1" applyAlignment="1">
      <alignment horizontal="center" vertical="top" wrapText="1"/>
    </xf>
    <xf numFmtId="0" fontId="27" fillId="10" borderId="9" xfId="1" applyFont="1" applyFill="1" applyBorder="1" applyAlignment="1">
      <alignment horizontal="center" vertical="top" wrapText="1"/>
    </xf>
    <xf numFmtId="0" fontId="27" fillId="10" borderId="8" xfId="1" applyFont="1" applyFill="1" applyBorder="1" applyAlignment="1">
      <alignment horizontal="center" vertical="top" wrapText="1"/>
    </xf>
    <xf numFmtId="0" fontId="71" fillId="3" borderId="2" xfId="1" applyFont="1" applyFill="1" applyBorder="1" applyAlignment="1">
      <alignment horizontal="left" vertical="center" wrapText="1"/>
    </xf>
    <xf numFmtId="165" fontId="22" fillId="5" borderId="2" xfId="1" applyNumberFormat="1" applyFont="1" applyFill="1" applyBorder="1" applyAlignment="1">
      <alignment horizontal="center" vertical="top" wrapText="1"/>
    </xf>
    <xf numFmtId="0" fontId="18" fillId="3" borderId="16" xfId="1" applyFont="1" applyFill="1" applyBorder="1" applyAlignment="1">
      <alignment horizontal="center" vertical="center" wrapText="1"/>
    </xf>
    <xf numFmtId="0" fontId="18" fillId="3" borderId="18" xfId="1" applyFont="1" applyFill="1" applyBorder="1" applyAlignment="1">
      <alignment horizontal="center" vertical="center" wrapText="1"/>
    </xf>
    <xf numFmtId="0" fontId="11" fillId="14" borderId="6" xfId="0" applyFont="1" applyFill="1" applyBorder="1" applyAlignment="1">
      <alignment horizontal="left"/>
    </xf>
    <xf numFmtId="0" fontId="11" fillId="14" borderId="9" xfId="0" applyFont="1" applyFill="1" applyBorder="1" applyAlignment="1">
      <alignment horizontal="left"/>
    </xf>
    <xf numFmtId="0" fontId="11" fillId="14" borderId="8" xfId="0" applyFont="1" applyFill="1" applyBorder="1" applyAlignment="1">
      <alignment horizontal="left"/>
    </xf>
    <xf numFmtId="0" fontId="48" fillId="0" borderId="0" xfId="0" applyFont="1" applyFill="1" applyBorder="1" applyAlignment="1">
      <alignment horizontal="center" vertical="center" wrapText="1"/>
    </xf>
    <xf numFmtId="49" fontId="20" fillId="3" borderId="6" xfId="0" applyNumberFormat="1" applyFont="1" applyFill="1" applyBorder="1" applyAlignment="1">
      <alignment horizontal="center" vertical="center"/>
    </xf>
    <xf numFmtId="49" fontId="20" fillId="3" borderId="8" xfId="0" applyNumberFormat="1" applyFont="1" applyFill="1" applyBorder="1" applyAlignment="1">
      <alignment horizontal="center" vertical="center"/>
    </xf>
    <xf numFmtId="0" fontId="75" fillId="3" borderId="6" xfId="1" applyFont="1" applyFill="1" applyBorder="1" applyAlignment="1">
      <alignment horizontal="center" vertical="center" wrapText="1"/>
    </xf>
    <xf numFmtId="0" fontId="75" fillId="3" borderId="8" xfId="1" applyFont="1" applyFill="1" applyBorder="1" applyAlignment="1">
      <alignment horizontal="center" vertical="center" wrapText="1"/>
    </xf>
    <xf numFmtId="0" fontId="42" fillId="0" borderId="6" xfId="0" applyFont="1" applyFill="1" applyBorder="1" applyAlignment="1">
      <alignment horizontal="left" wrapText="1"/>
    </xf>
    <xf numFmtId="0" fontId="42" fillId="0" borderId="9" xfId="0" applyFont="1" applyFill="1" applyBorder="1" applyAlignment="1">
      <alignment horizontal="left" wrapText="1"/>
    </xf>
    <xf numFmtId="0" fontId="42" fillId="0" borderId="8" xfId="0" applyFont="1" applyFill="1" applyBorder="1" applyAlignment="1">
      <alignment horizontal="left" wrapText="1"/>
    </xf>
    <xf numFmtId="0" fontId="53" fillId="3" borderId="2" xfId="0" applyFont="1" applyFill="1" applyBorder="1" applyAlignment="1">
      <alignment horizontal="center" vertical="center" wrapText="1"/>
    </xf>
    <xf numFmtId="164" fontId="75" fillId="3" borderId="2" xfId="1" applyNumberFormat="1" applyFont="1" applyFill="1" applyBorder="1" applyAlignment="1">
      <alignment horizontal="center" vertical="center" wrapText="1"/>
    </xf>
    <xf numFmtId="49" fontId="20" fillId="3" borderId="6" xfId="0" applyNumberFormat="1" applyFont="1" applyFill="1" applyBorder="1" applyAlignment="1">
      <alignment horizontal="center"/>
    </xf>
    <xf numFmtId="49" fontId="20" fillId="3" borderId="8" xfId="0" applyNumberFormat="1" applyFont="1" applyFill="1" applyBorder="1" applyAlignment="1">
      <alignment horizontal="center"/>
    </xf>
    <xf numFmtId="0" fontId="20" fillId="10" borderId="2" xfId="0" applyFont="1" applyFill="1" applyBorder="1" applyAlignment="1">
      <alignment horizontal="center" vertical="center" wrapText="1"/>
    </xf>
    <xf numFmtId="0" fontId="69" fillId="10" borderId="2" xfId="0" applyFont="1" applyFill="1" applyBorder="1" applyAlignment="1">
      <alignment horizontal="center" vertical="center" wrapText="1"/>
    </xf>
    <xf numFmtId="0" fontId="20" fillId="0" borderId="6" xfId="0" applyFont="1" applyFill="1" applyBorder="1" applyAlignment="1">
      <alignment horizontal="left" vertical="center" wrapText="1"/>
    </xf>
    <xf numFmtId="0" fontId="69" fillId="0" borderId="6" xfId="0" applyFont="1" applyFill="1" applyBorder="1" applyAlignment="1">
      <alignment horizontal="left" vertical="center" wrapText="1"/>
    </xf>
    <xf numFmtId="0" fontId="69" fillId="0" borderId="9" xfId="0" applyFont="1" applyFill="1" applyBorder="1" applyAlignment="1">
      <alignment horizontal="left" vertical="center" wrapText="1"/>
    </xf>
    <xf numFmtId="0" fontId="53" fillId="3" borderId="3" xfId="0" applyFont="1" applyFill="1" applyBorder="1" applyAlignment="1">
      <alignment horizontal="center" vertical="center" wrapText="1"/>
    </xf>
    <xf numFmtId="0" fontId="53" fillId="3" borderId="5" xfId="0" applyFont="1" applyFill="1" applyBorder="1" applyAlignment="1">
      <alignment horizontal="center" vertical="center" wrapText="1"/>
    </xf>
    <xf numFmtId="0" fontId="53" fillId="3" borderId="6" xfId="0" applyFont="1" applyFill="1" applyBorder="1" applyAlignment="1">
      <alignment horizontal="center" vertical="center" wrapText="1"/>
    </xf>
    <xf numFmtId="0" fontId="53" fillId="3" borderId="8" xfId="0" applyFont="1" applyFill="1" applyBorder="1" applyAlignment="1">
      <alignment horizontal="center" vertical="center" wrapText="1"/>
    </xf>
    <xf numFmtId="0" fontId="29" fillId="0" borderId="0" xfId="1" applyFont="1" applyFill="1" applyBorder="1" applyAlignment="1">
      <alignment horizontal="center" vertical="top"/>
    </xf>
    <xf numFmtId="164" fontId="75" fillId="3" borderId="3" xfId="1" applyNumberFormat="1" applyFont="1" applyFill="1" applyBorder="1" applyAlignment="1">
      <alignment horizontal="center" vertical="center" wrapText="1"/>
    </xf>
    <xf numFmtId="164" fontId="75" fillId="3" borderId="5" xfId="1" applyNumberFormat="1" applyFont="1" applyFill="1" applyBorder="1" applyAlignment="1">
      <alignment horizontal="center" vertical="center" wrapText="1"/>
    </xf>
    <xf numFmtId="0" fontId="53" fillId="3" borderId="7" xfId="0" applyFont="1" applyFill="1" applyBorder="1" applyAlignment="1">
      <alignment horizontal="center" vertical="center" wrapText="1"/>
    </xf>
    <xf numFmtId="0" fontId="53" fillId="3" borderId="11" xfId="0" applyFont="1" applyFill="1" applyBorder="1" applyAlignment="1">
      <alignment horizontal="center" vertical="center" wrapText="1"/>
    </xf>
    <xf numFmtId="0" fontId="53" fillId="3" borderId="13" xfId="0" applyFont="1" applyFill="1" applyBorder="1" applyAlignment="1">
      <alignment horizontal="center" vertical="center" wrapText="1"/>
    </xf>
    <xf numFmtId="0" fontId="53" fillId="3" borderId="12" xfId="0" applyFont="1" applyFill="1" applyBorder="1" applyAlignment="1">
      <alignment horizontal="center" vertical="center" wrapText="1"/>
    </xf>
    <xf numFmtId="0" fontId="68" fillId="5" borderId="6" xfId="0" applyFont="1" applyFill="1" applyBorder="1" applyAlignment="1">
      <alignment horizontal="center" vertical="center" wrapText="1"/>
    </xf>
    <xf numFmtId="0" fontId="68" fillId="5" borderId="8" xfId="0" applyFont="1" applyFill="1" applyBorder="1" applyAlignment="1">
      <alignment horizontal="center" vertical="center" wrapText="1"/>
    </xf>
    <xf numFmtId="0" fontId="28" fillId="5" borderId="13" xfId="1" applyFont="1" applyFill="1" applyBorder="1" applyAlignment="1">
      <alignment horizontal="center" vertical="center" wrapText="1"/>
    </xf>
    <xf numFmtId="0" fontId="28" fillId="5" borderId="12" xfId="1" applyFont="1" applyFill="1" applyBorder="1" applyAlignment="1">
      <alignment horizontal="center" vertical="center" wrapText="1"/>
    </xf>
    <xf numFmtId="0" fontId="29" fillId="0" borderId="2" xfId="1" applyFont="1" applyFill="1" applyBorder="1" applyAlignment="1">
      <alignment horizontal="center" vertical="top" wrapText="1"/>
    </xf>
    <xf numFmtId="0" fontId="93" fillId="5" borderId="2" xfId="0" applyFont="1" applyFill="1" applyBorder="1" applyAlignment="1">
      <alignment horizontal="center" vertical="center" wrapText="1"/>
    </xf>
    <xf numFmtId="49" fontId="20" fillId="3" borderId="2" xfId="0" applyNumberFormat="1" applyFont="1" applyFill="1" applyBorder="1" applyAlignment="1">
      <alignment horizontal="center"/>
    </xf>
    <xf numFmtId="49" fontId="20" fillId="0" borderId="0" xfId="0" applyNumberFormat="1" applyFont="1" applyFill="1" applyBorder="1" applyAlignment="1">
      <alignment horizontal="center" vertical="center"/>
    </xf>
    <xf numFmtId="0" fontId="75" fillId="3" borderId="2" xfId="0" applyFont="1" applyFill="1" applyBorder="1" applyAlignment="1">
      <alignment horizontal="center" vertical="center" wrapText="1"/>
    </xf>
    <xf numFmtId="0" fontId="53" fillId="0" borderId="0" xfId="0" applyFont="1" applyFill="1" applyBorder="1" applyAlignment="1">
      <alignment horizontal="center" vertical="center" wrapText="1"/>
    </xf>
    <xf numFmtId="164" fontId="75" fillId="0" borderId="0" xfId="1" applyNumberFormat="1" applyFont="1" applyFill="1" applyBorder="1" applyAlignment="1">
      <alignment horizontal="center" vertical="center" wrapText="1"/>
    </xf>
    <xf numFmtId="0" fontId="75" fillId="3" borderId="3" xfId="0" applyFont="1" applyFill="1" applyBorder="1" applyAlignment="1">
      <alignment horizontal="center" vertical="center" wrapText="1"/>
    </xf>
    <xf numFmtId="0" fontId="75" fillId="3" borderId="5" xfId="0" applyFont="1" applyFill="1" applyBorder="1" applyAlignment="1">
      <alignment horizontal="center" vertical="center" wrapText="1"/>
    </xf>
    <xf numFmtId="0" fontId="11" fillId="7" borderId="2" xfId="0" applyFont="1" applyFill="1" applyBorder="1" applyAlignment="1">
      <alignment horizontal="left"/>
    </xf>
    <xf numFmtId="0" fontId="170" fillId="14" borderId="10" xfId="0" applyFont="1" applyFill="1" applyBorder="1" applyAlignment="1">
      <alignment horizontal="left" vertical="center" wrapText="1"/>
    </xf>
    <xf numFmtId="49" fontId="95" fillId="14" borderId="2" xfId="0" applyNumberFormat="1" applyFont="1" applyFill="1" applyBorder="1" applyAlignment="1">
      <alignment horizontal="center"/>
    </xf>
    <xf numFmtId="49" fontId="20" fillId="14" borderId="2" xfId="0" applyNumberFormat="1" applyFont="1" applyFill="1" applyBorder="1" applyAlignment="1">
      <alignment horizontal="center"/>
    </xf>
    <xf numFmtId="0" fontId="20" fillId="0" borderId="2" xfId="0" applyFont="1" applyFill="1" applyBorder="1" applyAlignment="1">
      <alignment horizontal="left" vertical="center" wrapText="1"/>
    </xf>
    <xf numFmtId="0" fontId="147" fillId="14" borderId="2" xfId="0" applyFont="1" applyFill="1" applyBorder="1" applyAlignment="1">
      <alignment horizontal="left" vertical="center" wrapText="1"/>
    </xf>
    <xf numFmtId="164" fontId="172" fillId="14" borderId="2" xfId="1" applyNumberFormat="1" applyFont="1" applyFill="1" applyBorder="1" applyAlignment="1">
      <alignment horizontal="center" vertical="center" wrapText="1"/>
    </xf>
    <xf numFmtId="0" fontId="75" fillId="3" borderId="2" xfId="1" applyFont="1" applyFill="1" applyBorder="1" applyAlignment="1">
      <alignment horizontal="center" vertical="center" wrapText="1"/>
    </xf>
    <xf numFmtId="0" fontId="147" fillId="14" borderId="6" xfId="0" applyFont="1" applyFill="1" applyBorder="1" applyAlignment="1">
      <alignment horizontal="left" vertical="center" wrapText="1"/>
    </xf>
    <xf numFmtId="0" fontId="147" fillId="14" borderId="9" xfId="0" applyFont="1" applyFill="1" applyBorder="1" applyAlignment="1">
      <alignment horizontal="left" vertical="center" wrapText="1"/>
    </xf>
    <xf numFmtId="0" fontId="147" fillId="14" borderId="8" xfId="0" applyFont="1" applyFill="1" applyBorder="1" applyAlignment="1">
      <alignment horizontal="left" vertical="center" wrapText="1"/>
    </xf>
    <xf numFmtId="0" fontId="42" fillId="14" borderId="2" xfId="0" applyFont="1" applyFill="1" applyBorder="1" applyAlignment="1">
      <alignment horizontal="left" vertical="center" wrapText="1"/>
    </xf>
    <xf numFmtId="0" fontId="0" fillId="0" borderId="2" xfId="0" applyBorder="1" applyAlignment="1">
      <alignment horizontal="center"/>
    </xf>
    <xf numFmtId="0" fontId="67" fillId="5" borderId="2" xfId="1" applyFont="1" applyFill="1" applyBorder="1" applyAlignment="1">
      <alignment horizontal="center" vertical="top" wrapText="1"/>
    </xf>
    <xf numFmtId="0" fontId="69" fillId="14" borderId="2" xfId="0" applyFont="1" applyFill="1" applyBorder="1" applyAlignment="1">
      <alignment horizontal="left" vertical="center" wrapText="1"/>
    </xf>
    <xf numFmtId="0" fontId="21" fillId="14" borderId="6" xfId="0" applyFont="1" applyFill="1" applyBorder="1" applyAlignment="1">
      <alignment horizontal="left" vertical="top" wrapText="1"/>
    </xf>
    <xf numFmtId="0" fontId="21" fillId="14" borderId="9" xfId="0" applyFont="1" applyFill="1" applyBorder="1" applyAlignment="1">
      <alignment horizontal="left" vertical="top" wrapText="1"/>
    </xf>
    <xf numFmtId="0" fontId="21" fillId="14" borderId="8" xfId="0" applyFont="1" applyFill="1" applyBorder="1" applyAlignment="1">
      <alignment horizontal="left" vertical="top" wrapText="1"/>
    </xf>
    <xf numFmtId="0" fontId="27" fillId="0" borderId="6" xfId="0" applyFont="1" applyFill="1" applyBorder="1" applyAlignment="1">
      <alignment horizontal="left" vertical="top" wrapText="1"/>
    </xf>
    <xf numFmtId="0" fontId="20" fillId="3" borderId="9" xfId="0" applyFont="1" applyFill="1" applyBorder="1" applyAlignment="1">
      <alignment horizontal="left" vertical="center"/>
    </xf>
    <xf numFmtId="0" fontId="20" fillId="3" borderId="8" xfId="0" applyFont="1" applyFill="1" applyBorder="1" applyAlignment="1">
      <alignment horizontal="left" vertical="center"/>
    </xf>
    <xf numFmtId="49" fontId="0" fillId="3" borderId="6" xfId="0" applyNumberFormat="1" applyFont="1" applyFill="1" applyBorder="1" applyAlignment="1">
      <alignment horizontal="center" vertical="center"/>
    </xf>
    <xf numFmtId="49" fontId="0" fillId="3" borderId="9" xfId="0" applyNumberFormat="1" applyFont="1" applyFill="1" applyBorder="1" applyAlignment="1">
      <alignment horizontal="center" vertical="center"/>
    </xf>
    <xf numFmtId="49" fontId="0" fillId="3" borderId="8" xfId="0" applyNumberFormat="1" applyFont="1" applyFill="1" applyBorder="1" applyAlignment="1">
      <alignment horizontal="center" vertical="center"/>
    </xf>
    <xf numFmtId="0" fontId="17" fillId="10" borderId="9" xfId="0" applyFont="1" applyFill="1" applyBorder="1" applyAlignment="1">
      <alignment horizontal="center" vertical="center" wrapText="1"/>
    </xf>
    <xf numFmtId="0" fontId="17" fillId="10" borderId="8" xfId="0" applyFont="1" applyFill="1" applyBorder="1" applyAlignment="1">
      <alignment horizontal="center" vertical="center" wrapText="1"/>
    </xf>
    <xf numFmtId="49" fontId="11" fillId="3" borderId="6" xfId="0" applyNumberFormat="1" applyFont="1" applyFill="1" applyBorder="1" applyAlignment="1">
      <alignment horizontal="left" vertical="center"/>
    </xf>
    <xf numFmtId="49" fontId="11" fillId="3" borderId="9" xfId="0" applyNumberFormat="1" applyFont="1" applyFill="1" applyBorder="1" applyAlignment="1">
      <alignment horizontal="left" vertical="center"/>
    </xf>
    <xf numFmtId="49" fontId="11" fillId="3" borderId="8" xfId="0" applyNumberFormat="1" applyFont="1" applyFill="1" applyBorder="1" applyAlignment="1">
      <alignment horizontal="left" vertical="center"/>
    </xf>
    <xf numFmtId="0" fontId="42" fillId="0" borderId="0" xfId="0" applyFont="1" applyAlignment="1">
      <alignment horizontal="left" vertical="center"/>
    </xf>
    <xf numFmtId="0" fontId="11" fillId="0" borderId="10" xfId="0" applyFont="1" applyBorder="1" applyAlignment="1">
      <alignment horizontal="right"/>
    </xf>
    <xf numFmtId="0" fontId="11" fillId="0" borderId="11" xfId="0" applyFont="1" applyBorder="1" applyAlignment="1">
      <alignment horizontal="right"/>
    </xf>
    <xf numFmtId="49" fontId="11" fillId="3" borderId="2" xfId="0" applyNumberFormat="1" applyFont="1" applyFill="1" applyBorder="1" applyAlignment="1">
      <alignment horizontal="left" vertical="center"/>
    </xf>
    <xf numFmtId="0" fontId="27" fillId="0" borderId="2" xfId="0" applyFont="1" applyFill="1" applyBorder="1" applyAlignment="1">
      <alignment horizontal="left" vertical="center" wrapText="1"/>
    </xf>
    <xf numFmtId="0" fontId="42" fillId="0" borderId="0" xfId="0" applyFont="1" applyAlignment="1">
      <alignment horizontal="left" vertical="center" wrapText="1"/>
    </xf>
    <xf numFmtId="0" fontId="104" fillId="14" borderId="0" xfId="0" applyFont="1" applyFill="1" applyAlignment="1">
      <alignment horizontal="left"/>
    </xf>
    <xf numFmtId="0" fontId="27" fillId="0" borderId="2" xfId="0" applyFont="1" applyFill="1" applyBorder="1" applyAlignment="1">
      <alignment horizontal="left" vertical="top" wrapText="1"/>
    </xf>
    <xf numFmtId="0" fontId="168" fillId="0" borderId="0" xfId="0" applyFont="1" applyAlignment="1">
      <alignment horizontal="left" wrapText="1"/>
    </xf>
    <xf numFmtId="0" fontId="140" fillId="15" borderId="0" xfId="0" applyFont="1" applyFill="1" applyAlignment="1">
      <alignment horizontal="left" vertical="center" wrapText="1"/>
    </xf>
    <xf numFmtId="0" fontId="27" fillId="15" borderId="2" xfId="0" applyFont="1" applyFill="1" applyBorder="1" applyAlignment="1">
      <alignment horizontal="left" vertical="top" wrapText="1"/>
    </xf>
    <xf numFmtId="0" fontId="20" fillId="3" borderId="2" xfId="0" applyFont="1" applyFill="1" applyBorder="1" applyAlignment="1">
      <alignment horizontal="center" vertical="center"/>
    </xf>
  </cellXfs>
  <cellStyles count="15">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3" xfId="11" xr:uid="{00000000-0005-0000-0000-00000F000000}"/>
  </cellStyles>
  <dxfs count="0"/>
  <tableStyles count="0" defaultTableStyle="TableStyleMedium2" defaultPivotStyle="PivotStyleLight16"/>
  <colors>
    <mruColors>
      <color rgb="FFCC99FF"/>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dRichValueTypes" Target="richData/rdRichValueTyp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279255" y="220980"/>
          <a:ext cx="2912745" cy="17449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C23B955B-44D0-4174-842D-8D328A5D1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3" name="Left Arrow 1">
          <a:extLst>
            <a:ext uri="{FF2B5EF4-FFF2-40B4-BE49-F238E27FC236}">
              <a16:creationId xmlns:a16="http://schemas.microsoft.com/office/drawing/2014/main" id="{A77B47A6-41DB-4809-99AB-20D482B5A0D7}"/>
            </a:ext>
          </a:extLst>
        </xdr:cNvPr>
        <xdr:cNvSpPr/>
      </xdr:nvSpPr>
      <xdr:spPr>
        <a:xfrm>
          <a:off x="9413875" y="222250"/>
          <a:ext cx="2912745" cy="18986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CC0AEBC0-1AE0-4B85-955D-D12F508F6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31812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3FF935C6-8C2B-4865-B21C-697E6EA7293A}"/>
            </a:ext>
          </a:extLst>
        </xdr:cNvPr>
        <xdr:cNvSpPr/>
      </xdr:nvSpPr>
      <xdr:spPr>
        <a:xfrm>
          <a:off x="9471025" y="28860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116204</xdr:colOff>
      <xdr:row>6</xdr:row>
      <xdr:rowOff>19685</xdr:rowOff>
    </xdr:from>
    <xdr:to>
      <xdr:col>17</xdr:col>
      <xdr:colOff>147954</xdr:colOff>
      <xdr:row>9</xdr:row>
      <xdr:rowOff>260350</xdr:rowOff>
    </xdr:to>
    <xdr:sp macro="" textlink="">
      <xdr:nvSpPr>
        <xdr:cNvPr id="3" name="Left Arrow 2">
          <a:extLst>
            <a:ext uri="{FF2B5EF4-FFF2-40B4-BE49-F238E27FC236}">
              <a16:creationId xmlns:a16="http://schemas.microsoft.com/office/drawing/2014/main" id="{00000000-0008-0000-0300-000003000000}"/>
            </a:ext>
          </a:extLst>
        </xdr:cNvPr>
        <xdr:cNvSpPr/>
      </xdr:nvSpPr>
      <xdr:spPr>
        <a:xfrm>
          <a:off x="9368154" y="1130935"/>
          <a:ext cx="3079750" cy="1453515"/>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strike="sngStrike">
              <a:solidFill>
                <a:srgbClr val="FF0000"/>
              </a:solidFill>
              <a:effectLst/>
              <a:latin typeface="+mn-lt"/>
              <a:ea typeface="+mn-ea"/>
              <a:cs typeface="+mn-cs"/>
            </a:rPr>
            <a:t>Rows 8&amp;9 show up if column 03 box</a:t>
          </a:r>
          <a:r>
            <a:rPr lang="en-US" sz="1400" strike="sngStrike" baseline="0">
              <a:solidFill>
                <a:srgbClr val="FF0000"/>
              </a:solidFill>
              <a:effectLst/>
              <a:latin typeface="+mn-lt"/>
              <a:ea typeface="+mn-ea"/>
              <a:cs typeface="+mn-cs"/>
            </a:rPr>
            <a:t> </a:t>
          </a:r>
          <a:r>
            <a:rPr lang="en-US" sz="1400" strike="sngStrike">
              <a:solidFill>
                <a:srgbClr val="FF0000"/>
              </a:solidFill>
              <a:effectLst/>
              <a:latin typeface="+mn-lt"/>
              <a:ea typeface="+mn-ea"/>
              <a:cs typeface="+mn-cs"/>
            </a:rPr>
            <a:t>is checked.</a:t>
          </a:r>
          <a:endParaRPr lang="en-US" sz="1400" strike="sngStrike">
            <a:solidFill>
              <a:srgbClr val="FF0000"/>
            </a:solidFill>
            <a:effectLst/>
          </a:endParaRPr>
        </a:p>
      </xdr:txBody>
    </xdr:sp>
    <xdr:clientData/>
  </xdr:twoCellAnchor>
  <xdr:twoCellAnchor>
    <xdr:from>
      <xdr:col>11</xdr:col>
      <xdr:colOff>2545714</xdr:colOff>
      <xdr:row>4</xdr:row>
      <xdr:rowOff>74296</xdr:rowOff>
    </xdr:from>
    <xdr:to>
      <xdr:col>20</xdr:col>
      <xdr:colOff>164464</xdr:colOff>
      <xdr:row>8</xdr:row>
      <xdr:rowOff>128905</xdr:rowOff>
    </xdr:to>
    <xdr:sp macro="" textlink="">
      <xdr:nvSpPr>
        <xdr:cNvPr id="6" name="Left Arrow 5">
          <a:extLst>
            <a:ext uri="{FF2B5EF4-FFF2-40B4-BE49-F238E27FC236}">
              <a16:creationId xmlns:a16="http://schemas.microsoft.com/office/drawing/2014/main" id="{00000000-0008-0000-0300-000006000000}"/>
            </a:ext>
          </a:extLst>
        </xdr:cNvPr>
        <xdr:cNvSpPr/>
      </xdr:nvSpPr>
      <xdr:spPr>
        <a:xfrm>
          <a:off x="9098914" y="817246"/>
          <a:ext cx="5194300" cy="180085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a:t>Row 7 shows up if user selects "Addition/Alteration increases roof ≤ 2,000 ft</a:t>
          </a:r>
          <a:r>
            <a:rPr lang="en-US" sz="1400" baseline="30000"/>
            <a:t>2</a:t>
          </a:r>
          <a:r>
            <a:rPr lang="en-US" sz="1400"/>
            <a:t>"  in Construction Type</a:t>
          </a:r>
          <a:r>
            <a:rPr lang="en-US" sz="1400" baseline="0"/>
            <a:t> dropdown.</a:t>
          </a:r>
          <a:r>
            <a:rPr lang="en-US" sz="1400"/>
            <a:t> </a:t>
          </a:r>
        </a:p>
      </xdr:txBody>
    </xdr:sp>
    <xdr:clientData/>
  </xdr:twoCellAnchor>
  <xdr:twoCellAnchor>
    <xdr:from>
      <xdr:col>11</xdr:col>
      <xdr:colOff>2428874</xdr:colOff>
      <xdr:row>7</xdr:row>
      <xdr:rowOff>192405</xdr:rowOff>
    </xdr:from>
    <xdr:to>
      <xdr:col>19</xdr:col>
      <xdr:colOff>171449</xdr:colOff>
      <xdr:row>11</xdr:row>
      <xdr:rowOff>157480</xdr:rowOff>
    </xdr:to>
    <xdr:sp macro="" textlink="">
      <xdr:nvSpPr>
        <xdr:cNvPr id="4" name="Left Arrow 3">
          <a:extLst>
            <a:ext uri="{FF2B5EF4-FFF2-40B4-BE49-F238E27FC236}">
              <a16:creationId xmlns:a16="http://schemas.microsoft.com/office/drawing/2014/main" id="{00000000-0008-0000-0300-000004000000}"/>
            </a:ext>
          </a:extLst>
        </xdr:cNvPr>
        <xdr:cNvSpPr/>
      </xdr:nvSpPr>
      <xdr:spPr>
        <a:xfrm>
          <a:off x="8982074" y="1767205"/>
          <a:ext cx="4708525" cy="1508125"/>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a:solidFill>
                <a:schemeClr val="bg1"/>
              </a:solidFill>
              <a:effectLst/>
              <a:latin typeface="+mn-lt"/>
              <a:ea typeface="+mn-ea"/>
              <a:cs typeface="+mn-cs"/>
            </a:rPr>
            <a:t>Row 10 shows up if "Healthcare facilities", OR "Bldg with total roof area &lt; 533ft2" OR "All other </a:t>
          </a:r>
          <a:r>
            <a:rPr lang="en-US" sz="1400" baseline="0">
              <a:solidFill>
                <a:schemeClr val="bg1"/>
              </a:solidFill>
              <a:effectLst/>
              <a:latin typeface="+mn-lt"/>
              <a:ea typeface="+mn-ea"/>
              <a:cs typeface="+mn-cs"/>
            </a:rPr>
            <a:t>building types" is selected in col 04</a:t>
          </a:r>
          <a:endParaRPr lang="en-US" sz="1400">
            <a:solidFill>
              <a:schemeClr val="bg1"/>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116204</xdr:colOff>
      <xdr:row>6</xdr:row>
      <xdr:rowOff>19685</xdr:rowOff>
    </xdr:from>
    <xdr:to>
      <xdr:col>17</xdr:col>
      <xdr:colOff>147954</xdr:colOff>
      <xdr:row>9</xdr:row>
      <xdr:rowOff>260350</xdr:rowOff>
    </xdr:to>
    <xdr:sp macro="" textlink="">
      <xdr:nvSpPr>
        <xdr:cNvPr id="2" name="Left Arrow 2">
          <a:extLst>
            <a:ext uri="{FF2B5EF4-FFF2-40B4-BE49-F238E27FC236}">
              <a16:creationId xmlns:a16="http://schemas.microsoft.com/office/drawing/2014/main" id="{763F95C0-0D3D-47CF-A243-EDFBD9169169}"/>
            </a:ext>
          </a:extLst>
        </xdr:cNvPr>
        <xdr:cNvSpPr/>
      </xdr:nvSpPr>
      <xdr:spPr>
        <a:xfrm>
          <a:off x="9368154" y="1702435"/>
          <a:ext cx="3079750" cy="1453515"/>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strike="sngStrike">
              <a:solidFill>
                <a:srgbClr val="FF0000"/>
              </a:solidFill>
              <a:effectLst/>
              <a:latin typeface="+mn-lt"/>
              <a:ea typeface="+mn-ea"/>
              <a:cs typeface="+mn-cs"/>
            </a:rPr>
            <a:t>Rows 8&amp;9 show up if column 03 box</a:t>
          </a:r>
          <a:r>
            <a:rPr lang="en-US" sz="1400" strike="sngStrike" baseline="0">
              <a:solidFill>
                <a:srgbClr val="FF0000"/>
              </a:solidFill>
              <a:effectLst/>
              <a:latin typeface="+mn-lt"/>
              <a:ea typeface="+mn-ea"/>
              <a:cs typeface="+mn-cs"/>
            </a:rPr>
            <a:t> </a:t>
          </a:r>
          <a:r>
            <a:rPr lang="en-US" sz="1400" strike="sngStrike">
              <a:solidFill>
                <a:srgbClr val="FF0000"/>
              </a:solidFill>
              <a:effectLst/>
              <a:latin typeface="+mn-lt"/>
              <a:ea typeface="+mn-ea"/>
              <a:cs typeface="+mn-cs"/>
            </a:rPr>
            <a:t>is checked.</a:t>
          </a:r>
          <a:endParaRPr lang="en-US" sz="1400" strike="sngStrike">
            <a:solidFill>
              <a:srgbClr val="FF0000"/>
            </a:solidFill>
            <a:effectLst/>
          </a:endParaRPr>
        </a:p>
      </xdr:txBody>
    </xdr:sp>
    <xdr:clientData/>
  </xdr:twoCellAnchor>
  <xdr:twoCellAnchor>
    <xdr:from>
      <xdr:col>11</xdr:col>
      <xdr:colOff>2609214</xdr:colOff>
      <xdr:row>5</xdr:row>
      <xdr:rowOff>4446</xdr:rowOff>
    </xdr:from>
    <xdr:to>
      <xdr:col>20</xdr:col>
      <xdr:colOff>227964</xdr:colOff>
      <xdr:row>8</xdr:row>
      <xdr:rowOff>243205</xdr:rowOff>
    </xdr:to>
    <xdr:sp macro="" textlink="">
      <xdr:nvSpPr>
        <xdr:cNvPr id="3" name="Left Arrow 5">
          <a:extLst>
            <a:ext uri="{FF2B5EF4-FFF2-40B4-BE49-F238E27FC236}">
              <a16:creationId xmlns:a16="http://schemas.microsoft.com/office/drawing/2014/main" id="{3D0E264D-2350-42F7-8FDB-A755DA0496FE}"/>
            </a:ext>
          </a:extLst>
        </xdr:cNvPr>
        <xdr:cNvSpPr/>
      </xdr:nvSpPr>
      <xdr:spPr>
        <a:xfrm>
          <a:off x="9162414" y="931546"/>
          <a:ext cx="5194300" cy="180085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a:t>Row 7 shows up if user selects "Addition/Alteration increases roof ≤ 2,000 ft</a:t>
          </a:r>
          <a:r>
            <a:rPr lang="en-US" sz="1400" baseline="30000"/>
            <a:t>2</a:t>
          </a:r>
          <a:r>
            <a:rPr lang="en-US" sz="1400"/>
            <a:t>"  in Construction Type</a:t>
          </a:r>
          <a:r>
            <a:rPr lang="en-US" sz="1400" baseline="0"/>
            <a:t> dropdown.</a:t>
          </a:r>
          <a:r>
            <a:rPr lang="en-US" sz="1400"/>
            <a:t> </a:t>
          </a:r>
        </a:p>
      </xdr:txBody>
    </xdr:sp>
    <xdr:clientData/>
  </xdr:twoCellAnchor>
  <xdr:twoCellAnchor>
    <xdr:from>
      <xdr:col>11</xdr:col>
      <xdr:colOff>2428874</xdr:colOff>
      <xdr:row>7</xdr:row>
      <xdr:rowOff>192405</xdr:rowOff>
    </xdr:from>
    <xdr:to>
      <xdr:col>19</xdr:col>
      <xdr:colOff>171449</xdr:colOff>
      <xdr:row>11</xdr:row>
      <xdr:rowOff>157480</xdr:rowOff>
    </xdr:to>
    <xdr:sp macro="" textlink="">
      <xdr:nvSpPr>
        <xdr:cNvPr id="4" name="Left Arrow 3">
          <a:extLst>
            <a:ext uri="{FF2B5EF4-FFF2-40B4-BE49-F238E27FC236}">
              <a16:creationId xmlns:a16="http://schemas.microsoft.com/office/drawing/2014/main" id="{3E2397E6-D7EC-4F1E-90E7-F9E6B67C922D}"/>
            </a:ext>
          </a:extLst>
        </xdr:cNvPr>
        <xdr:cNvSpPr/>
      </xdr:nvSpPr>
      <xdr:spPr>
        <a:xfrm>
          <a:off x="8982074" y="2338705"/>
          <a:ext cx="4708525" cy="1508125"/>
        </a:xfrm>
        <a:prstGeom prst="leftArrow">
          <a:avLst/>
        </a:prstGeom>
        <a:solidFill>
          <a:srgbClr val="CC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strike="sngStrike">
              <a:solidFill>
                <a:schemeClr val="accent5"/>
              </a:solidFill>
              <a:effectLst/>
              <a:latin typeface="+mn-lt"/>
              <a:ea typeface="+mn-ea"/>
              <a:cs typeface="+mn-cs"/>
            </a:rPr>
            <a:t>Row 10 shows up if "Healthcare facilities", OR "Bldg with total roof area &lt; 533ft2" OR "All other </a:t>
          </a:r>
          <a:r>
            <a:rPr lang="en-US" sz="1400" strike="sngStrike" baseline="0">
              <a:solidFill>
                <a:schemeClr val="accent5"/>
              </a:solidFill>
              <a:effectLst/>
              <a:latin typeface="+mn-lt"/>
              <a:ea typeface="+mn-ea"/>
              <a:cs typeface="+mn-cs"/>
            </a:rPr>
            <a:t>building types" is selected in col 04</a:t>
          </a:r>
          <a:endParaRPr lang="en-US" sz="1400" strike="sngStrike">
            <a:solidFill>
              <a:schemeClr val="accent5"/>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352425</xdr:colOff>
      <xdr:row>28</xdr:row>
      <xdr:rowOff>38100</xdr:rowOff>
    </xdr:from>
    <xdr:to>
      <xdr:col>7</xdr:col>
      <xdr:colOff>628650</xdr:colOff>
      <xdr:row>50</xdr:row>
      <xdr:rowOff>28575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6038850"/>
          <a:ext cx="5876925" cy="4181475"/>
        </a:xfrm>
        <a:prstGeom prst="rect">
          <a:avLst/>
        </a:prstGeom>
      </xdr:spPr>
    </xdr:pic>
    <xdr:clientData/>
  </xdr:twoCellAnchor>
  <xdr:twoCellAnchor editAs="oneCell">
    <xdr:from>
      <xdr:col>0</xdr:col>
      <xdr:colOff>0</xdr:colOff>
      <xdr:row>79</xdr:row>
      <xdr:rowOff>57150</xdr:rowOff>
    </xdr:from>
    <xdr:to>
      <xdr:col>8</xdr:col>
      <xdr:colOff>649527</xdr:colOff>
      <xdr:row>108</xdr:row>
      <xdr:rowOff>47625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582900"/>
          <a:ext cx="7678977" cy="5514975"/>
        </a:xfrm>
        <a:prstGeom prst="rect">
          <a:avLst/>
        </a:prstGeom>
      </xdr:spPr>
    </xdr:pic>
    <xdr:clientData/>
  </xdr:twoCellAnchor>
  <xdr:twoCellAnchor editAs="oneCell">
    <xdr:from>
      <xdr:col>0</xdr:col>
      <xdr:colOff>190499</xdr:colOff>
      <xdr:row>51</xdr:row>
      <xdr:rowOff>114299</xdr:rowOff>
    </xdr:from>
    <xdr:to>
      <xdr:col>9</xdr:col>
      <xdr:colOff>8430</xdr:colOff>
      <xdr:row>78</xdr:row>
      <xdr:rowOff>28574</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499" y="10306049"/>
          <a:ext cx="7990381" cy="5057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280518</xdr:colOff>
      <xdr:row>4</xdr:row>
      <xdr:rowOff>152400</xdr:rowOff>
    </xdr:from>
    <xdr:to>
      <xdr:col>24</xdr:col>
      <xdr:colOff>96876</xdr:colOff>
      <xdr:row>10</xdr:row>
      <xdr:rowOff>434448</xdr:rowOff>
    </xdr:to>
    <xdr:pic>
      <xdr:nvPicPr>
        <xdr:cNvPr id="6" name="Picture 5">
          <a:extLst>
            <a:ext uri="{FF2B5EF4-FFF2-40B4-BE49-F238E27FC236}">
              <a16:creationId xmlns:a16="http://schemas.microsoft.com/office/drawing/2014/main" id="{0F2BE176-94CC-4555-9806-60E6BCE7F569}"/>
            </a:ext>
          </a:extLst>
        </xdr:cNvPr>
        <xdr:cNvPicPr>
          <a:picLocks noChangeAspect="1"/>
        </xdr:cNvPicPr>
      </xdr:nvPicPr>
      <xdr:blipFill>
        <a:blip xmlns:r="http://schemas.openxmlformats.org/officeDocument/2006/relationships" r:embed="rId1"/>
        <a:stretch>
          <a:fillRect/>
        </a:stretch>
      </xdr:blipFill>
      <xdr:spPr>
        <a:xfrm>
          <a:off x="12497918" y="1219200"/>
          <a:ext cx="7131558" cy="2428348"/>
        </a:xfrm>
        <a:prstGeom prst="rect">
          <a:avLst/>
        </a:prstGeom>
      </xdr:spPr>
    </xdr:pic>
    <xdr:clientData/>
  </xdr:twoCellAnchor>
  <xdr:twoCellAnchor editAs="oneCell">
    <xdr:from>
      <xdr:col>12</xdr:col>
      <xdr:colOff>342900</xdr:colOff>
      <xdr:row>14</xdr:row>
      <xdr:rowOff>112573</xdr:rowOff>
    </xdr:from>
    <xdr:to>
      <xdr:col>23</xdr:col>
      <xdr:colOff>93542</xdr:colOff>
      <xdr:row>30</xdr:row>
      <xdr:rowOff>183209</xdr:rowOff>
    </xdr:to>
    <xdr:pic>
      <xdr:nvPicPr>
        <xdr:cNvPr id="7" name="Picture 6">
          <a:extLst>
            <a:ext uri="{FF2B5EF4-FFF2-40B4-BE49-F238E27FC236}">
              <a16:creationId xmlns:a16="http://schemas.microsoft.com/office/drawing/2014/main" id="{410DE3B4-66F7-4565-AE54-1CCED5652625}"/>
            </a:ext>
          </a:extLst>
        </xdr:cNvPr>
        <xdr:cNvPicPr>
          <a:picLocks noChangeAspect="1"/>
        </xdr:cNvPicPr>
      </xdr:nvPicPr>
      <xdr:blipFill>
        <a:blip xmlns:r="http://schemas.openxmlformats.org/officeDocument/2006/relationships" r:embed="rId2"/>
        <a:stretch>
          <a:fillRect/>
        </a:stretch>
      </xdr:blipFill>
      <xdr:spPr>
        <a:xfrm>
          <a:off x="12560300" y="4214673"/>
          <a:ext cx="6456242" cy="3556786"/>
        </a:xfrm>
        <a:prstGeom prst="rect">
          <a:avLst/>
        </a:prstGeom>
      </xdr:spPr>
    </xdr:pic>
    <xdr:clientData/>
  </xdr:twoCellAnchor>
  <xdr:twoCellAnchor editAs="oneCell">
    <xdr:from>
      <xdr:col>12</xdr:col>
      <xdr:colOff>360859</xdr:colOff>
      <xdr:row>35</xdr:row>
      <xdr:rowOff>114300</xdr:rowOff>
    </xdr:from>
    <xdr:to>
      <xdr:col>22</xdr:col>
      <xdr:colOff>227380</xdr:colOff>
      <xdr:row>53</xdr:row>
      <xdr:rowOff>5545</xdr:rowOff>
    </xdr:to>
    <xdr:pic>
      <xdr:nvPicPr>
        <xdr:cNvPr id="3" name="Picture 2">
          <a:extLst>
            <a:ext uri="{FF2B5EF4-FFF2-40B4-BE49-F238E27FC236}">
              <a16:creationId xmlns:a16="http://schemas.microsoft.com/office/drawing/2014/main" id="{AECE3A10-3207-4B4A-AFB7-1AB8A6BDC397}"/>
            </a:ext>
          </a:extLst>
        </xdr:cNvPr>
        <xdr:cNvPicPr>
          <a:picLocks noChangeAspect="1"/>
        </xdr:cNvPicPr>
      </xdr:nvPicPr>
      <xdr:blipFill>
        <a:blip xmlns:r="http://schemas.openxmlformats.org/officeDocument/2006/relationships" r:embed="rId3"/>
        <a:stretch>
          <a:fillRect/>
        </a:stretch>
      </xdr:blipFill>
      <xdr:spPr>
        <a:xfrm>
          <a:off x="12578259" y="8820150"/>
          <a:ext cx="5962521" cy="3936195"/>
        </a:xfrm>
        <a:prstGeom prst="rect">
          <a:avLst/>
        </a:prstGeom>
      </xdr:spPr>
    </xdr:pic>
    <xdr:clientData/>
  </xdr:twoCellAnchor>
  <xdr:twoCellAnchor editAs="oneCell">
    <xdr:from>
      <xdr:col>12</xdr:col>
      <xdr:colOff>336550</xdr:colOff>
      <xdr:row>56</xdr:row>
      <xdr:rowOff>71372</xdr:rowOff>
    </xdr:from>
    <xdr:to>
      <xdr:col>22</xdr:col>
      <xdr:colOff>557459</xdr:colOff>
      <xdr:row>71</xdr:row>
      <xdr:rowOff>69263</xdr:rowOff>
    </xdr:to>
    <xdr:pic>
      <xdr:nvPicPr>
        <xdr:cNvPr id="4" name="Picture 3">
          <a:extLst>
            <a:ext uri="{FF2B5EF4-FFF2-40B4-BE49-F238E27FC236}">
              <a16:creationId xmlns:a16="http://schemas.microsoft.com/office/drawing/2014/main" id="{942D915D-87CE-4FEF-812C-8562580765FF}"/>
            </a:ext>
          </a:extLst>
        </xdr:cNvPr>
        <xdr:cNvPicPr>
          <a:picLocks noChangeAspect="1"/>
        </xdr:cNvPicPr>
      </xdr:nvPicPr>
      <xdr:blipFill>
        <a:blip xmlns:r="http://schemas.openxmlformats.org/officeDocument/2006/relationships" r:embed="rId4"/>
        <a:stretch>
          <a:fillRect/>
        </a:stretch>
      </xdr:blipFill>
      <xdr:spPr>
        <a:xfrm>
          <a:off x="12553950" y="12961872"/>
          <a:ext cx="6316909" cy="27601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164801</xdr:colOff>
      <xdr:row>17</xdr:row>
      <xdr:rowOff>0</xdr:rowOff>
    </xdr:from>
    <xdr:to>
      <xdr:col>17</xdr:col>
      <xdr:colOff>180357</xdr:colOff>
      <xdr:row>48</xdr:row>
      <xdr:rowOff>151414</xdr:rowOff>
    </xdr:to>
    <xdr:pic>
      <xdr:nvPicPr>
        <xdr:cNvPr id="2" name="Picture 1">
          <a:extLst>
            <a:ext uri="{FF2B5EF4-FFF2-40B4-BE49-F238E27FC236}">
              <a16:creationId xmlns:a16="http://schemas.microsoft.com/office/drawing/2014/main" id="{A826AB7C-1A3C-4940-829A-F7C62C4F0FEA}"/>
            </a:ext>
          </a:extLst>
        </xdr:cNvPr>
        <xdr:cNvPicPr>
          <a:picLocks noChangeAspect="1"/>
        </xdr:cNvPicPr>
      </xdr:nvPicPr>
      <xdr:blipFill>
        <a:blip xmlns:r="http://schemas.openxmlformats.org/officeDocument/2006/relationships" r:embed="rId1"/>
        <a:stretch>
          <a:fillRect/>
        </a:stretch>
      </xdr:blipFill>
      <xdr:spPr>
        <a:xfrm>
          <a:off x="11772601" y="4032250"/>
          <a:ext cx="3673156" cy="5860064"/>
        </a:xfrm>
        <a:prstGeom prst="rect">
          <a:avLst/>
        </a:prstGeom>
      </xdr:spPr>
    </xdr:pic>
    <xdr:clientData/>
  </xdr:twoCellAnchor>
  <xdr:twoCellAnchor editAs="oneCell">
    <xdr:from>
      <xdr:col>11</xdr:col>
      <xdr:colOff>546099</xdr:colOff>
      <xdr:row>4</xdr:row>
      <xdr:rowOff>23289</xdr:rowOff>
    </xdr:from>
    <xdr:to>
      <xdr:col>17</xdr:col>
      <xdr:colOff>297468</xdr:colOff>
      <xdr:row>9</xdr:row>
      <xdr:rowOff>374067</xdr:rowOff>
    </xdr:to>
    <xdr:pic>
      <xdr:nvPicPr>
        <xdr:cNvPr id="3" name="Picture 2">
          <a:extLst>
            <a:ext uri="{FF2B5EF4-FFF2-40B4-BE49-F238E27FC236}">
              <a16:creationId xmlns:a16="http://schemas.microsoft.com/office/drawing/2014/main" id="{AA915EDD-AB66-4ED5-9A92-2100295F455B}"/>
            </a:ext>
          </a:extLst>
        </xdr:cNvPr>
        <xdr:cNvPicPr>
          <a:picLocks noChangeAspect="1"/>
        </xdr:cNvPicPr>
      </xdr:nvPicPr>
      <xdr:blipFill>
        <a:blip xmlns:r="http://schemas.openxmlformats.org/officeDocument/2006/relationships" r:embed="rId2"/>
        <a:stretch>
          <a:fillRect/>
        </a:stretch>
      </xdr:blipFill>
      <xdr:spPr>
        <a:xfrm>
          <a:off x="12153899" y="1090089"/>
          <a:ext cx="3408969" cy="2027178"/>
        </a:xfrm>
        <a:prstGeom prst="rect">
          <a:avLst/>
        </a:prstGeom>
      </xdr:spPr>
    </xdr:pic>
    <xdr:clientData/>
  </xdr:twoCellAnchor>
  <xdr:twoCellAnchor editAs="oneCell">
    <xdr:from>
      <xdr:col>11</xdr:col>
      <xdr:colOff>590550</xdr:colOff>
      <xdr:row>9</xdr:row>
      <xdr:rowOff>376957</xdr:rowOff>
    </xdr:from>
    <xdr:to>
      <xdr:col>21</xdr:col>
      <xdr:colOff>296881</xdr:colOff>
      <xdr:row>12</xdr:row>
      <xdr:rowOff>142735</xdr:rowOff>
    </xdr:to>
    <xdr:pic>
      <xdr:nvPicPr>
        <xdr:cNvPr id="4" name="Picture 3">
          <a:extLst>
            <a:ext uri="{FF2B5EF4-FFF2-40B4-BE49-F238E27FC236}">
              <a16:creationId xmlns:a16="http://schemas.microsoft.com/office/drawing/2014/main" id="{54786A23-55A5-49DE-9B76-7F95D12CD7E7}"/>
            </a:ext>
          </a:extLst>
        </xdr:cNvPr>
        <xdr:cNvPicPr>
          <a:picLocks noChangeAspect="1"/>
        </xdr:cNvPicPr>
      </xdr:nvPicPr>
      <xdr:blipFill>
        <a:blip xmlns:r="http://schemas.openxmlformats.org/officeDocument/2006/relationships" r:embed="rId3"/>
        <a:stretch>
          <a:fillRect/>
        </a:stretch>
      </xdr:blipFill>
      <xdr:spPr>
        <a:xfrm>
          <a:off x="12198350" y="3120157"/>
          <a:ext cx="5802331" cy="5150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Tam, Danny@Energy" id="{2B69F196-1B9C-4BDE-A9F6-787A362BE403}" userId="S::Danny.Tam@energy.ca.gov::a6ee4652-f9b2-403d-bfc6-d23a6916fd7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0</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2-01-11T23:50:01.24" personId="{2B69F196-1B9C-4BDE-A9F6-787A362BE403}" id="{C89195A8-2EB7-49BD-B345-21650F83044D}">
    <text>OG-300 systems are only intented for single family and should not be used for multifamily or nonres.  This box should be deleted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6.xml"/><Relationship Id="rId1" Type="http://schemas.openxmlformats.org/officeDocument/2006/relationships/printerSettings" Target="../printerSettings/printerSettings17.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18.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F10" sqref="F10"/>
    </sheetView>
  </sheetViews>
  <sheetFormatPr defaultColWidth="9.140625" defaultRowHeight="14.25"/>
  <cols>
    <col min="1" max="1" width="17" style="25" customWidth="1"/>
    <col min="2" max="2" width="63.42578125" style="25" customWidth="1"/>
    <col min="3" max="3" width="17.140625" style="25" customWidth="1"/>
    <col min="4" max="16384" width="9.140625" style="25"/>
  </cols>
  <sheetData>
    <row r="1" spans="1:8" ht="15">
      <c r="A1" s="24" t="s">
        <v>14</v>
      </c>
      <c r="B1" s="24" t="s">
        <v>15</v>
      </c>
      <c r="C1" s="24" t="s">
        <v>16</v>
      </c>
      <c r="D1" s="30"/>
    </row>
    <row r="2" spans="1:8">
      <c r="A2" s="25" t="s">
        <v>17</v>
      </c>
      <c r="B2" s="25" t="s">
        <v>18</v>
      </c>
      <c r="C2" s="25" t="s">
        <v>19</v>
      </c>
      <c r="D2" s="33"/>
    </row>
    <row r="3" spans="1:8">
      <c r="A3" s="25" t="s">
        <v>20</v>
      </c>
      <c r="B3" s="25" t="s">
        <v>21</v>
      </c>
      <c r="C3" s="25" t="s">
        <v>19</v>
      </c>
      <c r="D3" s="33"/>
    </row>
    <row r="4" spans="1:8">
      <c r="A4" s="25" t="s">
        <v>22</v>
      </c>
      <c r="B4" s="25" t="s">
        <v>23</v>
      </c>
      <c r="C4" s="25" t="s">
        <v>19</v>
      </c>
      <c r="D4" s="33"/>
    </row>
    <row r="5" spans="1:8">
      <c r="A5" s="25" t="s">
        <v>24</v>
      </c>
      <c r="B5" s="25" t="s">
        <v>25</v>
      </c>
      <c r="C5" s="26" t="s">
        <v>19</v>
      </c>
      <c r="D5" s="34"/>
      <c r="E5" s="26"/>
    </row>
    <row r="6" spans="1:8">
      <c r="A6" s="25" t="s">
        <v>26</v>
      </c>
      <c r="B6" s="25" t="s">
        <v>27</v>
      </c>
      <c r="C6" s="26" t="s">
        <v>19</v>
      </c>
      <c r="D6" s="34"/>
      <c r="E6" s="26"/>
      <c r="G6" s="26"/>
    </row>
    <row r="7" spans="1:8">
      <c r="A7" s="25" t="s">
        <v>28</v>
      </c>
      <c r="B7" s="107" t="s">
        <v>70</v>
      </c>
      <c r="C7" s="108" t="s">
        <v>20</v>
      </c>
      <c r="D7" s="31"/>
      <c r="E7" s="26"/>
      <c r="G7" s="26"/>
    </row>
    <row r="8" spans="1:8">
      <c r="A8" s="25" t="s">
        <v>29</v>
      </c>
      <c r="B8" s="107" t="s">
        <v>71</v>
      </c>
      <c r="C8" s="108" t="s">
        <v>20</v>
      </c>
      <c r="D8" s="31"/>
      <c r="E8" s="26"/>
      <c r="G8" s="26"/>
    </row>
    <row r="9" spans="1:8">
      <c r="A9" s="25" t="s">
        <v>30</v>
      </c>
      <c r="B9" s="107" t="s">
        <v>72</v>
      </c>
      <c r="C9" s="108" t="s">
        <v>20</v>
      </c>
      <c r="D9" s="34"/>
      <c r="E9" s="26"/>
      <c r="G9" s="26"/>
    </row>
    <row r="10" spans="1:8">
      <c r="A10" s="25" t="s">
        <v>31</v>
      </c>
      <c r="B10" s="123" t="s">
        <v>73</v>
      </c>
      <c r="C10" s="108" t="s">
        <v>20</v>
      </c>
      <c r="D10" s="31"/>
      <c r="E10" s="26"/>
      <c r="H10" s="26"/>
    </row>
    <row r="11" spans="1:8">
      <c r="A11" s="248" t="s">
        <v>32</v>
      </c>
      <c r="B11" s="248" t="s">
        <v>364</v>
      </c>
      <c r="C11" s="248" t="s">
        <v>365</v>
      </c>
      <c r="D11" s="31"/>
      <c r="E11" s="26"/>
      <c r="H11" s="26"/>
    </row>
    <row r="12" spans="1:8" ht="15">
      <c r="A12" s="249" t="s">
        <v>366</v>
      </c>
      <c r="B12" s="25" t="s">
        <v>33</v>
      </c>
      <c r="C12" s="26" t="s">
        <v>19</v>
      </c>
      <c r="D12" s="31"/>
      <c r="E12" s="26"/>
      <c r="H12" s="26"/>
    </row>
    <row r="13" spans="1:8" ht="15">
      <c r="A13" s="249" t="s">
        <v>367</v>
      </c>
      <c r="B13" s="25" t="s">
        <v>34</v>
      </c>
      <c r="C13" s="26" t="s">
        <v>19</v>
      </c>
      <c r="D13" s="26"/>
      <c r="E13" s="26"/>
      <c r="H13" s="26"/>
    </row>
    <row r="14" spans="1:8">
      <c r="A14" s="109" t="s">
        <v>35</v>
      </c>
      <c r="B14" s="25" t="s">
        <v>36</v>
      </c>
      <c r="C14" s="26" t="s">
        <v>19</v>
      </c>
      <c r="D14" s="26"/>
      <c r="E14" s="26"/>
      <c r="H14" s="26"/>
    </row>
    <row r="15" spans="1:8">
      <c r="A15" s="66"/>
      <c r="D15" s="26"/>
      <c r="E15" s="26"/>
      <c r="H15" s="26"/>
    </row>
    <row r="16" spans="1:8">
      <c r="A16" s="66"/>
      <c r="D16" s="26"/>
      <c r="E16" s="26"/>
      <c r="G16" s="26"/>
    </row>
    <row r="17" spans="1:7">
      <c r="A17" s="66"/>
      <c r="C17" s="26"/>
      <c r="D17" s="26"/>
      <c r="E17" s="26"/>
      <c r="G17" s="26"/>
    </row>
    <row r="18" spans="1:7">
      <c r="A18" s="66"/>
      <c r="D18" s="26"/>
      <c r="E18" s="26"/>
      <c r="G18" s="26"/>
    </row>
    <row r="19" spans="1:7">
      <c r="A19" s="27"/>
      <c r="D19" s="26"/>
      <c r="E19" s="26"/>
      <c r="G19" s="26"/>
    </row>
    <row r="20" spans="1:7">
      <c r="D20" s="26"/>
      <c r="E20" s="26"/>
      <c r="G20" s="26"/>
    </row>
    <row r="21" spans="1:7">
      <c r="D21" s="26"/>
      <c r="E21" s="26"/>
      <c r="G21" s="26"/>
    </row>
    <row r="22" spans="1:7">
      <c r="D22" s="26"/>
      <c r="E22" s="26"/>
      <c r="G22" s="26"/>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zoomScale="77" workbookViewId="0">
      <selection activeCell="B20" sqref="B20"/>
    </sheetView>
  </sheetViews>
  <sheetFormatPr defaultColWidth="9.140625" defaultRowHeight="14.25"/>
  <cols>
    <col min="1" max="1" width="30.5703125" style="25" customWidth="1"/>
    <col min="2" max="2" width="45.85546875" style="25" customWidth="1"/>
    <col min="3" max="16384" width="9.140625" style="25"/>
  </cols>
  <sheetData>
    <row r="1" spans="1:7" ht="15">
      <c r="A1" s="103" t="s">
        <v>14</v>
      </c>
      <c r="B1" s="103" t="s">
        <v>68</v>
      </c>
      <c r="C1" s="30"/>
    </row>
    <row r="2" spans="1:7">
      <c r="A2" s="133" t="s">
        <v>144</v>
      </c>
      <c r="B2" s="134" t="s">
        <v>148</v>
      </c>
      <c r="C2" s="33"/>
    </row>
    <row r="3" spans="1:7">
      <c r="A3" s="133" t="s">
        <v>146</v>
      </c>
      <c r="B3" s="134" t="s">
        <v>149</v>
      </c>
      <c r="C3" s="33"/>
    </row>
    <row r="4" spans="1:7">
      <c r="A4" s="157" t="s">
        <v>147</v>
      </c>
      <c r="B4" s="134" t="s">
        <v>150</v>
      </c>
      <c r="C4" s="33"/>
    </row>
    <row r="5" spans="1:7">
      <c r="A5" s="157" t="s">
        <v>226</v>
      </c>
      <c r="B5" s="158" t="s">
        <v>231</v>
      </c>
      <c r="C5" s="33"/>
    </row>
    <row r="6" spans="1:7">
      <c r="A6" s="133" t="s">
        <v>145</v>
      </c>
      <c r="B6" s="134" t="s">
        <v>149</v>
      </c>
      <c r="C6" s="34"/>
      <c r="D6" s="26"/>
    </row>
    <row r="7" spans="1:7">
      <c r="A7" s="157" t="s">
        <v>199</v>
      </c>
      <c r="B7" s="158" t="s">
        <v>149</v>
      </c>
      <c r="C7" s="34"/>
      <c r="D7" s="26"/>
      <c r="F7" s="26"/>
    </row>
    <row r="8" spans="1:7" ht="28.5">
      <c r="A8" s="183" t="s">
        <v>202</v>
      </c>
      <c r="B8" s="157" t="s">
        <v>149</v>
      </c>
      <c r="C8" s="31"/>
      <c r="D8" s="26"/>
      <c r="F8" s="26"/>
    </row>
    <row r="9" spans="1:7">
      <c r="A9" s="183" t="s">
        <v>229</v>
      </c>
      <c r="B9" s="157" t="s">
        <v>227</v>
      </c>
      <c r="C9" s="31"/>
      <c r="D9" s="26"/>
      <c r="F9" s="26"/>
    </row>
    <row r="10" spans="1:7">
      <c r="A10" s="183" t="s">
        <v>230</v>
      </c>
      <c r="B10" s="157" t="s">
        <v>227</v>
      </c>
      <c r="C10" s="31"/>
      <c r="D10" s="26"/>
      <c r="F10" s="26"/>
    </row>
    <row r="11" spans="1:7">
      <c r="A11" s="157" t="s">
        <v>228</v>
      </c>
      <c r="B11" s="157" t="s">
        <v>227</v>
      </c>
      <c r="C11" s="31"/>
      <c r="D11" s="26"/>
      <c r="F11" s="26"/>
    </row>
    <row r="12" spans="1:7">
      <c r="B12" s="57"/>
      <c r="C12" s="34"/>
      <c r="D12" s="26"/>
      <c r="F12" s="26"/>
    </row>
    <row r="13" spans="1:7">
      <c r="A13" s="250" t="s">
        <v>368</v>
      </c>
      <c r="B13" s="57"/>
      <c r="C13" s="31"/>
      <c r="D13" s="26"/>
      <c r="G13" s="26"/>
    </row>
    <row r="14" spans="1:7">
      <c r="A14" s="247" t="s">
        <v>369</v>
      </c>
      <c r="B14" s="66"/>
      <c r="C14" s="31"/>
      <c r="D14" s="26"/>
      <c r="G14" s="26"/>
    </row>
    <row r="15" spans="1:7">
      <c r="A15" s="56"/>
      <c r="B15" s="66"/>
      <c r="C15" s="26"/>
      <c r="D15" s="26"/>
      <c r="G15" s="26"/>
    </row>
    <row r="16" spans="1:7">
      <c r="A16" s="66"/>
      <c r="B16" s="66"/>
      <c r="C16" s="26"/>
      <c r="D16" s="26"/>
      <c r="G16" s="26"/>
    </row>
    <row r="17" spans="1:7">
      <c r="A17" s="66"/>
      <c r="B17" s="66"/>
      <c r="C17" s="26"/>
      <c r="D17" s="26"/>
      <c r="G17" s="26"/>
    </row>
    <row r="18" spans="1:7">
      <c r="A18" s="66"/>
      <c r="B18" s="26"/>
      <c r="C18" s="26"/>
      <c r="D18" s="26"/>
      <c r="F18" s="26"/>
    </row>
    <row r="19" spans="1:7">
      <c r="A19" s="66"/>
      <c r="B19" s="26"/>
      <c r="C19" s="26"/>
      <c r="D19" s="26"/>
      <c r="F19" s="26"/>
    </row>
    <row r="20" spans="1:7">
      <c r="A20" s="66"/>
      <c r="B20" s="26"/>
      <c r="C20" s="26"/>
      <c r="D20" s="26"/>
      <c r="F20" s="26"/>
    </row>
    <row r="21" spans="1:7">
      <c r="A21" s="27"/>
      <c r="B21" s="26"/>
      <c r="C21" s="26"/>
      <c r="D21" s="26"/>
      <c r="F21" s="26"/>
    </row>
    <row r="22" spans="1:7">
      <c r="C22" s="26"/>
      <c r="D22" s="26"/>
      <c r="F22" s="26"/>
    </row>
    <row r="23" spans="1:7">
      <c r="C23" s="26"/>
      <c r="D23" s="26"/>
      <c r="F23" s="26"/>
    </row>
    <row r="24" spans="1:7">
      <c r="B24" s="26"/>
      <c r="C24" s="26"/>
      <c r="D24" s="26"/>
      <c r="F24" s="26"/>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topLeftCell="A3" zoomScale="110" zoomScaleNormal="110" workbookViewId="0">
      <selection activeCell="A6" sqref="A6:K6"/>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1" s="36" customFormat="1">
      <c r="A1" s="40"/>
      <c r="B1" s="36" t="s">
        <v>50</v>
      </c>
      <c r="C1" s="41"/>
      <c r="D1" s="36" t="s">
        <v>51</v>
      </c>
      <c r="F1" s="277"/>
      <c r="G1" s="277"/>
      <c r="H1" s="36" t="s">
        <v>52</v>
      </c>
      <c r="J1" s="42"/>
      <c r="K1" s="36" t="s">
        <v>53</v>
      </c>
    </row>
    <row r="2" spans="1:11" s="35" customFormat="1">
      <c r="A2" s="39" t="s">
        <v>0</v>
      </c>
      <c r="B2" s="39"/>
      <c r="C2" s="39"/>
      <c r="F2" s="45"/>
      <c r="G2" s="45"/>
    </row>
    <row r="3" spans="1:11" ht="15.75">
      <c r="A3" s="276" t="s">
        <v>249</v>
      </c>
      <c r="B3" s="276"/>
      <c r="C3" s="276"/>
      <c r="D3" s="276"/>
      <c r="E3" s="1"/>
      <c r="F3" s="1"/>
      <c r="G3" s="1"/>
      <c r="H3" s="2"/>
      <c r="I3" s="2"/>
      <c r="J3" s="2"/>
      <c r="K3" s="2"/>
    </row>
    <row r="4" spans="1:11" ht="15.75">
      <c r="A4" s="288" t="s">
        <v>250</v>
      </c>
      <c r="B4" s="288"/>
      <c r="C4" s="288"/>
      <c r="D4" s="2"/>
      <c r="E4" s="3"/>
      <c r="F4" s="3"/>
      <c r="G4" s="3"/>
      <c r="H4" s="2"/>
      <c r="I4" s="281" t="s">
        <v>7</v>
      </c>
      <c r="J4" s="281"/>
      <c r="K4" s="281"/>
    </row>
    <row r="5" spans="1:11" s="48" customFormat="1">
      <c r="A5" s="52" t="s">
        <v>54</v>
      </c>
      <c r="B5" s="49"/>
      <c r="C5" s="49"/>
      <c r="D5" s="50"/>
      <c r="E5" s="49"/>
      <c r="F5" s="49"/>
      <c r="G5" s="49"/>
      <c r="H5" s="50"/>
      <c r="I5" s="51"/>
      <c r="J5" s="51"/>
      <c r="K5" s="205" t="s">
        <v>251</v>
      </c>
    </row>
    <row r="6" spans="1:11" ht="99.95" customHeight="1">
      <c r="A6" s="278" t="s">
        <v>393</v>
      </c>
      <c r="B6" s="279"/>
      <c r="C6" s="279"/>
      <c r="D6" s="279"/>
      <c r="E6" s="279"/>
      <c r="F6" s="279"/>
      <c r="G6" s="279"/>
      <c r="H6" s="279"/>
      <c r="I6" s="279"/>
      <c r="J6" s="279"/>
      <c r="K6" s="280"/>
    </row>
    <row r="7" spans="1:11">
      <c r="A7" s="286" t="s">
        <v>1</v>
      </c>
      <c r="B7" s="287"/>
      <c r="C7" s="284"/>
      <c r="D7" s="285"/>
      <c r="E7" s="285"/>
      <c r="F7" s="285"/>
      <c r="G7" s="46"/>
      <c r="H7" s="47"/>
      <c r="I7" s="282" t="s">
        <v>6</v>
      </c>
      <c r="J7" s="283"/>
      <c r="K7" s="43" t="s">
        <v>2</v>
      </c>
    </row>
    <row r="8" spans="1:11">
      <c r="A8" s="286" t="s">
        <v>3</v>
      </c>
      <c r="B8" s="287"/>
      <c r="C8" s="284"/>
      <c r="D8" s="285"/>
      <c r="E8" s="285"/>
      <c r="F8" s="285"/>
      <c r="G8" s="46"/>
      <c r="H8" s="47"/>
      <c r="I8" s="282" t="s">
        <v>4</v>
      </c>
      <c r="J8" s="283"/>
      <c r="K8" s="44"/>
    </row>
    <row r="9" spans="1:11">
      <c r="A9" s="28"/>
      <c r="B9" s="28"/>
      <c r="C9" s="28"/>
      <c r="D9" s="28"/>
      <c r="E9" s="28"/>
      <c r="F9" s="28"/>
      <c r="G9" s="28"/>
      <c r="H9" s="28"/>
      <c r="I9" s="29"/>
      <c r="J9" s="29"/>
      <c r="K9" s="28"/>
    </row>
    <row r="10" spans="1:11">
      <c r="A10" s="28"/>
      <c r="B10" s="151" t="s">
        <v>215</v>
      </c>
      <c r="C10" s="28"/>
      <c r="D10" s="28"/>
      <c r="E10" s="28"/>
      <c r="F10" s="28"/>
      <c r="G10" s="28"/>
      <c r="H10" s="28"/>
      <c r="I10" s="29"/>
      <c r="J10" s="29"/>
      <c r="K10" s="28"/>
    </row>
    <row r="11" spans="1:11">
      <c r="A11" s="28"/>
      <c r="B11" s="28"/>
      <c r="C11" s="28"/>
      <c r="D11" s="28"/>
      <c r="E11" s="28"/>
      <c r="F11" s="28"/>
      <c r="G11" s="28"/>
      <c r="H11" s="28"/>
      <c r="I11" s="29"/>
      <c r="J11" s="29"/>
      <c r="K11" s="28"/>
    </row>
    <row r="12" spans="1:11">
      <c r="A12" s="28"/>
      <c r="B12" s="28"/>
      <c r="C12" s="28"/>
      <c r="D12" s="28"/>
      <c r="E12" s="28"/>
      <c r="F12" s="28"/>
      <c r="G12" s="28"/>
      <c r="H12" s="28"/>
      <c r="I12" s="29"/>
      <c r="J12" s="29"/>
      <c r="K12" s="28"/>
    </row>
    <row r="13" spans="1:11">
      <c r="A13" s="39" t="s">
        <v>0</v>
      </c>
      <c r="B13" s="39"/>
      <c r="C13" s="39"/>
      <c r="D13" s="35"/>
      <c r="E13" s="35"/>
      <c r="F13" s="45"/>
      <c r="G13" s="45"/>
      <c r="H13" s="35"/>
      <c r="I13" s="35"/>
      <c r="J13" s="35"/>
      <c r="K13" s="35"/>
    </row>
    <row r="14" spans="1:11" ht="15.75">
      <c r="A14" s="276" t="s">
        <v>249</v>
      </c>
      <c r="B14" s="276"/>
      <c r="C14" s="276"/>
      <c r="D14" s="276"/>
      <c r="E14" s="39"/>
      <c r="F14" s="39"/>
      <c r="G14" s="39"/>
      <c r="H14" s="2"/>
      <c r="I14" s="2"/>
      <c r="J14" s="2"/>
      <c r="K14" s="2"/>
    </row>
    <row r="15" spans="1:11" ht="15.75">
      <c r="A15" s="288" t="s">
        <v>250</v>
      </c>
      <c r="B15" s="288"/>
      <c r="C15" s="288"/>
      <c r="D15" s="2"/>
      <c r="E15" s="3"/>
      <c r="F15" s="3"/>
      <c r="G15" s="3"/>
      <c r="H15" s="2"/>
      <c r="I15" s="281" t="s">
        <v>7</v>
      </c>
      <c r="J15" s="281"/>
      <c r="K15" s="281"/>
    </row>
    <row r="16" spans="1:11">
      <c r="A16" s="52" t="s">
        <v>54</v>
      </c>
      <c r="B16" s="49"/>
      <c r="C16" s="49"/>
      <c r="D16" s="50"/>
      <c r="E16" s="49"/>
      <c r="F16" s="49"/>
      <c r="G16" s="49"/>
      <c r="H16" s="50"/>
      <c r="I16" s="51"/>
      <c r="J16" s="51"/>
      <c r="K16" s="205" t="s">
        <v>251</v>
      </c>
    </row>
    <row r="17" spans="1:11">
      <c r="A17" s="286" t="s">
        <v>1</v>
      </c>
      <c r="B17" s="287"/>
      <c r="C17" s="290"/>
      <c r="D17" s="291"/>
      <c r="E17" s="291"/>
      <c r="F17" s="291"/>
      <c r="G17" s="58"/>
      <c r="H17" s="59"/>
      <c r="I17" s="282" t="s">
        <v>6</v>
      </c>
      <c r="J17" s="283"/>
      <c r="K17" s="43" t="s">
        <v>2</v>
      </c>
    </row>
    <row r="18" spans="1:11">
      <c r="A18" s="286" t="s">
        <v>3</v>
      </c>
      <c r="B18" s="287"/>
      <c r="C18" s="290"/>
      <c r="D18" s="291"/>
      <c r="E18" s="291"/>
      <c r="F18" s="291"/>
      <c r="G18" s="58"/>
      <c r="H18" s="59"/>
      <c r="I18" s="282" t="s">
        <v>4</v>
      </c>
      <c r="J18" s="283"/>
      <c r="K18" s="60"/>
    </row>
    <row r="19" spans="1:11">
      <c r="A19" s="23"/>
      <c r="B19" s="6"/>
      <c r="C19" s="6"/>
      <c r="D19" s="6"/>
      <c r="E19" s="6"/>
      <c r="F19" s="6"/>
      <c r="G19" s="23"/>
      <c r="H19" s="22"/>
      <c r="I19" s="22"/>
      <c r="J19" s="9"/>
      <c r="K19" s="9"/>
    </row>
    <row r="20" spans="1:11">
      <c r="A20" s="23"/>
      <c r="B20" s="6"/>
      <c r="C20" s="6"/>
      <c r="D20" s="6"/>
      <c r="E20" s="6"/>
      <c r="F20" s="6"/>
      <c r="G20" s="23"/>
      <c r="H20" s="22"/>
      <c r="I20" s="22"/>
      <c r="J20" s="9"/>
      <c r="K20" s="9"/>
    </row>
    <row r="21" spans="1:11">
      <c r="A21" s="23"/>
      <c r="B21" s="6"/>
      <c r="C21" s="6"/>
      <c r="D21" s="6"/>
      <c r="E21" s="6"/>
      <c r="F21" s="6"/>
      <c r="G21" s="23"/>
      <c r="H21" s="22"/>
      <c r="I21" s="22"/>
      <c r="J21" s="9"/>
      <c r="K21" s="9"/>
    </row>
    <row r="22" spans="1:11">
      <c r="A22" s="23"/>
      <c r="B22" s="6"/>
      <c r="C22" s="6"/>
      <c r="D22" s="6"/>
      <c r="E22" s="6"/>
      <c r="F22" s="6"/>
      <c r="G22" s="23"/>
      <c r="H22" s="22"/>
      <c r="I22" s="22"/>
      <c r="J22" s="9"/>
      <c r="K22" s="9"/>
    </row>
    <row r="23" spans="1:11">
      <c r="A23" s="23"/>
      <c r="B23" s="151" t="s">
        <v>197</v>
      </c>
      <c r="C23" s="6"/>
      <c r="D23" s="6"/>
      <c r="E23" s="6"/>
      <c r="F23" s="6"/>
      <c r="G23" s="23"/>
      <c r="H23" s="22"/>
      <c r="I23" s="22"/>
      <c r="J23" s="9"/>
      <c r="K23" s="9"/>
    </row>
    <row r="24" spans="1:11" ht="15" customHeight="1">
      <c r="A24" s="5"/>
      <c r="B24" s="289" t="s">
        <v>246</v>
      </c>
      <c r="C24" s="289"/>
      <c r="D24" s="289"/>
      <c r="E24" s="289"/>
      <c r="F24" s="289"/>
      <c r="G24" s="289"/>
      <c r="H24" s="289"/>
      <c r="I24" s="289"/>
      <c r="J24" s="289"/>
      <c r="K24" s="289"/>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row r="29" spans="1:11">
      <c r="A29" s="4"/>
      <c r="B29" s="4"/>
      <c r="C29" s="4"/>
      <c r="D29" s="4"/>
      <c r="E29" s="4"/>
      <c r="F29" s="4"/>
      <c r="G29" s="4"/>
      <c r="H29" s="4"/>
      <c r="I29" s="4"/>
      <c r="J29" s="4"/>
      <c r="K29" s="4"/>
    </row>
    <row r="30" spans="1:11">
      <c r="A30" s="4"/>
      <c r="B30" s="4"/>
      <c r="C30" s="4"/>
      <c r="D30" s="4"/>
      <c r="E30" s="4"/>
      <c r="F30" s="4"/>
      <c r="G30" s="4"/>
      <c r="H30" s="4"/>
      <c r="I30" s="4"/>
      <c r="J30" s="4"/>
      <c r="K30" s="4"/>
    </row>
  </sheetData>
  <mergeCells count="21">
    <mergeCell ref="B24:K24"/>
    <mergeCell ref="A18:B18"/>
    <mergeCell ref="C18:F18"/>
    <mergeCell ref="I18:J18"/>
    <mergeCell ref="A15:C15"/>
    <mergeCell ref="I15:K15"/>
    <mergeCell ref="A17:B17"/>
    <mergeCell ref="C17:F17"/>
    <mergeCell ref="I17:J17"/>
    <mergeCell ref="A14:D14"/>
    <mergeCell ref="F1:G1"/>
    <mergeCell ref="A6:K6"/>
    <mergeCell ref="I4:K4"/>
    <mergeCell ref="I7:J7"/>
    <mergeCell ref="I8:J8"/>
    <mergeCell ref="C7:F7"/>
    <mergeCell ref="C8:F8"/>
    <mergeCell ref="A7:B7"/>
    <mergeCell ref="A8:B8"/>
    <mergeCell ref="A4:C4"/>
    <mergeCell ref="A3:D3"/>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8561-3632-4113-AE38-916AD070B2BE}">
  <dimension ref="A1:K30"/>
  <sheetViews>
    <sheetView tabSelected="1" zoomScale="80" zoomScaleNormal="80" workbookViewId="0">
      <selection activeCell="A6" sqref="A6:K6"/>
    </sheetView>
  </sheetViews>
  <sheetFormatPr defaultColWidth="8.7109375" defaultRowHeight="15"/>
  <cols>
    <col min="1" max="1" width="4.5703125" style="86" customWidth="1"/>
    <col min="2" max="4" width="10.5703125" style="86" customWidth="1"/>
    <col min="5" max="6" width="12.5703125" style="86" customWidth="1"/>
    <col min="7" max="7" width="4.5703125" style="86" customWidth="1"/>
    <col min="8" max="8" width="3.5703125" style="86" customWidth="1"/>
    <col min="9" max="9" width="25.5703125" style="86" customWidth="1"/>
    <col min="10" max="10" width="3.5703125" style="86" customWidth="1"/>
    <col min="11" max="11" width="24.5703125" style="86" customWidth="1"/>
    <col min="12" max="16384" width="8.7109375" style="86"/>
  </cols>
  <sheetData>
    <row r="1" spans="1:11">
      <c r="A1" s="90"/>
      <c r="B1" s="86" t="s">
        <v>50</v>
      </c>
      <c r="C1" s="91"/>
      <c r="D1" s="86" t="s">
        <v>51</v>
      </c>
      <c r="F1" s="277"/>
      <c r="G1" s="277"/>
      <c r="H1" s="86" t="s">
        <v>52</v>
      </c>
      <c r="J1" s="92"/>
      <c r="K1" s="86" t="s">
        <v>53</v>
      </c>
    </row>
    <row r="2" spans="1:11" s="89" customFormat="1">
      <c r="A2" s="39" t="s">
        <v>0</v>
      </c>
      <c r="B2" s="39"/>
      <c r="C2" s="39"/>
      <c r="F2" s="45"/>
      <c r="G2" s="45"/>
    </row>
    <row r="3" spans="1:11" ht="15.75">
      <c r="A3" s="276" t="s">
        <v>249</v>
      </c>
      <c r="B3" s="276"/>
      <c r="C3" s="276"/>
      <c r="D3" s="276"/>
      <c r="E3" s="39"/>
      <c r="F3" s="39"/>
      <c r="G3" s="39"/>
      <c r="H3" s="2"/>
      <c r="I3" s="2"/>
      <c r="J3" s="2"/>
      <c r="K3" s="2"/>
    </row>
    <row r="4" spans="1:11" ht="15.75">
      <c r="A4" s="292" t="s">
        <v>370</v>
      </c>
      <c r="B4" s="292"/>
      <c r="C4" s="292"/>
      <c r="D4" s="2"/>
      <c r="E4" s="3"/>
      <c r="F4" s="3"/>
      <c r="G4" s="3"/>
      <c r="H4" s="2"/>
      <c r="I4" s="281" t="s">
        <v>7</v>
      </c>
      <c r="J4" s="281"/>
      <c r="K4" s="281"/>
    </row>
    <row r="5" spans="1:11" s="48" customFormat="1">
      <c r="A5" s="52" t="s">
        <v>54</v>
      </c>
      <c r="B5" s="49"/>
      <c r="C5" s="49"/>
      <c r="D5" s="50"/>
      <c r="E5" s="49"/>
      <c r="F5" s="49"/>
      <c r="G5" s="49"/>
      <c r="H5" s="50"/>
      <c r="I5" s="51"/>
      <c r="J5" s="51"/>
      <c r="K5" s="251" t="s">
        <v>371</v>
      </c>
    </row>
    <row r="6" spans="1:11" ht="111" customHeight="1">
      <c r="A6" s="293" t="s">
        <v>394</v>
      </c>
      <c r="B6" s="294"/>
      <c r="C6" s="294"/>
      <c r="D6" s="294"/>
      <c r="E6" s="294"/>
      <c r="F6" s="294"/>
      <c r="G6" s="294"/>
      <c r="H6" s="294"/>
      <c r="I6" s="294"/>
      <c r="J6" s="294"/>
      <c r="K6" s="295"/>
    </row>
    <row r="7" spans="1:11">
      <c r="A7" s="286" t="s">
        <v>1</v>
      </c>
      <c r="B7" s="287"/>
      <c r="C7" s="284"/>
      <c r="D7" s="285"/>
      <c r="E7" s="285"/>
      <c r="F7" s="285"/>
      <c r="G7" s="231"/>
      <c r="H7" s="47"/>
      <c r="I7" s="282" t="s">
        <v>6</v>
      </c>
      <c r="J7" s="283"/>
      <c r="K7" s="43" t="s">
        <v>2</v>
      </c>
    </row>
    <row r="8" spans="1:11">
      <c r="A8" s="286" t="s">
        <v>3</v>
      </c>
      <c r="B8" s="287"/>
      <c r="C8" s="284"/>
      <c r="D8" s="285"/>
      <c r="E8" s="285"/>
      <c r="F8" s="285"/>
      <c r="G8" s="231"/>
      <c r="H8" s="47"/>
      <c r="I8" s="282" t="s">
        <v>4</v>
      </c>
      <c r="J8" s="283"/>
      <c r="K8" s="44"/>
    </row>
    <row r="9" spans="1:11">
      <c r="A9" s="28"/>
      <c r="B9" s="28"/>
      <c r="C9" s="28"/>
      <c r="D9" s="28"/>
      <c r="E9" s="28"/>
      <c r="F9" s="28"/>
      <c r="G9" s="28"/>
      <c r="H9" s="28"/>
      <c r="I9" s="29"/>
      <c r="J9" s="29"/>
      <c r="K9" s="28"/>
    </row>
    <row r="10" spans="1:11">
      <c r="A10" s="28"/>
      <c r="B10" s="151" t="s">
        <v>215</v>
      </c>
      <c r="C10" s="28"/>
      <c r="D10" s="28"/>
      <c r="E10" s="28"/>
      <c r="F10" s="28"/>
      <c r="G10" s="28"/>
      <c r="H10" s="28"/>
      <c r="I10" s="29"/>
      <c r="J10" s="29"/>
      <c r="K10" s="28"/>
    </row>
    <row r="11" spans="1:11">
      <c r="A11" s="28"/>
      <c r="B11" s="28"/>
      <c r="C11" s="28"/>
      <c r="D11" s="28"/>
      <c r="E11" s="28"/>
      <c r="F11" s="28"/>
      <c r="G11" s="28"/>
      <c r="H11" s="28"/>
      <c r="I11" s="29"/>
      <c r="J11" s="29"/>
      <c r="K11" s="28"/>
    </row>
    <row r="12" spans="1:11">
      <c r="A12" s="28"/>
      <c r="B12" s="28"/>
      <c r="C12" s="28"/>
      <c r="D12" s="28"/>
      <c r="E12" s="28"/>
      <c r="F12" s="28"/>
      <c r="G12" s="28"/>
      <c r="H12" s="28"/>
      <c r="I12" s="29"/>
      <c r="J12" s="29"/>
      <c r="K12" s="28"/>
    </row>
    <row r="13" spans="1:11">
      <c r="A13" s="39" t="s">
        <v>0</v>
      </c>
      <c r="B13" s="39"/>
      <c r="C13" s="39"/>
      <c r="D13" s="89"/>
      <c r="E13" s="89"/>
      <c r="F13" s="45"/>
      <c r="G13" s="45"/>
      <c r="H13" s="89"/>
      <c r="I13" s="89"/>
      <c r="J13" s="89"/>
      <c r="K13" s="89"/>
    </row>
    <row r="14" spans="1:11" ht="15.75">
      <c r="A14" s="276" t="s">
        <v>249</v>
      </c>
      <c r="B14" s="276"/>
      <c r="C14" s="276"/>
      <c r="D14" s="276"/>
      <c r="E14" s="39"/>
      <c r="F14" s="39"/>
      <c r="G14" s="39"/>
      <c r="H14" s="2"/>
      <c r="I14" s="2"/>
      <c r="J14" s="2"/>
      <c r="K14" s="2"/>
    </row>
    <row r="15" spans="1:11" ht="15.75">
      <c r="A15" s="292" t="s">
        <v>370</v>
      </c>
      <c r="B15" s="292"/>
      <c r="C15" s="292"/>
      <c r="D15" s="2"/>
      <c r="E15" s="3"/>
      <c r="F15" s="3"/>
      <c r="G15" s="3"/>
      <c r="H15" s="2"/>
      <c r="I15" s="281" t="s">
        <v>7</v>
      </c>
      <c r="J15" s="281"/>
      <c r="K15" s="281"/>
    </row>
    <row r="16" spans="1:11">
      <c r="A16" s="52" t="s">
        <v>54</v>
      </c>
      <c r="B16" s="49"/>
      <c r="C16" s="49"/>
      <c r="D16" s="50"/>
      <c r="E16" s="49"/>
      <c r="F16" s="49"/>
      <c r="G16" s="49"/>
      <c r="H16" s="50"/>
      <c r="I16" s="51"/>
      <c r="J16" s="51"/>
      <c r="K16" s="251" t="s">
        <v>371</v>
      </c>
    </row>
    <row r="17" spans="1:11">
      <c r="A17" s="286" t="s">
        <v>1</v>
      </c>
      <c r="B17" s="287"/>
      <c r="C17" s="290"/>
      <c r="D17" s="291"/>
      <c r="E17" s="291"/>
      <c r="F17" s="291"/>
      <c r="G17" s="232"/>
      <c r="H17" s="59"/>
      <c r="I17" s="282" t="s">
        <v>6</v>
      </c>
      <c r="J17" s="283"/>
      <c r="K17" s="43" t="s">
        <v>2</v>
      </c>
    </row>
    <row r="18" spans="1:11">
      <c r="A18" s="286" t="s">
        <v>3</v>
      </c>
      <c r="B18" s="287"/>
      <c r="C18" s="290"/>
      <c r="D18" s="291"/>
      <c r="E18" s="291"/>
      <c r="F18" s="291"/>
      <c r="G18" s="232"/>
      <c r="H18" s="59"/>
      <c r="I18" s="282" t="s">
        <v>4</v>
      </c>
      <c r="J18" s="283"/>
      <c r="K18" s="60"/>
    </row>
    <row r="19" spans="1:11">
      <c r="A19" s="23"/>
      <c r="B19" s="28"/>
      <c r="C19" s="28"/>
      <c r="D19" s="28"/>
      <c r="E19" s="28"/>
      <c r="F19" s="28"/>
      <c r="G19" s="23"/>
      <c r="H19" s="22"/>
      <c r="I19" s="22"/>
      <c r="J19" s="9"/>
      <c r="K19" s="9"/>
    </row>
    <row r="20" spans="1:11">
      <c r="A20" s="23"/>
      <c r="B20" s="28"/>
      <c r="C20" s="28"/>
      <c r="D20" s="28"/>
      <c r="E20" s="28"/>
      <c r="F20" s="28"/>
      <c r="G20" s="23"/>
      <c r="H20" s="22"/>
      <c r="I20" s="22"/>
      <c r="J20" s="9"/>
      <c r="K20" s="9"/>
    </row>
    <row r="21" spans="1:11">
      <c r="A21" s="23"/>
      <c r="B21" s="28"/>
      <c r="C21" s="28"/>
      <c r="D21" s="28"/>
      <c r="E21" s="28"/>
      <c r="F21" s="28"/>
      <c r="G21" s="23"/>
      <c r="H21" s="22"/>
      <c r="I21" s="22"/>
      <c r="J21" s="9"/>
      <c r="K21" s="9"/>
    </row>
    <row r="22" spans="1:11">
      <c r="A22" s="23"/>
      <c r="B22" s="28"/>
      <c r="C22" s="28"/>
      <c r="D22" s="28"/>
      <c r="E22" s="28"/>
      <c r="F22" s="28"/>
      <c r="G22" s="23"/>
      <c r="H22" s="22"/>
      <c r="I22" s="22"/>
      <c r="J22" s="9"/>
      <c r="K22" s="9"/>
    </row>
    <row r="23" spans="1:11">
      <c r="A23" s="23"/>
      <c r="B23" s="151" t="s">
        <v>197</v>
      </c>
      <c r="C23" s="28"/>
      <c r="D23" s="28"/>
      <c r="E23" s="28"/>
      <c r="F23" s="28"/>
      <c r="G23" s="23"/>
      <c r="H23" s="22"/>
      <c r="I23" s="22"/>
      <c r="J23" s="9"/>
      <c r="K23" s="9"/>
    </row>
    <row r="24" spans="1:11" ht="15" customHeight="1">
      <c r="A24" s="5"/>
      <c r="B24" s="289" t="s">
        <v>246</v>
      </c>
      <c r="C24" s="289"/>
      <c r="D24" s="289"/>
      <c r="E24" s="289"/>
      <c r="F24" s="289"/>
      <c r="G24" s="289"/>
      <c r="H24" s="289"/>
      <c r="I24" s="289"/>
      <c r="J24" s="289"/>
      <c r="K24" s="289"/>
    </row>
    <row r="25" spans="1:11">
      <c r="A25" s="87"/>
      <c r="B25" s="87"/>
      <c r="C25" s="87"/>
      <c r="D25" s="87"/>
      <c r="E25" s="87"/>
      <c r="F25" s="87"/>
      <c r="G25" s="87"/>
      <c r="H25" s="87"/>
      <c r="I25" s="87"/>
      <c r="J25" s="87"/>
      <c r="K25" s="87"/>
    </row>
    <row r="26" spans="1:11">
      <c r="A26" s="87"/>
      <c r="B26" s="87"/>
      <c r="C26" s="87"/>
      <c r="D26" s="87"/>
      <c r="E26" s="87"/>
      <c r="F26" s="87"/>
      <c r="G26" s="87"/>
      <c r="H26" s="87"/>
      <c r="I26" s="87"/>
      <c r="J26" s="87"/>
      <c r="K26" s="87"/>
    </row>
    <row r="27" spans="1:11">
      <c r="A27" s="87"/>
      <c r="B27" s="87"/>
      <c r="C27" s="87"/>
      <c r="D27" s="87"/>
      <c r="E27" s="87"/>
      <c r="F27" s="87"/>
      <c r="G27" s="87"/>
      <c r="H27" s="87"/>
      <c r="I27" s="87"/>
      <c r="J27" s="87"/>
      <c r="K27" s="87"/>
    </row>
    <row r="28" spans="1:11">
      <c r="A28" s="87"/>
      <c r="B28" s="87"/>
      <c r="C28" s="87"/>
      <c r="D28" s="87"/>
      <c r="E28" s="87"/>
      <c r="F28" s="87"/>
      <c r="G28" s="87"/>
      <c r="H28" s="87"/>
      <c r="I28" s="87"/>
      <c r="J28" s="87"/>
      <c r="K28" s="87"/>
    </row>
    <row r="29" spans="1:11">
      <c r="A29" s="87"/>
      <c r="B29" s="87"/>
      <c r="C29" s="87"/>
      <c r="D29" s="87"/>
      <c r="E29" s="87"/>
      <c r="F29" s="87"/>
      <c r="G29" s="87"/>
      <c r="H29" s="87"/>
      <c r="I29" s="87"/>
      <c r="J29" s="87"/>
      <c r="K29" s="87"/>
    </row>
    <row r="30" spans="1:11">
      <c r="A30" s="87"/>
      <c r="B30" s="87"/>
      <c r="C30" s="87"/>
      <c r="D30" s="87"/>
      <c r="E30" s="87"/>
      <c r="F30" s="87"/>
      <c r="G30" s="87"/>
      <c r="H30" s="87"/>
      <c r="I30" s="87"/>
      <c r="J30" s="87"/>
      <c r="K30" s="87"/>
    </row>
  </sheetData>
  <mergeCells count="21">
    <mergeCell ref="A7:B7"/>
    <mergeCell ref="C7:F7"/>
    <mergeCell ref="I7:J7"/>
    <mergeCell ref="F1:G1"/>
    <mergeCell ref="A3:D3"/>
    <mergeCell ref="A4:C4"/>
    <mergeCell ref="I4:K4"/>
    <mergeCell ref="A6:K6"/>
    <mergeCell ref="A8:B8"/>
    <mergeCell ref="C8:F8"/>
    <mergeCell ref="I8:J8"/>
    <mergeCell ref="A14:D14"/>
    <mergeCell ref="A15:C15"/>
    <mergeCell ref="I15:K15"/>
    <mergeCell ref="B24:K24"/>
    <mergeCell ref="A17:B17"/>
    <mergeCell ref="C17:F17"/>
    <mergeCell ref="I17:J17"/>
    <mergeCell ref="A18:B18"/>
    <mergeCell ref="C18:F18"/>
    <mergeCell ref="I18:J18"/>
  </mergeCells>
  <pageMargins left="0.5" right="0.5"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0"/>
  <sheetViews>
    <sheetView topLeftCell="A11" zoomScale="70" zoomScaleNormal="70" workbookViewId="0">
      <selection activeCell="R43" sqref="R43"/>
    </sheetView>
  </sheetViews>
  <sheetFormatPr defaultRowHeight="15"/>
  <cols>
    <col min="1" max="1" width="4.5703125" customWidth="1"/>
    <col min="2" max="2" width="4.5703125" style="86" customWidth="1"/>
    <col min="3" max="5" width="10.5703125" customWidth="1"/>
    <col min="6" max="6" width="5" customWidth="1"/>
    <col min="7" max="7" width="18.42578125" customWidth="1"/>
    <col min="8" max="9" width="4.5703125" customWidth="1"/>
    <col min="10" max="10" width="16.42578125" customWidth="1"/>
    <col min="11" max="11" width="3.5703125" customWidth="1"/>
    <col min="12" max="12" width="38.5703125" customWidth="1"/>
  </cols>
  <sheetData>
    <row r="1" spans="1:25" s="36" customFormat="1">
      <c r="B1" s="86"/>
      <c r="C1" s="40"/>
      <c r="D1" s="36" t="s">
        <v>50</v>
      </c>
      <c r="E1" s="41"/>
      <c r="F1" s="36" t="s">
        <v>51</v>
      </c>
      <c r="H1" s="277"/>
      <c r="I1" s="277"/>
      <c r="J1" s="36" t="s">
        <v>52</v>
      </c>
      <c r="L1" s="42"/>
      <c r="M1" s="36" t="s">
        <v>53</v>
      </c>
    </row>
    <row r="2" spans="1:25">
      <c r="A2" s="4"/>
      <c r="B2" s="87"/>
      <c r="C2" s="4"/>
      <c r="D2" s="4"/>
      <c r="E2" s="4"/>
      <c r="F2" s="4"/>
      <c r="G2" s="4"/>
      <c r="H2" s="4"/>
      <c r="I2" s="4"/>
      <c r="J2" s="4"/>
      <c r="K2" s="4"/>
      <c r="L2" s="4"/>
    </row>
    <row r="3" spans="1:25" s="86" customFormat="1" ht="15" customHeight="1">
      <c r="A3" s="333" t="s">
        <v>10</v>
      </c>
      <c r="B3" s="334"/>
      <c r="C3" s="334"/>
      <c r="D3" s="334"/>
      <c r="E3" s="334"/>
      <c r="F3" s="334"/>
      <c r="G3" s="334"/>
      <c r="H3" s="334"/>
      <c r="I3" s="334"/>
      <c r="J3" s="334"/>
      <c r="K3" s="334"/>
      <c r="L3" s="335"/>
    </row>
    <row r="4" spans="1:25" s="86" customFormat="1">
      <c r="A4" s="112" t="s">
        <v>37</v>
      </c>
      <c r="B4" s="325" t="s">
        <v>5</v>
      </c>
      <c r="C4" s="326"/>
      <c r="D4" s="326"/>
      <c r="E4" s="330"/>
      <c r="F4" s="331"/>
      <c r="G4" s="332"/>
      <c r="H4" s="185" t="s">
        <v>40</v>
      </c>
      <c r="I4" s="327" t="s">
        <v>409</v>
      </c>
      <c r="J4" s="328"/>
      <c r="K4" s="329" t="s">
        <v>383</v>
      </c>
      <c r="L4" s="329"/>
      <c r="M4" s="111"/>
    </row>
    <row r="5" spans="1:25" s="86" customFormat="1">
      <c r="A5" s="112" t="s">
        <v>38</v>
      </c>
      <c r="B5" s="325" t="s">
        <v>77</v>
      </c>
      <c r="C5" s="326"/>
      <c r="D5" s="326"/>
      <c r="E5" s="339" t="s">
        <v>55</v>
      </c>
      <c r="F5" s="340"/>
      <c r="G5" s="341"/>
      <c r="H5" s="185" t="s">
        <v>41</v>
      </c>
      <c r="I5" s="336" t="s">
        <v>152</v>
      </c>
      <c r="J5" s="337"/>
      <c r="K5" s="338" t="s">
        <v>55</v>
      </c>
      <c r="L5" s="338"/>
    </row>
    <row r="6" spans="1:25" s="86" customFormat="1" ht="59.45" customHeight="1">
      <c r="A6" s="113" t="s">
        <v>39</v>
      </c>
      <c r="B6" s="220" t="s">
        <v>8</v>
      </c>
      <c r="C6" s="343" t="s">
        <v>316</v>
      </c>
      <c r="D6" s="344"/>
      <c r="E6" s="345" t="s">
        <v>317</v>
      </c>
      <c r="F6" s="345"/>
      <c r="G6" s="346"/>
      <c r="H6" s="207" t="s">
        <v>45</v>
      </c>
      <c r="I6" s="342" t="s">
        <v>273</v>
      </c>
      <c r="J6" s="342"/>
      <c r="K6" s="313" t="s">
        <v>55</v>
      </c>
      <c r="L6" s="313"/>
    </row>
    <row r="7" spans="1:25" s="86" customFormat="1" ht="36.75" customHeight="1">
      <c r="A7" s="315" t="s">
        <v>381</v>
      </c>
      <c r="B7" s="316"/>
      <c r="C7" s="316"/>
      <c r="D7" s="316"/>
      <c r="E7" s="316"/>
      <c r="F7" s="316"/>
      <c r="G7" s="316"/>
      <c r="H7" s="316"/>
      <c r="I7" s="316"/>
      <c r="J7" s="316"/>
      <c r="K7" s="316"/>
      <c r="L7" s="317"/>
      <c r="M7" s="68"/>
    </row>
    <row r="8" spans="1:25" s="86" customFormat="1" ht="27" customHeight="1">
      <c r="A8" s="212" t="s">
        <v>225</v>
      </c>
      <c r="B8" s="347" t="s">
        <v>122</v>
      </c>
      <c r="C8" s="348"/>
      <c r="D8" s="348"/>
      <c r="E8" s="348"/>
      <c r="F8" s="348"/>
      <c r="G8" s="349"/>
      <c r="H8" s="314"/>
      <c r="I8" s="314"/>
      <c r="J8" s="314"/>
      <c r="K8" s="314"/>
      <c r="L8" s="314"/>
      <c r="M8" s="68"/>
    </row>
    <row r="9" spans="1:25" s="86" customFormat="1" ht="32.450000000000003" customHeight="1">
      <c r="A9" s="320" t="s">
        <v>233</v>
      </c>
      <c r="B9" s="320"/>
      <c r="C9" s="320"/>
      <c r="D9" s="320"/>
      <c r="E9" s="320"/>
      <c r="F9" s="320"/>
      <c r="G9" s="320"/>
      <c r="H9" s="320"/>
      <c r="I9" s="320"/>
      <c r="J9" s="320"/>
      <c r="K9" s="320"/>
      <c r="L9" s="320"/>
      <c r="M9" s="68"/>
    </row>
    <row r="10" spans="1:25" s="86" customFormat="1" ht="48" customHeight="1">
      <c r="A10" s="319" t="s">
        <v>304</v>
      </c>
      <c r="B10" s="319"/>
      <c r="C10" s="319"/>
      <c r="D10" s="319"/>
      <c r="E10" s="319"/>
      <c r="F10" s="319"/>
      <c r="G10" s="319"/>
      <c r="H10" s="319"/>
      <c r="I10" s="319"/>
      <c r="J10" s="319"/>
      <c r="K10" s="319"/>
      <c r="L10" s="319"/>
      <c r="M10" s="68"/>
    </row>
    <row r="11" spans="1:25" s="86" customFormat="1">
      <c r="A11" s="23"/>
      <c r="B11" s="23"/>
      <c r="C11" s="28"/>
      <c r="D11" s="28"/>
      <c r="E11" s="28"/>
      <c r="F11" s="28"/>
      <c r="G11" s="28"/>
      <c r="H11" s="106"/>
      <c r="I11" s="22"/>
      <c r="J11" s="22"/>
      <c r="K11" s="9"/>
      <c r="L11" s="9"/>
    </row>
    <row r="12" spans="1:25" s="86" customFormat="1">
      <c r="A12" s="87"/>
      <c r="B12" s="87"/>
      <c r="C12" s="87"/>
      <c r="D12" s="87"/>
      <c r="E12" s="302" t="s">
        <v>209</v>
      </c>
      <c r="F12" s="302"/>
      <c r="G12" s="302"/>
      <c r="H12" s="186"/>
      <c r="I12" s="186"/>
      <c r="J12" s="175"/>
      <c r="K12" s="302" t="s">
        <v>121</v>
      </c>
      <c r="L12" s="302"/>
    </row>
    <row r="13" spans="1:25" s="86" customFormat="1">
      <c r="A13" s="87"/>
      <c r="B13" s="87"/>
      <c r="D13" s="87"/>
      <c r="E13" s="318">
        <v>1</v>
      </c>
      <c r="F13" s="318"/>
      <c r="G13" s="318"/>
      <c r="H13" s="175"/>
      <c r="I13" s="175"/>
      <c r="J13" s="175"/>
      <c r="K13" s="306" t="s">
        <v>278</v>
      </c>
      <c r="L13" s="306"/>
      <c r="M13" s="32" t="s">
        <v>386</v>
      </c>
      <c r="N13" s="32"/>
      <c r="O13" s="32"/>
      <c r="P13" s="32"/>
      <c r="Q13" s="32"/>
      <c r="R13" s="32"/>
      <c r="S13" s="32"/>
      <c r="T13" s="32"/>
      <c r="U13" s="32"/>
      <c r="V13" s="32"/>
      <c r="W13" s="32"/>
      <c r="X13" s="32"/>
      <c r="Y13" s="32"/>
    </row>
    <row r="14" spans="1:25" s="86" customFormat="1">
      <c r="A14" s="87"/>
      <c r="B14" s="87"/>
      <c r="D14" s="87"/>
      <c r="E14" s="318">
        <v>2</v>
      </c>
      <c r="F14" s="318"/>
      <c r="G14" s="318"/>
      <c r="H14" s="175"/>
      <c r="I14" s="175"/>
      <c r="J14" s="175"/>
      <c r="K14" s="306" t="s">
        <v>279</v>
      </c>
      <c r="L14" s="306"/>
      <c r="M14" s="32" t="s">
        <v>386</v>
      </c>
      <c r="N14" s="32"/>
      <c r="O14" s="32"/>
      <c r="P14" s="32"/>
      <c r="Q14" s="32"/>
      <c r="R14" s="32"/>
      <c r="S14" s="32"/>
      <c r="T14" s="32"/>
      <c r="U14" s="32"/>
      <c r="V14" s="32"/>
      <c r="W14" s="32"/>
      <c r="X14" s="32"/>
      <c r="Y14" s="32"/>
    </row>
    <row r="15" spans="1:25" s="86" customFormat="1">
      <c r="A15" s="87"/>
      <c r="B15" s="87"/>
      <c r="D15" s="87"/>
      <c r="E15" s="318">
        <v>3</v>
      </c>
      <c r="F15" s="318"/>
      <c r="G15" s="318"/>
      <c r="H15" s="175"/>
      <c r="I15" s="175"/>
      <c r="J15" s="175"/>
      <c r="K15" s="311" t="s">
        <v>252</v>
      </c>
      <c r="L15" s="311"/>
      <c r="M15" s="32" t="s">
        <v>386</v>
      </c>
      <c r="N15" s="32"/>
      <c r="O15" s="32"/>
      <c r="P15" s="32"/>
      <c r="Q15" s="32"/>
      <c r="R15" s="32"/>
      <c r="S15" s="32"/>
      <c r="T15" s="32"/>
      <c r="U15" s="32"/>
      <c r="V15" s="32"/>
      <c r="W15" s="32"/>
      <c r="X15" s="32"/>
      <c r="Y15" s="32"/>
    </row>
    <row r="16" spans="1:25" s="86" customFormat="1">
      <c r="A16" s="87"/>
      <c r="B16" s="87"/>
      <c r="C16" s="87"/>
      <c r="D16" s="87"/>
      <c r="E16" s="318">
        <v>4</v>
      </c>
      <c r="F16" s="318"/>
      <c r="G16" s="318"/>
      <c r="H16" s="175"/>
      <c r="I16" s="175"/>
      <c r="K16" s="311" t="s">
        <v>253</v>
      </c>
      <c r="L16" s="311"/>
      <c r="M16" s="32" t="s">
        <v>386</v>
      </c>
      <c r="N16" s="32"/>
      <c r="O16" s="32"/>
      <c r="P16" s="32"/>
      <c r="Q16" s="32"/>
      <c r="R16" s="32"/>
      <c r="S16" s="32"/>
      <c r="T16" s="32"/>
      <c r="U16" s="32"/>
      <c r="V16" s="32"/>
      <c r="W16" s="32"/>
      <c r="X16" s="32"/>
      <c r="Y16" s="32"/>
    </row>
    <row r="17" spans="1:25" s="86" customFormat="1">
      <c r="A17" s="87"/>
      <c r="B17" s="87"/>
      <c r="C17" s="87"/>
      <c r="D17" s="87"/>
      <c r="E17" s="318">
        <v>5</v>
      </c>
      <c r="F17" s="318"/>
      <c r="G17" s="318"/>
      <c r="H17" s="186"/>
      <c r="I17" s="186"/>
      <c r="J17" s="175"/>
      <c r="K17" s="311" t="s">
        <v>254</v>
      </c>
      <c r="L17" s="311"/>
      <c r="M17" s="32" t="s">
        <v>386</v>
      </c>
      <c r="N17" s="32"/>
      <c r="O17" s="218"/>
      <c r="P17" s="32"/>
      <c r="Q17" s="32"/>
      <c r="R17" s="32"/>
      <c r="S17" s="32"/>
      <c r="T17" s="32"/>
      <c r="U17" s="32"/>
      <c r="V17" s="32"/>
      <c r="W17" s="32"/>
      <c r="X17" s="32"/>
      <c r="Y17" s="32"/>
    </row>
    <row r="18" spans="1:25" s="86" customFormat="1">
      <c r="A18" s="87"/>
      <c r="B18" s="87"/>
      <c r="D18" s="87"/>
      <c r="E18" s="318">
        <v>6</v>
      </c>
      <c r="F18" s="318"/>
      <c r="G18" s="318"/>
      <c r="H18" s="174"/>
      <c r="I18" s="174"/>
      <c r="J18" s="174"/>
      <c r="K18" s="311" t="s">
        <v>255</v>
      </c>
      <c r="L18" s="311"/>
      <c r="M18" s="32" t="s">
        <v>386</v>
      </c>
      <c r="N18" s="32"/>
      <c r="O18" s="32"/>
      <c r="P18" s="32"/>
      <c r="Q18" s="32"/>
      <c r="R18" s="218"/>
      <c r="S18" s="32"/>
      <c r="T18" s="32"/>
      <c r="U18" s="32"/>
      <c r="V18" s="32"/>
      <c r="W18" s="32"/>
      <c r="X18" s="32"/>
      <c r="Y18" s="32"/>
    </row>
    <row r="19" spans="1:25" s="86" customFormat="1">
      <c r="A19" s="87"/>
      <c r="B19" s="87"/>
      <c r="D19" s="87"/>
      <c r="E19" s="318">
        <v>7</v>
      </c>
      <c r="F19" s="318"/>
      <c r="G19" s="318"/>
      <c r="H19" s="174"/>
      <c r="I19" s="174"/>
      <c r="J19" s="174"/>
      <c r="K19" s="311" t="s">
        <v>256</v>
      </c>
      <c r="L19" s="311"/>
      <c r="M19" s="32" t="s">
        <v>386</v>
      </c>
      <c r="N19" s="269"/>
      <c r="O19" s="269"/>
      <c r="P19" s="269"/>
      <c r="Q19" s="269"/>
      <c r="R19" s="269"/>
      <c r="S19" s="269"/>
      <c r="T19" s="269"/>
      <c r="U19" s="269"/>
      <c r="V19" s="269"/>
      <c r="W19" s="269"/>
      <c r="X19" s="269"/>
      <c r="Y19" s="269"/>
    </row>
    <row r="20" spans="1:25" s="86" customFormat="1">
      <c r="A20" s="87"/>
      <c r="B20" s="87"/>
      <c r="D20" s="87"/>
      <c r="E20" s="318">
        <v>8</v>
      </c>
      <c r="F20" s="318"/>
      <c r="G20" s="318"/>
      <c r="H20" s="174"/>
      <c r="I20" s="174"/>
      <c r="J20" s="87"/>
      <c r="K20" s="311" t="s">
        <v>272</v>
      </c>
      <c r="L20" s="311"/>
      <c r="M20" s="32" t="s">
        <v>386</v>
      </c>
      <c r="N20" s="32"/>
      <c r="O20" s="218"/>
      <c r="P20" s="32"/>
      <c r="Q20" s="32"/>
      <c r="R20" s="218"/>
      <c r="S20" s="32"/>
      <c r="T20" s="32"/>
      <c r="U20" s="32"/>
      <c r="V20" s="32"/>
      <c r="W20" s="32"/>
      <c r="X20" s="32"/>
      <c r="Y20" s="32"/>
    </row>
    <row r="21" spans="1:25" s="86" customFormat="1">
      <c r="A21" s="87"/>
      <c r="B21" s="87"/>
      <c r="C21" s="87"/>
      <c r="D21" s="87"/>
      <c r="E21" s="310">
        <v>9</v>
      </c>
      <c r="F21" s="310"/>
      <c r="G21" s="310"/>
      <c r="H21" s="87"/>
      <c r="I21" s="87"/>
      <c r="J21" s="87"/>
      <c r="K21" s="311" t="s">
        <v>257</v>
      </c>
      <c r="L21" s="311"/>
      <c r="M21" s="32" t="s">
        <v>386</v>
      </c>
      <c r="N21" s="269"/>
      <c r="O21" s="269"/>
      <c r="P21" s="269"/>
      <c r="Q21" s="269"/>
      <c r="R21" s="269"/>
      <c r="S21" s="269"/>
      <c r="T21" s="269"/>
      <c r="U21" s="269"/>
      <c r="V21" s="269"/>
      <c r="W21" s="269"/>
      <c r="X21" s="269"/>
      <c r="Y21" s="269"/>
    </row>
    <row r="22" spans="1:25" s="86" customFormat="1">
      <c r="A22" s="87"/>
      <c r="B22" s="87"/>
      <c r="C22" s="87"/>
      <c r="D22" s="87"/>
      <c r="E22" s="310">
        <v>10</v>
      </c>
      <c r="F22" s="310"/>
      <c r="G22" s="310"/>
      <c r="H22" s="87"/>
      <c r="I22" s="87"/>
      <c r="J22" s="87"/>
      <c r="K22" s="311" t="s">
        <v>258</v>
      </c>
      <c r="L22" s="311"/>
      <c r="M22" s="32" t="s">
        <v>386</v>
      </c>
      <c r="N22" s="32"/>
      <c r="O22" s="218"/>
      <c r="P22" s="32"/>
      <c r="Q22" s="32"/>
      <c r="R22" s="218"/>
      <c r="S22" s="32"/>
      <c r="T22" s="32"/>
      <c r="U22" s="32"/>
      <c r="V22" s="32"/>
      <c r="W22" s="32"/>
      <c r="X22" s="32"/>
      <c r="Y22" s="32"/>
    </row>
    <row r="23" spans="1:25" s="86" customFormat="1">
      <c r="A23" s="87"/>
      <c r="B23" s="87"/>
      <c r="C23" s="87"/>
      <c r="D23" s="87"/>
      <c r="E23" s="310">
        <v>11</v>
      </c>
      <c r="F23" s="310"/>
      <c r="G23" s="310"/>
      <c r="H23" s="87"/>
      <c r="I23" s="87"/>
      <c r="J23" s="87"/>
      <c r="K23" s="311" t="s">
        <v>259</v>
      </c>
      <c r="L23" s="311"/>
      <c r="M23" s="32" t="s">
        <v>386</v>
      </c>
      <c r="N23" s="32"/>
      <c r="O23" s="218"/>
      <c r="P23" s="32"/>
      <c r="Q23" s="32"/>
      <c r="R23" s="218"/>
      <c r="S23" s="32"/>
      <c r="T23" s="32"/>
      <c r="U23" s="32"/>
      <c r="V23" s="32"/>
      <c r="W23" s="32"/>
      <c r="X23" s="32"/>
      <c r="Y23" s="32"/>
    </row>
    <row r="24" spans="1:25" s="86" customFormat="1">
      <c r="A24" s="87"/>
      <c r="B24" s="87"/>
      <c r="C24" s="87"/>
      <c r="D24" s="87"/>
      <c r="E24" s="310">
        <v>12</v>
      </c>
      <c r="F24" s="310"/>
      <c r="G24" s="310"/>
      <c r="H24" s="87"/>
      <c r="I24" s="87"/>
      <c r="J24" s="87"/>
      <c r="K24" s="311" t="s">
        <v>260</v>
      </c>
      <c r="L24" s="311"/>
      <c r="M24" s="32" t="s">
        <v>386</v>
      </c>
      <c r="N24" s="32"/>
      <c r="O24" s="32"/>
      <c r="P24" s="32"/>
      <c r="Q24" s="32"/>
      <c r="R24" s="218"/>
      <c r="S24" s="32"/>
      <c r="T24" s="32"/>
      <c r="U24" s="32"/>
      <c r="V24" s="32"/>
      <c r="W24" s="32"/>
      <c r="X24" s="32"/>
      <c r="Y24" s="32"/>
    </row>
    <row r="25" spans="1:25" s="86" customFormat="1">
      <c r="A25" s="87"/>
      <c r="B25" s="87"/>
      <c r="C25" s="87"/>
      <c r="D25" s="87"/>
      <c r="E25" s="310">
        <v>13</v>
      </c>
      <c r="F25" s="310"/>
      <c r="G25" s="310"/>
      <c r="H25" s="87"/>
      <c r="I25" s="87"/>
      <c r="J25" s="87"/>
      <c r="K25" s="311" t="s">
        <v>261</v>
      </c>
      <c r="L25" s="311"/>
      <c r="M25" s="32" t="s">
        <v>386</v>
      </c>
      <c r="N25" s="32"/>
      <c r="O25" s="218"/>
      <c r="P25" s="32"/>
      <c r="Q25" s="32"/>
      <c r="R25" s="218"/>
      <c r="S25" s="32"/>
      <c r="T25" s="32"/>
      <c r="U25" s="32"/>
      <c r="V25" s="32"/>
      <c r="W25" s="32"/>
      <c r="X25" s="32"/>
      <c r="Y25" s="32"/>
    </row>
    <row r="26" spans="1:25" s="86" customFormat="1">
      <c r="A26" s="87"/>
      <c r="B26" s="87"/>
      <c r="C26" s="87"/>
      <c r="D26" s="87"/>
      <c r="E26" s="310">
        <v>14</v>
      </c>
      <c r="F26" s="310"/>
      <c r="G26" s="310"/>
      <c r="H26" s="87"/>
      <c r="I26" s="87"/>
      <c r="J26" s="87"/>
      <c r="K26" s="311" t="s">
        <v>262</v>
      </c>
      <c r="L26" s="311"/>
      <c r="M26" s="32" t="s">
        <v>386</v>
      </c>
      <c r="N26" s="32"/>
      <c r="O26" s="218"/>
      <c r="P26" s="32"/>
      <c r="Q26" s="32"/>
      <c r="R26" s="218"/>
      <c r="S26" s="32"/>
      <c r="T26" s="32"/>
      <c r="U26" s="32"/>
      <c r="V26" s="32"/>
      <c r="W26" s="32"/>
      <c r="X26" s="32"/>
      <c r="Y26" s="32"/>
    </row>
    <row r="27" spans="1:25" s="86" customFormat="1">
      <c r="A27" s="87"/>
      <c r="B27" s="87"/>
      <c r="C27" s="87"/>
      <c r="D27" s="87"/>
      <c r="E27" s="310">
        <v>15</v>
      </c>
      <c r="F27" s="310"/>
      <c r="G27" s="310"/>
      <c r="H27" s="87"/>
      <c r="I27" s="87"/>
      <c r="J27" s="87"/>
      <c r="K27" s="311" t="s">
        <v>263</v>
      </c>
      <c r="L27" s="311"/>
      <c r="M27" s="32" t="s">
        <v>386</v>
      </c>
      <c r="N27" s="32"/>
      <c r="O27" s="218"/>
      <c r="P27" s="32"/>
      <c r="Q27" s="32"/>
      <c r="R27" s="218"/>
      <c r="S27" s="32"/>
      <c r="T27" s="32"/>
      <c r="U27" s="32"/>
      <c r="V27" s="32"/>
      <c r="W27" s="32"/>
      <c r="X27" s="32"/>
      <c r="Y27" s="32"/>
    </row>
    <row r="28" spans="1:25" s="86" customFormat="1">
      <c r="A28" s="87"/>
      <c r="B28" s="87"/>
      <c r="C28" s="87"/>
      <c r="D28" s="87"/>
      <c r="E28" s="310">
        <v>16</v>
      </c>
      <c r="F28" s="310"/>
      <c r="G28" s="310"/>
      <c r="H28" s="87"/>
      <c r="I28" s="87"/>
      <c r="K28" s="297" t="s">
        <v>267</v>
      </c>
      <c r="L28" s="298"/>
      <c r="M28" s="32" t="s">
        <v>387</v>
      </c>
      <c r="N28" s="32"/>
      <c r="O28" s="32"/>
      <c r="P28" s="32"/>
      <c r="Q28" s="32"/>
      <c r="R28" s="218"/>
      <c r="S28" s="32"/>
      <c r="T28" s="32"/>
      <c r="U28" s="32"/>
      <c r="V28" s="32"/>
      <c r="W28" s="32"/>
      <c r="X28" s="32"/>
      <c r="Y28" s="32"/>
    </row>
    <row r="29" spans="1:25" s="86" customFormat="1">
      <c r="J29"/>
      <c r="K29" s="297" t="s">
        <v>280</v>
      </c>
      <c r="L29" s="298"/>
      <c r="M29" s="32" t="s">
        <v>387</v>
      </c>
      <c r="N29" s="32"/>
      <c r="O29" s="32"/>
      <c r="P29" s="32"/>
      <c r="Q29" s="32"/>
      <c r="R29" s="32"/>
      <c r="S29" s="32"/>
      <c r="T29" s="32"/>
      <c r="U29" s="32"/>
      <c r="V29" s="32"/>
      <c r="W29" s="32"/>
      <c r="X29" s="32"/>
      <c r="Y29" s="32"/>
    </row>
    <row r="30" spans="1:25">
      <c r="K30" s="323" t="s">
        <v>270</v>
      </c>
      <c r="L30" s="324"/>
      <c r="M30" s="32" t="s">
        <v>387</v>
      </c>
      <c r="N30" s="32"/>
      <c r="O30" s="32"/>
      <c r="P30" s="32"/>
      <c r="Q30" s="32"/>
      <c r="R30" s="32"/>
      <c r="S30" s="32"/>
      <c r="T30" s="32"/>
      <c r="U30" s="32"/>
      <c r="V30" s="32"/>
      <c r="W30" s="32"/>
      <c r="X30" s="32"/>
      <c r="Y30" s="32"/>
    </row>
    <row r="31" spans="1:25">
      <c r="K31" s="299" t="s">
        <v>271</v>
      </c>
      <c r="L31" s="300"/>
      <c r="M31" s="32" t="s">
        <v>387</v>
      </c>
      <c r="N31" s="32"/>
      <c r="O31" s="32"/>
      <c r="P31" s="32"/>
      <c r="Q31" s="32"/>
      <c r="R31" s="32"/>
      <c r="S31" s="32"/>
      <c r="T31" s="32"/>
      <c r="U31" s="32"/>
      <c r="V31" s="32"/>
      <c r="W31" s="32"/>
      <c r="X31" s="32"/>
      <c r="Y31" s="32"/>
    </row>
    <row r="32" spans="1:25">
      <c r="K32" s="299" t="s">
        <v>266</v>
      </c>
      <c r="L32" s="300"/>
      <c r="M32" s="32" t="s">
        <v>387</v>
      </c>
      <c r="N32" s="32"/>
      <c r="O32" s="32"/>
      <c r="P32" s="32"/>
      <c r="Q32" s="32"/>
      <c r="R32" s="32"/>
      <c r="S32" s="32"/>
      <c r="T32" s="32"/>
      <c r="U32" s="32"/>
      <c r="V32" s="32"/>
      <c r="W32" s="32"/>
      <c r="X32" s="32"/>
      <c r="Y32" s="32"/>
    </row>
    <row r="33" spans="11:25">
      <c r="K33" s="299" t="s">
        <v>268</v>
      </c>
      <c r="L33" s="300"/>
      <c r="M33" s="32" t="s">
        <v>387</v>
      </c>
      <c r="N33" s="32"/>
      <c r="O33" s="32"/>
      <c r="P33" s="32"/>
      <c r="Q33" s="32"/>
      <c r="R33" s="32"/>
      <c r="S33" s="32"/>
      <c r="T33" s="32"/>
      <c r="U33" s="32"/>
      <c r="V33" s="32"/>
      <c r="W33" s="32"/>
      <c r="X33" s="32"/>
      <c r="Y33" s="32"/>
    </row>
    <row r="34" spans="11:25">
      <c r="K34" s="299" t="s">
        <v>269</v>
      </c>
      <c r="L34" s="300"/>
      <c r="M34" s="32" t="s">
        <v>387</v>
      </c>
      <c r="N34" s="32"/>
      <c r="O34" s="32"/>
      <c r="P34" s="32"/>
      <c r="Q34" s="32"/>
      <c r="R34" s="32"/>
      <c r="S34" s="32"/>
      <c r="T34" s="32"/>
      <c r="U34" s="32"/>
      <c r="V34" s="32"/>
      <c r="W34" s="32"/>
      <c r="X34" s="32"/>
      <c r="Y34" s="32"/>
    </row>
    <row r="35" spans="11:25">
      <c r="K35" s="309" t="s">
        <v>74</v>
      </c>
      <c r="L35" s="309"/>
      <c r="M35" s="32"/>
      <c r="N35" s="32"/>
      <c r="O35" s="32"/>
      <c r="P35" s="32"/>
      <c r="Q35" s="32"/>
      <c r="R35" s="32"/>
      <c r="S35" s="32"/>
      <c r="T35" s="32"/>
      <c r="U35" s="32"/>
      <c r="V35" s="32"/>
      <c r="W35" s="32"/>
      <c r="X35" s="32"/>
      <c r="Y35" s="32"/>
    </row>
    <row r="36" spans="11:25">
      <c r="K36" s="321" t="s">
        <v>234</v>
      </c>
      <c r="L36" s="322"/>
      <c r="M36" s="32" t="s">
        <v>387</v>
      </c>
      <c r="N36" s="32"/>
      <c r="O36" s="32"/>
      <c r="P36" s="32"/>
      <c r="Q36" s="32"/>
      <c r="R36" s="32"/>
      <c r="S36" s="32"/>
      <c r="T36" s="32"/>
      <c r="U36" s="32"/>
      <c r="V36" s="32"/>
      <c r="W36" s="32"/>
      <c r="X36" s="32"/>
      <c r="Y36" s="32"/>
    </row>
    <row r="37" spans="11:25">
      <c r="K37" s="306" t="s">
        <v>247</v>
      </c>
      <c r="L37" s="306"/>
      <c r="M37" s="32" t="s">
        <v>293</v>
      </c>
      <c r="N37" s="32"/>
      <c r="O37" s="32"/>
      <c r="P37" s="32"/>
      <c r="Q37" s="32"/>
      <c r="R37" s="32"/>
      <c r="S37" s="32"/>
      <c r="T37" s="32"/>
      <c r="U37" s="32"/>
      <c r="V37" s="32"/>
      <c r="W37" s="32"/>
      <c r="X37" s="32"/>
      <c r="Y37" s="32"/>
    </row>
    <row r="38" spans="11:25">
      <c r="K38" s="304" t="s">
        <v>281</v>
      </c>
      <c r="L38" s="305"/>
      <c r="N38" s="86"/>
    </row>
    <row r="39" spans="11:25">
      <c r="N39" s="86"/>
    </row>
    <row r="40" spans="11:25">
      <c r="M40" s="86"/>
      <c r="N40" s="86"/>
      <c r="U40" s="86"/>
    </row>
    <row r="41" spans="11:25">
      <c r="K41" s="302" t="s">
        <v>151</v>
      </c>
      <c r="L41" s="302"/>
      <c r="M41" s="86"/>
      <c r="N41" s="86"/>
    </row>
    <row r="42" spans="11:25">
      <c r="K42" s="303" t="s">
        <v>123</v>
      </c>
      <c r="L42" s="303"/>
      <c r="N42" s="86"/>
    </row>
    <row r="43" spans="11:25" ht="15.75">
      <c r="K43" s="307" t="s">
        <v>282</v>
      </c>
      <c r="L43" s="308"/>
      <c r="M43" s="32" t="s">
        <v>423</v>
      </c>
    </row>
    <row r="44" spans="11:25" ht="15.75">
      <c r="K44" s="301" t="s">
        <v>384</v>
      </c>
      <c r="L44" s="301"/>
    </row>
    <row r="45" spans="11:25" ht="15.75">
      <c r="K45" s="301" t="s">
        <v>385</v>
      </c>
      <c r="L45" s="301"/>
    </row>
    <row r="47" spans="11:25">
      <c r="K47" s="312" t="s">
        <v>274</v>
      </c>
      <c r="L47" s="312"/>
    </row>
    <row r="48" spans="11:25">
      <c r="K48" s="296" t="s">
        <v>275</v>
      </c>
      <c r="L48" s="296"/>
      <c r="M48" s="86"/>
    </row>
    <row r="49" spans="11:13">
      <c r="K49" s="296" t="s">
        <v>276</v>
      </c>
      <c r="L49" s="296"/>
      <c r="M49" s="86"/>
    </row>
    <row r="50" spans="11:13">
      <c r="K50" s="296" t="s">
        <v>277</v>
      </c>
      <c r="L50" s="296"/>
    </row>
  </sheetData>
  <mergeCells count="72">
    <mergeCell ref="E21:G21"/>
    <mergeCell ref="E17:G17"/>
    <mergeCell ref="K14:L14"/>
    <mergeCell ref="B5:D5"/>
    <mergeCell ref="I5:J5"/>
    <mergeCell ref="K5:L5"/>
    <mergeCell ref="E5:G5"/>
    <mergeCell ref="I6:J6"/>
    <mergeCell ref="C6:D6"/>
    <mergeCell ref="E6:G6"/>
    <mergeCell ref="E18:G18"/>
    <mergeCell ref="E15:G15"/>
    <mergeCell ref="E16:G16"/>
    <mergeCell ref="B8:G8"/>
    <mergeCell ref="H1:I1"/>
    <mergeCell ref="B4:D4"/>
    <mergeCell ref="I4:J4"/>
    <mergeCell ref="K4:L4"/>
    <mergeCell ref="E4:G4"/>
    <mergeCell ref="A3:L3"/>
    <mergeCell ref="K36:L36"/>
    <mergeCell ref="K15:L15"/>
    <mergeCell ref="K16:L16"/>
    <mergeCell ref="K17:L17"/>
    <mergeCell ref="K18:L18"/>
    <mergeCell ref="K19:L19"/>
    <mergeCell ref="K20:L20"/>
    <mergeCell ref="K21:L21"/>
    <mergeCell ref="K30:L30"/>
    <mergeCell ref="K32:L32"/>
    <mergeCell ref="E22:G22"/>
    <mergeCell ref="E27:G27"/>
    <mergeCell ref="K47:L47"/>
    <mergeCell ref="K22:L22"/>
    <mergeCell ref="K6:L6"/>
    <mergeCell ref="H8:L8"/>
    <mergeCell ref="K12:L12"/>
    <mergeCell ref="K13:L13"/>
    <mergeCell ref="A7:L7"/>
    <mergeCell ref="E12:G12"/>
    <mergeCell ref="E13:G13"/>
    <mergeCell ref="E14:G14"/>
    <mergeCell ref="A10:L10"/>
    <mergeCell ref="A9:L9"/>
    <mergeCell ref="E19:G19"/>
    <mergeCell ref="E20:G20"/>
    <mergeCell ref="E28:G28"/>
    <mergeCell ref="K27:L27"/>
    <mergeCell ref="E23:G23"/>
    <mergeCell ref="E24:G24"/>
    <mergeCell ref="E25:G25"/>
    <mergeCell ref="E26:G26"/>
    <mergeCell ref="K23:L23"/>
    <mergeCell ref="K24:L24"/>
    <mergeCell ref="K25:L25"/>
    <mergeCell ref="K26:L26"/>
    <mergeCell ref="K50:L50"/>
    <mergeCell ref="K28:L28"/>
    <mergeCell ref="K29:L29"/>
    <mergeCell ref="K33:L33"/>
    <mergeCell ref="K34:L34"/>
    <mergeCell ref="K45:L45"/>
    <mergeCell ref="K41:L41"/>
    <mergeCell ref="K42:L42"/>
    <mergeCell ref="K44:L44"/>
    <mergeCell ref="K38:L38"/>
    <mergeCell ref="K37:L37"/>
    <mergeCell ref="K43:L43"/>
    <mergeCell ref="K48:L48"/>
    <mergeCell ref="K49:L49"/>
    <mergeCell ref="K31:L31"/>
    <mergeCell ref="K35:L35"/>
  </mergeCells>
  <phoneticPr fontId="58" type="noConversion"/>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DBA7-5CED-4461-A688-E6025DFB0BD3}">
  <dimension ref="A1:Y38"/>
  <sheetViews>
    <sheetView topLeftCell="A9" zoomScale="60" zoomScaleNormal="60" workbookViewId="0">
      <selection activeCell="K4" sqref="K4:L4"/>
    </sheetView>
  </sheetViews>
  <sheetFormatPr defaultColWidth="8.7109375" defaultRowHeight="15"/>
  <cols>
    <col min="1" max="2" width="4.5703125" style="86" customWidth="1"/>
    <col min="3" max="5" width="10.5703125" style="86" customWidth="1"/>
    <col min="6" max="6" width="5" style="86" customWidth="1"/>
    <col min="7" max="7" width="18.42578125" style="86" customWidth="1"/>
    <col min="8" max="9" width="4.5703125" style="86" customWidth="1"/>
    <col min="10" max="10" width="16.42578125" style="86" customWidth="1"/>
    <col min="11" max="11" width="3.5703125" style="86" customWidth="1"/>
    <col min="12" max="12" width="38.5703125" style="86" customWidth="1"/>
    <col min="13" max="16384" width="8.7109375" style="86"/>
  </cols>
  <sheetData>
    <row r="1" spans="1:25">
      <c r="C1" s="90"/>
      <c r="D1" s="86" t="s">
        <v>50</v>
      </c>
      <c r="E1" s="91"/>
      <c r="F1" s="86" t="s">
        <v>51</v>
      </c>
      <c r="H1" s="277"/>
      <c r="I1" s="277"/>
      <c r="J1" s="86" t="s">
        <v>52</v>
      </c>
      <c r="L1" s="92"/>
      <c r="M1" s="86" t="s">
        <v>53</v>
      </c>
    </row>
    <row r="2" spans="1:25">
      <c r="A2" s="87"/>
      <c r="B2" s="87"/>
      <c r="C2" s="87"/>
      <c r="D2" s="87"/>
      <c r="E2" s="87"/>
      <c r="F2" s="87"/>
      <c r="G2" s="87"/>
      <c r="H2" s="87"/>
      <c r="I2" s="87"/>
      <c r="J2" s="87"/>
      <c r="K2" s="87"/>
      <c r="L2" s="87"/>
    </row>
    <row r="3" spans="1:25" ht="15" customHeight="1">
      <c r="A3" s="333" t="s">
        <v>10</v>
      </c>
      <c r="B3" s="334"/>
      <c r="C3" s="334"/>
      <c r="D3" s="334"/>
      <c r="E3" s="334"/>
      <c r="F3" s="334"/>
      <c r="G3" s="334"/>
      <c r="H3" s="334"/>
      <c r="I3" s="334"/>
      <c r="J3" s="334"/>
      <c r="K3" s="334"/>
      <c r="L3" s="335"/>
    </row>
    <row r="4" spans="1:25">
      <c r="A4" s="112" t="s">
        <v>37</v>
      </c>
      <c r="B4" s="325" t="s">
        <v>5</v>
      </c>
      <c r="C4" s="326"/>
      <c r="D4" s="326"/>
      <c r="E4" s="330"/>
      <c r="F4" s="331"/>
      <c r="G4" s="332"/>
      <c r="H4" s="185" t="s">
        <v>40</v>
      </c>
      <c r="I4" s="327" t="s">
        <v>409</v>
      </c>
      <c r="J4" s="328"/>
      <c r="K4" s="329" t="s">
        <v>383</v>
      </c>
      <c r="L4" s="329"/>
      <c r="M4" s="111"/>
    </row>
    <row r="5" spans="1:25">
      <c r="A5" s="112" t="s">
        <v>38</v>
      </c>
      <c r="B5" s="325" t="s">
        <v>77</v>
      </c>
      <c r="C5" s="326"/>
      <c r="D5" s="326"/>
      <c r="E5" s="339" t="s">
        <v>55</v>
      </c>
      <c r="F5" s="340"/>
      <c r="G5" s="341"/>
      <c r="H5" s="185" t="s">
        <v>41</v>
      </c>
      <c r="I5" s="336" t="s">
        <v>152</v>
      </c>
      <c r="J5" s="337"/>
      <c r="K5" s="338" t="s">
        <v>55</v>
      </c>
      <c r="L5" s="338"/>
    </row>
    <row r="6" spans="1:25" ht="59.45" customHeight="1">
      <c r="A6" s="113" t="s">
        <v>39</v>
      </c>
      <c r="B6" s="220" t="s">
        <v>8</v>
      </c>
      <c r="C6" s="343" t="s">
        <v>316</v>
      </c>
      <c r="D6" s="344"/>
      <c r="E6" s="345" t="s">
        <v>317</v>
      </c>
      <c r="F6" s="345"/>
      <c r="G6" s="346"/>
      <c r="H6" s="207" t="s">
        <v>45</v>
      </c>
      <c r="I6" s="342" t="s">
        <v>273</v>
      </c>
      <c r="J6" s="342"/>
      <c r="K6" s="313" t="s">
        <v>55</v>
      </c>
      <c r="L6" s="313"/>
    </row>
    <row r="7" spans="1:25" ht="36.75" customHeight="1">
      <c r="A7" s="352" t="s">
        <v>382</v>
      </c>
      <c r="B7" s="353"/>
      <c r="C7" s="353"/>
      <c r="D7" s="353"/>
      <c r="E7" s="353"/>
      <c r="F7" s="353"/>
      <c r="G7" s="353"/>
      <c r="H7" s="353"/>
      <c r="I7" s="353"/>
      <c r="J7" s="353"/>
      <c r="K7" s="353"/>
      <c r="L7" s="354"/>
      <c r="M7" s="68"/>
    </row>
    <row r="8" spans="1:25" ht="27" customHeight="1">
      <c r="A8" s="212" t="s">
        <v>225</v>
      </c>
      <c r="B8" s="347" t="s">
        <v>122</v>
      </c>
      <c r="C8" s="348"/>
      <c r="D8" s="348"/>
      <c r="E8" s="348"/>
      <c r="F8" s="348"/>
      <c r="G8" s="349"/>
      <c r="H8" s="314"/>
      <c r="I8" s="314"/>
      <c r="J8" s="314"/>
      <c r="K8" s="314"/>
      <c r="L8" s="314"/>
      <c r="M8" s="68"/>
    </row>
    <row r="9" spans="1:25" ht="32.450000000000003" customHeight="1">
      <c r="A9" s="320" t="s">
        <v>233</v>
      </c>
      <c r="B9" s="320"/>
      <c r="C9" s="320"/>
      <c r="D9" s="320"/>
      <c r="E9" s="320"/>
      <c r="F9" s="320"/>
      <c r="G9" s="320"/>
      <c r="H9" s="320"/>
      <c r="I9" s="320"/>
      <c r="J9" s="320"/>
      <c r="K9" s="320"/>
      <c r="L9" s="320"/>
      <c r="M9" s="68"/>
    </row>
    <row r="10" spans="1:25" ht="48" customHeight="1">
      <c r="A10" s="355" t="s">
        <v>372</v>
      </c>
      <c r="B10" s="355"/>
      <c r="C10" s="355"/>
      <c r="D10" s="355"/>
      <c r="E10" s="355"/>
      <c r="F10" s="355"/>
      <c r="G10" s="355"/>
      <c r="H10" s="355"/>
      <c r="I10" s="355"/>
      <c r="J10" s="355"/>
      <c r="K10" s="355"/>
      <c r="L10" s="355"/>
      <c r="M10" s="68"/>
    </row>
    <row r="11" spans="1:25">
      <c r="A11" s="23"/>
      <c r="B11" s="23"/>
      <c r="C11" s="28"/>
      <c r="D11" s="28"/>
      <c r="E11" s="28"/>
      <c r="F11" s="28"/>
      <c r="G11" s="28"/>
      <c r="H11" s="106"/>
      <c r="I11" s="22"/>
      <c r="J11" s="22"/>
      <c r="K11" s="9"/>
      <c r="L11" s="9"/>
    </row>
    <row r="12" spans="1:25">
      <c r="A12" s="87"/>
      <c r="B12" s="87"/>
      <c r="C12" s="87"/>
      <c r="D12" s="87"/>
      <c r="E12" s="302" t="s">
        <v>209</v>
      </c>
      <c r="F12" s="302"/>
      <c r="G12" s="302"/>
      <c r="H12" s="186"/>
      <c r="I12" s="186"/>
      <c r="J12" s="175"/>
      <c r="K12" s="356" t="s">
        <v>121</v>
      </c>
      <c r="L12" s="356"/>
    </row>
    <row r="13" spans="1:25">
      <c r="A13" s="87"/>
      <c r="B13" s="87"/>
      <c r="D13" s="87"/>
      <c r="E13" s="318">
        <v>1</v>
      </c>
      <c r="F13" s="318"/>
      <c r="G13" s="318"/>
      <c r="H13" s="175"/>
      <c r="I13" s="175"/>
      <c r="J13" s="175"/>
      <c r="K13" s="351" t="s">
        <v>373</v>
      </c>
      <c r="L13" s="351"/>
      <c r="M13" s="32" t="s">
        <v>388</v>
      </c>
      <c r="N13" s="32"/>
      <c r="O13" s="32"/>
      <c r="P13" s="32"/>
      <c r="Q13" s="32"/>
      <c r="R13" s="32"/>
      <c r="S13" s="32"/>
      <c r="T13" s="32"/>
      <c r="U13" s="32"/>
      <c r="V13" s="32"/>
      <c r="W13" s="32"/>
      <c r="X13" s="32"/>
      <c r="Y13" s="32"/>
    </row>
    <row r="14" spans="1:25">
      <c r="A14" s="87"/>
      <c r="B14" s="87"/>
      <c r="D14" s="87"/>
      <c r="E14" s="318">
        <v>2</v>
      </c>
      <c r="F14" s="318"/>
      <c r="G14" s="318"/>
      <c r="H14" s="175"/>
      <c r="I14" s="175"/>
      <c r="J14" s="175"/>
      <c r="K14" s="186"/>
      <c r="L14" s="186"/>
      <c r="M14" s="252"/>
      <c r="N14" s="252"/>
      <c r="O14" s="252"/>
      <c r="P14" s="252"/>
      <c r="Q14" s="252"/>
      <c r="R14" s="252"/>
      <c r="S14" s="252"/>
      <c r="T14" s="252"/>
      <c r="U14" s="252"/>
      <c r="V14" s="252"/>
      <c r="W14" s="252"/>
      <c r="X14" s="252"/>
      <c r="Y14" s="252"/>
    </row>
    <row r="15" spans="1:25">
      <c r="A15" s="87"/>
      <c r="B15" s="87"/>
      <c r="D15" s="87"/>
      <c r="E15" s="318">
        <v>3</v>
      </c>
      <c r="F15" s="318"/>
      <c r="G15" s="318"/>
      <c r="H15" s="175"/>
      <c r="I15" s="175"/>
      <c r="J15" s="175"/>
      <c r="K15" s="302" t="s">
        <v>151</v>
      </c>
      <c r="L15" s="302"/>
      <c r="M15" s="252"/>
      <c r="N15" s="252"/>
      <c r="O15" s="252"/>
      <c r="P15" s="252"/>
      <c r="Q15" s="252"/>
      <c r="R15" s="252"/>
      <c r="S15" s="252"/>
      <c r="T15" s="252"/>
      <c r="U15" s="252"/>
      <c r="V15" s="252"/>
      <c r="W15" s="252"/>
      <c r="X15" s="252"/>
      <c r="Y15" s="252"/>
    </row>
    <row r="16" spans="1:25">
      <c r="A16" s="87"/>
      <c r="B16" s="87"/>
      <c r="C16" s="87"/>
      <c r="D16" s="87"/>
      <c r="E16" s="318">
        <v>4</v>
      </c>
      <c r="F16" s="318"/>
      <c r="G16" s="318"/>
      <c r="H16" s="175"/>
      <c r="I16" s="175"/>
      <c r="K16" s="303" t="s">
        <v>123</v>
      </c>
      <c r="L16" s="303"/>
      <c r="M16" s="252"/>
      <c r="N16" s="252"/>
      <c r="O16" s="252"/>
      <c r="P16" s="252"/>
      <c r="Q16" s="252"/>
      <c r="R16" s="252"/>
      <c r="S16" s="252"/>
      <c r="T16" s="252"/>
      <c r="U16" s="252"/>
      <c r="V16" s="252"/>
      <c r="W16" s="252"/>
      <c r="X16" s="252"/>
      <c r="Y16" s="252"/>
    </row>
    <row r="17" spans="1:25" ht="15.75">
      <c r="A17" s="87"/>
      <c r="B17" s="87"/>
      <c r="C17" s="87"/>
      <c r="D17" s="87"/>
      <c r="E17" s="318">
        <v>5</v>
      </c>
      <c r="F17" s="318"/>
      <c r="G17" s="318"/>
      <c r="H17" s="186"/>
      <c r="I17" s="186"/>
      <c r="J17" s="175"/>
      <c r="K17" s="307" t="s">
        <v>282</v>
      </c>
      <c r="L17" s="308"/>
      <c r="M17" s="252"/>
      <c r="N17" s="252"/>
      <c r="O17" s="253"/>
      <c r="P17" s="252"/>
      <c r="Q17" s="252"/>
      <c r="R17" s="252"/>
      <c r="S17" s="252"/>
      <c r="T17" s="252"/>
      <c r="U17" s="252"/>
      <c r="V17" s="252"/>
      <c r="W17" s="252"/>
      <c r="X17" s="252"/>
      <c r="Y17" s="252"/>
    </row>
    <row r="18" spans="1:25" ht="15.75">
      <c r="A18" s="87"/>
      <c r="B18" s="87"/>
      <c r="D18" s="87"/>
      <c r="E18" s="318">
        <v>6</v>
      </c>
      <c r="F18" s="318"/>
      <c r="G18" s="318"/>
      <c r="H18" s="174"/>
      <c r="I18" s="174"/>
      <c r="J18" s="174"/>
      <c r="K18" s="301" t="s">
        <v>384</v>
      </c>
      <c r="L18" s="301"/>
      <c r="M18" s="252"/>
      <c r="N18" s="252"/>
      <c r="O18" s="252"/>
      <c r="P18" s="252"/>
      <c r="Q18" s="252"/>
      <c r="R18" s="253"/>
      <c r="S18" s="252"/>
      <c r="T18" s="252"/>
      <c r="U18" s="252"/>
      <c r="V18" s="252"/>
      <c r="W18" s="252"/>
      <c r="X18" s="252"/>
      <c r="Y18" s="252"/>
    </row>
    <row r="19" spans="1:25" ht="15.75">
      <c r="A19" s="87"/>
      <c r="B19" s="87"/>
      <c r="D19" s="87"/>
      <c r="E19" s="318">
        <v>7</v>
      </c>
      <c r="F19" s="318"/>
      <c r="G19" s="318"/>
      <c r="H19" s="174"/>
      <c r="I19" s="174"/>
      <c r="J19" s="174"/>
      <c r="K19" s="301" t="s">
        <v>385</v>
      </c>
      <c r="L19" s="301"/>
      <c r="M19" s="260"/>
      <c r="N19" s="260"/>
      <c r="O19" s="260"/>
      <c r="P19" s="260"/>
      <c r="Q19" s="260"/>
      <c r="R19" s="260"/>
      <c r="S19" s="260"/>
      <c r="T19" s="260"/>
      <c r="U19" s="260"/>
      <c r="V19" s="260"/>
      <c r="W19" s="260"/>
      <c r="X19" s="260"/>
      <c r="Y19" s="260"/>
    </row>
    <row r="20" spans="1:25">
      <c r="A20" s="87"/>
      <c r="B20" s="87"/>
      <c r="D20" s="87"/>
      <c r="E20" s="318">
        <v>8</v>
      </c>
      <c r="F20" s="318"/>
      <c r="G20" s="318"/>
      <c r="H20" s="174"/>
      <c r="I20" s="174"/>
      <c r="J20" s="87"/>
      <c r="M20" s="252"/>
      <c r="N20" s="252"/>
      <c r="O20" s="253"/>
      <c r="P20" s="252"/>
      <c r="Q20" s="252"/>
      <c r="R20" s="253"/>
      <c r="S20" s="252"/>
      <c r="T20" s="252"/>
      <c r="U20" s="252"/>
      <c r="V20" s="252"/>
      <c r="W20" s="252"/>
      <c r="X20" s="252"/>
      <c r="Y20" s="252"/>
    </row>
    <row r="21" spans="1:25">
      <c r="A21" s="87"/>
      <c r="B21" s="87"/>
      <c r="C21" s="87"/>
      <c r="D21" s="87"/>
      <c r="E21" s="310">
        <v>9</v>
      </c>
      <c r="F21" s="310"/>
      <c r="G21" s="310"/>
      <c r="H21" s="87"/>
      <c r="I21" s="87"/>
      <c r="J21" s="87"/>
      <c r="K21" s="312" t="s">
        <v>274</v>
      </c>
      <c r="L21" s="312"/>
      <c r="M21" s="260"/>
      <c r="N21" s="260"/>
      <c r="O21" s="260"/>
      <c r="P21" s="260"/>
      <c r="Q21" s="260"/>
      <c r="R21" s="260"/>
      <c r="S21" s="260"/>
      <c r="T21" s="260"/>
      <c r="U21" s="260"/>
      <c r="V21" s="260"/>
      <c r="W21" s="260"/>
      <c r="X21" s="260"/>
      <c r="Y21" s="260"/>
    </row>
    <row r="22" spans="1:25">
      <c r="A22" s="87"/>
      <c r="B22" s="87"/>
      <c r="C22" s="87"/>
      <c r="D22" s="87"/>
      <c r="E22" s="310">
        <v>10</v>
      </c>
      <c r="F22" s="310"/>
      <c r="G22" s="310"/>
      <c r="H22" s="87"/>
      <c r="I22" s="87"/>
      <c r="J22" s="87"/>
      <c r="K22" s="296" t="s">
        <v>275</v>
      </c>
      <c r="L22" s="296"/>
      <c r="M22" s="252"/>
      <c r="N22" s="252"/>
      <c r="O22" s="253"/>
      <c r="P22" s="252"/>
      <c r="Q22" s="252"/>
      <c r="R22" s="253"/>
      <c r="S22" s="252"/>
      <c r="T22" s="252"/>
      <c r="U22" s="252"/>
      <c r="V22" s="252"/>
      <c r="W22" s="252"/>
      <c r="X22" s="252"/>
      <c r="Y22" s="252"/>
    </row>
    <row r="23" spans="1:25">
      <c r="A23" s="87"/>
      <c r="B23" s="87"/>
      <c r="C23" s="87"/>
      <c r="D23" s="87"/>
      <c r="E23" s="310">
        <v>11</v>
      </c>
      <c r="F23" s="310"/>
      <c r="G23" s="310"/>
      <c r="H23" s="87"/>
      <c r="I23" s="87"/>
      <c r="J23" s="87"/>
      <c r="K23" s="350" t="s">
        <v>276</v>
      </c>
      <c r="L23" s="350"/>
      <c r="M23" s="252"/>
      <c r="N23" s="252"/>
      <c r="O23" s="253"/>
      <c r="P23" s="252"/>
      <c r="Q23" s="252"/>
      <c r="R23" s="253"/>
      <c r="S23" s="252"/>
      <c r="T23" s="252"/>
      <c r="U23" s="252"/>
      <c r="V23" s="252"/>
      <c r="W23" s="252"/>
      <c r="X23" s="252"/>
      <c r="Y23" s="252"/>
    </row>
    <row r="24" spans="1:25">
      <c r="A24" s="87"/>
      <c r="B24" s="87"/>
      <c r="C24" s="87"/>
      <c r="D24" s="87"/>
      <c r="E24" s="310">
        <v>12</v>
      </c>
      <c r="F24" s="310"/>
      <c r="G24" s="310"/>
      <c r="H24" s="87"/>
      <c r="I24" s="87"/>
      <c r="J24" s="87"/>
      <c r="K24" s="350" t="s">
        <v>277</v>
      </c>
      <c r="L24" s="350"/>
      <c r="M24" s="252"/>
      <c r="N24" s="252"/>
      <c r="O24" s="252"/>
      <c r="P24" s="252"/>
      <c r="Q24" s="252"/>
      <c r="R24" s="253"/>
      <c r="S24" s="252"/>
      <c r="T24" s="252"/>
      <c r="U24" s="252"/>
      <c r="V24" s="252"/>
      <c r="W24" s="252"/>
      <c r="X24" s="252"/>
      <c r="Y24" s="252"/>
    </row>
    <row r="25" spans="1:25">
      <c r="A25" s="87"/>
      <c r="B25" s="87"/>
      <c r="C25" s="87"/>
      <c r="D25" s="87"/>
      <c r="E25" s="310">
        <v>13</v>
      </c>
      <c r="F25" s="310"/>
      <c r="G25" s="310"/>
      <c r="H25" s="87"/>
      <c r="I25" s="87"/>
      <c r="J25" s="87"/>
      <c r="K25" s="258"/>
      <c r="L25" s="258"/>
      <c r="M25" s="252"/>
      <c r="N25" s="252"/>
      <c r="O25" s="253"/>
      <c r="P25" s="252"/>
      <c r="Q25" s="252"/>
      <c r="R25" s="253"/>
      <c r="S25" s="252"/>
      <c r="T25" s="252"/>
      <c r="U25" s="252"/>
      <c r="V25" s="252"/>
      <c r="W25" s="252"/>
      <c r="X25" s="252"/>
      <c r="Y25" s="252"/>
    </row>
    <row r="26" spans="1:25">
      <c r="A26" s="87"/>
      <c r="B26" s="87"/>
      <c r="C26" s="87"/>
      <c r="D26" s="87"/>
      <c r="E26" s="310">
        <v>14</v>
      </c>
      <c r="F26" s="310"/>
      <c r="G26" s="310"/>
      <c r="H26" s="87"/>
      <c r="I26" s="87"/>
      <c r="J26" s="87"/>
      <c r="K26" s="258"/>
      <c r="L26" s="258"/>
      <c r="M26" s="252"/>
      <c r="N26" s="252"/>
      <c r="O26" s="253"/>
      <c r="P26" s="252"/>
      <c r="Q26" s="252"/>
      <c r="R26" s="253"/>
      <c r="S26" s="252"/>
      <c r="T26" s="252"/>
      <c r="U26" s="252"/>
      <c r="V26" s="252"/>
      <c r="W26" s="252"/>
      <c r="X26" s="252"/>
      <c r="Y26" s="252"/>
    </row>
    <row r="27" spans="1:25">
      <c r="A27" s="87"/>
      <c r="B27" s="87"/>
      <c r="C27" s="87"/>
      <c r="D27" s="87"/>
      <c r="E27" s="310">
        <v>15</v>
      </c>
      <c r="F27" s="310"/>
      <c r="G27" s="310"/>
      <c r="H27" s="87"/>
      <c r="I27" s="87"/>
      <c r="J27" s="87"/>
      <c r="K27" s="258"/>
      <c r="L27" s="258"/>
      <c r="M27" s="252"/>
      <c r="N27" s="252"/>
      <c r="O27" s="253"/>
      <c r="P27" s="252"/>
      <c r="Q27" s="252"/>
      <c r="R27" s="253"/>
      <c r="S27" s="252"/>
      <c r="T27" s="252"/>
      <c r="U27" s="252"/>
      <c r="V27" s="252"/>
      <c r="W27" s="252"/>
      <c r="X27" s="252"/>
      <c r="Y27" s="252"/>
    </row>
    <row r="28" spans="1:25">
      <c r="A28" s="87"/>
      <c r="B28" s="87"/>
      <c r="C28" s="87"/>
      <c r="D28" s="87"/>
      <c r="E28" s="310">
        <v>16</v>
      </c>
      <c r="F28" s="310"/>
      <c r="G28" s="310"/>
      <c r="H28" s="87"/>
      <c r="I28" s="87"/>
      <c r="K28" s="258"/>
      <c r="L28" s="258"/>
      <c r="M28" s="252"/>
      <c r="N28" s="252"/>
      <c r="O28" s="252"/>
      <c r="P28" s="252"/>
      <c r="Q28" s="252"/>
      <c r="R28" s="253"/>
      <c r="S28" s="252"/>
      <c r="T28" s="252"/>
      <c r="U28" s="252"/>
      <c r="V28" s="252"/>
      <c r="W28" s="252"/>
      <c r="X28" s="252"/>
      <c r="Y28" s="252"/>
    </row>
    <row r="29" spans="1:25">
      <c r="K29" s="258"/>
      <c r="L29" s="258"/>
      <c r="M29" s="252"/>
      <c r="N29" s="252"/>
      <c r="O29" s="252"/>
      <c r="P29" s="252"/>
      <c r="Q29" s="252"/>
      <c r="R29" s="252"/>
      <c r="S29" s="252"/>
      <c r="T29" s="252"/>
      <c r="U29" s="252"/>
      <c r="V29" s="252"/>
      <c r="W29" s="252"/>
      <c r="X29" s="252"/>
      <c r="Y29" s="252"/>
    </row>
    <row r="30" spans="1:25">
      <c r="K30" s="259"/>
      <c r="L30" s="259"/>
      <c r="M30" s="252"/>
      <c r="N30" s="252"/>
      <c r="O30" s="252"/>
      <c r="P30" s="252"/>
      <c r="Q30" s="252"/>
      <c r="R30" s="252"/>
      <c r="S30" s="252"/>
      <c r="T30" s="252"/>
      <c r="U30" s="252"/>
      <c r="V30" s="252"/>
      <c r="W30" s="252"/>
      <c r="X30" s="252"/>
      <c r="Y30" s="252"/>
    </row>
    <row r="31" spans="1:25">
      <c r="K31" s="254"/>
      <c r="L31" s="254"/>
      <c r="M31" s="252"/>
      <c r="N31" s="252"/>
      <c r="O31" s="252"/>
      <c r="P31" s="252"/>
      <c r="Q31" s="252"/>
      <c r="R31" s="252"/>
      <c r="S31" s="252"/>
      <c r="T31" s="252"/>
      <c r="U31" s="252"/>
      <c r="V31" s="252"/>
      <c r="W31" s="252"/>
      <c r="X31" s="252"/>
      <c r="Y31" s="252"/>
    </row>
    <row r="32" spans="1:25">
      <c r="K32" s="254"/>
      <c r="L32" s="254"/>
      <c r="M32" s="252"/>
      <c r="N32" s="252"/>
      <c r="O32" s="252"/>
      <c r="P32" s="252"/>
      <c r="Q32" s="252"/>
      <c r="R32" s="252"/>
      <c r="S32" s="252"/>
      <c r="T32" s="252"/>
      <c r="U32" s="252"/>
      <c r="V32" s="252"/>
      <c r="W32" s="252"/>
      <c r="X32" s="252"/>
      <c r="Y32" s="252"/>
    </row>
    <row r="33" spans="11:25">
      <c r="K33" s="254"/>
      <c r="L33" s="254"/>
      <c r="M33" s="252"/>
      <c r="N33" s="252"/>
      <c r="O33" s="252"/>
      <c r="P33" s="252"/>
      <c r="Q33" s="252"/>
      <c r="R33" s="252"/>
      <c r="S33" s="252"/>
      <c r="T33" s="252"/>
      <c r="U33" s="252"/>
      <c r="V33" s="252"/>
      <c r="W33" s="252"/>
      <c r="X33" s="252"/>
      <c r="Y33" s="252"/>
    </row>
    <row r="34" spans="11:25">
      <c r="K34" s="254"/>
      <c r="L34" s="254"/>
      <c r="M34" s="252"/>
      <c r="N34" s="252"/>
      <c r="O34" s="252"/>
      <c r="P34" s="252"/>
      <c r="Q34" s="252"/>
      <c r="R34" s="252"/>
      <c r="S34" s="252"/>
      <c r="T34" s="252"/>
      <c r="U34" s="252"/>
      <c r="V34" s="252"/>
      <c r="W34" s="252"/>
      <c r="X34" s="252"/>
      <c r="Y34" s="252"/>
    </row>
    <row r="35" spans="11:25">
      <c r="K35" s="255"/>
      <c r="L35" s="255"/>
      <c r="M35" s="252"/>
      <c r="N35" s="252"/>
      <c r="O35" s="252"/>
      <c r="P35" s="252"/>
      <c r="Q35" s="252"/>
      <c r="R35" s="252"/>
      <c r="S35" s="252"/>
      <c r="T35" s="252"/>
      <c r="U35" s="252"/>
      <c r="V35" s="252"/>
      <c r="W35" s="252"/>
      <c r="X35" s="252"/>
      <c r="Y35" s="252"/>
    </row>
    <row r="36" spans="11:25">
      <c r="K36" s="186"/>
      <c r="L36" s="186"/>
      <c r="M36" s="252"/>
      <c r="N36" s="252"/>
      <c r="O36" s="252"/>
      <c r="P36" s="252"/>
      <c r="Q36" s="252"/>
      <c r="R36" s="252"/>
      <c r="S36" s="252"/>
      <c r="T36" s="252"/>
      <c r="U36" s="252"/>
      <c r="V36" s="252"/>
      <c r="W36" s="252"/>
      <c r="X36" s="252"/>
      <c r="Y36" s="252"/>
    </row>
    <row r="37" spans="11:25">
      <c r="K37" s="186"/>
      <c r="L37" s="186"/>
      <c r="M37" s="252"/>
      <c r="N37" s="252"/>
      <c r="O37" s="252"/>
      <c r="P37" s="252"/>
      <c r="Q37" s="252"/>
      <c r="R37" s="252"/>
      <c r="S37" s="252"/>
      <c r="T37" s="252"/>
      <c r="U37" s="252"/>
      <c r="V37" s="252"/>
      <c r="W37" s="252"/>
      <c r="X37" s="252"/>
      <c r="Y37" s="252"/>
    </row>
    <row r="38" spans="11:25">
      <c r="K38" s="256"/>
      <c r="L38" s="257"/>
      <c r="M38" s="88"/>
      <c r="N38" s="88"/>
      <c r="O38" s="88"/>
      <c r="P38" s="88"/>
      <c r="Q38" s="88"/>
      <c r="R38" s="88"/>
      <c r="S38" s="88"/>
      <c r="T38" s="88"/>
      <c r="U38" s="88"/>
      <c r="V38" s="88"/>
      <c r="W38" s="88"/>
      <c r="X38" s="88"/>
      <c r="Y38" s="88"/>
    </row>
  </sheetData>
  <mergeCells count="47">
    <mergeCell ref="H1:I1"/>
    <mergeCell ref="A3:L3"/>
    <mergeCell ref="B4:D4"/>
    <mergeCell ref="E4:G4"/>
    <mergeCell ref="I4:J4"/>
    <mergeCell ref="K4:L4"/>
    <mergeCell ref="B5:D5"/>
    <mergeCell ref="E5:G5"/>
    <mergeCell ref="I5:J5"/>
    <mergeCell ref="K5:L5"/>
    <mergeCell ref="C6:D6"/>
    <mergeCell ref="E6:G6"/>
    <mergeCell ref="I6:J6"/>
    <mergeCell ref="K6:L6"/>
    <mergeCell ref="E13:G13"/>
    <mergeCell ref="K13:L13"/>
    <mergeCell ref="E14:G14"/>
    <mergeCell ref="E15:G15"/>
    <mergeCell ref="A7:L7"/>
    <mergeCell ref="B8:G8"/>
    <mergeCell ref="H8:L8"/>
    <mergeCell ref="A9:L9"/>
    <mergeCell ref="A10:L10"/>
    <mergeCell ref="E12:G12"/>
    <mergeCell ref="K12:L12"/>
    <mergeCell ref="E19:G19"/>
    <mergeCell ref="E20:G20"/>
    <mergeCell ref="E21:G21"/>
    <mergeCell ref="E16:G16"/>
    <mergeCell ref="E17:G17"/>
    <mergeCell ref="E18:G18"/>
    <mergeCell ref="E28:G28"/>
    <mergeCell ref="E25:G25"/>
    <mergeCell ref="E26:G26"/>
    <mergeCell ref="E27:G27"/>
    <mergeCell ref="E22:G22"/>
    <mergeCell ref="E23:G23"/>
    <mergeCell ref="E24:G24"/>
    <mergeCell ref="K22:L22"/>
    <mergeCell ref="K23:L23"/>
    <mergeCell ref="K24:L24"/>
    <mergeCell ref="K15:L15"/>
    <mergeCell ref="K16:L16"/>
    <mergeCell ref="K17:L17"/>
    <mergeCell ref="K18:L18"/>
    <mergeCell ref="K19:L19"/>
    <mergeCell ref="K21:L21"/>
  </mergeCells>
  <pageMargins left="0.5" right="0.5" top="0.75" bottom="0.75" header="0.3" footer="0.3"/>
  <pageSetup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53"/>
  <sheetViews>
    <sheetView zoomScale="60" zoomScaleNormal="60" workbookViewId="0">
      <selection activeCell="I18" sqref="I18"/>
    </sheetView>
  </sheetViews>
  <sheetFormatPr defaultRowHeight="15"/>
  <cols>
    <col min="1" max="1" width="4.5703125" customWidth="1"/>
    <col min="2" max="2" width="18" customWidth="1"/>
    <col min="3" max="3" width="16.42578125" customWidth="1"/>
    <col min="4" max="4" width="17" customWidth="1"/>
    <col min="5" max="5" width="11.5703125" customWidth="1"/>
    <col min="6" max="6" width="10.5703125" customWidth="1"/>
    <col min="7" max="7" width="21.42578125" customWidth="1"/>
    <col min="8" max="8" width="11" customWidth="1"/>
    <col min="9" max="9" width="31.42578125" customWidth="1"/>
  </cols>
  <sheetData>
    <row r="1" spans="1:20" s="36" customFormat="1">
      <c r="B1" s="40"/>
      <c r="C1" s="36" t="s">
        <v>50</v>
      </c>
      <c r="D1" s="41"/>
      <c r="E1" s="36" t="s">
        <v>51</v>
      </c>
      <c r="G1" s="277"/>
      <c r="H1" s="277"/>
      <c r="I1" s="36" t="s">
        <v>52</v>
      </c>
      <c r="K1" s="42"/>
      <c r="L1" s="36" t="s">
        <v>53</v>
      </c>
    </row>
    <row r="2" spans="1:20">
      <c r="A2" s="4"/>
      <c r="B2" s="4"/>
      <c r="C2" s="4"/>
      <c r="D2" s="4"/>
      <c r="E2" s="4"/>
      <c r="F2" s="4"/>
      <c r="G2" s="4"/>
      <c r="H2" s="4"/>
      <c r="I2" s="4"/>
    </row>
    <row r="3" spans="1:20" ht="15" customHeight="1">
      <c r="A3" s="386" t="s">
        <v>13</v>
      </c>
      <c r="B3" s="387"/>
      <c r="C3" s="387"/>
      <c r="D3" s="387"/>
      <c r="E3" s="387"/>
      <c r="F3" s="387"/>
      <c r="G3" s="387"/>
      <c r="H3" s="387"/>
      <c r="I3" s="388"/>
    </row>
    <row r="4" spans="1:20" ht="18.600000000000001" customHeight="1">
      <c r="A4" s="389" t="s">
        <v>264</v>
      </c>
      <c r="B4" s="390"/>
      <c r="C4" s="390"/>
      <c r="D4" s="390"/>
      <c r="E4" s="390"/>
      <c r="F4" s="390"/>
      <c r="G4" s="390"/>
      <c r="H4" s="390"/>
      <c r="I4" s="391"/>
      <c r="J4" s="32"/>
    </row>
    <row r="5" spans="1:20" s="86" customFormat="1" ht="18.600000000000001" customHeight="1">
      <c r="A5" s="203"/>
      <c r="B5" s="203"/>
      <c r="C5" s="203"/>
      <c r="D5" s="203"/>
      <c r="E5" s="203"/>
      <c r="F5" s="203"/>
      <c r="G5" s="203"/>
      <c r="H5" s="203"/>
      <c r="I5" s="204"/>
      <c r="J5" s="32"/>
    </row>
    <row r="6" spans="1:20" s="86" customFormat="1" ht="16.5" customHeight="1">
      <c r="A6" s="362" t="s">
        <v>265</v>
      </c>
      <c r="B6" s="362"/>
      <c r="C6" s="362"/>
      <c r="D6" s="362"/>
      <c r="E6" s="362"/>
      <c r="F6" s="362"/>
      <c r="G6" s="362"/>
      <c r="H6" s="362"/>
      <c r="I6" s="363"/>
      <c r="J6" s="32"/>
    </row>
    <row r="7" spans="1:20" ht="15" customHeight="1">
      <c r="A7" s="392" t="s">
        <v>75</v>
      </c>
      <c r="B7" s="392"/>
      <c r="C7" s="392"/>
      <c r="D7" s="392"/>
      <c r="E7" s="392"/>
      <c r="F7" s="392"/>
      <c r="G7" s="392"/>
      <c r="H7" s="392"/>
      <c r="I7" s="393"/>
    </row>
    <row r="8" spans="1:20" ht="18" customHeight="1">
      <c r="A8" s="396" t="s">
        <v>37</v>
      </c>
      <c r="B8" s="397"/>
      <c r="C8" s="397"/>
      <c r="D8" s="397"/>
      <c r="E8" s="397"/>
      <c r="F8" s="397"/>
      <c r="G8" s="397"/>
      <c r="H8" s="397"/>
      <c r="I8" s="398"/>
    </row>
    <row r="9" spans="1:20">
      <c r="A9" s="95" t="s">
        <v>8</v>
      </c>
      <c r="B9" s="394" t="s">
        <v>235</v>
      </c>
      <c r="C9" s="377"/>
      <c r="D9" s="395" t="s">
        <v>139</v>
      </c>
      <c r="E9" s="394"/>
      <c r="F9" s="394"/>
      <c r="G9" s="394"/>
      <c r="H9" s="394"/>
      <c r="I9" s="377"/>
      <c r="J9" s="188" t="s">
        <v>76</v>
      </c>
      <c r="K9" s="187"/>
    </row>
    <row r="10" spans="1:20" ht="30" customHeight="1">
      <c r="A10" s="95" t="s">
        <v>8</v>
      </c>
      <c r="B10" s="376" t="s">
        <v>236</v>
      </c>
      <c r="C10" s="377"/>
      <c r="D10" s="379" t="s">
        <v>140</v>
      </c>
      <c r="E10" s="380"/>
      <c r="F10" s="380"/>
      <c r="G10" s="380"/>
      <c r="H10" s="380"/>
      <c r="I10" s="381"/>
      <c r="J10" s="369" t="s">
        <v>403</v>
      </c>
      <c r="K10" s="370"/>
      <c r="L10" s="370"/>
      <c r="M10" s="370"/>
      <c r="N10" s="370"/>
      <c r="O10" s="370"/>
      <c r="P10" s="370"/>
      <c r="Q10" s="370"/>
      <c r="R10" s="370"/>
      <c r="S10" s="370"/>
      <c r="T10" s="370"/>
    </row>
    <row r="11" spans="1:20" s="86" customFormat="1" ht="28.5" customHeight="1">
      <c r="A11" s="95" t="s">
        <v>8</v>
      </c>
      <c r="B11" s="376" t="s">
        <v>237</v>
      </c>
      <c r="C11" s="377"/>
      <c r="D11" s="382" t="s">
        <v>305</v>
      </c>
      <c r="E11" s="383"/>
      <c r="F11" s="383"/>
      <c r="G11" s="383"/>
      <c r="H11" s="383"/>
      <c r="I11" s="384"/>
      <c r="J11" s="369" t="s">
        <v>404</v>
      </c>
      <c r="K11" s="370"/>
      <c r="L11" s="370"/>
      <c r="M11" s="370"/>
      <c r="N11" s="370"/>
      <c r="O11" s="370"/>
      <c r="P11" s="370"/>
      <c r="Q11" s="370"/>
      <c r="R11" s="370"/>
      <c r="S11" s="370"/>
      <c r="T11" s="370"/>
    </row>
    <row r="12" spans="1:20" s="86" customFormat="1" ht="42.75" customHeight="1">
      <c r="A12" s="95" t="s">
        <v>8</v>
      </c>
      <c r="B12" s="376" t="s">
        <v>238</v>
      </c>
      <c r="C12" s="385"/>
      <c r="D12" s="373" t="s">
        <v>307</v>
      </c>
      <c r="E12" s="374"/>
      <c r="F12" s="374"/>
      <c r="G12" s="374"/>
      <c r="H12" s="374"/>
      <c r="I12" s="375"/>
      <c r="J12" s="215" t="s">
        <v>56</v>
      </c>
      <c r="K12" s="216"/>
      <c r="L12" s="75"/>
      <c r="M12" s="75"/>
      <c r="N12" s="75"/>
      <c r="O12" s="75"/>
      <c r="P12" s="75"/>
      <c r="Q12" s="75"/>
      <c r="R12" s="75"/>
      <c r="S12" s="75"/>
      <c r="T12" s="206"/>
    </row>
    <row r="13" spans="1:20" ht="39.6" customHeight="1">
      <c r="A13" s="217" t="s">
        <v>8</v>
      </c>
      <c r="B13" s="357" t="s">
        <v>283</v>
      </c>
      <c r="C13" s="368"/>
      <c r="D13" s="359" t="s">
        <v>284</v>
      </c>
      <c r="E13" s="360"/>
      <c r="F13" s="360"/>
      <c r="G13" s="360"/>
      <c r="H13" s="378"/>
      <c r="I13" s="378"/>
      <c r="J13" s="371" t="s">
        <v>290</v>
      </c>
      <c r="K13" s="372"/>
      <c r="L13" s="372"/>
      <c r="M13" s="372"/>
      <c r="N13" s="372"/>
    </row>
    <row r="14" spans="1:20" s="86" customFormat="1" ht="39.6" customHeight="1">
      <c r="A14" s="214" t="s">
        <v>8</v>
      </c>
      <c r="B14" s="357" t="s">
        <v>288</v>
      </c>
      <c r="C14" s="368"/>
      <c r="D14" s="359" t="s">
        <v>389</v>
      </c>
      <c r="E14" s="360"/>
      <c r="F14" s="360"/>
      <c r="G14" s="360"/>
      <c r="H14" s="360"/>
      <c r="I14" s="361"/>
      <c r="J14" s="371" t="s">
        <v>290</v>
      </c>
      <c r="K14" s="372"/>
      <c r="L14" s="372"/>
      <c r="M14" s="372"/>
      <c r="N14" s="372"/>
    </row>
    <row r="15" spans="1:20" s="86" customFormat="1" ht="39.6" customHeight="1">
      <c r="A15" s="214" t="s">
        <v>8</v>
      </c>
      <c r="B15" s="357" t="s">
        <v>289</v>
      </c>
      <c r="C15" s="368"/>
      <c r="D15" s="359" t="s">
        <v>292</v>
      </c>
      <c r="E15" s="360"/>
      <c r="F15" s="360"/>
      <c r="G15" s="360"/>
      <c r="H15" s="360"/>
      <c r="I15" s="361"/>
      <c r="J15" s="371" t="s">
        <v>290</v>
      </c>
      <c r="K15" s="372"/>
      <c r="L15" s="372"/>
      <c r="M15" s="372"/>
      <c r="N15" s="372"/>
    </row>
    <row r="16" spans="1:20" ht="15.75">
      <c r="A16" s="399" t="s">
        <v>390</v>
      </c>
      <c r="B16" s="399"/>
      <c r="C16" s="399"/>
      <c r="D16" s="399"/>
      <c r="E16" s="399"/>
      <c r="F16" s="399"/>
      <c r="G16" s="399"/>
      <c r="H16" s="399"/>
      <c r="I16" s="399"/>
    </row>
    <row r="17" spans="1:19">
      <c r="A17" s="4"/>
      <c r="B17" s="4"/>
      <c r="C17" s="4"/>
      <c r="D17" s="10"/>
      <c r="E17" s="10"/>
      <c r="F17" s="4"/>
      <c r="G17" s="124"/>
      <c r="H17" s="4"/>
      <c r="I17" s="4"/>
    </row>
    <row r="18" spans="1:19">
      <c r="A18" s="4"/>
      <c r="B18" s="4"/>
      <c r="C18" s="4"/>
      <c r="D18" s="10"/>
      <c r="E18" s="10"/>
      <c r="F18" s="4"/>
      <c r="G18" s="4"/>
      <c r="H18" s="4"/>
      <c r="I18" s="4"/>
    </row>
    <row r="19" spans="1:19">
      <c r="A19" s="4"/>
      <c r="B19" s="4"/>
      <c r="C19" s="4"/>
      <c r="D19" s="10"/>
      <c r="E19" s="10"/>
      <c r="F19" s="4"/>
      <c r="G19" s="4"/>
      <c r="H19" s="4"/>
      <c r="I19" s="4"/>
    </row>
    <row r="20" spans="1:19">
      <c r="D20" s="89"/>
      <c r="E20" s="89"/>
    </row>
    <row r="21" spans="1:19">
      <c r="D21" s="89"/>
      <c r="E21" s="89"/>
    </row>
    <row r="22" spans="1:19">
      <c r="D22" s="89"/>
      <c r="E22" s="89"/>
    </row>
    <row r="23" spans="1:19" s="86" customFormat="1" ht="16.5" customHeight="1">
      <c r="A23" s="362" t="s">
        <v>285</v>
      </c>
      <c r="B23" s="362"/>
      <c r="C23" s="362"/>
      <c r="D23" s="362"/>
      <c r="E23" s="362"/>
      <c r="F23" s="362"/>
      <c r="G23" s="362"/>
      <c r="H23" s="362"/>
      <c r="I23" s="363"/>
      <c r="J23" s="32"/>
    </row>
    <row r="24" spans="1:19" s="86" customFormat="1" ht="18" customHeight="1">
      <c r="A24" s="364" t="s">
        <v>37</v>
      </c>
      <c r="B24" s="365"/>
      <c r="C24" s="365"/>
      <c r="D24" s="365"/>
      <c r="E24" s="365"/>
      <c r="F24" s="365"/>
      <c r="G24" s="365"/>
      <c r="H24" s="365"/>
      <c r="I24" s="366"/>
    </row>
    <row r="25" spans="1:19" s="86" customFormat="1" ht="30.6" customHeight="1">
      <c r="A25" s="214" t="s">
        <v>8</v>
      </c>
      <c r="B25" s="357" t="s">
        <v>286</v>
      </c>
      <c r="C25" s="368"/>
      <c r="D25" s="367" t="s">
        <v>303</v>
      </c>
      <c r="E25" s="357"/>
      <c r="F25" s="357"/>
      <c r="G25" s="357"/>
      <c r="H25" s="357"/>
      <c r="I25" s="368"/>
      <c r="J25" s="188"/>
      <c r="K25" s="187"/>
    </row>
    <row r="26" spans="1:19" s="86" customFormat="1" ht="30" customHeight="1">
      <c r="A26" s="214" t="s">
        <v>8</v>
      </c>
      <c r="B26" s="357" t="s">
        <v>294</v>
      </c>
      <c r="C26" s="358"/>
      <c r="D26" s="359" t="s">
        <v>391</v>
      </c>
      <c r="E26" s="360"/>
      <c r="F26" s="360"/>
      <c r="G26" s="360"/>
      <c r="H26" s="360"/>
      <c r="I26" s="361"/>
      <c r="J26" s="62" t="s">
        <v>302</v>
      </c>
      <c r="K26" s="189"/>
      <c r="L26" s="88"/>
      <c r="M26" s="88"/>
      <c r="N26" s="88"/>
      <c r="O26" s="88"/>
      <c r="P26" s="88"/>
      <c r="Q26" s="88"/>
      <c r="R26" s="88"/>
      <c r="S26" s="88"/>
    </row>
    <row r="27" spans="1:19" s="86" customFormat="1" ht="30" customHeight="1">
      <c r="A27" s="214" t="s">
        <v>8</v>
      </c>
      <c r="B27" s="357" t="s">
        <v>295</v>
      </c>
      <c r="C27" s="358"/>
      <c r="D27" s="359" t="s">
        <v>296</v>
      </c>
      <c r="E27" s="360"/>
      <c r="F27" s="360"/>
      <c r="G27" s="360"/>
      <c r="H27" s="360"/>
      <c r="I27" s="361"/>
      <c r="J27" s="62" t="s">
        <v>302</v>
      </c>
      <c r="K27" s="189"/>
      <c r="L27" s="88"/>
      <c r="M27" s="88"/>
      <c r="N27" s="88"/>
      <c r="O27" s="88"/>
      <c r="P27" s="88"/>
      <c r="Q27" s="88"/>
      <c r="R27" s="88"/>
      <c r="S27" s="88"/>
    </row>
    <row r="28" spans="1:19" s="86" customFormat="1" ht="30" customHeight="1">
      <c r="A28" s="214" t="s">
        <v>8</v>
      </c>
      <c r="B28" s="357" t="s">
        <v>297</v>
      </c>
      <c r="C28" s="358"/>
      <c r="D28" s="359" t="s">
        <v>392</v>
      </c>
      <c r="E28" s="360"/>
      <c r="F28" s="360"/>
      <c r="G28" s="360"/>
      <c r="H28" s="360"/>
      <c r="I28" s="361"/>
      <c r="J28" s="62" t="s">
        <v>302</v>
      </c>
      <c r="K28" s="189"/>
      <c r="L28" s="88"/>
      <c r="M28" s="88"/>
      <c r="N28" s="88"/>
      <c r="O28" s="88"/>
      <c r="P28" s="88"/>
      <c r="Q28" s="88"/>
      <c r="R28" s="88"/>
      <c r="S28" s="88"/>
    </row>
    <row r="29" spans="1:19" s="86" customFormat="1" ht="30" customHeight="1">
      <c r="A29" s="217" t="s">
        <v>8</v>
      </c>
      <c r="B29" s="357" t="s">
        <v>298</v>
      </c>
      <c r="C29" s="358"/>
      <c r="D29" s="359" t="s">
        <v>299</v>
      </c>
      <c r="E29" s="360"/>
      <c r="F29" s="360"/>
      <c r="G29" s="360"/>
      <c r="H29" s="360"/>
      <c r="I29" s="361"/>
      <c r="J29" s="62" t="s">
        <v>302</v>
      </c>
      <c r="K29" s="189"/>
      <c r="L29" s="88"/>
      <c r="M29" s="88"/>
      <c r="N29" s="88"/>
      <c r="O29" s="88"/>
      <c r="P29" s="88"/>
      <c r="Q29" s="88"/>
      <c r="R29" s="88"/>
      <c r="S29" s="88"/>
    </row>
    <row r="30" spans="1:19" s="86" customFormat="1" ht="39" customHeight="1">
      <c r="A30" s="217" t="s">
        <v>8</v>
      </c>
      <c r="B30" s="357" t="s">
        <v>301</v>
      </c>
      <c r="C30" s="358"/>
      <c r="D30" s="359" t="s">
        <v>300</v>
      </c>
      <c r="E30" s="360"/>
      <c r="F30" s="360"/>
      <c r="G30" s="360"/>
      <c r="H30" s="360"/>
      <c r="I30" s="361"/>
      <c r="J30" s="62" t="s">
        <v>302</v>
      </c>
      <c r="K30" s="189"/>
      <c r="L30" s="88"/>
      <c r="M30" s="88"/>
      <c r="N30" s="88"/>
      <c r="O30" s="88"/>
      <c r="P30" s="88"/>
      <c r="Q30" s="88"/>
      <c r="R30" s="88"/>
      <c r="S30" s="88"/>
    </row>
    <row r="38" spans="1:11" s="86" customFormat="1" ht="16.5" customHeight="1">
      <c r="A38" s="362" t="s">
        <v>395</v>
      </c>
      <c r="B38" s="362"/>
      <c r="C38" s="362"/>
      <c r="D38" s="362"/>
      <c r="E38" s="362"/>
      <c r="F38" s="362"/>
      <c r="G38" s="362"/>
      <c r="H38" s="362"/>
      <c r="I38" s="363"/>
      <c r="J38" s="32"/>
    </row>
    <row r="39" spans="1:11" s="86" customFormat="1" ht="18" customHeight="1">
      <c r="A39" s="364" t="s">
        <v>37</v>
      </c>
      <c r="B39" s="365"/>
      <c r="C39" s="365"/>
      <c r="D39" s="365"/>
      <c r="E39" s="365"/>
      <c r="F39" s="365"/>
      <c r="G39" s="365"/>
      <c r="H39" s="365"/>
      <c r="I39" s="366"/>
    </row>
    <row r="40" spans="1:11" s="86" customFormat="1" ht="57.6" customHeight="1">
      <c r="A40" s="217" t="s">
        <v>8</v>
      </c>
      <c r="B40" s="367" t="s">
        <v>408</v>
      </c>
      <c r="C40" s="357"/>
      <c r="D40" s="357"/>
      <c r="E40" s="357"/>
      <c r="F40" s="357"/>
      <c r="G40" s="357"/>
      <c r="H40" s="357"/>
      <c r="I40" s="368"/>
      <c r="J40" s="188"/>
      <c r="K40" s="187"/>
    </row>
    <row r="53" spans="8:8">
      <c r="H53" t="s">
        <v>142</v>
      </c>
    </row>
  </sheetData>
  <mergeCells count="44">
    <mergeCell ref="B15:C15"/>
    <mergeCell ref="D15:I15"/>
    <mergeCell ref="D14:I14"/>
    <mergeCell ref="A24:I24"/>
    <mergeCell ref="B25:C25"/>
    <mergeCell ref="D25:I25"/>
    <mergeCell ref="A16:I16"/>
    <mergeCell ref="A23:I23"/>
    <mergeCell ref="G1:H1"/>
    <mergeCell ref="A3:I3"/>
    <mergeCell ref="A4:I4"/>
    <mergeCell ref="A7:I7"/>
    <mergeCell ref="B9:C9"/>
    <mergeCell ref="D9:I9"/>
    <mergeCell ref="A8:I8"/>
    <mergeCell ref="A6:I6"/>
    <mergeCell ref="D12:I12"/>
    <mergeCell ref="B10:C10"/>
    <mergeCell ref="B14:C14"/>
    <mergeCell ref="B13:C13"/>
    <mergeCell ref="D13:G13"/>
    <mergeCell ref="H13:I13"/>
    <mergeCell ref="D10:I10"/>
    <mergeCell ref="B11:C11"/>
    <mergeCell ref="D11:I11"/>
    <mergeCell ref="B12:C12"/>
    <mergeCell ref="J10:T10"/>
    <mergeCell ref="J11:T11"/>
    <mergeCell ref="J13:N13"/>
    <mergeCell ref="J14:N14"/>
    <mergeCell ref="J15:N15"/>
    <mergeCell ref="B29:C29"/>
    <mergeCell ref="D29:I29"/>
    <mergeCell ref="A38:I38"/>
    <mergeCell ref="A39:I39"/>
    <mergeCell ref="B40:I40"/>
    <mergeCell ref="B30:C30"/>
    <mergeCell ref="D30:I30"/>
    <mergeCell ref="B26:C26"/>
    <mergeCell ref="D26:I26"/>
    <mergeCell ref="B27:C27"/>
    <mergeCell ref="D27:I27"/>
    <mergeCell ref="B28:C28"/>
    <mergeCell ref="D28:I28"/>
  </mergeCells>
  <pageMargins left="0.5" right="0.5" top="0.75" bottom="0.75" header="0.3" footer="0.3"/>
  <pageSetup scale="95"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CEEF-8F75-4456-A16E-6D40184BC822}">
  <sheetPr>
    <pageSetUpPr fitToPage="1"/>
  </sheetPr>
  <dimension ref="A1:T53"/>
  <sheetViews>
    <sheetView topLeftCell="A24" zoomScale="90" zoomScaleNormal="90" workbookViewId="0">
      <selection activeCell="G44" sqref="G44"/>
    </sheetView>
  </sheetViews>
  <sheetFormatPr defaultColWidth="8.7109375" defaultRowHeight="15"/>
  <cols>
    <col min="1" max="1" width="4.5703125" style="86" customWidth="1"/>
    <col min="2" max="2" width="18" style="86" customWidth="1"/>
    <col min="3" max="3" width="16.42578125" style="86" customWidth="1"/>
    <col min="4" max="4" width="17" style="86" customWidth="1"/>
    <col min="5" max="5" width="11.5703125" style="86" customWidth="1"/>
    <col min="6" max="6" width="10.5703125" style="86" customWidth="1"/>
    <col min="7" max="7" width="21.42578125" style="86" customWidth="1"/>
    <col min="8" max="8" width="11" style="86" customWidth="1"/>
    <col min="9" max="9" width="31.42578125" style="86" customWidth="1"/>
    <col min="10" max="16384" width="8.7109375" style="86"/>
  </cols>
  <sheetData>
    <row r="1" spans="1:20">
      <c r="B1" s="90"/>
      <c r="C1" s="86" t="s">
        <v>50</v>
      </c>
      <c r="D1" s="91"/>
      <c r="E1" s="86" t="s">
        <v>51</v>
      </c>
      <c r="G1" s="277"/>
      <c r="H1" s="277"/>
      <c r="I1" s="86" t="s">
        <v>52</v>
      </c>
      <c r="K1" s="92"/>
      <c r="L1" s="86" t="s">
        <v>53</v>
      </c>
    </row>
    <row r="2" spans="1:20">
      <c r="A2" s="87"/>
      <c r="B2" s="87"/>
      <c r="C2" s="87"/>
      <c r="D2" s="87"/>
      <c r="E2" s="87"/>
      <c r="F2" s="87"/>
      <c r="G2" s="87"/>
      <c r="H2" s="87"/>
      <c r="I2" s="87"/>
    </row>
    <row r="3" spans="1:20" ht="15" customHeight="1">
      <c r="A3" s="386" t="s">
        <v>13</v>
      </c>
      <c r="B3" s="387"/>
      <c r="C3" s="387"/>
      <c r="D3" s="387"/>
      <c r="E3" s="387"/>
      <c r="F3" s="387"/>
      <c r="G3" s="387"/>
      <c r="H3" s="387"/>
      <c r="I3" s="388"/>
    </row>
    <row r="4" spans="1:20" ht="18.600000000000001" customHeight="1">
      <c r="A4" s="420" t="s">
        <v>306</v>
      </c>
      <c r="B4" s="421"/>
      <c r="C4" s="421"/>
      <c r="D4" s="421"/>
      <c r="E4" s="421"/>
      <c r="F4" s="421"/>
      <c r="G4" s="421"/>
      <c r="H4" s="421"/>
      <c r="I4" s="422"/>
      <c r="J4" s="32"/>
    </row>
    <row r="5" spans="1:20" ht="18.600000000000001" customHeight="1">
      <c r="A5" s="208"/>
      <c r="B5" s="208"/>
      <c r="C5" s="208"/>
      <c r="D5" s="208"/>
      <c r="E5" s="208"/>
      <c r="F5" s="208"/>
      <c r="G5" s="208"/>
      <c r="H5" s="208"/>
      <c r="I5" s="209"/>
      <c r="J5" s="32"/>
    </row>
    <row r="6" spans="1:20" ht="16.5" customHeight="1">
      <c r="A6" s="362" t="s">
        <v>265</v>
      </c>
      <c r="B6" s="362"/>
      <c r="C6" s="362"/>
      <c r="D6" s="362"/>
      <c r="E6" s="362"/>
      <c r="F6" s="362"/>
      <c r="G6" s="362"/>
      <c r="H6" s="362"/>
      <c r="I6" s="363"/>
      <c r="J6" s="32"/>
    </row>
    <row r="7" spans="1:20" ht="18" customHeight="1">
      <c r="A7" s="396" t="s">
        <v>37</v>
      </c>
      <c r="B7" s="397"/>
      <c r="C7" s="397"/>
      <c r="D7" s="397"/>
      <c r="E7" s="397"/>
      <c r="F7" s="397"/>
      <c r="G7" s="397"/>
      <c r="H7" s="397"/>
      <c r="I7" s="398"/>
    </row>
    <row r="8" spans="1:20">
      <c r="A8" s="95" t="s">
        <v>8</v>
      </c>
      <c r="B8" s="394" t="s">
        <v>235</v>
      </c>
      <c r="C8" s="377"/>
      <c r="D8" s="395" t="s">
        <v>139</v>
      </c>
      <c r="E8" s="394"/>
      <c r="F8" s="394"/>
      <c r="G8" s="394"/>
      <c r="H8" s="394"/>
      <c r="I8" s="377"/>
      <c r="J8" s="188" t="s">
        <v>76</v>
      </c>
      <c r="K8" s="187"/>
    </row>
    <row r="9" spans="1:20" ht="30" customHeight="1">
      <c r="A9" s="219" t="s">
        <v>8</v>
      </c>
      <c r="B9" s="400" t="s">
        <v>236</v>
      </c>
      <c r="C9" s="401"/>
      <c r="D9" s="402" t="s">
        <v>308</v>
      </c>
      <c r="E9" s="403"/>
      <c r="F9" s="403"/>
      <c r="G9" s="403"/>
      <c r="H9" s="403"/>
      <c r="I9" s="404"/>
      <c r="J9" s="417"/>
      <c r="K9" s="418"/>
      <c r="L9" s="418"/>
      <c r="M9" s="418"/>
      <c r="N9" s="418"/>
      <c r="O9" s="418"/>
      <c r="P9" s="418"/>
      <c r="Q9" s="418"/>
      <c r="R9" s="418"/>
      <c r="S9" s="418"/>
      <c r="T9" s="418"/>
    </row>
    <row r="10" spans="1:20" ht="28.5" customHeight="1">
      <c r="A10" s="219" t="s">
        <v>8</v>
      </c>
      <c r="B10" s="400" t="s">
        <v>237</v>
      </c>
      <c r="C10" s="401"/>
      <c r="D10" s="419" t="s">
        <v>232</v>
      </c>
      <c r="E10" s="400"/>
      <c r="F10" s="400"/>
      <c r="G10" s="400"/>
      <c r="H10" s="400"/>
      <c r="I10" s="410"/>
      <c r="J10" s="417"/>
      <c r="K10" s="418"/>
      <c r="L10" s="418"/>
      <c r="M10" s="418"/>
      <c r="N10" s="418"/>
      <c r="O10" s="418"/>
      <c r="P10" s="418"/>
      <c r="Q10" s="418"/>
      <c r="R10" s="418"/>
      <c r="S10" s="418"/>
      <c r="T10" s="418"/>
    </row>
    <row r="11" spans="1:20" ht="42.75" customHeight="1">
      <c r="A11" s="95" t="s">
        <v>8</v>
      </c>
      <c r="B11" s="376" t="s">
        <v>238</v>
      </c>
      <c r="C11" s="385"/>
      <c r="D11" s="373" t="s">
        <v>307</v>
      </c>
      <c r="E11" s="374"/>
      <c r="F11" s="374"/>
      <c r="G11" s="374"/>
      <c r="H11" s="374"/>
      <c r="I11" s="375"/>
      <c r="J11" s="215" t="s">
        <v>56</v>
      </c>
      <c r="K11" s="216"/>
      <c r="L11" s="75"/>
      <c r="M11" s="75"/>
      <c r="N11" s="75"/>
      <c r="O11" s="75"/>
      <c r="P11" s="75"/>
      <c r="Q11" s="75"/>
      <c r="R11" s="75"/>
      <c r="S11" s="75"/>
      <c r="T11" s="206"/>
    </row>
    <row r="12" spans="1:20" ht="39.6" customHeight="1">
      <c r="A12" s="217" t="s">
        <v>8</v>
      </c>
      <c r="B12" s="357" t="s">
        <v>283</v>
      </c>
      <c r="C12" s="368"/>
      <c r="D12" s="359" t="s">
        <v>284</v>
      </c>
      <c r="E12" s="360"/>
      <c r="F12" s="360"/>
      <c r="G12" s="360"/>
      <c r="H12" s="378"/>
      <c r="I12" s="378"/>
      <c r="J12" s="371" t="s">
        <v>290</v>
      </c>
      <c r="K12" s="372"/>
      <c r="L12" s="372"/>
      <c r="M12" s="372"/>
      <c r="N12" s="372"/>
    </row>
    <row r="13" spans="1:20" ht="39.6" customHeight="1">
      <c r="A13" s="214" t="s">
        <v>8</v>
      </c>
      <c r="B13" s="357" t="s">
        <v>288</v>
      </c>
      <c r="C13" s="368"/>
      <c r="D13" s="359" t="s">
        <v>389</v>
      </c>
      <c r="E13" s="360"/>
      <c r="F13" s="360"/>
      <c r="G13" s="360"/>
      <c r="H13" s="360"/>
      <c r="I13" s="361"/>
      <c r="J13" s="371" t="s">
        <v>290</v>
      </c>
      <c r="K13" s="372"/>
      <c r="L13" s="372"/>
      <c r="M13" s="372"/>
      <c r="N13" s="372"/>
    </row>
    <row r="14" spans="1:20" ht="39.6" customHeight="1">
      <c r="A14" s="219" t="s">
        <v>8</v>
      </c>
      <c r="B14" s="400" t="s">
        <v>289</v>
      </c>
      <c r="C14" s="410"/>
      <c r="D14" s="402" t="s">
        <v>292</v>
      </c>
      <c r="E14" s="403"/>
      <c r="F14" s="403"/>
      <c r="G14" s="403"/>
      <c r="H14" s="403"/>
      <c r="I14" s="404"/>
      <c r="J14" s="411"/>
      <c r="K14" s="412"/>
      <c r="L14" s="412"/>
      <c r="M14" s="412"/>
      <c r="N14" s="412"/>
    </row>
    <row r="15" spans="1:20" ht="15.75">
      <c r="A15" s="399" t="s">
        <v>390</v>
      </c>
      <c r="B15" s="399"/>
      <c r="C15" s="399"/>
      <c r="D15" s="399"/>
      <c r="E15" s="399"/>
      <c r="F15" s="399"/>
      <c r="G15" s="399"/>
      <c r="H15" s="399"/>
      <c r="I15" s="399"/>
    </row>
    <row r="16" spans="1:20">
      <c r="A16" s="87"/>
      <c r="B16" s="87"/>
      <c r="C16" s="87"/>
      <c r="D16" s="10"/>
      <c r="E16" s="10"/>
      <c r="F16" s="87"/>
      <c r="G16" s="124"/>
      <c r="H16" s="87"/>
      <c r="I16" s="87"/>
    </row>
    <row r="17" spans="1:19">
      <c r="A17" s="87"/>
      <c r="B17" s="87"/>
      <c r="C17" s="87"/>
      <c r="D17" s="10"/>
      <c r="E17" s="10"/>
      <c r="F17" s="87"/>
      <c r="G17" s="87"/>
      <c r="H17" s="87"/>
      <c r="I17" s="87"/>
    </row>
    <row r="18" spans="1:19">
      <c r="A18" s="87"/>
      <c r="B18" s="87"/>
      <c r="C18" s="87"/>
      <c r="D18" s="10"/>
      <c r="E18" s="10"/>
      <c r="F18" s="87"/>
      <c r="G18" s="87"/>
      <c r="H18" s="87"/>
      <c r="I18" s="87"/>
    </row>
    <row r="19" spans="1:19">
      <c r="D19" s="89"/>
      <c r="E19" s="89"/>
    </row>
    <row r="20" spans="1:19">
      <c r="D20" s="89"/>
      <c r="E20" s="89"/>
    </row>
    <row r="21" spans="1:19">
      <c r="D21" s="89"/>
      <c r="E21" s="89"/>
    </row>
    <row r="22" spans="1:19" ht="16.5" customHeight="1">
      <c r="A22" s="413" t="s">
        <v>309</v>
      </c>
      <c r="B22" s="413"/>
      <c r="C22" s="413"/>
      <c r="D22" s="413"/>
      <c r="E22" s="413"/>
      <c r="F22" s="413"/>
      <c r="G22" s="413"/>
      <c r="H22" s="413"/>
      <c r="I22" s="414"/>
      <c r="J22" s="32"/>
    </row>
    <row r="23" spans="1:19" ht="18" customHeight="1">
      <c r="A23" s="364" t="s">
        <v>37</v>
      </c>
      <c r="B23" s="365"/>
      <c r="C23" s="365"/>
      <c r="D23" s="365"/>
      <c r="E23" s="365"/>
      <c r="F23" s="365"/>
      <c r="G23" s="365"/>
      <c r="H23" s="365"/>
      <c r="I23" s="366"/>
    </row>
    <row r="24" spans="1:19" ht="30.6" customHeight="1">
      <c r="A24" s="214" t="s">
        <v>8</v>
      </c>
      <c r="B24" s="405" t="s">
        <v>349</v>
      </c>
      <c r="C24" s="415"/>
      <c r="D24" s="416" t="s">
        <v>311</v>
      </c>
      <c r="E24" s="405"/>
      <c r="F24" s="405"/>
      <c r="G24" s="405"/>
      <c r="H24" s="405"/>
      <c r="I24" s="415"/>
      <c r="J24" s="188"/>
      <c r="K24" s="187"/>
    </row>
    <row r="25" spans="1:19" ht="30" customHeight="1">
      <c r="A25" s="219" t="s">
        <v>8</v>
      </c>
      <c r="B25" s="400" t="s">
        <v>294</v>
      </c>
      <c r="C25" s="401"/>
      <c r="D25" s="402" t="s">
        <v>287</v>
      </c>
      <c r="E25" s="403"/>
      <c r="F25" s="403"/>
      <c r="G25" s="403"/>
      <c r="H25" s="403"/>
      <c r="I25" s="404"/>
      <c r="J25" s="62"/>
      <c r="K25" s="189"/>
      <c r="L25" s="88"/>
      <c r="M25" s="88"/>
      <c r="N25" s="88"/>
      <c r="O25" s="88"/>
      <c r="P25" s="88"/>
      <c r="Q25" s="88"/>
      <c r="R25" s="88"/>
      <c r="S25" s="88"/>
    </row>
    <row r="26" spans="1:19" ht="30" customHeight="1">
      <c r="A26" s="214" t="s">
        <v>8</v>
      </c>
      <c r="B26" s="405" t="s">
        <v>348</v>
      </c>
      <c r="C26" s="406"/>
      <c r="D26" s="407" t="s">
        <v>310</v>
      </c>
      <c r="E26" s="408"/>
      <c r="F26" s="408"/>
      <c r="G26" s="408"/>
      <c r="H26" s="408"/>
      <c r="I26" s="409"/>
      <c r="J26" s="62" t="s">
        <v>302</v>
      </c>
      <c r="K26" s="189"/>
      <c r="L26" s="88"/>
      <c r="M26" s="88"/>
      <c r="N26" s="88"/>
      <c r="O26" s="88"/>
      <c r="P26" s="88"/>
      <c r="Q26" s="88"/>
      <c r="R26" s="88"/>
      <c r="S26" s="88"/>
    </row>
    <row r="27" spans="1:19" ht="30" customHeight="1">
      <c r="A27" s="214" t="s">
        <v>8</v>
      </c>
      <c r="B27" s="357" t="s">
        <v>297</v>
      </c>
      <c r="C27" s="358"/>
      <c r="D27" s="359" t="s">
        <v>392</v>
      </c>
      <c r="E27" s="360"/>
      <c r="F27" s="360"/>
      <c r="G27" s="360"/>
      <c r="H27" s="360"/>
      <c r="I27" s="361"/>
      <c r="J27" s="62" t="s">
        <v>302</v>
      </c>
      <c r="K27" s="189"/>
      <c r="L27" s="88"/>
      <c r="M27" s="88"/>
      <c r="N27" s="88"/>
      <c r="O27" s="88"/>
      <c r="P27" s="88"/>
      <c r="Q27" s="88"/>
      <c r="R27" s="88"/>
      <c r="S27" s="88"/>
    </row>
    <row r="28" spans="1:19" ht="30" customHeight="1">
      <c r="A28" s="217" t="s">
        <v>8</v>
      </c>
      <c r="B28" s="357" t="s">
        <v>298</v>
      </c>
      <c r="C28" s="358"/>
      <c r="D28" s="359" t="s">
        <v>299</v>
      </c>
      <c r="E28" s="360"/>
      <c r="F28" s="360"/>
      <c r="G28" s="360"/>
      <c r="H28" s="360"/>
      <c r="I28" s="361"/>
      <c r="J28" s="62" t="s">
        <v>302</v>
      </c>
      <c r="K28" s="189"/>
      <c r="L28" s="88"/>
      <c r="M28" s="88"/>
      <c r="N28" s="88"/>
      <c r="O28" s="88"/>
      <c r="P28" s="88"/>
      <c r="Q28" s="88"/>
      <c r="R28" s="88"/>
      <c r="S28" s="88"/>
    </row>
    <row r="29" spans="1:19" ht="39" customHeight="1">
      <c r="A29" s="219" t="s">
        <v>8</v>
      </c>
      <c r="B29" s="400" t="s">
        <v>301</v>
      </c>
      <c r="C29" s="401"/>
      <c r="D29" s="402" t="s">
        <v>300</v>
      </c>
      <c r="E29" s="403"/>
      <c r="F29" s="403"/>
      <c r="G29" s="403"/>
      <c r="H29" s="403"/>
      <c r="I29" s="404"/>
      <c r="J29" s="62"/>
      <c r="K29" s="189"/>
      <c r="L29" s="88"/>
      <c r="M29" s="88"/>
      <c r="N29" s="88"/>
      <c r="O29" s="88"/>
      <c r="P29" s="88"/>
      <c r="Q29" s="88"/>
      <c r="R29" s="88"/>
      <c r="S29" s="88"/>
    </row>
    <row r="38" spans="1:11" ht="16.5" customHeight="1">
      <c r="A38" s="362" t="s">
        <v>395</v>
      </c>
      <c r="B38" s="362"/>
      <c r="C38" s="362"/>
      <c r="D38" s="362"/>
      <c r="E38" s="362"/>
      <c r="F38" s="362"/>
      <c r="G38" s="362"/>
      <c r="H38" s="362"/>
      <c r="I38" s="363"/>
      <c r="J38" s="32"/>
    </row>
    <row r="39" spans="1:11" ht="18" customHeight="1">
      <c r="A39" s="364" t="s">
        <v>37</v>
      </c>
      <c r="B39" s="365"/>
      <c r="C39" s="365"/>
      <c r="D39" s="365"/>
      <c r="E39" s="365"/>
      <c r="F39" s="365"/>
      <c r="G39" s="365"/>
      <c r="H39" s="365"/>
      <c r="I39" s="366"/>
    </row>
    <row r="40" spans="1:11" ht="30.6" customHeight="1">
      <c r="A40" s="217" t="s">
        <v>8</v>
      </c>
      <c r="B40" s="367" t="s">
        <v>405</v>
      </c>
      <c r="C40" s="357"/>
      <c r="D40" s="357"/>
      <c r="E40" s="357"/>
      <c r="F40" s="357"/>
      <c r="G40" s="357"/>
      <c r="H40" s="357"/>
      <c r="I40" s="368"/>
      <c r="J40" s="188"/>
      <c r="K40" s="187"/>
    </row>
    <row r="53" spans="8:8">
      <c r="H53" s="86" t="s">
        <v>142</v>
      </c>
    </row>
  </sheetData>
  <mergeCells count="43">
    <mergeCell ref="A7:I7"/>
    <mergeCell ref="G1:H1"/>
    <mergeCell ref="A3:I3"/>
    <mergeCell ref="A4:I4"/>
    <mergeCell ref="A6:I6"/>
    <mergeCell ref="J12:N12"/>
    <mergeCell ref="B8:C8"/>
    <mergeCell ref="D8:I8"/>
    <mergeCell ref="B9:C9"/>
    <mergeCell ref="D9:I9"/>
    <mergeCell ref="J9:T9"/>
    <mergeCell ref="B10:C10"/>
    <mergeCell ref="D10:I10"/>
    <mergeCell ref="J10:T10"/>
    <mergeCell ref="B11:C11"/>
    <mergeCell ref="D11:I11"/>
    <mergeCell ref="B12:C12"/>
    <mergeCell ref="D12:G12"/>
    <mergeCell ref="H12:I12"/>
    <mergeCell ref="B25:C25"/>
    <mergeCell ref="D25:I25"/>
    <mergeCell ref="B13:C13"/>
    <mergeCell ref="D13:I13"/>
    <mergeCell ref="J13:N13"/>
    <mergeCell ref="B14:C14"/>
    <mergeCell ref="D14:I14"/>
    <mergeCell ref="J14:N14"/>
    <mergeCell ref="A22:I22"/>
    <mergeCell ref="A23:I23"/>
    <mergeCell ref="B24:C24"/>
    <mergeCell ref="D24:I24"/>
    <mergeCell ref="A15:I15"/>
    <mergeCell ref="B26:C26"/>
    <mergeCell ref="D26:I26"/>
    <mergeCell ref="B27:C27"/>
    <mergeCell ref="D27:I27"/>
    <mergeCell ref="B28:C28"/>
    <mergeCell ref="D28:I28"/>
    <mergeCell ref="A38:I38"/>
    <mergeCell ref="A39:I39"/>
    <mergeCell ref="B40:I40"/>
    <mergeCell ref="B29:C29"/>
    <mergeCell ref="D29:I29"/>
  </mergeCells>
  <pageMargins left="0.5" right="0.5" top="0.75" bottom="0.75" header="0.3" footer="0.3"/>
  <pageSetup scale="95"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7"/>
  <sheetViews>
    <sheetView topLeftCell="A6" zoomScale="60" zoomScaleNormal="60" workbookViewId="0">
      <selection activeCell="N31" sqref="N31"/>
    </sheetView>
  </sheetViews>
  <sheetFormatPr defaultColWidth="9.140625" defaultRowHeight="12.75"/>
  <cols>
    <col min="1" max="1" width="11" style="11" customWidth="1"/>
    <col min="2" max="2" width="3.5703125" style="11" customWidth="1"/>
    <col min="3" max="3" width="11" style="11" customWidth="1"/>
    <col min="4" max="4" width="4" style="11" customWidth="1"/>
    <col min="5" max="5" width="11" style="11" customWidth="1"/>
    <col min="6" max="6" width="3.5703125" style="11" customWidth="1"/>
    <col min="7" max="7" width="11" style="11" customWidth="1"/>
    <col min="8" max="8" width="4" style="11" customWidth="1"/>
    <col min="9" max="9" width="11.42578125" style="11" customWidth="1"/>
    <col min="10" max="10" width="4" style="11" customWidth="1"/>
    <col min="11" max="11" width="13.5703125" style="11" customWidth="1"/>
    <col min="12" max="12" width="4.42578125" style="11" customWidth="1"/>
    <col min="13" max="13" width="18.5703125" style="11" customWidth="1"/>
    <col min="14" max="14" width="17.140625" style="11" customWidth="1"/>
    <col min="15" max="15" width="21.5703125" style="11" customWidth="1"/>
    <col min="16" max="16384" width="9.140625" style="11"/>
  </cols>
  <sheetData>
    <row r="1" spans="1:16" s="36" customFormat="1" ht="15">
      <c r="A1" s="40"/>
      <c r="B1" s="90"/>
      <c r="C1" s="36" t="s">
        <v>50</v>
      </c>
      <c r="D1" s="86"/>
      <c r="E1" s="41"/>
      <c r="F1" s="91"/>
      <c r="G1" s="36" t="s">
        <v>51</v>
      </c>
      <c r="H1" s="86"/>
      <c r="J1" s="86"/>
      <c r="K1" s="53"/>
      <c r="L1" s="110"/>
      <c r="M1" s="36" t="s">
        <v>52</v>
      </c>
      <c r="O1" s="42"/>
      <c r="P1" s="36" t="s">
        <v>53</v>
      </c>
    </row>
    <row r="3" spans="1:16" s="14" customFormat="1" ht="15.95" customHeight="1">
      <c r="A3" s="18"/>
      <c r="B3" s="18"/>
      <c r="C3" s="18"/>
      <c r="D3" s="18"/>
      <c r="E3" s="18"/>
      <c r="F3" s="18"/>
      <c r="G3" s="18"/>
      <c r="H3" s="18"/>
      <c r="I3" s="18"/>
      <c r="J3" s="18"/>
      <c r="K3" s="18"/>
      <c r="L3" s="18"/>
      <c r="M3" s="18"/>
      <c r="N3" s="19"/>
      <c r="O3" s="20"/>
    </row>
    <row r="4" spans="1:16" ht="17.100000000000001" customHeight="1">
      <c r="A4" s="431" t="s">
        <v>9</v>
      </c>
      <c r="B4" s="431"/>
      <c r="C4" s="432"/>
      <c r="D4" s="432"/>
      <c r="E4" s="432"/>
      <c r="F4" s="432"/>
      <c r="G4" s="432"/>
      <c r="H4" s="432"/>
      <c r="I4" s="432"/>
      <c r="J4" s="432"/>
      <c r="K4" s="432"/>
      <c r="L4" s="432"/>
      <c r="M4" s="432"/>
      <c r="N4" s="432"/>
      <c r="O4" s="432"/>
    </row>
    <row r="5" spans="1:16" ht="37.5" customHeight="1">
      <c r="A5" s="433" t="s">
        <v>248</v>
      </c>
      <c r="B5" s="433"/>
      <c r="C5" s="433"/>
      <c r="D5" s="433"/>
      <c r="E5" s="433"/>
      <c r="F5" s="433"/>
      <c r="G5" s="433"/>
      <c r="H5" s="433"/>
      <c r="I5" s="433"/>
      <c r="J5" s="433"/>
      <c r="K5" s="433"/>
      <c r="L5" s="433"/>
      <c r="M5" s="433"/>
      <c r="N5" s="433"/>
      <c r="O5" s="433"/>
    </row>
    <row r="6" spans="1:16" ht="15.95" customHeight="1">
      <c r="A6" s="437" t="s">
        <v>70</v>
      </c>
      <c r="B6" s="437"/>
      <c r="C6" s="437"/>
      <c r="D6" s="444" t="s">
        <v>87</v>
      </c>
      <c r="E6" s="437" t="s">
        <v>78</v>
      </c>
      <c r="F6" s="437"/>
      <c r="G6" s="437"/>
      <c r="H6" s="444" t="s">
        <v>87</v>
      </c>
      <c r="I6" s="437" t="s">
        <v>81</v>
      </c>
      <c r="J6" s="437"/>
      <c r="K6" s="437"/>
      <c r="L6" s="444" t="s">
        <v>87</v>
      </c>
      <c r="M6" s="437" t="s">
        <v>84</v>
      </c>
      <c r="N6" s="437"/>
      <c r="O6" s="155" t="s">
        <v>23</v>
      </c>
    </row>
    <row r="7" spans="1:16" ht="15.95" customHeight="1">
      <c r="A7" s="152" t="s">
        <v>37</v>
      </c>
      <c r="B7" s="423" t="s">
        <v>155</v>
      </c>
      <c r="C7" s="152" t="s">
        <v>38</v>
      </c>
      <c r="D7" s="445"/>
      <c r="E7" s="152" t="s">
        <v>39</v>
      </c>
      <c r="F7" s="423" t="s">
        <v>155</v>
      </c>
      <c r="G7" s="152" t="s">
        <v>40</v>
      </c>
      <c r="H7" s="445"/>
      <c r="I7" s="152" t="s">
        <v>41</v>
      </c>
      <c r="J7" s="423" t="s">
        <v>155</v>
      </c>
      <c r="K7" s="152" t="s">
        <v>45</v>
      </c>
      <c r="L7" s="445"/>
      <c r="M7" s="153" t="s">
        <v>46</v>
      </c>
      <c r="N7" s="153" t="s">
        <v>47</v>
      </c>
      <c r="O7" s="153" t="s">
        <v>48</v>
      </c>
    </row>
    <row r="8" spans="1:16" s="15" customFormat="1" ht="64.5" customHeight="1">
      <c r="A8" s="154" t="s">
        <v>154</v>
      </c>
      <c r="B8" s="424"/>
      <c r="C8" s="154" t="s">
        <v>173</v>
      </c>
      <c r="D8" s="445"/>
      <c r="E8" s="154" t="s">
        <v>79</v>
      </c>
      <c r="F8" s="424"/>
      <c r="G8" s="154" t="s">
        <v>80</v>
      </c>
      <c r="H8" s="445"/>
      <c r="I8" s="154" t="s">
        <v>82</v>
      </c>
      <c r="J8" s="424"/>
      <c r="K8" s="154" t="s">
        <v>107</v>
      </c>
      <c r="L8" s="445"/>
      <c r="M8" s="154" t="s">
        <v>85</v>
      </c>
      <c r="N8" s="154" t="s">
        <v>86</v>
      </c>
      <c r="O8" s="438" t="s">
        <v>291</v>
      </c>
    </row>
    <row r="9" spans="1:16" s="15" customFormat="1" ht="15.75" customHeight="1">
      <c r="A9" s="434" t="s">
        <v>49</v>
      </c>
      <c r="B9" s="435"/>
      <c r="C9" s="436"/>
      <c r="D9" s="446"/>
      <c r="E9" s="441" t="s">
        <v>324</v>
      </c>
      <c r="F9" s="442"/>
      <c r="G9" s="443"/>
      <c r="H9" s="446"/>
      <c r="I9" s="434" t="s">
        <v>83</v>
      </c>
      <c r="J9" s="435"/>
      <c r="K9" s="436"/>
      <c r="L9" s="446"/>
      <c r="M9" s="434" t="s">
        <v>44</v>
      </c>
      <c r="N9" s="436"/>
      <c r="O9" s="439"/>
    </row>
    <row r="10" spans="1:16" s="14" customFormat="1" ht="59.25" customHeight="1">
      <c r="A10" s="190">
        <f>'F. Allocated Zone'!O9</f>
        <v>0</v>
      </c>
      <c r="B10" s="135" t="s">
        <v>155</v>
      </c>
      <c r="C10" s="190" t="str">
        <f>'F. Allocated Zone'!N15</f>
        <v>sum of column 18 for subareas that say "COMPLIES" in column 19</v>
      </c>
      <c r="D10" s="115" t="s">
        <v>87</v>
      </c>
      <c r="E10" s="224"/>
      <c r="F10" s="135" t="s">
        <v>155</v>
      </c>
      <c r="G10" s="224"/>
      <c r="H10" s="115" t="s">
        <v>87</v>
      </c>
      <c r="I10" s="190"/>
      <c r="J10" s="135" t="s">
        <v>155</v>
      </c>
      <c r="K10" s="190" t="s">
        <v>242</v>
      </c>
      <c r="L10" s="115" t="s">
        <v>87</v>
      </c>
      <c r="M10" s="190" t="s">
        <v>153</v>
      </c>
      <c r="N10" s="191" t="s">
        <v>117</v>
      </c>
      <c r="O10" s="440"/>
    </row>
    <row r="11" spans="1:16" ht="0.75" customHeight="1">
      <c r="A11" s="192"/>
      <c r="B11" s="192"/>
      <c r="C11" s="192"/>
      <c r="D11" s="192"/>
      <c r="E11" s="192"/>
      <c r="F11" s="192"/>
      <c r="G11" s="192"/>
      <c r="H11" s="192"/>
      <c r="I11" s="192"/>
      <c r="J11" s="192"/>
      <c r="K11" s="192"/>
      <c r="L11" s="192"/>
      <c r="M11" s="192"/>
      <c r="N11" s="192"/>
      <c r="O11" s="13"/>
    </row>
    <row r="12" spans="1:16" ht="25.5" customHeight="1">
      <c r="A12" s="425" t="e" cm="1" vm="1">
        <f t="array" aca="1" ref="A12" ca="1">'F. Allocated Zone'!K18:O18</f>
        <v>#VALUE!</v>
      </c>
      <c r="B12" s="426"/>
      <c r="C12" s="427"/>
      <c r="D12" s="428" t="s">
        <v>195</v>
      </c>
      <c r="E12" s="428"/>
      <c r="F12" s="428"/>
      <c r="G12" s="428"/>
      <c r="H12" s="428"/>
      <c r="I12" s="428"/>
      <c r="J12" s="428"/>
      <c r="K12" s="428"/>
      <c r="L12" s="428"/>
      <c r="M12" s="428"/>
      <c r="N12" s="428"/>
      <c r="O12" s="116" t="s">
        <v>88</v>
      </c>
    </row>
    <row r="13" spans="1:16" ht="21" customHeight="1">
      <c r="A13" s="429" t="s">
        <v>406</v>
      </c>
      <c r="B13" s="429"/>
      <c r="C13" s="429"/>
      <c r="D13" s="429"/>
      <c r="E13" s="429"/>
      <c r="F13" s="429"/>
      <c r="G13" s="429"/>
      <c r="H13" s="429"/>
      <c r="I13" s="429"/>
      <c r="J13" s="429"/>
      <c r="K13" s="429"/>
      <c r="L13" s="429"/>
      <c r="M13" s="429"/>
      <c r="N13" s="430"/>
      <c r="O13" s="273" t="s">
        <v>88</v>
      </c>
    </row>
    <row r="14" spans="1:16">
      <c r="A14" s="13"/>
      <c r="B14" s="13"/>
      <c r="C14" s="13"/>
      <c r="D14" s="13"/>
      <c r="E14" s="13"/>
      <c r="F14" s="13"/>
      <c r="G14" s="13"/>
      <c r="H14" s="13"/>
      <c r="I14" s="13"/>
      <c r="J14" s="13"/>
      <c r="K14" s="13"/>
      <c r="L14" s="13"/>
      <c r="M14" s="13" t="s">
        <v>420</v>
      </c>
      <c r="N14" s="13"/>
      <c r="O14" s="13"/>
    </row>
    <row r="15" spans="1:16">
      <c r="A15" s="13"/>
      <c r="B15" s="13"/>
      <c r="C15" s="13"/>
      <c r="D15" s="13"/>
      <c r="E15" s="13"/>
      <c r="F15" s="13"/>
      <c r="G15" s="13"/>
      <c r="H15" s="13"/>
      <c r="I15" s="13"/>
      <c r="J15" s="13"/>
      <c r="K15" s="13"/>
      <c r="L15" s="13"/>
      <c r="M15" s="270" t="s">
        <v>407</v>
      </c>
      <c r="N15" s="270"/>
      <c r="O15" s="13"/>
    </row>
    <row r="16" spans="1:16">
      <c r="A16" s="13"/>
      <c r="B16" s="13"/>
      <c r="C16" s="13"/>
      <c r="D16" s="13"/>
      <c r="E16" s="13"/>
      <c r="F16" s="13"/>
      <c r="G16" s="13"/>
      <c r="H16" s="13"/>
      <c r="I16" s="13"/>
      <c r="J16" s="13"/>
      <c r="K16" s="13"/>
      <c r="L16" s="13"/>
      <c r="M16" s="13"/>
      <c r="N16" s="13"/>
      <c r="O16" s="13"/>
    </row>
    <row r="17" spans="1:2" ht="15.75">
      <c r="A17" s="12"/>
      <c r="B17" s="12"/>
    </row>
  </sheetData>
  <mergeCells count="20">
    <mergeCell ref="A4:O4"/>
    <mergeCell ref="A5:O5"/>
    <mergeCell ref="A9:C9"/>
    <mergeCell ref="A6:C6"/>
    <mergeCell ref="O8:O10"/>
    <mergeCell ref="E6:G6"/>
    <mergeCell ref="E9:G9"/>
    <mergeCell ref="I6:K6"/>
    <mergeCell ref="I9:K9"/>
    <mergeCell ref="M6:N6"/>
    <mergeCell ref="M9:N9"/>
    <mergeCell ref="D6:D9"/>
    <mergeCell ref="H6:H9"/>
    <mergeCell ref="L6:L9"/>
    <mergeCell ref="B7:B8"/>
    <mergeCell ref="F7:F8"/>
    <mergeCell ref="J7:J8"/>
    <mergeCell ref="A12:C12"/>
    <mergeCell ref="D12:N12"/>
    <mergeCell ref="A13:N13"/>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
  <sheetViews>
    <sheetView zoomScale="67" zoomScaleNormal="100" workbookViewId="0">
      <selection activeCell="E19" sqref="E19"/>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22" s="36" customFormat="1">
      <c r="A1" s="40"/>
      <c r="B1" s="36" t="s">
        <v>50</v>
      </c>
      <c r="D1" s="41"/>
      <c r="E1" s="36" t="s">
        <v>51</v>
      </c>
      <c r="G1" s="277"/>
      <c r="H1" s="277"/>
      <c r="I1" s="36" t="s">
        <v>52</v>
      </c>
      <c r="L1" s="42"/>
      <c r="M1" s="36" t="s">
        <v>53</v>
      </c>
    </row>
    <row r="2" spans="1:22">
      <c r="A2" s="4"/>
      <c r="B2" s="4"/>
      <c r="C2" s="4"/>
      <c r="D2" s="4"/>
      <c r="E2" s="4"/>
      <c r="F2" s="4"/>
      <c r="G2" s="4"/>
      <c r="H2" s="4"/>
      <c r="I2" s="4"/>
      <c r="J2" s="4"/>
      <c r="K2" s="4"/>
    </row>
    <row r="3" spans="1:22" ht="15" customHeight="1">
      <c r="A3" s="386" t="s">
        <v>11</v>
      </c>
      <c r="B3" s="387"/>
      <c r="C3" s="387"/>
      <c r="D3" s="387"/>
      <c r="E3" s="387"/>
      <c r="F3" s="387"/>
      <c r="G3" s="387"/>
      <c r="H3" s="387"/>
      <c r="I3" s="387"/>
      <c r="J3" s="387"/>
      <c r="K3" s="388"/>
    </row>
    <row r="4" spans="1:22" ht="15" customHeight="1">
      <c r="A4" s="453" t="s">
        <v>43</v>
      </c>
      <c r="B4" s="454"/>
      <c r="C4" s="454"/>
      <c r="D4" s="454"/>
      <c r="E4" s="454"/>
      <c r="F4" s="454"/>
      <c r="G4" s="454"/>
      <c r="H4" s="454"/>
      <c r="I4" s="454"/>
      <c r="J4" s="454"/>
      <c r="K4" s="455"/>
    </row>
    <row r="5" spans="1:22" ht="15" customHeight="1">
      <c r="A5" s="447"/>
      <c r="B5" s="448"/>
      <c r="C5" s="448"/>
      <c r="D5" s="448"/>
      <c r="E5" s="448"/>
      <c r="F5" s="448"/>
      <c r="G5" s="448"/>
      <c r="H5" s="448"/>
      <c r="I5" s="448"/>
      <c r="J5" s="448"/>
      <c r="K5" s="449"/>
    </row>
    <row r="6" spans="1:22">
      <c r="A6" s="450"/>
      <c r="B6" s="451"/>
      <c r="C6" s="451"/>
      <c r="D6" s="451"/>
      <c r="E6" s="451"/>
      <c r="F6" s="451"/>
      <c r="G6" s="451"/>
      <c r="H6" s="451"/>
      <c r="I6" s="451"/>
      <c r="J6" s="451"/>
      <c r="K6" s="452"/>
    </row>
    <row r="7" spans="1:22">
      <c r="A7" s="4"/>
      <c r="B7" s="4"/>
      <c r="C7" s="4"/>
      <c r="D7" s="4"/>
      <c r="E7" s="4"/>
      <c r="F7" s="4"/>
      <c r="G7" s="4"/>
      <c r="H7" s="4"/>
      <c r="I7" s="4"/>
      <c r="J7" s="4"/>
      <c r="K7" s="4"/>
    </row>
    <row r="8" spans="1:22">
      <c r="A8" s="4"/>
      <c r="B8" s="173" t="s">
        <v>216</v>
      </c>
      <c r="C8" s="4"/>
      <c r="D8" s="4"/>
      <c r="E8" s="4"/>
      <c r="F8" s="4"/>
      <c r="G8" s="4"/>
      <c r="H8" s="4"/>
      <c r="I8" s="4"/>
      <c r="J8" s="4"/>
      <c r="K8" s="4"/>
    </row>
    <row r="9" spans="1:22">
      <c r="A9" s="4"/>
      <c r="B9" s="174" t="s">
        <v>156</v>
      </c>
      <c r="C9" s="4"/>
      <c r="D9" s="4"/>
      <c r="E9" s="4"/>
      <c r="F9" s="4"/>
      <c r="G9" s="4"/>
      <c r="H9" s="4"/>
      <c r="I9" s="4"/>
      <c r="J9" s="4"/>
      <c r="K9" s="4"/>
    </row>
    <row r="10" spans="1:22">
      <c r="A10" s="4"/>
      <c r="B10" s="174" t="s">
        <v>217</v>
      </c>
      <c r="C10" s="4"/>
      <c r="D10" s="4"/>
      <c r="E10" s="4"/>
      <c r="F10" s="4"/>
      <c r="G10" s="4"/>
      <c r="H10" s="4"/>
      <c r="I10" s="4"/>
      <c r="J10" s="4"/>
      <c r="K10" s="4"/>
    </row>
    <row r="11" spans="1:22">
      <c r="A11" s="4"/>
      <c r="B11" s="175" t="s">
        <v>214</v>
      </c>
      <c r="C11" s="10"/>
      <c r="D11" s="10"/>
      <c r="E11" s="10"/>
      <c r="F11" s="10"/>
      <c r="G11" s="10"/>
      <c r="H11" s="10"/>
      <c r="I11" s="10"/>
      <c r="J11" s="10"/>
      <c r="K11" s="10"/>
      <c r="L11" s="89"/>
      <c r="M11" s="89"/>
      <c r="N11" s="89"/>
      <c r="O11" s="89"/>
      <c r="P11" s="89"/>
      <c r="Q11" s="89"/>
      <c r="R11" s="89"/>
      <c r="S11" s="89"/>
      <c r="T11" s="89"/>
      <c r="U11" s="89"/>
      <c r="V11" s="89"/>
    </row>
    <row r="12" spans="1:22">
      <c r="A12" s="4"/>
      <c r="B12" s="456" t="s">
        <v>418</v>
      </c>
      <c r="C12" s="456"/>
      <c r="D12" s="456"/>
      <c r="E12" s="456"/>
      <c r="F12" s="456"/>
      <c r="G12" s="456"/>
      <c r="H12" s="456"/>
      <c r="I12" s="456"/>
      <c r="J12" s="4"/>
      <c r="K12" s="4"/>
    </row>
    <row r="13" spans="1:22">
      <c r="B13" s="35"/>
      <c r="C13" s="35"/>
      <c r="D13" s="35"/>
      <c r="E13" s="35"/>
      <c r="F13" s="35"/>
      <c r="G13" s="35"/>
      <c r="H13" s="35"/>
      <c r="I13" s="35"/>
      <c r="J13" s="35"/>
      <c r="K13" s="35"/>
      <c r="L13" s="35"/>
      <c r="M13" s="35"/>
      <c r="N13" s="35"/>
      <c r="O13" s="35"/>
      <c r="P13" s="35"/>
      <c r="Q13" s="35"/>
    </row>
  </sheetData>
  <mergeCells count="5">
    <mergeCell ref="A3:K3"/>
    <mergeCell ref="A5:K6"/>
    <mergeCell ref="A4:K4"/>
    <mergeCell ref="G1:H1"/>
    <mergeCell ref="B12:I12"/>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F16" sqref="F16"/>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s="36" customFormat="1">
      <c r="A1" s="40"/>
      <c r="B1" s="36" t="s">
        <v>50</v>
      </c>
      <c r="D1" s="41"/>
      <c r="E1" s="36" t="s">
        <v>51</v>
      </c>
      <c r="G1" s="277"/>
      <c r="H1" s="277"/>
      <c r="I1" s="36" t="s">
        <v>52</v>
      </c>
      <c r="L1" s="42"/>
      <c r="M1" s="36" t="s">
        <v>53</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386" t="s">
        <v>12</v>
      </c>
      <c r="B4" s="387"/>
      <c r="C4" s="387"/>
      <c r="D4" s="387"/>
      <c r="E4" s="387"/>
      <c r="F4" s="387"/>
      <c r="G4" s="387"/>
      <c r="H4" s="387"/>
      <c r="I4" s="387"/>
      <c r="J4" s="387"/>
      <c r="K4" s="388"/>
    </row>
    <row r="5" spans="1:13" ht="15" customHeight="1">
      <c r="A5" s="453" t="s">
        <v>42</v>
      </c>
      <c r="B5" s="454"/>
      <c r="C5" s="454"/>
      <c r="D5" s="454"/>
      <c r="E5" s="454"/>
      <c r="F5" s="454"/>
      <c r="G5" s="454"/>
      <c r="H5" s="454"/>
      <c r="I5" s="454"/>
      <c r="J5" s="454"/>
      <c r="K5" s="455"/>
    </row>
    <row r="6" spans="1:13" ht="15" customHeight="1">
      <c r="A6" s="457"/>
      <c r="B6" s="458"/>
      <c r="C6" s="458"/>
      <c r="D6" s="458"/>
      <c r="E6" s="458"/>
      <c r="F6" s="458"/>
      <c r="G6" s="458"/>
      <c r="H6" s="458"/>
      <c r="I6" s="458"/>
      <c r="J6" s="458"/>
      <c r="K6" s="459"/>
    </row>
    <row r="7" spans="1:13">
      <c r="A7" s="460"/>
      <c r="B7" s="461"/>
      <c r="C7" s="461"/>
      <c r="D7" s="461"/>
      <c r="E7" s="461"/>
      <c r="F7" s="461"/>
      <c r="G7" s="461"/>
      <c r="H7" s="461"/>
      <c r="I7" s="461"/>
      <c r="J7" s="461"/>
      <c r="K7" s="462"/>
    </row>
    <row r="8" spans="1:13">
      <c r="A8" s="4"/>
      <c r="B8" s="4"/>
      <c r="C8" s="4"/>
      <c r="D8" s="4"/>
      <c r="E8" s="4"/>
      <c r="F8" s="4"/>
      <c r="G8" s="4"/>
      <c r="H8" s="4"/>
      <c r="I8" s="4"/>
      <c r="J8" s="4"/>
      <c r="K8" s="4"/>
    </row>
    <row r="9" spans="1:13">
      <c r="A9" s="4"/>
      <c r="B9" s="4"/>
      <c r="C9" s="4"/>
      <c r="D9" s="4"/>
      <c r="E9" s="4"/>
      <c r="F9" s="4"/>
      <c r="G9" s="4"/>
      <c r="H9" s="4"/>
      <c r="I9" s="4"/>
      <c r="J9" s="4"/>
      <c r="K9" s="4"/>
    </row>
    <row r="10" spans="1:13">
      <c r="A10" s="4"/>
      <c r="B10" s="104" t="s">
        <v>67</v>
      </c>
      <c r="C10" s="4"/>
      <c r="D10" s="4"/>
      <c r="E10" s="4"/>
      <c r="F10" s="4"/>
      <c r="G10" s="4"/>
      <c r="H10" s="4"/>
      <c r="I10" s="4"/>
      <c r="J10" s="4"/>
      <c r="K10" s="4"/>
    </row>
    <row r="11" spans="1:13">
      <c r="A11" s="4"/>
      <c r="B11" s="4" t="s">
        <v>243</v>
      </c>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3"/>
  <sheetViews>
    <sheetView topLeftCell="A7" zoomScale="60" zoomScaleNormal="60" workbookViewId="0">
      <selection activeCell="R32" sqref="R32"/>
    </sheetView>
  </sheetViews>
  <sheetFormatPr defaultColWidth="9.140625" defaultRowHeight="12.75"/>
  <cols>
    <col min="1" max="1" width="26.5703125" style="17" customWidth="1"/>
    <col min="2" max="2" width="17" style="17" customWidth="1"/>
    <col min="3" max="3" width="17.5703125" style="17" customWidth="1"/>
    <col min="4" max="4" width="8.140625" style="17" customWidth="1"/>
    <col min="5" max="5" width="30.42578125" style="17" customWidth="1"/>
    <col min="6" max="6" width="35.42578125" style="17" customWidth="1"/>
    <col min="7" max="7" width="1.85546875" style="17" customWidth="1"/>
    <col min="8" max="8" width="17.5703125" style="17" customWidth="1"/>
    <col min="9" max="9" width="3.85546875" style="17" customWidth="1"/>
    <col min="10" max="10" width="13.85546875" style="17" customWidth="1"/>
    <col min="11" max="11" width="16.5703125" style="17" customWidth="1"/>
    <col min="12" max="12" width="20.42578125" style="17" customWidth="1"/>
    <col min="13" max="13" width="16" style="17" customWidth="1"/>
    <col min="14" max="14" width="15" style="17" customWidth="1"/>
    <col min="15" max="15" width="15.140625" style="16" customWidth="1"/>
    <col min="16" max="16384" width="9.140625" style="16"/>
  </cols>
  <sheetData>
    <row r="1" spans="1:21" s="86" customFormat="1" ht="15">
      <c r="A1" s="90"/>
      <c r="B1" s="86" t="s">
        <v>50</v>
      </c>
      <c r="D1" s="91"/>
      <c r="E1" s="86" t="s">
        <v>51</v>
      </c>
      <c r="G1" s="277"/>
      <c r="H1" s="277"/>
      <c r="I1" s="86" t="s">
        <v>52</v>
      </c>
      <c r="M1" s="92"/>
      <c r="N1" s="86" t="s">
        <v>53</v>
      </c>
    </row>
    <row r="3" spans="1:21" ht="19.5" customHeight="1">
      <c r="A3" s="499" t="s">
        <v>171</v>
      </c>
      <c r="B3" s="499"/>
      <c r="C3" s="499"/>
      <c r="D3" s="499"/>
      <c r="E3" s="499"/>
      <c r="F3" s="499"/>
      <c r="G3" s="499"/>
      <c r="H3" s="499"/>
      <c r="I3" s="499"/>
      <c r="J3" s="499"/>
      <c r="K3" s="499"/>
      <c r="L3" s="499"/>
      <c r="M3" s="499"/>
      <c r="N3" s="499"/>
      <c r="O3" s="499"/>
    </row>
    <row r="4" spans="1:21" ht="51.6" customHeight="1">
      <c r="A4" s="498" t="s">
        <v>315</v>
      </c>
      <c r="B4" s="498"/>
      <c r="C4" s="498"/>
      <c r="D4" s="498"/>
      <c r="E4" s="498"/>
      <c r="F4" s="498"/>
      <c r="G4" s="498"/>
      <c r="H4" s="498"/>
      <c r="I4" s="498"/>
      <c r="J4" s="498"/>
      <c r="K4" s="498"/>
      <c r="L4" s="498"/>
      <c r="M4" s="498"/>
      <c r="N4" s="498"/>
      <c r="O4" s="498"/>
    </row>
    <row r="5" spans="1:21" ht="18.75" customHeight="1">
      <c r="A5" s="503" t="s">
        <v>184</v>
      </c>
      <c r="B5" s="503"/>
      <c r="C5" s="503"/>
      <c r="D5" s="503"/>
      <c r="E5" s="503"/>
      <c r="F5" s="503"/>
      <c r="G5" s="503"/>
      <c r="H5" s="503"/>
      <c r="I5" s="503"/>
      <c r="J5" s="503"/>
      <c r="K5" s="503"/>
      <c r="L5" s="503"/>
      <c r="M5" s="503"/>
      <c r="N5" s="503"/>
      <c r="O5" s="503"/>
    </row>
    <row r="6" spans="1:21" ht="15" customHeight="1">
      <c r="A6" s="146" t="s">
        <v>37</v>
      </c>
      <c r="B6" s="146" t="s">
        <v>38</v>
      </c>
      <c r="C6" s="146" t="s">
        <v>39</v>
      </c>
      <c r="D6" s="468" t="s">
        <v>40</v>
      </c>
      <c r="E6" s="488"/>
      <c r="F6" s="470" t="s">
        <v>41</v>
      </c>
      <c r="G6" s="470"/>
      <c r="H6" s="470"/>
      <c r="I6" s="470" t="s">
        <v>45</v>
      </c>
      <c r="J6" s="470"/>
      <c r="K6" s="470"/>
      <c r="L6" s="470"/>
      <c r="M6" s="470" t="s">
        <v>46</v>
      </c>
      <c r="N6" s="470"/>
      <c r="O6" s="146" t="s">
        <v>47</v>
      </c>
    </row>
    <row r="7" spans="1:21" ht="19.5" customHeight="1">
      <c r="A7" s="487" t="s">
        <v>127</v>
      </c>
      <c r="B7" s="487" t="s">
        <v>166</v>
      </c>
      <c r="C7" s="487" t="s">
        <v>167</v>
      </c>
      <c r="D7" s="490" t="s">
        <v>198</v>
      </c>
      <c r="E7" s="491"/>
      <c r="F7" s="471" t="s">
        <v>192</v>
      </c>
      <c r="G7" s="471"/>
      <c r="H7" s="471"/>
      <c r="I7" s="473" t="s">
        <v>191</v>
      </c>
      <c r="J7" s="473"/>
      <c r="K7" s="473"/>
      <c r="L7" s="473"/>
      <c r="M7" s="471" t="s">
        <v>169</v>
      </c>
      <c r="N7" s="471"/>
      <c r="O7" s="463" t="s">
        <v>172</v>
      </c>
      <c r="P7" s="64"/>
      <c r="Q7" s="64"/>
    </row>
    <row r="8" spans="1:21" ht="62.25" customHeight="1">
      <c r="A8" s="487"/>
      <c r="B8" s="487"/>
      <c r="C8" s="487"/>
      <c r="D8" s="492"/>
      <c r="E8" s="493"/>
      <c r="F8" s="471"/>
      <c r="G8" s="471"/>
      <c r="H8" s="471"/>
      <c r="I8" s="465" t="s">
        <v>193</v>
      </c>
      <c r="J8" s="465"/>
      <c r="K8" s="184" t="s">
        <v>244</v>
      </c>
      <c r="L8" s="147" t="s">
        <v>168</v>
      </c>
      <c r="M8" s="471"/>
      <c r="N8" s="471"/>
      <c r="O8" s="464"/>
    </row>
    <row r="9" spans="1:21" ht="15">
      <c r="A9" s="193" t="s">
        <v>200</v>
      </c>
      <c r="B9" s="197"/>
      <c r="C9" s="197"/>
      <c r="D9" s="489">
        <f>0.15*(B9-C9)</f>
        <v>0</v>
      </c>
      <c r="E9" s="489"/>
      <c r="F9" s="500" t="s">
        <v>128</v>
      </c>
      <c r="G9" s="501"/>
      <c r="H9" s="502"/>
      <c r="I9" s="466"/>
      <c r="J9" s="466"/>
      <c r="K9" s="127"/>
      <c r="L9" s="195">
        <f>I9+K9</f>
        <v>0</v>
      </c>
      <c r="M9" s="472">
        <f>0.5*L9</f>
        <v>0</v>
      </c>
      <c r="N9" s="472"/>
      <c r="O9" s="196"/>
      <c r="P9" s="63"/>
      <c r="Q9" s="63"/>
      <c r="R9" s="63"/>
      <c r="S9" s="63"/>
    </row>
    <row r="10" spans="1:21" ht="16.5" customHeight="1">
      <c r="A10" s="467" t="s">
        <v>174</v>
      </c>
      <c r="B10" s="467"/>
      <c r="C10" s="467"/>
      <c r="D10" s="467"/>
      <c r="E10" s="467"/>
      <c r="F10" s="467"/>
      <c r="G10" s="467"/>
      <c r="H10" s="467"/>
      <c r="I10" s="467"/>
      <c r="J10" s="467"/>
      <c r="K10" s="467"/>
      <c r="L10" s="467"/>
      <c r="M10" s="467"/>
      <c r="N10" s="467"/>
      <c r="O10" s="467"/>
    </row>
    <row r="11" spans="1:21" ht="12.75" customHeight="1">
      <c r="A11" s="146" t="s">
        <v>48</v>
      </c>
      <c r="B11" s="146" t="s">
        <v>66</v>
      </c>
      <c r="C11" s="468" t="s">
        <v>105</v>
      </c>
      <c r="D11" s="469"/>
      <c r="E11" s="146" t="s">
        <v>175</v>
      </c>
      <c r="F11" s="146" t="s">
        <v>176</v>
      </c>
      <c r="G11" s="470" t="s">
        <v>177</v>
      </c>
      <c r="H11" s="470"/>
      <c r="I11" s="470"/>
      <c r="J11" s="470" t="s">
        <v>178</v>
      </c>
      <c r="K11" s="470"/>
      <c r="L11" s="146" t="s">
        <v>179</v>
      </c>
      <c r="M11" s="146" t="s">
        <v>180</v>
      </c>
      <c r="N11" s="146" t="s">
        <v>181</v>
      </c>
      <c r="O11" s="146" t="s">
        <v>182</v>
      </c>
    </row>
    <row r="12" spans="1:21" s="99" customFormat="1" ht="15.75" customHeight="1">
      <c r="A12" s="487" t="s">
        <v>132</v>
      </c>
      <c r="B12" s="487" t="s">
        <v>129</v>
      </c>
      <c r="C12" s="490" t="s">
        <v>210</v>
      </c>
      <c r="D12" s="505"/>
      <c r="E12" s="487" t="s">
        <v>245</v>
      </c>
      <c r="F12" s="463" t="s">
        <v>136</v>
      </c>
      <c r="G12" s="471" t="s">
        <v>186</v>
      </c>
      <c r="H12" s="471"/>
      <c r="I12" s="471"/>
      <c r="J12" s="471" t="s">
        <v>187</v>
      </c>
      <c r="K12" s="471"/>
      <c r="L12" s="471" t="s">
        <v>221</v>
      </c>
      <c r="M12" s="471" t="s">
        <v>189</v>
      </c>
      <c r="N12" s="474" t="s">
        <v>188</v>
      </c>
      <c r="O12" s="474" t="s">
        <v>138</v>
      </c>
      <c r="P12" s="98"/>
      <c r="Q12" s="98"/>
      <c r="R12" s="98"/>
      <c r="S12" s="98"/>
      <c r="T12" s="98"/>
      <c r="U12" s="98"/>
    </row>
    <row r="13" spans="1:21" s="99" customFormat="1" ht="39.75" customHeight="1">
      <c r="A13" s="487"/>
      <c r="B13" s="487"/>
      <c r="C13" s="492"/>
      <c r="D13" s="506"/>
      <c r="E13" s="487"/>
      <c r="F13" s="464"/>
      <c r="G13" s="471"/>
      <c r="H13" s="471"/>
      <c r="I13" s="471"/>
      <c r="J13" s="471"/>
      <c r="K13" s="471"/>
      <c r="L13" s="471"/>
      <c r="M13" s="471"/>
      <c r="N13" s="475"/>
      <c r="O13" s="475"/>
      <c r="P13" s="100"/>
      <c r="Q13" s="100"/>
      <c r="R13" s="100"/>
      <c r="S13" s="100"/>
      <c r="T13" s="100"/>
      <c r="U13" s="100"/>
    </row>
    <row r="14" spans="1:21" s="99" customFormat="1" ht="15.75">
      <c r="A14" s="125"/>
      <c r="B14" s="125"/>
      <c r="C14" s="483" t="s">
        <v>200</v>
      </c>
      <c r="D14" s="484"/>
      <c r="E14" s="193" t="s">
        <v>200</v>
      </c>
      <c r="F14" s="193" t="s">
        <v>200</v>
      </c>
      <c r="G14" s="504" t="s">
        <v>200</v>
      </c>
      <c r="H14" s="504"/>
      <c r="I14" s="504"/>
      <c r="J14" s="477" t="s">
        <v>200</v>
      </c>
      <c r="K14" s="478"/>
      <c r="L14" s="193" t="s">
        <v>200</v>
      </c>
      <c r="M14" s="130"/>
      <c r="N14" s="125"/>
      <c r="O14" s="182"/>
      <c r="P14" s="101"/>
      <c r="Q14" s="101"/>
      <c r="R14" s="101"/>
      <c r="S14" s="101"/>
      <c r="T14" s="101"/>
      <c r="U14" s="102"/>
    </row>
    <row r="15" spans="1:21" ht="53.25" customHeight="1">
      <c r="A15" s="480" t="s">
        <v>183</v>
      </c>
      <c r="B15" s="481"/>
      <c r="C15" s="481"/>
      <c r="D15" s="481"/>
      <c r="E15" s="481"/>
      <c r="F15" s="481"/>
      <c r="G15" s="481"/>
      <c r="H15" s="481"/>
      <c r="I15" s="481"/>
      <c r="J15" s="481"/>
      <c r="K15" s="481"/>
      <c r="L15" s="481"/>
      <c r="M15" s="481"/>
      <c r="N15" s="194" t="s">
        <v>213</v>
      </c>
      <c r="O15" s="150"/>
      <c r="P15" s="65"/>
    </row>
    <row r="16" spans="1:21" ht="15" customHeight="1">
      <c r="M16" s="16"/>
      <c r="N16" s="149" t="s">
        <v>190</v>
      </c>
      <c r="O16" s="129" t="s">
        <v>133</v>
      </c>
    </row>
    <row r="17" spans="1:19" ht="15" customHeight="1">
      <c r="A17" s="467" t="s">
        <v>194</v>
      </c>
      <c r="B17" s="467"/>
      <c r="C17" s="467"/>
      <c r="D17" s="467"/>
      <c r="E17" s="467"/>
      <c r="F17" s="467"/>
      <c r="G17" s="467"/>
      <c r="H17" s="467"/>
      <c r="I17" s="467"/>
      <c r="J17" s="467"/>
      <c r="K17" s="467"/>
      <c r="L17" s="467"/>
      <c r="M17" s="467"/>
      <c r="N17" s="467"/>
      <c r="O17" s="467"/>
    </row>
    <row r="18" spans="1:19" ht="15" customHeight="1">
      <c r="A18" s="485" t="s">
        <v>195</v>
      </c>
      <c r="B18" s="485"/>
      <c r="C18" s="485"/>
      <c r="D18" s="485"/>
      <c r="E18" s="485"/>
      <c r="F18" s="485"/>
      <c r="G18" s="485"/>
      <c r="H18" s="485"/>
      <c r="I18" s="485"/>
      <c r="J18" s="485"/>
      <c r="K18" s="486"/>
      <c r="L18" s="486"/>
      <c r="M18" s="486"/>
      <c r="N18" s="486"/>
      <c r="O18" s="486"/>
    </row>
    <row r="19" spans="1:19" ht="30.75" customHeight="1">
      <c r="A19" s="482" t="s">
        <v>170</v>
      </c>
      <c r="B19" s="482"/>
      <c r="C19" s="482"/>
      <c r="D19" s="482"/>
      <c r="E19" s="482"/>
      <c r="F19" s="482"/>
      <c r="G19" s="482"/>
      <c r="H19" s="482"/>
      <c r="I19" s="482"/>
      <c r="J19" s="482"/>
      <c r="K19" s="482"/>
      <c r="L19" s="482"/>
      <c r="M19" s="482"/>
      <c r="N19" s="482"/>
      <c r="O19" s="482"/>
    </row>
    <row r="20" spans="1:19">
      <c r="A20" s="16"/>
      <c r="B20" s="16"/>
      <c r="C20" s="16"/>
      <c r="D20" s="16"/>
      <c r="E20" s="16"/>
      <c r="F20" s="16"/>
      <c r="G20" s="16"/>
      <c r="H20" s="16"/>
      <c r="I20" s="16"/>
      <c r="J20" s="16"/>
      <c r="K20" s="16"/>
      <c r="L20" s="16"/>
      <c r="M20" s="16"/>
    </row>
    <row r="21" spans="1:19" ht="12.75" customHeight="1">
      <c r="A21" s="102"/>
      <c r="B21" s="102"/>
      <c r="C21" s="102"/>
      <c r="D21" s="102"/>
      <c r="E21" s="102"/>
      <c r="F21" s="102"/>
      <c r="G21" s="102"/>
      <c r="H21" s="102"/>
      <c r="I21" s="102"/>
      <c r="J21" s="102"/>
      <c r="K21" s="102"/>
      <c r="L21" s="102"/>
      <c r="M21" s="102"/>
      <c r="N21" s="102"/>
      <c r="O21" s="98"/>
    </row>
    <row r="22" spans="1:19" ht="23.25" customHeight="1">
      <c r="A22" s="148" t="s">
        <v>124</v>
      </c>
      <c r="B22" s="128"/>
      <c r="C22" s="494" t="s">
        <v>185</v>
      </c>
      <c r="D22" s="495"/>
      <c r="E22" s="148" t="s">
        <v>223</v>
      </c>
      <c r="F22" s="148" t="s">
        <v>137</v>
      </c>
      <c r="G22" s="479" t="s">
        <v>134</v>
      </c>
      <c r="H22" s="479"/>
      <c r="I22" s="479"/>
      <c r="J22" s="479" t="s">
        <v>135</v>
      </c>
      <c r="K22" s="479"/>
      <c r="L22" s="148" t="s">
        <v>222</v>
      </c>
      <c r="M22" s="128"/>
      <c r="N22" s="128"/>
      <c r="O22" s="100"/>
    </row>
    <row r="23" spans="1:19" ht="15.75">
      <c r="A23" s="132" t="s">
        <v>126</v>
      </c>
      <c r="B23" s="128"/>
      <c r="C23" s="496" t="s">
        <v>211</v>
      </c>
      <c r="D23" s="497"/>
      <c r="E23" s="176" t="s">
        <v>130</v>
      </c>
      <c r="F23" s="132" t="s">
        <v>130</v>
      </c>
      <c r="G23" s="476" t="s">
        <v>130</v>
      </c>
      <c r="H23" s="476"/>
      <c r="I23" s="476"/>
      <c r="J23" s="476" t="s">
        <v>130</v>
      </c>
      <c r="K23" s="476"/>
      <c r="L23" s="176" t="s">
        <v>130</v>
      </c>
      <c r="M23" s="128"/>
      <c r="N23" s="128"/>
      <c r="O23" s="101"/>
    </row>
    <row r="24" spans="1:19">
      <c r="A24" s="132" t="s">
        <v>125</v>
      </c>
      <c r="C24" s="476" t="s">
        <v>212</v>
      </c>
      <c r="D24" s="476"/>
      <c r="E24" s="176" t="s">
        <v>131</v>
      </c>
      <c r="F24" s="132" t="s">
        <v>131</v>
      </c>
      <c r="G24" s="476" t="s">
        <v>131</v>
      </c>
      <c r="H24" s="476"/>
      <c r="I24" s="476"/>
      <c r="J24" s="476" t="s">
        <v>131</v>
      </c>
      <c r="K24" s="476"/>
      <c r="L24" s="176" t="s">
        <v>131</v>
      </c>
      <c r="N24" s="96"/>
      <c r="O24" s="65"/>
      <c r="P24" s="17"/>
      <c r="Q24" s="17"/>
      <c r="R24" s="17"/>
      <c r="S24" s="17"/>
    </row>
    <row r="25" spans="1:19">
      <c r="A25" s="126"/>
      <c r="B25" s="126"/>
      <c r="E25" s="138"/>
      <c r="L25" s="126"/>
      <c r="M25" s="126"/>
      <c r="P25" s="17"/>
      <c r="Q25" s="17"/>
      <c r="R25" s="17"/>
      <c r="S25" s="17"/>
    </row>
    <row r="26" spans="1:19">
      <c r="A26" s="16"/>
      <c r="B26" s="16"/>
      <c r="C26" s="16"/>
      <c r="D26" s="16"/>
      <c r="E26" s="16"/>
      <c r="F26" s="16"/>
      <c r="G26" s="16"/>
      <c r="H26" s="16"/>
      <c r="I26" s="16"/>
      <c r="J26" s="16"/>
      <c r="K26" s="16"/>
      <c r="L26" s="16"/>
      <c r="M26" s="16"/>
    </row>
    <row r="27" spans="1:19">
      <c r="F27" s="121"/>
      <c r="K27" s="121"/>
      <c r="N27" s="121"/>
    </row>
    <row r="28" spans="1:19">
      <c r="F28" s="121"/>
      <c r="K28" s="121"/>
      <c r="N28" s="121"/>
      <c r="O28" s="17"/>
    </row>
    <row r="29" spans="1:19">
      <c r="F29" s="121"/>
      <c r="K29" s="121"/>
      <c r="N29" s="121"/>
      <c r="O29" s="17"/>
    </row>
    <row r="32" spans="1:19">
      <c r="B32" s="16"/>
      <c r="O32" s="17"/>
    </row>
    <row r="33" spans="1:14" ht="15">
      <c r="A33" s="16"/>
      <c r="B33" s="16"/>
      <c r="N33" s="97"/>
    </row>
  </sheetData>
  <mergeCells count="53">
    <mergeCell ref="G14:I14"/>
    <mergeCell ref="B12:B13"/>
    <mergeCell ref="C12:D13"/>
    <mergeCell ref="E12:E13"/>
    <mergeCell ref="F12:F13"/>
    <mergeCell ref="G1:H1"/>
    <mergeCell ref="C24:D24"/>
    <mergeCell ref="G24:I24"/>
    <mergeCell ref="C22:D22"/>
    <mergeCell ref="C23:D23"/>
    <mergeCell ref="G22:I22"/>
    <mergeCell ref="G23:I23"/>
    <mergeCell ref="G12:I13"/>
    <mergeCell ref="A4:O4"/>
    <mergeCell ref="A3:O3"/>
    <mergeCell ref="F6:H6"/>
    <mergeCell ref="F7:H8"/>
    <mergeCell ref="F9:H9"/>
    <mergeCell ref="A5:O5"/>
    <mergeCell ref="M6:N6"/>
    <mergeCell ref="I6:L6"/>
    <mergeCell ref="D6:E6"/>
    <mergeCell ref="B7:B8"/>
    <mergeCell ref="D9:E9"/>
    <mergeCell ref="A7:A8"/>
    <mergeCell ref="C7:C8"/>
    <mergeCell ref="D7:E8"/>
    <mergeCell ref="O12:O13"/>
    <mergeCell ref="L12:L13"/>
    <mergeCell ref="M12:M13"/>
    <mergeCell ref="N12:N13"/>
    <mergeCell ref="J24:K24"/>
    <mergeCell ref="J12:K13"/>
    <mergeCell ref="J14:K14"/>
    <mergeCell ref="J22:K22"/>
    <mergeCell ref="J23:K23"/>
    <mergeCell ref="A15:M15"/>
    <mergeCell ref="A19:O19"/>
    <mergeCell ref="C14:D14"/>
    <mergeCell ref="A17:O17"/>
    <mergeCell ref="A18:J18"/>
    <mergeCell ref="K18:O18"/>
    <mergeCell ref="A12:A13"/>
    <mergeCell ref="O7:O8"/>
    <mergeCell ref="I8:J8"/>
    <mergeCell ref="I9:J9"/>
    <mergeCell ref="A10:O10"/>
    <mergeCell ref="C11:D11"/>
    <mergeCell ref="J11:K11"/>
    <mergeCell ref="M7:N8"/>
    <mergeCell ref="M9:N9"/>
    <mergeCell ref="I7:L7"/>
    <mergeCell ref="G11:I11"/>
  </mergeCells>
  <pageMargins left="0.5" right="0.5" top="0.75" bottom="0.75" header="0.3" footer="0.3"/>
  <pageSetup orientation="landscape" horizontalDpi="1200" verticalDpi="12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9"/>
  <sheetViews>
    <sheetView zoomScale="81" zoomScaleNormal="100" workbookViewId="0">
      <selection activeCell="A4" sqref="A4:F4"/>
    </sheetView>
  </sheetViews>
  <sheetFormatPr defaultColWidth="9.140625" defaultRowHeight="15"/>
  <cols>
    <col min="1" max="1" width="14" style="36" customWidth="1"/>
    <col min="2" max="2" width="16.42578125" style="36" customWidth="1"/>
    <col min="3" max="3" width="17.140625" style="36" customWidth="1"/>
    <col min="4" max="4" width="33.140625" style="36" customWidth="1"/>
    <col min="5" max="5" width="9.5703125" style="36" customWidth="1"/>
    <col min="6" max="6" width="9.85546875" style="36" customWidth="1"/>
    <col min="7" max="7" width="10.85546875" style="36" customWidth="1"/>
    <col min="8" max="10" width="5.5703125" style="36" customWidth="1"/>
    <col min="11" max="14" width="4.5703125" style="36" customWidth="1"/>
    <col min="15" max="15" width="4.140625" style="36" customWidth="1"/>
    <col min="16" max="16" width="4.5703125" style="36" customWidth="1"/>
    <col min="17" max="17" width="5.5703125" style="36" customWidth="1"/>
    <col min="18" max="18" width="11.5703125" style="36" customWidth="1"/>
    <col min="19" max="16384" width="9.140625" style="36"/>
  </cols>
  <sheetData>
    <row r="1" spans="1:26">
      <c r="A1" s="40"/>
      <c r="B1" s="36" t="s">
        <v>50</v>
      </c>
      <c r="C1" s="41"/>
      <c r="D1" s="36" t="s">
        <v>51</v>
      </c>
      <c r="E1" s="117"/>
      <c r="F1" s="36" t="s">
        <v>52</v>
      </c>
      <c r="H1" s="42"/>
      <c r="I1" s="36" t="s">
        <v>53</v>
      </c>
    </row>
    <row r="2" spans="1:26">
      <c r="A2" s="38"/>
      <c r="B2" s="38"/>
      <c r="C2" s="38"/>
      <c r="D2" s="38"/>
      <c r="E2" s="37"/>
      <c r="F2" s="37"/>
      <c r="G2" s="37"/>
      <c r="H2" s="37"/>
      <c r="L2" s="37"/>
      <c r="M2" s="37"/>
      <c r="N2" s="37"/>
      <c r="O2" s="37"/>
      <c r="P2" s="37"/>
    </row>
    <row r="3" spans="1:26" ht="15" customHeight="1">
      <c r="A3" s="507" t="s">
        <v>397</v>
      </c>
      <c r="B3" s="508"/>
      <c r="C3" s="508"/>
      <c r="D3" s="508"/>
      <c r="E3" s="508"/>
      <c r="F3" s="509"/>
      <c r="G3" s="82"/>
      <c r="H3" s="82"/>
      <c r="I3" s="82"/>
      <c r="J3" s="82"/>
      <c r="K3" s="82"/>
      <c r="L3" s="82"/>
      <c r="M3" s="82"/>
      <c r="N3" s="82"/>
      <c r="O3" s="82"/>
      <c r="P3" s="82"/>
      <c r="Q3" s="82"/>
      <c r="R3" s="82"/>
      <c r="S3" s="21"/>
      <c r="T3" s="21"/>
      <c r="U3" s="21"/>
      <c r="V3" s="21"/>
      <c r="W3" s="21"/>
      <c r="X3" s="21"/>
      <c r="Y3" s="21"/>
      <c r="Z3" s="21"/>
    </row>
    <row r="4" spans="1:26">
      <c r="A4" s="515" t="s">
        <v>396</v>
      </c>
      <c r="B4" s="516"/>
      <c r="C4" s="516"/>
      <c r="D4" s="516"/>
      <c r="E4" s="516"/>
      <c r="F4" s="517"/>
      <c r="G4" s="22"/>
      <c r="H4" s="22"/>
      <c r="I4" s="22"/>
      <c r="J4" s="22"/>
      <c r="K4" s="22"/>
      <c r="L4" s="22"/>
      <c r="M4" s="22"/>
      <c r="N4" s="22"/>
      <c r="O4" s="22"/>
      <c r="P4" s="22"/>
      <c r="Q4" s="22"/>
      <c r="R4" s="22"/>
      <c r="S4" s="21"/>
      <c r="T4" s="21"/>
      <c r="U4" s="21"/>
      <c r="V4" s="21"/>
      <c r="W4" s="21"/>
      <c r="X4" s="21"/>
      <c r="Y4" s="21"/>
      <c r="Z4" s="21"/>
    </row>
    <row r="5" spans="1:26" ht="15" customHeight="1">
      <c r="A5" s="139" t="s">
        <v>37</v>
      </c>
      <c r="B5" s="139" t="s">
        <v>38</v>
      </c>
      <c r="C5" s="112" t="s">
        <v>39</v>
      </c>
      <c r="D5" s="112" t="s">
        <v>40</v>
      </c>
      <c r="E5" s="511" t="s">
        <v>41</v>
      </c>
      <c r="F5" s="512"/>
      <c r="G5" s="83"/>
      <c r="H5" s="83"/>
      <c r="I5" s="83"/>
      <c r="J5" s="83"/>
      <c r="K5" s="83"/>
      <c r="L5" s="83"/>
      <c r="M5" s="83"/>
      <c r="N5" s="83"/>
      <c r="O5" s="83"/>
      <c r="P5" s="83"/>
      <c r="Q5" s="83"/>
      <c r="R5" s="21"/>
      <c r="S5" s="21"/>
      <c r="T5" s="21"/>
      <c r="U5" s="21"/>
      <c r="V5" s="21"/>
      <c r="W5" s="21"/>
      <c r="X5" s="21"/>
      <c r="Y5" s="21"/>
      <c r="Z5" s="21"/>
    </row>
    <row r="6" spans="1:26" ht="16.5" customHeight="1">
      <c r="A6" s="518" t="s">
        <v>163</v>
      </c>
      <c r="B6" s="518" t="s">
        <v>79</v>
      </c>
      <c r="C6" s="519" t="s">
        <v>157</v>
      </c>
      <c r="D6" s="519" t="s">
        <v>89</v>
      </c>
      <c r="E6" s="513" t="s">
        <v>58</v>
      </c>
      <c r="F6" s="514"/>
      <c r="G6" s="67"/>
      <c r="H6" s="67"/>
      <c r="I6" s="67"/>
      <c r="J6" s="67"/>
      <c r="K6" s="67"/>
      <c r="L6" s="67"/>
      <c r="M6" s="67"/>
      <c r="N6" s="67"/>
      <c r="O6" s="67"/>
      <c r="P6" s="67"/>
      <c r="Q6" s="67"/>
      <c r="R6" s="55"/>
      <c r="S6" s="510"/>
      <c r="T6" s="510"/>
      <c r="U6" s="510"/>
      <c r="V6" s="510"/>
      <c r="W6" s="21"/>
      <c r="X6" s="21"/>
      <c r="Y6" s="21"/>
      <c r="Z6" s="21"/>
    </row>
    <row r="7" spans="1:26" ht="27.75" customHeight="1">
      <c r="A7" s="518"/>
      <c r="B7" s="518"/>
      <c r="C7" s="519"/>
      <c r="D7" s="519"/>
      <c r="E7" s="141" t="s">
        <v>59</v>
      </c>
      <c r="F7" s="141" t="s">
        <v>60</v>
      </c>
      <c r="G7" s="69"/>
      <c r="H7" s="69"/>
      <c r="I7" s="69"/>
      <c r="J7" s="69"/>
      <c r="K7" s="69"/>
      <c r="L7" s="69"/>
      <c r="M7" s="69"/>
      <c r="N7" s="69"/>
      <c r="O7" s="69"/>
      <c r="P7" s="69"/>
      <c r="Q7" s="69"/>
      <c r="R7" s="70"/>
      <c r="S7" s="510"/>
      <c r="T7" s="510"/>
      <c r="U7" s="510"/>
      <c r="V7" s="510"/>
      <c r="W7" s="21"/>
      <c r="X7" s="21"/>
      <c r="Y7" s="21"/>
      <c r="Z7" s="21"/>
    </row>
    <row r="8" spans="1:26" ht="26.25" customHeight="1">
      <c r="A8" s="118"/>
      <c r="B8" s="198">
        <f>A8</f>
        <v>0</v>
      </c>
      <c r="C8" s="199" t="s">
        <v>141</v>
      </c>
      <c r="D8" s="77"/>
      <c r="E8" s="84" t="s">
        <v>57</v>
      </c>
      <c r="F8" s="84" t="s">
        <v>57</v>
      </c>
      <c r="G8" s="71"/>
      <c r="H8" s="71"/>
      <c r="I8" s="71"/>
      <c r="J8" s="71"/>
      <c r="K8" s="71"/>
      <c r="L8" s="71"/>
      <c r="M8" s="71"/>
      <c r="N8" s="71"/>
      <c r="O8" s="71"/>
      <c r="P8" s="71"/>
      <c r="Q8" s="71"/>
      <c r="R8" s="70"/>
      <c r="S8" s="510"/>
      <c r="T8" s="510"/>
      <c r="U8" s="510"/>
      <c r="V8" s="510"/>
      <c r="W8" s="21"/>
      <c r="X8" s="21"/>
      <c r="Y8" s="21"/>
      <c r="Z8" s="21"/>
    </row>
    <row r="9" spans="1:26" ht="15.75">
      <c r="A9" s="170" t="s">
        <v>203</v>
      </c>
      <c r="B9" s="68"/>
      <c r="C9" s="68"/>
      <c r="D9" s="68"/>
      <c r="E9" s="72"/>
      <c r="F9" s="71"/>
      <c r="G9" s="71"/>
      <c r="H9" s="73"/>
      <c r="I9" s="21"/>
      <c r="J9" s="67"/>
      <c r="K9" s="71"/>
      <c r="L9" s="71"/>
      <c r="M9" s="72"/>
      <c r="N9" s="74"/>
      <c r="O9" s="74"/>
      <c r="P9" s="7"/>
      <c r="Q9" s="74"/>
      <c r="R9" s="70"/>
    </row>
    <row r="10" spans="1:26" ht="24.75" customHeight="1">
      <c r="A10" s="68"/>
      <c r="B10" s="68"/>
      <c r="C10" s="68"/>
      <c r="D10" s="75"/>
      <c r="E10" s="69"/>
      <c r="F10" s="69"/>
      <c r="G10" s="69"/>
      <c r="H10" s="69"/>
      <c r="I10" s="69"/>
      <c r="J10" s="69"/>
      <c r="K10" s="67"/>
      <c r="L10" s="67"/>
      <c r="M10" s="54"/>
      <c r="N10" s="67"/>
      <c r="O10" s="67"/>
      <c r="P10" s="55"/>
      <c r="Q10" s="67"/>
      <c r="R10" s="70"/>
    </row>
    <row r="11" spans="1:26" ht="15.75" customHeight="1">
      <c r="A11" s="68"/>
      <c r="B11" s="68"/>
      <c r="C11" s="68"/>
      <c r="D11" s="75"/>
      <c r="E11" s="71"/>
      <c r="F11" s="71"/>
      <c r="G11" s="71"/>
      <c r="H11" s="71"/>
      <c r="I11" s="71"/>
      <c r="J11" s="69"/>
      <c r="K11" s="71"/>
      <c r="L11" s="71"/>
      <c r="M11" s="72"/>
      <c r="N11" s="69"/>
      <c r="O11" s="69"/>
      <c r="P11" s="7"/>
      <c r="Q11" s="74"/>
      <c r="R11" s="70"/>
    </row>
    <row r="12" spans="1:26" ht="24.95" customHeight="1">
      <c r="A12" s="68"/>
      <c r="B12" s="68"/>
      <c r="C12" s="68"/>
      <c r="D12" s="68"/>
      <c r="E12" s="69"/>
      <c r="F12" s="69"/>
      <c r="G12" s="69"/>
      <c r="H12" s="69"/>
      <c r="I12" s="69"/>
      <c r="J12" s="69"/>
      <c r="K12" s="67"/>
      <c r="L12" s="67"/>
      <c r="M12" s="67"/>
      <c r="N12" s="67"/>
      <c r="O12" s="67"/>
      <c r="P12" s="67"/>
      <c r="Q12" s="67"/>
      <c r="R12" s="70"/>
    </row>
    <row r="16" spans="1:26">
      <c r="A16" s="86"/>
    </row>
    <row r="17" spans="1:1">
      <c r="A17" s="86"/>
    </row>
    <row r="18" spans="1:1">
      <c r="A18" s="86"/>
    </row>
    <row r="19" spans="1:1">
      <c r="A19" s="86"/>
    </row>
  </sheetData>
  <mergeCells count="9">
    <mergeCell ref="A3:F3"/>
    <mergeCell ref="S6:V8"/>
    <mergeCell ref="E5:F5"/>
    <mergeCell ref="E6:F6"/>
    <mergeCell ref="A4:F4"/>
    <mergeCell ref="A6:A7"/>
    <mergeCell ref="B6:B7"/>
    <mergeCell ref="C6:C7"/>
    <mergeCell ref="D6:D7"/>
  </mergeCells>
  <pageMargins left="0.25" right="0.25" top="0.75" bottom="0.75" header="0.3" footer="0.3"/>
  <pageSetup scale="84" fitToHeight="0"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22"/>
  <sheetViews>
    <sheetView zoomScaleNormal="100" workbookViewId="0">
      <selection activeCell="M62" sqref="M62"/>
    </sheetView>
  </sheetViews>
  <sheetFormatPr defaultColWidth="9.140625" defaultRowHeight="15"/>
  <cols>
    <col min="1" max="1" width="5" style="86" customWidth="1"/>
    <col min="2" max="2" width="16.42578125" style="86" customWidth="1"/>
    <col min="3" max="3" width="15.5703125" style="86" customWidth="1"/>
    <col min="4" max="7" width="13" style="86" customWidth="1"/>
    <col min="8" max="8" width="16.42578125" style="86" customWidth="1"/>
    <col min="9" max="9" width="17.140625" style="86" customWidth="1"/>
    <col min="10" max="10" width="15.42578125" style="86" customWidth="1"/>
    <col min="11" max="11" width="14.42578125" style="86" customWidth="1"/>
    <col min="12" max="12" width="9.5703125" style="86" customWidth="1"/>
    <col min="13" max="13" width="9.85546875" style="86" customWidth="1"/>
    <col min="14" max="14" width="10.85546875" style="86" customWidth="1"/>
    <col min="15" max="17" width="5.5703125" style="86" customWidth="1"/>
    <col min="18" max="21" width="4.5703125" style="86" customWidth="1"/>
    <col min="22" max="22" width="4.140625" style="86" customWidth="1"/>
    <col min="23" max="23" width="4.5703125" style="86" customWidth="1"/>
    <col min="24" max="24" width="5.5703125" style="86" customWidth="1"/>
    <col min="25" max="25" width="11.5703125" style="86" customWidth="1"/>
    <col min="26" max="16384" width="9.140625" style="86"/>
  </cols>
  <sheetData>
    <row r="1" spans="1:33">
      <c r="A1" s="90"/>
      <c r="B1" s="90"/>
      <c r="C1" s="86" t="s">
        <v>50</v>
      </c>
      <c r="D1" s="91"/>
      <c r="E1" s="86" t="s">
        <v>51</v>
      </c>
      <c r="F1" s="117"/>
      <c r="G1" s="86" t="s">
        <v>52</v>
      </c>
      <c r="I1" s="92"/>
      <c r="J1" s="86" t="s">
        <v>53</v>
      </c>
    </row>
    <row r="2" spans="1:33">
      <c r="A2" s="38"/>
      <c r="B2" s="38"/>
      <c r="C2" s="38"/>
      <c r="D2" s="38"/>
      <c r="E2" s="38"/>
      <c r="F2" s="38"/>
      <c r="G2" s="38"/>
      <c r="H2" s="38"/>
      <c r="I2" s="38"/>
      <c r="J2" s="38"/>
      <c r="K2" s="122"/>
      <c r="L2" s="37"/>
      <c r="M2" s="37"/>
      <c r="N2" s="37"/>
      <c r="O2" s="37"/>
      <c r="S2" s="37"/>
      <c r="T2" s="37"/>
      <c r="U2" s="37"/>
      <c r="V2" s="37"/>
      <c r="W2" s="37"/>
    </row>
    <row r="3" spans="1:33" ht="15" customHeight="1">
      <c r="A3" s="80" t="s">
        <v>165</v>
      </c>
      <c r="B3" s="81"/>
      <c r="C3" s="81"/>
      <c r="D3" s="81"/>
      <c r="E3" s="81"/>
      <c r="F3" s="81"/>
      <c r="G3" s="81"/>
      <c r="H3" s="81"/>
      <c r="I3" s="81"/>
      <c r="J3" s="81"/>
      <c r="K3" s="81"/>
      <c r="L3" s="78"/>
      <c r="M3" s="79"/>
      <c r="N3" s="82"/>
      <c r="O3" s="82"/>
      <c r="P3" s="82"/>
      <c r="Q3" s="82"/>
      <c r="R3" s="82"/>
      <c r="S3" s="82"/>
      <c r="T3" s="82"/>
      <c r="U3" s="82"/>
      <c r="V3" s="82"/>
      <c r="W3" s="82"/>
      <c r="X3" s="82"/>
      <c r="Y3" s="82"/>
      <c r="Z3" s="88"/>
      <c r="AA3" s="88"/>
      <c r="AB3" s="88"/>
      <c r="AC3" s="88"/>
      <c r="AD3" s="88"/>
      <c r="AE3" s="88"/>
      <c r="AF3" s="88"/>
      <c r="AG3" s="88"/>
    </row>
    <row r="4" spans="1:33" ht="15.75" customHeight="1">
      <c r="A4" s="515" t="s">
        <v>108</v>
      </c>
      <c r="B4" s="516"/>
      <c r="C4" s="516"/>
      <c r="D4" s="516"/>
      <c r="E4" s="516"/>
      <c r="F4" s="516"/>
      <c r="G4" s="516"/>
      <c r="H4" s="516"/>
      <c r="I4" s="516"/>
      <c r="J4" s="516"/>
      <c r="K4" s="516"/>
      <c r="L4" s="516"/>
      <c r="M4" s="517"/>
      <c r="N4" s="22"/>
      <c r="O4" s="22"/>
      <c r="P4" s="22"/>
      <c r="Q4" s="22"/>
      <c r="R4" s="22"/>
      <c r="S4" s="22"/>
      <c r="T4" s="22"/>
      <c r="U4" s="22"/>
      <c r="V4" s="22"/>
      <c r="W4" s="22"/>
      <c r="X4" s="22"/>
      <c r="Y4" s="22"/>
      <c r="Z4" s="88"/>
      <c r="AA4" s="88"/>
      <c r="AB4" s="88"/>
      <c r="AC4" s="88"/>
      <c r="AD4" s="88"/>
      <c r="AE4" s="88"/>
      <c r="AF4" s="88"/>
      <c r="AG4" s="88"/>
    </row>
    <row r="5" spans="1:33" ht="15.75" customHeight="1">
      <c r="A5" s="85" t="s">
        <v>8</v>
      </c>
      <c r="B5" s="376" t="s">
        <v>101</v>
      </c>
      <c r="C5" s="376"/>
      <c r="D5" s="524" t="s">
        <v>103</v>
      </c>
      <c r="E5" s="376"/>
      <c r="F5" s="376"/>
      <c r="G5" s="376"/>
      <c r="H5" s="376"/>
      <c r="I5" s="376"/>
      <c r="J5" s="376"/>
      <c r="K5" s="142" t="s">
        <v>158</v>
      </c>
      <c r="L5" s="522"/>
      <c r="M5" s="522"/>
      <c r="N5" s="22"/>
      <c r="O5" s="22"/>
      <c r="P5" s="22"/>
      <c r="Q5" s="22"/>
      <c r="R5" s="22"/>
      <c r="S5" s="22"/>
      <c r="T5" s="22"/>
      <c r="U5" s="22"/>
      <c r="V5" s="22"/>
      <c r="W5" s="22"/>
      <c r="X5" s="22"/>
      <c r="Y5" s="22"/>
      <c r="Z5" s="88"/>
      <c r="AA5" s="88"/>
      <c r="AB5" s="88"/>
      <c r="AC5" s="88"/>
      <c r="AD5" s="88"/>
      <c r="AE5" s="88"/>
      <c r="AF5" s="88"/>
      <c r="AG5" s="88"/>
    </row>
    <row r="6" spans="1:33" ht="30" customHeight="1">
      <c r="A6" s="85" t="s">
        <v>8</v>
      </c>
      <c r="B6" s="376" t="s">
        <v>102</v>
      </c>
      <c r="C6" s="376"/>
      <c r="D6" s="525" t="s">
        <v>143</v>
      </c>
      <c r="E6" s="526"/>
      <c r="F6" s="526"/>
      <c r="G6" s="526"/>
      <c r="H6" s="526"/>
      <c r="I6" s="526"/>
      <c r="J6" s="526"/>
      <c r="K6" s="143" t="s">
        <v>158</v>
      </c>
      <c r="L6" s="523"/>
      <c r="M6" s="523"/>
      <c r="N6" s="22"/>
      <c r="O6" s="22"/>
      <c r="P6" s="22"/>
      <c r="Q6" s="22"/>
      <c r="R6" s="22"/>
      <c r="S6" s="22"/>
      <c r="T6" s="22"/>
      <c r="U6" s="22"/>
      <c r="V6" s="22"/>
      <c r="W6" s="22"/>
      <c r="X6" s="22"/>
      <c r="Y6" s="22"/>
      <c r="Z6" s="88"/>
      <c r="AA6" s="88"/>
      <c r="AB6" s="88"/>
      <c r="AC6" s="88"/>
      <c r="AD6" s="88"/>
      <c r="AE6" s="88"/>
      <c r="AF6" s="88"/>
      <c r="AG6" s="88"/>
    </row>
    <row r="7" spans="1:33" ht="15" customHeight="1">
      <c r="A7" s="520" t="s">
        <v>37</v>
      </c>
      <c r="B7" s="521"/>
      <c r="C7" s="139" t="s">
        <v>38</v>
      </c>
      <c r="D7" s="139" t="s">
        <v>39</v>
      </c>
      <c r="E7" s="139" t="s">
        <v>40</v>
      </c>
      <c r="F7" s="139" t="s">
        <v>41</v>
      </c>
      <c r="G7" s="139" t="s">
        <v>45</v>
      </c>
      <c r="H7" s="139" t="s">
        <v>46</v>
      </c>
      <c r="I7" s="112" t="s">
        <v>47</v>
      </c>
      <c r="J7" s="112" t="s">
        <v>48</v>
      </c>
      <c r="K7" s="131" t="s">
        <v>66</v>
      </c>
      <c r="L7" s="511" t="s">
        <v>105</v>
      </c>
      <c r="M7" s="512"/>
      <c r="N7" s="83"/>
      <c r="O7" s="83"/>
      <c r="P7" s="83"/>
      <c r="Q7" s="83"/>
      <c r="R7" s="83"/>
      <c r="S7" s="83"/>
      <c r="T7" s="83"/>
      <c r="U7" s="83"/>
      <c r="V7" s="83"/>
      <c r="W7" s="83"/>
      <c r="X7" s="83"/>
      <c r="Y7" s="88"/>
      <c r="Z7" s="88"/>
      <c r="AA7" s="88"/>
      <c r="AB7" s="88"/>
      <c r="AC7" s="88"/>
      <c r="AD7" s="88"/>
      <c r="AE7" s="88"/>
      <c r="AF7" s="88"/>
      <c r="AG7" s="88"/>
    </row>
    <row r="8" spans="1:33" ht="16.5" customHeight="1">
      <c r="A8" s="534" t="s">
        <v>91</v>
      </c>
      <c r="B8" s="535"/>
      <c r="C8" s="527" t="s">
        <v>92</v>
      </c>
      <c r="D8" s="527" t="s">
        <v>93</v>
      </c>
      <c r="E8" s="529" t="s">
        <v>94</v>
      </c>
      <c r="F8" s="530"/>
      <c r="G8" s="527" t="s">
        <v>95</v>
      </c>
      <c r="H8" s="518" t="s">
        <v>162</v>
      </c>
      <c r="I8" s="519" t="s">
        <v>96</v>
      </c>
      <c r="J8" s="519" t="s">
        <v>104</v>
      </c>
      <c r="K8" s="532" t="s">
        <v>106</v>
      </c>
      <c r="L8" s="513" t="s">
        <v>58</v>
      </c>
      <c r="M8" s="514"/>
      <c r="N8" s="67"/>
      <c r="O8" s="67"/>
      <c r="P8" s="67"/>
      <c r="Q8" s="67"/>
      <c r="R8" s="67"/>
      <c r="S8" s="67"/>
      <c r="T8" s="67"/>
      <c r="U8" s="67"/>
      <c r="V8" s="67"/>
      <c r="W8" s="67"/>
      <c r="X8" s="67"/>
      <c r="Y8" s="55"/>
      <c r="Z8" s="510"/>
      <c r="AA8" s="510"/>
      <c r="AB8" s="510"/>
      <c r="AC8" s="510"/>
      <c r="AD8" s="88"/>
      <c r="AE8" s="88"/>
      <c r="AF8" s="88"/>
      <c r="AG8" s="88"/>
    </row>
    <row r="9" spans="1:33" ht="27.75" customHeight="1">
      <c r="A9" s="536"/>
      <c r="B9" s="537"/>
      <c r="C9" s="528"/>
      <c r="D9" s="528"/>
      <c r="E9" s="140" t="s">
        <v>99</v>
      </c>
      <c r="F9" s="140" t="s">
        <v>100</v>
      </c>
      <c r="G9" s="528"/>
      <c r="H9" s="518"/>
      <c r="I9" s="519"/>
      <c r="J9" s="519"/>
      <c r="K9" s="533"/>
      <c r="L9" s="141" t="s">
        <v>59</v>
      </c>
      <c r="M9" s="141" t="s">
        <v>60</v>
      </c>
      <c r="N9" s="69"/>
      <c r="O9" s="69"/>
      <c r="P9" s="69"/>
      <c r="Q9" s="69"/>
      <c r="R9" s="69"/>
      <c r="S9" s="69"/>
      <c r="T9" s="69"/>
      <c r="U9" s="69"/>
      <c r="V9" s="69"/>
      <c r="W9" s="69"/>
      <c r="X9" s="69"/>
      <c r="Y9" s="70"/>
      <c r="Z9" s="510"/>
      <c r="AA9" s="510"/>
      <c r="AB9" s="510"/>
      <c r="AC9" s="510"/>
      <c r="AD9" s="88"/>
      <c r="AE9" s="88"/>
      <c r="AF9" s="88"/>
      <c r="AG9" s="88"/>
    </row>
    <row r="10" spans="1:33" ht="26.25" customHeight="1">
      <c r="A10" s="538" t="s">
        <v>90</v>
      </c>
      <c r="B10" s="539"/>
      <c r="C10" s="120" t="s">
        <v>90</v>
      </c>
      <c r="D10" s="118"/>
      <c r="E10" s="118"/>
      <c r="F10" s="118"/>
      <c r="G10" s="118"/>
      <c r="H10" s="118"/>
      <c r="I10" s="76"/>
      <c r="J10" s="119"/>
      <c r="K10" s="77"/>
      <c r="L10" s="84" t="s">
        <v>57</v>
      </c>
      <c r="M10" s="84" t="s">
        <v>57</v>
      </c>
      <c r="N10" s="71"/>
      <c r="O10" s="71"/>
      <c r="P10" s="71"/>
      <c r="Q10" s="71"/>
      <c r="R10" s="71"/>
      <c r="S10" s="71"/>
      <c r="T10" s="71"/>
      <c r="U10" s="71"/>
      <c r="V10" s="71"/>
      <c r="W10" s="71"/>
      <c r="X10" s="71"/>
      <c r="Y10" s="70"/>
      <c r="Z10" s="510"/>
      <c r="AA10" s="510"/>
      <c r="AB10" s="510"/>
      <c r="AC10" s="510"/>
      <c r="AD10" s="88"/>
      <c r="AE10" s="88"/>
      <c r="AF10" s="88"/>
      <c r="AG10" s="88"/>
    </row>
    <row r="11" spans="1:33">
      <c r="A11" s="68"/>
      <c r="B11" s="68"/>
      <c r="C11" s="68"/>
      <c r="D11" s="68"/>
      <c r="E11" s="68"/>
      <c r="F11" s="68"/>
      <c r="G11" s="68"/>
      <c r="H11" s="68"/>
      <c r="I11" s="68"/>
      <c r="J11" s="68"/>
      <c r="K11" s="68"/>
      <c r="L11" s="72"/>
      <c r="M11" s="71"/>
      <c r="N11" s="71"/>
      <c r="O11" s="73"/>
      <c r="P11" s="88"/>
      <c r="Q11" s="67"/>
      <c r="R11" s="71"/>
      <c r="S11" s="71"/>
      <c r="T11" s="72"/>
      <c r="U11" s="74"/>
      <c r="V11" s="74"/>
      <c r="W11" s="7"/>
      <c r="X11" s="74"/>
      <c r="Y11" s="70"/>
    </row>
    <row r="12" spans="1:33" ht="15.75" customHeight="1">
      <c r="A12" s="494" t="s">
        <v>97</v>
      </c>
      <c r="B12" s="495"/>
      <c r="C12" s="479" t="s">
        <v>98</v>
      </c>
      <c r="D12" s="68"/>
      <c r="E12" s="68"/>
      <c r="F12" s="68"/>
      <c r="G12" s="68"/>
      <c r="H12" s="68"/>
      <c r="I12" s="68"/>
      <c r="J12" s="75"/>
      <c r="K12" s="75"/>
      <c r="L12" s="71"/>
      <c r="M12" s="71"/>
      <c r="N12" s="71"/>
      <c r="O12" s="71"/>
      <c r="P12" s="71"/>
      <c r="Q12" s="69"/>
      <c r="R12" s="71"/>
      <c r="S12" s="71"/>
      <c r="T12" s="72"/>
      <c r="U12" s="69"/>
      <c r="V12" s="69"/>
      <c r="W12" s="7"/>
      <c r="X12" s="74"/>
      <c r="Y12" s="70"/>
    </row>
    <row r="13" spans="1:33" ht="24.95" customHeight="1">
      <c r="A13" s="540"/>
      <c r="B13" s="541"/>
      <c r="C13" s="479"/>
      <c r="D13" s="68"/>
      <c r="E13" s="68"/>
      <c r="F13" s="68"/>
      <c r="G13" s="68"/>
      <c r="H13" s="68"/>
      <c r="I13" s="68"/>
      <c r="J13" s="68"/>
      <c r="K13" s="68"/>
      <c r="L13" s="69"/>
      <c r="M13" s="69"/>
      <c r="N13" s="69"/>
      <c r="O13" s="69"/>
      <c r="P13" s="69"/>
      <c r="Q13" s="69"/>
      <c r="R13" s="67"/>
      <c r="S13" s="67"/>
      <c r="T13" s="67"/>
      <c r="U13" s="67"/>
      <c r="V13" s="67"/>
      <c r="W13" s="67"/>
      <c r="X13" s="67"/>
      <c r="Y13" s="70"/>
    </row>
    <row r="14" spans="1:33">
      <c r="A14" s="542" t="s">
        <v>159</v>
      </c>
      <c r="B14" s="542"/>
      <c r="C14" s="136" t="s">
        <v>118</v>
      </c>
    </row>
    <row r="15" spans="1:33">
      <c r="A15" s="542"/>
      <c r="B15" s="542"/>
      <c r="C15" s="136" t="s">
        <v>119</v>
      </c>
    </row>
    <row r="16" spans="1:33">
      <c r="A16" s="531"/>
      <c r="B16" s="531"/>
      <c r="C16" s="137" t="s">
        <v>120</v>
      </c>
    </row>
    <row r="17" spans="1:7">
      <c r="A17" s="121"/>
      <c r="B17" s="121"/>
      <c r="C17" s="121"/>
    </row>
    <row r="18" spans="1:7">
      <c r="A18" s="121"/>
      <c r="B18" s="121"/>
      <c r="C18" s="121"/>
    </row>
    <row r="21" spans="1:7">
      <c r="A21" s="105" t="s">
        <v>67</v>
      </c>
      <c r="B21" s="105"/>
      <c r="C21" s="105"/>
      <c r="D21" s="105"/>
      <c r="E21" s="105"/>
      <c r="F21" s="105"/>
      <c r="G21" s="105"/>
    </row>
    <row r="22" spans="1:7">
      <c r="A22" s="86" t="s">
        <v>160</v>
      </c>
    </row>
  </sheetData>
  <mergeCells count="25">
    <mergeCell ref="A16:B16"/>
    <mergeCell ref="B5:C5"/>
    <mergeCell ref="B6:C6"/>
    <mergeCell ref="K8:K9"/>
    <mergeCell ref="C12:C13"/>
    <mergeCell ref="A8:B9"/>
    <mergeCell ref="A10:B10"/>
    <mergeCell ref="A12:B13"/>
    <mergeCell ref="A14:B15"/>
    <mergeCell ref="Z8:AC10"/>
    <mergeCell ref="C8:C9"/>
    <mergeCell ref="D8:D9"/>
    <mergeCell ref="E8:F8"/>
    <mergeCell ref="G8:G9"/>
    <mergeCell ref="A4:M4"/>
    <mergeCell ref="L7:M7"/>
    <mergeCell ref="H8:H9"/>
    <mergeCell ref="I8:I9"/>
    <mergeCell ref="J8:J9"/>
    <mergeCell ref="L8:M8"/>
    <mergeCell ref="A7:B7"/>
    <mergeCell ref="L5:M5"/>
    <mergeCell ref="L6:M6"/>
    <mergeCell ref="D5:J5"/>
    <mergeCell ref="D6:J6"/>
  </mergeCells>
  <pageMargins left="0.25" right="0.25" top="0.75" bottom="0.75" header="0.3" footer="0.3"/>
  <pageSetup scale="84" fitToHeight="0" orientation="landscape"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6"/>
  <sheetViews>
    <sheetView topLeftCell="A7" zoomScale="70" zoomScaleNormal="70" workbookViewId="0">
      <selection activeCell="E21" sqref="E21"/>
    </sheetView>
  </sheetViews>
  <sheetFormatPr defaultColWidth="9.140625" defaultRowHeight="15"/>
  <cols>
    <col min="1" max="1" width="5" style="86" customWidth="1"/>
    <col min="2" max="2" width="12.5703125" style="86" customWidth="1"/>
    <col min="3" max="3" width="19.42578125" style="86" customWidth="1"/>
    <col min="4" max="4" width="22.5703125" style="86" customWidth="1"/>
    <col min="5" max="5" width="21.42578125" style="86" customWidth="1"/>
    <col min="6" max="6" width="25.85546875" style="86" customWidth="1"/>
    <col min="7" max="7" width="13" style="86" customWidth="1"/>
    <col min="8" max="8" width="13.140625" style="86" customWidth="1"/>
    <col min="9" max="9" width="13" style="86" customWidth="1"/>
    <col min="10" max="10" width="16.42578125" style="86" customWidth="1"/>
    <col min="11" max="11" width="17.140625" style="86" customWidth="1"/>
    <col min="12" max="12" width="15.42578125" style="86" customWidth="1"/>
    <col min="13" max="13" width="14.42578125" style="86" customWidth="1"/>
    <col min="14" max="14" width="9.5703125" style="86" customWidth="1"/>
    <col min="15" max="15" width="9.85546875" style="86" customWidth="1"/>
    <col min="16" max="16" width="10.85546875" style="86" customWidth="1"/>
    <col min="17" max="19" width="5.5703125" style="86" customWidth="1"/>
    <col min="20" max="23" width="4.5703125" style="86" customWidth="1"/>
    <col min="24" max="24" width="4.140625" style="86" customWidth="1"/>
    <col min="25" max="25" width="4.5703125" style="86" customWidth="1"/>
    <col min="26" max="26" width="5.5703125" style="86" customWidth="1"/>
    <col min="27" max="27" width="11.5703125" style="86" customWidth="1"/>
    <col min="28" max="16384" width="9.140625" style="86"/>
  </cols>
  <sheetData>
    <row r="1" spans="1:35">
      <c r="A1" s="90"/>
      <c r="B1" s="90"/>
      <c r="C1" s="90"/>
      <c r="D1" s="86" t="s">
        <v>50</v>
      </c>
      <c r="F1" s="91"/>
      <c r="G1" s="86" t="s">
        <v>51</v>
      </c>
      <c r="H1" s="117"/>
      <c r="I1" s="86" t="s">
        <v>52</v>
      </c>
      <c r="K1" s="92"/>
      <c r="L1" s="86" t="s">
        <v>53</v>
      </c>
    </row>
    <row r="2" spans="1:35">
      <c r="A2" s="38"/>
      <c r="B2" s="38"/>
      <c r="C2" s="38"/>
      <c r="D2" s="38"/>
      <c r="E2" s="38"/>
      <c r="F2" s="38"/>
      <c r="G2" s="38"/>
      <c r="H2" s="38"/>
      <c r="I2" s="122"/>
      <c r="J2" s="122"/>
      <c r="K2" s="122"/>
      <c r="L2" s="122"/>
      <c r="M2" s="122"/>
      <c r="N2" s="37"/>
      <c r="O2" s="37"/>
      <c r="P2" s="37"/>
      <c r="Q2" s="37"/>
      <c r="U2" s="37"/>
      <c r="V2" s="37"/>
      <c r="W2" s="37"/>
      <c r="X2" s="37"/>
      <c r="Y2" s="37"/>
    </row>
    <row r="3" spans="1:35" ht="15" customHeight="1">
      <c r="A3" s="551" t="s">
        <v>165</v>
      </c>
      <c r="B3" s="551"/>
      <c r="C3" s="551"/>
      <c r="D3" s="551"/>
      <c r="E3" s="551"/>
      <c r="F3" s="551"/>
      <c r="G3" s="551"/>
      <c r="H3" s="551"/>
      <c r="I3" s="169"/>
      <c r="J3" s="169"/>
      <c r="K3" s="169"/>
      <c r="L3" s="169"/>
      <c r="M3" s="169"/>
      <c r="N3" s="82"/>
      <c r="O3" s="82"/>
      <c r="P3" s="82"/>
      <c r="Q3" s="82"/>
      <c r="R3" s="82"/>
      <c r="S3" s="82"/>
      <c r="T3" s="82"/>
      <c r="U3" s="82"/>
      <c r="V3" s="82"/>
      <c r="W3" s="82"/>
      <c r="X3" s="82"/>
      <c r="Y3" s="82"/>
      <c r="Z3" s="82"/>
      <c r="AA3" s="82"/>
      <c r="AB3" s="88"/>
      <c r="AC3" s="88"/>
      <c r="AD3" s="88"/>
      <c r="AE3" s="88"/>
      <c r="AF3" s="88"/>
      <c r="AG3" s="88"/>
      <c r="AH3" s="88"/>
      <c r="AI3" s="88"/>
    </row>
    <row r="4" spans="1:35" ht="33" customHeight="1">
      <c r="A4" s="562" t="s">
        <v>398</v>
      </c>
      <c r="B4" s="562"/>
      <c r="C4" s="562"/>
      <c r="D4" s="562"/>
      <c r="E4" s="562"/>
      <c r="F4" s="562"/>
      <c r="G4" s="562"/>
      <c r="H4" s="562"/>
      <c r="I4" s="164"/>
      <c r="J4" s="164"/>
      <c r="K4" s="164"/>
      <c r="L4" s="164"/>
      <c r="M4" s="164"/>
      <c r="N4" s="164"/>
      <c r="O4" s="164"/>
      <c r="P4" s="22"/>
      <c r="Q4" s="22"/>
      <c r="R4" s="22"/>
      <c r="S4" s="22"/>
      <c r="T4" s="22"/>
      <c r="U4" s="22"/>
      <c r="V4" s="22"/>
      <c r="W4" s="22"/>
      <c r="X4" s="22"/>
      <c r="Y4" s="22"/>
      <c r="Z4" s="22"/>
      <c r="AA4" s="22"/>
      <c r="AB4" s="88"/>
      <c r="AC4" s="88"/>
      <c r="AD4" s="88"/>
      <c r="AE4" s="88"/>
      <c r="AF4" s="88"/>
      <c r="AG4" s="88"/>
      <c r="AH4" s="88"/>
      <c r="AI4" s="88"/>
    </row>
    <row r="5" spans="1:35" ht="39.75" customHeight="1">
      <c r="A5" s="265" t="s">
        <v>8</v>
      </c>
      <c r="B5" s="555" t="s">
        <v>101</v>
      </c>
      <c r="C5" s="555"/>
      <c r="D5" s="555"/>
      <c r="E5" s="555" t="s">
        <v>206</v>
      </c>
      <c r="F5" s="555"/>
      <c r="G5" s="555"/>
      <c r="H5" s="555"/>
      <c r="I5" s="165"/>
      <c r="J5" s="166"/>
      <c r="K5" s="165"/>
      <c r="L5" s="165"/>
      <c r="M5" s="88"/>
      <c r="N5" s="88"/>
      <c r="O5" s="88"/>
      <c r="P5" s="22"/>
      <c r="Q5" s="22"/>
      <c r="R5" s="22"/>
      <c r="S5" s="22"/>
      <c r="T5" s="22"/>
      <c r="U5" s="22"/>
      <c r="V5" s="22"/>
      <c r="W5" s="22"/>
      <c r="X5" s="22"/>
      <c r="Y5" s="22"/>
      <c r="Z5" s="22"/>
      <c r="AA5" s="22"/>
      <c r="AB5" s="88"/>
      <c r="AC5" s="88"/>
      <c r="AD5" s="88"/>
      <c r="AE5" s="88"/>
      <c r="AF5" s="88"/>
      <c r="AG5" s="88"/>
      <c r="AH5" s="88"/>
      <c r="AI5" s="88"/>
    </row>
    <row r="6" spans="1:35" ht="39.75" customHeight="1">
      <c r="A6" s="95" t="s">
        <v>8</v>
      </c>
      <c r="B6" s="559" t="s">
        <v>102</v>
      </c>
      <c r="C6" s="560"/>
      <c r="D6" s="561"/>
      <c r="E6" s="556" t="s">
        <v>207</v>
      </c>
      <c r="F6" s="556"/>
      <c r="G6" s="556"/>
      <c r="H6" s="556"/>
      <c r="I6" s="167"/>
      <c r="J6" s="168"/>
      <c r="K6" s="167"/>
      <c r="L6" s="167"/>
      <c r="M6" s="88"/>
      <c r="N6" s="88"/>
      <c r="O6" s="88"/>
      <c r="P6" s="22"/>
      <c r="Q6" s="22"/>
      <c r="R6" s="22"/>
      <c r="S6" s="22"/>
      <c r="T6" s="22"/>
      <c r="U6" s="22"/>
      <c r="V6" s="22"/>
      <c r="W6" s="22"/>
      <c r="X6" s="22"/>
      <c r="Y6" s="22"/>
      <c r="Z6" s="22"/>
      <c r="AA6" s="22"/>
      <c r="AB6" s="88"/>
      <c r="AC6" s="88"/>
      <c r="AD6" s="88"/>
      <c r="AE6" s="88"/>
      <c r="AF6" s="88"/>
      <c r="AG6" s="88"/>
      <c r="AH6" s="88"/>
      <c r="AI6" s="88"/>
    </row>
    <row r="7" spans="1:35" ht="39.75" customHeight="1">
      <c r="A7" s="95" t="s">
        <v>8</v>
      </c>
      <c r="B7" s="555" t="s">
        <v>241</v>
      </c>
      <c r="C7" s="555"/>
      <c r="D7" s="555"/>
      <c r="E7" s="565" t="s">
        <v>399</v>
      </c>
      <c r="F7" s="565"/>
      <c r="G7" s="565"/>
      <c r="H7" s="565"/>
      <c r="I7" s="167"/>
      <c r="J7" s="168"/>
      <c r="K7" s="167"/>
      <c r="L7" s="167"/>
      <c r="M7" s="88"/>
      <c r="N7" s="88"/>
      <c r="O7" s="88"/>
      <c r="P7" s="22"/>
      <c r="Q7" s="22"/>
      <c r="R7" s="22"/>
      <c r="S7" s="22"/>
      <c r="T7" s="22"/>
      <c r="U7" s="22"/>
      <c r="V7" s="22"/>
      <c r="W7" s="22"/>
      <c r="X7" s="22"/>
      <c r="Y7" s="22"/>
      <c r="Z7" s="22"/>
      <c r="AA7" s="22"/>
      <c r="AB7" s="88"/>
      <c r="AC7" s="88"/>
      <c r="AD7" s="88"/>
      <c r="AE7" s="88"/>
      <c r="AF7" s="88"/>
      <c r="AG7" s="88"/>
      <c r="AH7" s="88"/>
      <c r="AI7" s="88"/>
    </row>
    <row r="8" spans="1:35" ht="15" customHeight="1">
      <c r="A8" s="544" t="s">
        <v>37</v>
      </c>
      <c r="B8" s="544"/>
      <c r="C8" s="178" t="s">
        <v>38</v>
      </c>
      <c r="D8" s="139" t="s">
        <v>39</v>
      </c>
      <c r="E8" s="139" t="s">
        <v>40</v>
      </c>
      <c r="F8" s="274" t="s">
        <v>41</v>
      </c>
      <c r="G8" s="553" t="s">
        <v>424</v>
      </c>
      <c r="H8" s="554"/>
      <c r="I8" s="159"/>
      <c r="J8" s="159"/>
      <c r="K8" s="160"/>
      <c r="L8" s="160"/>
      <c r="M8" s="160"/>
      <c r="N8" s="545"/>
      <c r="O8" s="545"/>
      <c r="P8" s="83"/>
      <c r="Q8" s="83"/>
      <c r="R8" s="83"/>
      <c r="S8" s="83"/>
      <c r="T8" s="83"/>
      <c r="U8" s="83"/>
      <c r="V8" s="83"/>
      <c r="W8" s="83"/>
      <c r="X8" s="83"/>
      <c r="Y8" s="83"/>
      <c r="Z8" s="83"/>
      <c r="AA8" s="88"/>
      <c r="AB8" s="88"/>
      <c r="AC8" s="88"/>
      <c r="AD8" s="88"/>
      <c r="AE8" s="88"/>
      <c r="AF8" s="88"/>
      <c r="AG8" s="88"/>
      <c r="AH8" s="88"/>
      <c r="AI8" s="88"/>
    </row>
    <row r="9" spans="1:35" ht="16.5" customHeight="1">
      <c r="A9" s="546" t="s">
        <v>208</v>
      </c>
      <c r="B9" s="546"/>
      <c r="C9" s="549" t="s">
        <v>218</v>
      </c>
      <c r="D9" s="519" t="s">
        <v>104</v>
      </c>
      <c r="E9" s="519" t="s">
        <v>205</v>
      </c>
      <c r="F9" s="557" t="s">
        <v>106</v>
      </c>
      <c r="G9" s="558" t="s">
        <v>58</v>
      </c>
      <c r="H9" s="558"/>
      <c r="I9" s="547"/>
      <c r="J9" s="547"/>
      <c r="K9" s="548"/>
      <c r="L9" s="88"/>
      <c r="M9" s="88"/>
      <c r="N9" s="88"/>
      <c r="O9" s="88"/>
      <c r="P9" s="67"/>
      <c r="Q9" s="67"/>
      <c r="R9" s="67"/>
      <c r="S9" s="67"/>
      <c r="T9" s="67"/>
      <c r="U9" s="67"/>
      <c r="V9" s="67"/>
      <c r="W9" s="67"/>
      <c r="X9" s="67"/>
      <c r="Y9" s="67"/>
      <c r="Z9" s="67"/>
      <c r="AA9" s="55"/>
      <c r="AB9" s="510"/>
      <c r="AC9" s="510"/>
      <c r="AD9" s="510"/>
      <c r="AE9" s="510"/>
      <c r="AF9" s="88"/>
      <c r="AG9" s="88"/>
      <c r="AH9" s="88"/>
      <c r="AI9" s="88"/>
    </row>
    <row r="10" spans="1:35" ht="19.5" customHeight="1">
      <c r="A10" s="546"/>
      <c r="B10" s="546"/>
      <c r="C10" s="550"/>
      <c r="D10" s="519"/>
      <c r="E10" s="519"/>
      <c r="F10" s="557"/>
      <c r="G10" s="141" t="s">
        <v>59</v>
      </c>
      <c r="H10" s="141" t="s">
        <v>60</v>
      </c>
      <c r="I10" s="547"/>
      <c r="J10" s="547"/>
      <c r="K10" s="548"/>
      <c r="L10" s="88"/>
      <c r="M10" s="88"/>
      <c r="N10" s="88"/>
      <c r="O10" s="88"/>
      <c r="P10" s="69"/>
      <c r="Q10" s="69"/>
      <c r="R10" s="69"/>
      <c r="S10" s="69"/>
      <c r="T10" s="69"/>
      <c r="U10" s="69"/>
      <c r="V10" s="69"/>
      <c r="W10" s="69"/>
      <c r="X10" s="69"/>
      <c r="Y10" s="69"/>
      <c r="Z10" s="69"/>
      <c r="AA10" s="70"/>
      <c r="AB10" s="510"/>
      <c r="AC10" s="510"/>
      <c r="AD10" s="510"/>
      <c r="AE10" s="510"/>
      <c r="AF10" s="88"/>
      <c r="AG10" s="88"/>
      <c r="AH10" s="88"/>
      <c r="AI10" s="88"/>
    </row>
    <row r="11" spans="1:35" ht="26.25" customHeight="1">
      <c r="A11" s="543" t="s">
        <v>90</v>
      </c>
      <c r="B11" s="543"/>
      <c r="C11" s="200"/>
      <c r="D11" s="201"/>
      <c r="E11" s="202" t="s">
        <v>90</v>
      </c>
      <c r="F11" s="275"/>
      <c r="G11" s="84" t="s">
        <v>57</v>
      </c>
      <c r="H11" s="84" t="s">
        <v>57</v>
      </c>
      <c r="I11" s="161"/>
      <c r="J11" s="161"/>
      <c r="K11" s="162"/>
      <c r="L11" s="88"/>
      <c r="M11" s="163"/>
      <c r="N11" s="88"/>
      <c r="O11" s="88"/>
      <c r="P11" s="71"/>
      <c r="Q11" s="71"/>
      <c r="R11" s="71"/>
      <c r="S11" s="71"/>
      <c r="T11" s="71"/>
      <c r="U11" s="71"/>
      <c r="V11" s="71"/>
      <c r="W11" s="71"/>
      <c r="X11" s="71"/>
      <c r="Y11" s="71"/>
      <c r="Z11" s="71"/>
      <c r="AA11" s="70"/>
      <c r="AB11" s="510"/>
      <c r="AC11" s="510"/>
      <c r="AD11" s="510"/>
      <c r="AE11" s="510"/>
      <c r="AF11" s="88"/>
      <c r="AG11" s="88"/>
      <c r="AH11" s="88"/>
      <c r="AI11" s="88"/>
    </row>
    <row r="12" spans="1:35" ht="46.5" customHeight="1">
      <c r="A12" s="552" t="s">
        <v>425</v>
      </c>
      <c r="B12" s="552"/>
      <c r="C12" s="552"/>
      <c r="D12" s="552"/>
      <c r="E12" s="552"/>
      <c r="F12" s="552"/>
      <c r="G12" s="552"/>
      <c r="H12" s="552"/>
      <c r="I12" s="68"/>
      <c r="J12" s="68"/>
      <c r="K12" s="68"/>
      <c r="L12" s="68"/>
      <c r="M12" s="68"/>
      <c r="N12" s="72"/>
      <c r="O12" s="71"/>
      <c r="P12" s="71"/>
      <c r="Q12" s="73"/>
      <c r="R12" s="88"/>
      <c r="S12" s="67"/>
      <c r="T12" s="71"/>
      <c r="U12" s="71"/>
      <c r="V12" s="72"/>
      <c r="W12" s="74"/>
      <c r="X12" s="74"/>
      <c r="Y12" s="7"/>
      <c r="Z12" s="74"/>
      <c r="AA12" s="70"/>
    </row>
    <row r="13" spans="1:35" ht="14.45" customHeight="1">
      <c r="A13" s="180"/>
      <c r="B13" s="180"/>
      <c r="C13" s="180"/>
      <c r="D13" s="180"/>
      <c r="E13" s="181"/>
      <c r="F13" s="180"/>
      <c r="G13" s="180"/>
      <c r="H13" s="180"/>
      <c r="I13" s="68"/>
      <c r="J13" s="68"/>
      <c r="K13" s="68"/>
      <c r="L13" s="68"/>
      <c r="M13" s="68"/>
      <c r="N13" s="72"/>
      <c r="O13" s="71"/>
      <c r="P13" s="71"/>
      <c r="Q13" s="73"/>
      <c r="R13" s="88"/>
      <c r="S13" s="67"/>
      <c r="T13" s="71"/>
      <c r="U13" s="71"/>
      <c r="V13" s="72"/>
      <c r="W13" s="74"/>
      <c r="X13" s="74"/>
      <c r="Y13" s="7"/>
      <c r="Z13" s="74"/>
      <c r="AA13" s="70"/>
    </row>
    <row r="14" spans="1:35" ht="28.35" customHeight="1">
      <c r="A14" s="564" t="s">
        <v>220</v>
      </c>
      <c r="B14" s="564"/>
      <c r="C14" s="177"/>
      <c r="D14" s="156"/>
      <c r="E14" s="171" t="s">
        <v>204</v>
      </c>
    </row>
    <row r="15" spans="1:35">
      <c r="A15" s="563" t="s">
        <v>158</v>
      </c>
      <c r="B15" s="563"/>
      <c r="E15" s="172" t="s">
        <v>130</v>
      </c>
    </row>
    <row r="16" spans="1:35">
      <c r="A16" s="563" t="s">
        <v>219</v>
      </c>
      <c r="B16" s="563"/>
      <c r="E16" s="179"/>
    </row>
  </sheetData>
  <mergeCells count="26">
    <mergeCell ref="A16:B16"/>
    <mergeCell ref="A15:B15"/>
    <mergeCell ref="A14:B14"/>
    <mergeCell ref="B7:D7"/>
    <mergeCell ref="E7:H7"/>
    <mergeCell ref="A3:H3"/>
    <mergeCell ref="A12:H12"/>
    <mergeCell ref="G8:H8"/>
    <mergeCell ref="E5:H5"/>
    <mergeCell ref="E6:H6"/>
    <mergeCell ref="F9:F10"/>
    <mergeCell ref="G9:H9"/>
    <mergeCell ref="B5:D5"/>
    <mergeCell ref="B6:D6"/>
    <mergeCell ref="A4:H4"/>
    <mergeCell ref="AB9:AE11"/>
    <mergeCell ref="A11:B11"/>
    <mergeCell ref="A8:B8"/>
    <mergeCell ref="N8:O8"/>
    <mergeCell ref="A9:B10"/>
    <mergeCell ref="E9:E10"/>
    <mergeCell ref="I9:I10"/>
    <mergeCell ref="J9:J10"/>
    <mergeCell ref="K9:K10"/>
    <mergeCell ref="D9:D10"/>
    <mergeCell ref="C9:C10"/>
  </mergeCells>
  <pageMargins left="0.25" right="0.25" top="0.75" bottom="0.75" header="0.3" footer="0.3"/>
  <pageSetup scale="84" fitToHeight="0"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9"/>
  <sheetViews>
    <sheetView zoomScale="68" zoomScaleNormal="100" workbookViewId="0">
      <selection activeCell="K15" sqref="K15"/>
    </sheetView>
  </sheetViews>
  <sheetFormatPr defaultRowHeight="15"/>
  <cols>
    <col min="1" max="1" width="5.42578125" customWidth="1"/>
    <col min="2" max="2" width="15.140625" customWidth="1"/>
    <col min="3" max="4" width="15.85546875" customWidth="1"/>
    <col min="5" max="5" width="13.5703125" customWidth="1"/>
    <col min="6" max="6" width="13.42578125" customWidth="1"/>
    <col min="7" max="7" width="10.5703125" customWidth="1"/>
    <col min="8" max="8" width="13.85546875" customWidth="1"/>
    <col min="9" max="9" width="43.5703125" customWidth="1"/>
    <col min="10" max="10" width="14.5703125" customWidth="1"/>
    <col min="11" max="11" width="13.140625" customWidth="1"/>
  </cols>
  <sheetData>
    <row r="1" spans="1:19" s="86" customFormat="1">
      <c r="B1" s="90"/>
      <c r="C1" s="86" t="s">
        <v>50</v>
      </c>
      <c r="D1" s="91"/>
      <c r="E1" s="86" t="s">
        <v>51</v>
      </c>
      <c r="G1" s="277"/>
      <c r="H1" s="277"/>
      <c r="I1" s="86" t="s">
        <v>52</v>
      </c>
      <c r="K1" s="92"/>
      <c r="L1" s="86" t="s">
        <v>53</v>
      </c>
    </row>
    <row r="2" spans="1:19" s="86" customFormat="1">
      <c r="A2" s="87"/>
      <c r="B2" s="87"/>
      <c r="C2" s="87"/>
      <c r="D2" s="87"/>
      <c r="E2" s="87"/>
      <c r="F2" s="87"/>
      <c r="G2" s="87"/>
      <c r="H2" s="87"/>
      <c r="I2" s="87"/>
    </row>
    <row r="3" spans="1:19" s="86" customFormat="1" ht="15" customHeight="1">
      <c r="A3" s="566" t="s">
        <v>400</v>
      </c>
      <c r="B3" s="567"/>
      <c r="C3" s="567"/>
      <c r="D3" s="567"/>
      <c r="E3" s="567"/>
      <c r="F3" s="567"/>
      <c r="G3" s="567"/>
      <c r="H3" s="567"/>
      <c r="I3" s="568"/>
    </row>
    <row r="4" spans="1:19" s="86" customFormat="1" ht="39.6" customHeight="1">
      <c r="A4" s="569" t="s">
        <v>312</v>
      </c>
      <c r="B4" s="454"/>
      <c r="C4" s="454"/>
      <c r="D4" s="454"/>
      <c r="E4" s="454"/>
      <c r="F4" s="454"/>
      <c r="G4" s="454"/>
      <c r="H4" s="454"/>
      <c r="I4" s="455"/>
      <c r="J4" s="32"/>
    </row>
    <row r="5" spans="1:19" s="86" customFormat="1" ht="20.25" customHeight="1">
      <c r="A5" s="572" t="s">
        <v>37</v>
      </c>
      <c r="B5" s="573"/>
      <c r="C5" s="573"/>
      <c r="D5" s="573"/>
      <c r="E5" s="573"/>
      <c r="F5" s="573"/>
      <c r="G5" s="573"/>
      <c r="H5" s="573"/>
      <c r="I5" s="574"/>
      <c r="J5" s="32"/>
    </row>
    <row r="6" spans="1:19" s="86" customFormat="1" ht="20.25" customHeight="1">
      <c r="A6" s="577" t="s">
        <v>161</v>
      </c>
      <c r="B6" s="578"/>
      <c r="C6" s="578"/>
      <c r="D6" s="578"/>
      <c r="E6" s="578"/>
      <c r="F6" s="578"/>
      <c r="G6" s="578"/>
      <c r="H6" s="578"/>
      <c r="I6" s="579"/>
      <c r="J6" s="32"/>
    </row>
    <row r="7" spans="1:19" s="86" customFormat="1">
      <c r="A7" s="61" t="s">
        <v>8</v>
      </c>
      <c r="B7" s="380" t="s">
        <v>224</v>
      </c>
      <c r="C7" s="380"/>
      <c r="D7" s="380"/>
      <c r="E7" s="380"/>
      <c r="F7" s="380"/>
      <c r="G7" s="380"/>
      <c r="H7" s="380"/>
      <c r="I7" s="381"/>
      <c r="J7" s="32"/>
    </row>
    <row r="8" spans="1:19" s="86" customFormat="1" ht="20.25" customHeight="1">
      <c r="A8" s="144" t="s">
        <v>112</v>
      </c>
      <c r="B8" s="114"/>
      <c r="C8" s="114"/>
      <c r="D8" s="575"/>
      <c r="E8" s="575"/>
      <c r="F8" s="575"/>
      <c r="G8" s="575"/>
      <c r="H8" s="575"/>
      <c r="I8" s="576"/>
      <c r="J8" s="32"/>
    </row>
    <row r="9" spans="1:19" s="86" customFormat="1" ht="18" customHeight="1">
      <c r="A9" s="572" t="s">
        <v>38</v>
      </c>
      <c r="B9" s="573"/>
      <c r="C9" s="573"/>
      <c r="D9" s="573"/>
      <c r="E9" s="573"/>
      <c r="F9" s="573"/>
      <c r="G9" s="573"/>
      <c r="H9" s="573"/>
      <c r="I9" s="574"/>
    </row>
    <row r="10" spans="1:19" s="86" customFormat="1" ht="18" customHeight="1">
      <c r="A10" s="578" t="s">
        <v>164</v>
      </c>
      <c r="B10" s="578"/>
      <c r="C10" s="578"/>
      <c r="D10" s="578"/>
      <c r="E10" s="578"/>
      <c r="F10" s="578"/>
      <c r="G10" s="578"/>
      <c r="H10" s="578"/>
      <c r="I10" s="579"/>
    </row>
    <row r="11" spans="1:19" s="86" customFormat="1" ht="15" customHeight="1">
      <c r="A11" s="570" t="s">
        <v>109</v>
      </c>
      <c r="B11" s="570"/>
      <c r="C11" s="570"/>
      <c r="D11" s="570"/>
      <c r="E11" s="570"/>
      <c r="F11" s="570"/>
      <c r="G11" s="570"/>
      <c r="H11" s="570"/>
      <c r="I11" s="571"/>
    </row>
    <row r="12" spans="1:19" s="86" customFormat="1" ht="30" customHeight="1">
      <c r="A12" s="85" t="s">
        <v>8</v>
      </c>
      <c r="B12" s="394" t="s">
        <v>110</v>
      </c>
      <c r="C12" s="377"/>
      <c r="D12" s="524" t="s">
        <v>111</v>
      </c>
      <c r="E12" s="376"/>
      <c r="F12" s="376"/>
      <c r="G12" s="376"/>
      <c r="H12" s="376"/>
      <c r="I12" s="385"/>
      <c r="J12" s="62"/>
    </row>
    <row r="13" spans="1:19" s="86" customFormat="1" ht="30" customHeight="1">
      <c r="A13" s="61" t="s">
        <v>8</v>
      </c>
      <c r="B13" s="394" t="s">
        <v>113</v>
      </c>
      <c r="C13" s="377"/>
      <c r="D13" s="379" t="s">
        <v>196</v>
      </c>
      <c r="E13" s="380"/>
      <c r="F13" s="380"/>
      <c r="G13" s="380"/>
      <c r="H13" s="380"/>
      <c r="I13" s="381"/>
      <c r="J13" s="62"/>
      <c r="K13" s="88"/>
      <c r="L13" s="88"/>
      <c r="M13" s="88"/>
      <c r="N13" s="88"/>
      <c r="O13" s="88"/>
      <c r="P13" s="88"/>
      <c r="Q13" s="88"/>
      <c r="R13" s="88"/>
      <c r="S13" s="88"/>
    </row>
    <row r="14" spans="1:19" s="86" customFormat="1" ht="40.5" customHeight="1">
      <c r="A14" s="85" t="s">
        <v>8</v>
      </c>
      <c r="B14" s="394" t="s">
        <v>114</v>
      </c>
      <c r="C14" s="377"/>
      <c r="D14" s="524" t="s">
        <v>201</v>
      </c>
      <c r="E14" s="376"/>
      <c r="F14" s="376"/>
      <c r="G14" s="376"/>
      <c r="H14" s="376"/>
      <c r="I14" s="385"/>
      <c r="J14" s="62"/>
    </row>
    <row r="15" spans="1:19" s="86" customFormat="1" ht="30.75" customHeight="1">
      <c r="A15" s="61" t="s">
        <v>8</v>
      </c>
      <c r="B15" s="376" t="s">
        <v>115</v>
      </c>
      <c r="C15" s="385"/>
      <c r="D15" s="379" t="s">
        <v>116</v>
      </c>
      <c r="E15" s="380"/>
      <c r="F15" s="380"/>
      <c r="G15" s="380"/>
      <c r="H15" s="380"/>
      <c r="I15" s="381"/>
      <c r="J15" s="62"/>
      <c r="K15" s="88"/>
      <c r="L15" s="88"/>
      <c r="M15" s="88"/>
      <c r="N15" s="88"/>
      <c r="O15" s="88"/>
      <c r="P15" s="88"/>
      <c r="Q15" s="88"/>
      <c r="R15" s="88"/>
      <c r="S15" s="88"/>
    </row>
    <row r="16" spans="1:19" s="86" customFormat="1">
      <c r="A16" s="61" t="s">
        <v>8</v>
      </c>
      <c r="B16" s="376" t="s">
        <v>240</v>
      </c>
      <c r="C16" s="385"/>
      <c r="D16" s="379" t="s">
        <v>239</v>
      </c>
      <c r="E16" s="380"/>
      <c r="F16" s="380"/>
      <c r="G16" s="380"/>
      <c r="H16" s="380"/>
      <c r="I16" s="381"/>
      <c r="J16" s="62"/>
      <c r="K16" s="88"/>
      <c r="L16" s="88"/>
      <c r="M16" s="88"/>
      <c r="N16" s="88"/>
      <c r="O16" s="88"/>
      <c r="P16" s="88"/>
      <c r="Q16" s="88"/>
      <c r="R16" s="88"/>
      <c r="S16" s="88"/>
    </row>
    <row r="17" spans="1:10" s="86" customFormat="1" ht="20.25" customHeight="1">
      <c r="A17" s="144" t="s">
        <v>112</v>
      </c>
      <c r="B17" s="114"/>
      <c r="C17" s="114"/>
      <c r="D17" s="575"/>
      <c r="E17" s="575"/>
      <c r="F17" s="575"/>
      <c r="G17" s="575"/>
      <c r="H17" s="575"/>
      <c r="I17" s="576"/>
      <c r="J17" s="32"/>
    </row>
    <row r="18" spans="1:10" s="86" customFormat="1" ht="24" customHeight="1">
      <c r="A18" s="8"/>
      <c r="B18" s="8"/>
      <c r="C18" s="8"/>
      <c r="F18" s="9"/>
      <c r="G18" s="9"/>
      <c r="H18" s="9"/>
      <c r="I18" s="8"/>
    </row>
    <row r="19" spans="1:10" s="86" customFormat="1">
      <c r="A19" s="10"/>
      <c r="B19" s="10"/>
      <c r="C19" s="10"/>
      <c r="D19" s="10"/>
      <c r="E19" s="10"/>
      <c r="F19" s="10"/>
      <c r="G19" s="10"/>
      <c r="H19" s="10"/>
      <c r="I19" s="10"/>
    </row>
  </sheetData>
  <mergeCells count="21">
    <mergeCell ref="D17:I17"/>
    <mergeCell ref="B12:C12"/>
    <mergeCell ref="D12:I12"/>
    <mergeCell ref="B13:C13"/>
    <mergeCell ref="D13:I13"/>
    <mergeCell ref="B14:C14"/>
    <mergeCell ref="D14:I14"/>
    <mergeCell ref="B16:C16"/>
    <mergeCell ref="D16:I16"/>
    <mergeCell ref="B15:C15"/>
    <mergeCell ref="D15:I15"/>
    <mergeCell ref="G1:H1"/>
    <mergeCell ref="A3:I3"/>
    <mergeCell ref="A4:I4"/>
    <mergeCell ref="A11:I11"/>
    <mergeCell ref="A9:I9"/>
    <mergeCell ref="B7:I7"/>
    <mergeCell ref="A5:I5"/>
    <mergeCell ref="D8:I8"/>
    <mergeCell ref="A6:I6"/>
    <mergeCell ref="A10:I10"/>
  </mergeCells>
  <pageMargins left="0.5" right="0.5" top="0.75" bottom="0.75" header="0.3" footer="0.3"/>
  <pageSetup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6249-D00A-4BC9-9887-EE33E90D9967}">
  <dimension ref="A1:N43"/>
  <sheetViews>
    <sheetView workbookViewId="0">
      <selection activeCell="A17" sqref="A17"/>
    </sheetView>
  </sheetViews>
  <sheetFormatPr defaultColWidth="8.7109375" defaultRowHeight="15"/>
  <cols>
    <col min="1" max="1" width="17.7109375" style="86" customWidth="1"/>
    <col min="2" max="2" width="13.85546875" style="86" customWidth="1"/>
    <col min="3" max="3" width="19" style="86" customWidth="1"/>
    <col min="4" max="4" width="15.5703125" style="86" customWidth="1"/>
    <col min="5" max="5" width="16.85546875" style="86" customWidth="1"/>
    <col min="6" max="6" width="15.85546875" style="86" customWidth="1"/>
    <col min="7" max="7" width="13.85546875" style="86" customWidth="1"/>
    <col min="8" max="8" width="13.140625" style="86" customWidth="1"/>
    <col min="9" max="9" width="14" style="86" customWidth="1"/>
    <col min="10" max="10" width="13.7109375" style="86" customWidth="1"/>
    <col min="11" max="16384" width="8.7109375" style="86"/>
  </cols>
  <sheetData>
    <row r="1" spans="1:14">
      <c r="B1" s="90"/>
      <c r="C1" s="86" t="s">
        <v>50</v>
      </c>
      <c r="D1" s="91"/>
      <c r="E1" s="86" t="s">
        <v>51</v>
      </c>
      <c r="G1" s="277"/>
      <c r="H1" s="277"/>
      <c r="I1" s="86" t="s">
        <v>52</v>
      </c>
      <c r="K1" s="92"/>
      <c r="L1" s="86" t="s">
        <v>53</v>
      </c>
    </row>
    <row r="3" spans="1:14" ht="15" customHeight="1">
      <c r="A3" s="499" t="s">
        <v>313</v>
      </c>
      <c r="B3" s="499"/>
      <c r="C3" s="499"/>
      <c r="D3" s="499"/>
      <c r="E3" s="499"/>
      <c r="F3" s="499"/>
      <c r="G3" s="499"/>
      <c r="H3" s="499"/>
      <c r="I3" s="94"/>
      <c r="J3" s="94"/>
      <c r="K3" s="586" t="s">
        <v>314</v>
      </c>
      <c r="L3" s="586"/>
      <c r="M3" s="586"/>
      <c r="N3" s="586"/>
    </row>
    <row r="4" spans="1:14" ht="39.950000000000003" customHeight="1">
      <c r="A4" s="587" t="s">
        <v>330</v>
      </c>
      <c r="B4" s="587"/>
      <c r="C4" s="587"/>
      <c r="D4" s="587"/>
      <c r="E4" s="587"/>
      <c r="F4" s="587"/>
      <c r="G4" s="587"/>
      <c r="H4" s="587"/>
      <c r="I4" s="239"/>
      <c r="J4" s="239"/>
      <c r="M4" s="236" t="s">
        <v>338</v>
      </c>
    </row>
    <row r="5" spans="1:14" ht="20.25" customHeight="1">
      <c r="A5" s="583" t="s">
        <v>318</v>
      </c>
      <c r="B5" s="583"/>
      <c r="C5" s="583"/>
      <c r="D5" s="583"/>
      <c r="E5" s="583"/>
      <c r="F5" s="583"/>
      <c r="G5" s="583"/>
      <c r="H5" s="583"/>
      <c r="I5" s="240"/>
      <c r="J5" s="240"/>
    </row>
    <row r="6" spans="1:14">
      <c r="A6" s="213" t="s">
        <v>37</v>
      </c>
      <c r="B6" s="213" t="s">
        <v>38</v>
      </c>
      <c r="C6" s="213" t="s">
        <v>39</v>
      </c>
      <c r="D6" s="213" t="s">
        <v>40</v>
      </c>
      <c r="E6" s="213" t="s">
        <v>41</v>
      </c>
      <c r="F6" s="213" t="s">
        <v>45</v>
      </c>
      <c r="G6" s="213" t="s">
        <v>46</v>
      </c>
      <c r="H6" s="213" t="s">
        <v>47</v>
      </c>
    </row>
    <row r="7" spans="1:14" ht="53.25">
      <c r="A7" s="211" t="s">
        <v>421</v>
      </c>
      <c r="B7" s="211" t="s">
        <v>339</v>
      </c>
      <c r="C7" s="211" t="s">
        <v>341</v>
      </c>
      <c r="D7" s="211" t="s">
        <v>412</v>
      </c>
      <c r="E7" s="211" t="s">
        <v>319</v>
      </c>
      <c r="F7" s="211" t="s">
        <v>413</v>
      </c>
      <c r="G7" s="211" t="s">
        <v>320</v>
      </c>
      <c r="H7" s="211" t="s">
        <v>322</v>
      </c>
    </row>
    <row r="8" spans="1:14" ht="36.75">
      <c r="A8" s="226" t="s">
        <v>333</v>
      </c>
      <c r="B8" s="125"/>
      <c r="C8" s="125"/>
      <c r="D8" s="125" t="s">
        <v>326</v>
      </c>
      <c r="E8" s="125"/>
      <c r="F8" s="125" t="s">
        <v>326</v>
      </c>
      <c r="G8" s="221" t="s">
        <v>342</v>
      </c>
      <c r="H8" s="222" t="s">
        <v>344</v>
      </c>
    </row>
    <row r="9" spans="1:14" ht="18">
      <c r="G9" s="237" t="s">
        <v>350</v>
      </c>
      <c r="H9" s="222"/>
    </row>
    <row r="10" spans="1:14" ht="18">
      <c r="G10" s="237" t="s">
        <v>347</v>
      </c>
      <c r="H10" s="238"/>
    </row>
    <row r="11" spans="1:14" ht="38.450000000000003" customHeight="1">
      <c r="A11" s="585" t="s">
        <v>327</v>
      </c>
      <c r="B11" s="585"/>
      <c r="C11" s="585"/>
      <c r="D11" s="585"/>
      <c r="E11" s="585"/>
      <c r="F11" s="585"/>
      <c r="G11" s="271" t="s">
        <v>401</v>
      </c>
      <c r="H11" s="272" t="s">
        <v>133</v>
      </c>
      <c r="I11" s="241"/>
      <c r="J11" s="241"/>
    </row>
    <row r="12" spans="1:14">
      <c r="A12" s="580" t="s">
        <v>415</v>
      </c>
      <c r="B12" s="580"/>
      <c r="C12" s="580"/>
      <c r="D12" s="580"/>
      <c r="E12" s="580"/>
      <c r="F12" s="580"/>
      <c r="G12" s="580"/>
      <c r="H12" s="580"/>
      <c r="I12" s="580"/>
      <c r="J12" s="580"/>
    </row>
    <row r="13" spans="1:14">
      <c r="A13" s="580" t="s">
        <v>414</v>
      </c>
      <c r="B13" s="580"/>
      <c r="C13" s="580"/>
      <c r="D13" s="580"/>
      <c r="E13" s="580"/>
      <c r="F13" s="580"/>
      <c r="G13" s="580"/>
      <c r="H13" s="580"/>
      <c r="I13" s="580"/>
      <c r="J13" s="580"/>
    </row>
    <row r="14" spans="1:14" ht="30" customHeight="1">
      <c r="A14" s="241"/>
      <c r="B14" s="241"/>
      <c r="C14" s="241"/>
      <c r="D14" s="241"/>
      <c r="E14" s="241"/>
      <c r="F14" s="241"/>
      <c r="G14" s="241"/>
      <c r="H14" s="241"/>
      <c r="I14" s="241"/>
      <c r="J14" s="241"/>
      <c r="N14" s="32" t="s">
        <v>340</v>
      </c>
    </row>
    <row r="15" spans="1:14" ht="30" customHeight="1">
      <c r="A15" s="227"/>
      <c r="B15" s="227"/>
      <c r="C15" s="227"/>
      <c r="D15" s="227"/>
      <c r="E15" s="227"/>
      <c r="F15" s="227"/>
      <c r="G15" s="227"/>
      <c r="H15" s="227"/>
      <c r="I15" s="227"/>
      <c r="J15" s="227"/>
    </row>
    <row r="16" spans="1:14" ht="30" customHeight="1">
      <c r="A16" s="228" t="s">
        <v>422</v>
      </c>
      <c r="B16" s="227"/>
      <c r="C16" s="230"/>
      <c r="D16" s="227"/>
      <c r="E16" s="227"/>
      <c r="F16" s="227"/>
      <c r="G16" s="227"/>
      <c r="H16" s="227"/>
      <c r="I16" s="227"/>
      <c r="J16" s="227"/>
    </row>
    <row r="17" spans="1:13">
      <c r="A17" s="229" t="s">
        <v>252</v>
      </c>
      <c r="B17" s="227"/>
      <c r="C17" s="227"/>
      <c r="D17" s="227"/>
      <c r="E17" s="227"/>
      <c r="F17" s="227"/>
      <c r="G17" s="227"/>
      <c r="H17" s="227"/>
      <c r="I17" s="227"/>
      <c r="J17" s="227"/>
    </row>
    <row r="18" spans="1:13" ht="25.5">
      <c r="A18" s="229" t="s">
        <v>334</v>
      </c>
      <c r="B18" s="227"/>
      <c r="C18" s="227"/>
      <c r="D18" s="227"/>
      <c r="E18" s="227"/>
      <c r="F18" s="227"/>
      <c r="G18" s="227"/>
      <c r="H18" s="227"/>
      <c r="I18" s="227"/>
      <c r="J18" s="227"/>
    </row>
    <row r="19" spans="1:13">
      <c r="A19" s="229" t="s">
        <v>254</v>
      </c>
      <c r="B19" s="227"/>
      <c r="C19" s="227"/>
      <c r="D19" s="227"/>
      <c r="E19" s="227"/>
      <c r="F19" s="227"/>
      <c r="G19" s="227"/>
      <c r="H19" s="227"/>
      <c r="I19" s="227"/>
      <c r="J19" s="227"/>
    </row>
    <row r="20" spans="1:13">
      <c r="A20" s="229" t="s">
        <v>253</v>
      </c>
      <c r="B20" s="227"/>
      <c r="C20" s="227"/>
      <c r="D20" s="227"/>
      <c r="E20" s="227"/>
      <c r="F20" s="227"/>
      <c r="G20" s="227"/>
      <c r="H20" s="227"/>
      <c r="I20" s="227"/>
      <c r="J20" s="227"/>
    </row>
    <row r="21" spans="1:13" ht="25.5">
      <c r="A21" s="229" t="s">
        <v>255</v>
      </c>
      <c r="B21" s="227"/>
      <c r="C21" s="227"/>
      <c r="D21" s="227"/>
      <c r="E21" s="227"/>
      <c r="F21" s="227"/>
      <c r="G21" s="227"/>
      <c r="H21" s="227"/>
      <c r="I21" s="227"/>
      <c r="J21" s="227"/>
    </row>
    <row r="22" spans="1:13">
      <c r="A22" s="229" t="s">
        <v>256</v>
      </c>
      <c r="B22" s="227"/>
      <c r="C22" s="227"/>
      <c r="D22" s="227"/>
      <c r="E22" s="227"/>
      <c r="F22" s="227"/>
      <c r="G22" s="227"/>
      <c r="H22" s="227"/>
      <c r="I22" s="227"/>
      <c r="J22" s="227"/>
    </row>
    <row r="23" spans="1:13">
      <c r="A23" s="229" t="s">
        <v>335</v>
      </c>
      <c r="B23" s="227"/>
      <c r="C23" s="227"/>
      <c r="D23" s="227"/>
      <c r="E23" s="227"/>
      <c r="F23" s="227"/>
      <c r="G23" s="227"/>
      <c r="H23" s="227"/>
      <c r="I23" s="227"/>
      <c r="J23" s="227"/>
    </row>
    <row r="24" spans="1:13">
      <c r="A24" s="229" t="s">
        <v>257</v>
      </c>
      <c r="B24" s="227"/>
      <c r="C24" s="227"/>
      <c r="D24" s="227"/>
      <c r="E24" s="227"/>
      <c r="F24" s="227"/>
      <c r="G24" s="227"/>
      <c r="H24" s="227"/>
      <c r="I24" s="227"/>
      <c r="J24" s="227"/>
    </row>
    <row r="25" spans="1:13">
      <c r="A25" s="229" t="s">
        <v>258</v>
      </c>
      <c r="B25" s="227"/>
      <c r="C25" s="227"/>
      <c r="D25" s="227"/>
      <c r="E25" s="227"/>
      <c r="F25" s="227"/>
      <c r="G25" s="227"/>
      <c r="H25" s="227"/>
      <c r="I25" s="227"/>
      <c r="J25" s="227"/>
    </row>
    <row r="26" spans="1:13">
      <c r="A26" s="229" t="s">
        <v>259</v>
      </c>
      <c r="B26" s="227"/>
      <c r="C26" s="227"/>
      <c r="D26" s="227"/>
      <c r="E26" s="227"/>
      <c r="F26" s="227"/>
      <c r="G26" s="227"/>
      <c r="H26" s="227"/>
      <c r="I26" s="227"/>
      <c r="J26" s="227"/>
    </row>
    <row r="27" spans="1:13">
      <c r="A27" s="229" t="s">
        <v>336</v>
      </c>
      <c r="M27" s="223"/>
    </row>
    <row r="28" spans="1:13">
      <c r="A28" s="229" t="s">
        <v>260</v>
      </c>
      <c r="M28" s="223"/>
    </row>
    <row r="29" spans="1:13" ht="25.5">
      <c r="A29" s="229" t="s">
        <v>337</v>
      </c>
      <c r="M29" s="223"/>
    </row>
    <row r="30" spans="1:13">
      <c r="A30" s="229" t="s">
        <v>262</v>
      </c>
      <c r="M30" s="223"/>
    </row>
    <row r="31" spans="1:13">
      <c r="A31" s="229" t="s">
        <v>263</v>
      </c>
      <c r="M31" s="223"/>
    </row>
    <row r="32" spans="1:13">
      <c r="A32" s="227"/>
      <c r="M32" s="223"/>
    </row>
    <row r="33" spans="1:13">
      <c r="M33" s="223"/>
    </row>
    <row r="34" spans="1:13" ht="20.25" customHeight="1">
      <c r="A34" s="583" t="s">
        <v>328</v>
      </c>
      <c r="B34" s="583"/>
      <c r="C34" s="583"/>
      <c r="D34" s="583"/>
      <c r="E34" s="583"/>
      <c r="F34" s="236" t="s">
        <v>351</v>
      </c>
      <c r="G34" s="240"/>
      <c r="H34" s="240"/>
      <c r="I34" s="240"/>
      <c r="J34" s="240"/>
    </row>
    <row r="35" spans="1:13" ht="20.25" customHeight="1">
      <c r="A35" s="584" t="s">
        <v>329</v>
      </c>
      <c r="B35" s="584"/>
      <c r="C35" s="584"/>
      <c r="D35" s="584"/>
      <c r="E35" s="584"/>
      <c r="F35" s="246"/>
      <c r="G35" s="246"/>
      <c r="H35" s="246"/>
      <c r="I35" s="246"/>
      <c r="J35" s="246"/>
    </row>
    <row r="36" spans="1:13">
      <c r="A36" s="210" t="s">
        <v>37</v>
      </c>
      <c r="B36" s="210" t="s">
        <v>38</v>
      </c>
      <c r="C36" s="210" t="s">
        <v>39</v>
      </c>
      <c r="D36" s="210" t="s">
        <v>40</v>
      </c>
      <c r="E36" s="210" t="s">
        <v>41</v>
      </c>
    </row>
    <row r="37" spans="1:13" ht="53.25">
      <c r="A37" s="233" t="s">
        <v>332</v>
      </c>
      <c r="B37" s="233" t="s">
        <v>322</v>
      </c>
      <c r="C37" s="211" t="s">
        <v>356</v>
      </c>
      <c r="D37" s="211" t="s">
        <v>354</v>
      </c>
      <c r="E37" s="211" t="s">
        <v>361</v>
      </c>
    </row>
    <row r="38" spans="1:13" ht="24">
      <c r="A38" s="242" t="s">
        <v>352</v>
      </c>
      <c r="B38" s="242" t="s">
        <v>353</v>
      </c>
      <c r="C38" s="125"/>
      <c r="D38" s="243" t="s">
        <v>355</v>
      </c>
      <c r="E38" s="245" t="s">
        <v>358</v>
      </c>
    </row>
    <row r="39" spans="1:13" ht="24.75">
      <c r="A39" s="581" t="s">
        <v>362</v>
      </c>
      <c r="B39" s="581"/>
      <c r="C39" s="582"/>
      <c r="D39" s="222" t="s">
        <v>359</v>
      </c>
      <c r="E39" s="222" t="s">
        <v>360</v>
      </c>
    </row>
    <row r="40" spans="1:13">
      <c r="A40" s="581" t="s">
        <v>363</v>
      </c>
      <c r="B40" s="581"/>
      <c r="C40" s="582"/>
      <c r="D40" s="125"/>
      <c r="E40" s="125"/>
    </row>
    <row r="42" spans="1:13" ht="15.75">
      <c r="A42" s="244" t="s">
        <v>357</v>
      </c>
    </row>
    <row r="43" spans="1:13">
      <c r="L43" s="32"/>
    </row>
  </sheetData>
  <mergeCells count="12">
    <mergeCell ref="A11:F11"/>
    <mergeCell ref="G1:H1"/>
    <mergeCell ref="K3:N3"/>
    <mergeCell ref="A5:H5"/>
    <mergeCell ref="A4:H4"/>
    <mergeCell ref="A3:H3"/>
    <mergeCell ref="A12:J12"/>
    <mergeCell ref="A39:C39"/>
    <mergeCell ref="A40:C40"/>
    <mergeCell ref="A34:E34"/>
    <mergeCell ref="A35:E35"/>
    <mergeCell ref="A13:J13"/>
  </mergeCells>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B2E-7E95-4987-938D-C795EC07A9EC}">
  <dimension ref="A1:N18"/>
  <sheetViews>
    <sheetView workbookViewId="0">
      <selection activeCell="M15" sqref="M15"/>
    </sheetView>
  </sheetViews>
  <sheetFormatPr defaultRowHeight="15"/>
  <cols>
    <col min="1" max="1" width="17.7109375" customWidth="1"/>
    <col min="2" max="2" width="13.85546875" customWidth="1"/>
    <col min="3" max="3" width="24.85546875" customWidth="1"/>
    <col min="4" max="4" width="15.5703125" customWidth="1"/>
    <col min="5" max="5" width="14.85546875" customWidth="1"/>
    <col min="6" max="6" width="15.85546875" customWidth="1"/>
    <col min="7" max="7" width="13.85546875" customWidth="1"/>
    <col min="8" max="8" width="13.140625" customWidth="1"/>
    <col min="9" max="9" width="14" customWidth="1"/>
    <col min="10" max="10" width="13.7109375" customWidth="1"/>
  </cols>
  <sheetData>
    <row r="1" spans="1:14" s="86" customFormat="1">
      <c r="B1" s="90"/>
      <c r="C1" s="86" t="s">
        <v>50</v>
      </c>
      <c r="D1" s="91"/>
      <c r="E1" s="86" t="s">
        <v>51</v>
      </c>
      <c r="G1" s="277"/>
      <c r="H1" s="277"/>
      <c r="I1" s="86" t="s">
        <v>52</v>
      </c>
      <c r="K1" s="92"/>
      <c r="L1" s="86" t="s">
        <v>53</v>
      </c>
    </row>
    <row r="3" spans="1:14" s="86" customFormat="1" ht="15" customHeight="1">
      <c r="A3" s="499" t="s">
        <v>402</v>
      </c>
      <c r="B3" s="499"/>
      <c r="C3" s="499"/>
      <c r="D3" s="499"/>
      <c r="E3" s="499"/>
      <c r="F3" s="499"/>
      <c r="G3" s="499"/>
      <c r="H3" s="499"/>
      <c r="I3" s="499"/>
      <c r="J3" s="499"/>
      <c r="K3" s="586" t="s">
        <v>314</v>
      </c>
      <c r="L3" s="586"/>
      <c r="M3" s="586"/>
      <c r="N3" s="586"/>
    </row>
    <row r="4" spans="1:14" s="86" customFormat="1" ht="39.950000000000003" customHeight="1">
      <c r="A4" s="590" t="s">
        <v>331</v>
      </c>
      <c r="B4" s="590"/>
      <c r="C4" s="590"/>
      <c r="D4" s="590"/>
      <c r="E4" s="590"/>
      <c r="F4" s="590"/>
      <c r="G4" s="590"/>
      <c r="H4" s="590"/>
      <c r="I4" s="590"/>
      <c r="J4" s="590"/>
      <c r="M4" s="32" t="s">
        <v>345</v>
      </c>
    </row>
    <row r="5" spans="1:14" s="86" customFormat="1" ht="20.25" customHeight="1">
      <c r="A5" s="583" t="s">
        <v>318</v>
      </c>
      <c r="B5" s="583"/>
      <c r="C5" s="583"/>
      <c r="D5" s="583"/>
      <c r="E5" s="583"/>
      <c r="F5" s="583"/>
      <c r="G5" s="583"/>
      <c r="H5" s="583"/>
      <c r="I5" s="583"/>
      <c r="J5" s="583"/>
    </row>
    <row r="6" spans="1:14">
      <c r="A6" s="210" t="s">
        <v>37</v>
      </c>
      <c r="B6" s="210" t="s">
        <v>38</v>
      </c>
      <c r="C6" s="210" t="s">
        <v>39</v>
      </c>
      <c r="D6" s="210" t="s">
        <v>40</v>
      </c>
      <c r="E6" s="210" t="s">
        <v>41</v>
      </c>
      <c r="F6" s="210" t="s">
        <v>45</v>
      </c>
      <c r="G6" s="210" t="s">
        <v>46</v>
      </c>
      <c r="H6" s="210" t="s">
        <v>47</v>
      </c>
      <c r="I6" s="210" t="s">
        <v>48</v>
      </c>
      <c r="J6" s="210" t="s">
        <v>66</v>
      </c>
      <c r="M6" s="86"/>
    </row>
    <row r="7" spans="1:14" ht="53.25">
      <c r="A7" s="211" t="s">
        <v>341</v>
      </c>
      <c r="B7" s="211" t="s">
        <v>412</v>
      </c>
      <c r="C7" s="211" t="s">
        <v>319</v>
      </c>
      <c r="D7" s="211" t="s">
        <v>413</v>
      </c>
      <c r="E7" s="211" t="s">
        <v>320</v>
      </c>
      <c r="F7" s="225" t="s">
        <v>343</v>
      </c>
      <c r="G7" s="225" t="s">
        <v>321</v>
      </c>
      <c r="H7" s="225" t="s">
        <v>417</v>
      </c>
      <c r="I7" s="211" t="s">
        <v>322</v>
      </c>
      <c r="J7" s="211" t="s">
        <v>325</v>
      </c>
      <c r="M7" s="86"/>
    </row>
    <row r="8" spans="1:14" ht="30">
      <c r="A8" s="125"/>
      <c r="B8" s="125" t="s">
        <v>326</v>
      </c>
      <c r="C8" s="125"/>
      <c r="D8" s="125" t="s">
        <v>326</v>
      </c>
      <c r="E8" s="235" t="s">
        <v>410</v>
      </c>
      <c r="F8" s="125"/>
      <c r="G8" s="125"/>
      <c r="H8" s="125" t="s">
        <v>326</v>
      </c>
      <c r="I8" s="222" t="s">
        <v>323</v>
      </c>
      <c r="J8" s="125"/>
    </row>
    <row r="10" spans="1:14" ht="30" customHeight="1">
      <c r="A10" s="585" t="s">
        <v>327</v>
      </c>
      <c r="B10" s="585"/>
      <c r="C10" s="585"/>
      <c r="D10" s="585"/>
      <c r="E10" s="585"/>
      <c r="F10" s="585"/>
      <c r="G10" s="585"/>
      <c r="H10" s="585"/>
      <c r="I10" s="585"/>
      <c r="J10" s="585"/>
    </row>
    <row r="11" spans="1:14" s="86" customFormat="1">
      <c r="A11" s="580" t="s">
        <v>415</v>
      </c>
      <c r="B11" s="580"/>
      <c r="C11" s="580"/>
      <c r="D11" s="580"/>
      <c r="E11" s="580"/>
      <c r="F11" s="580"/>
      <c r="G11" s="580"/>
      <c r="H11" s="580"/>
      <c r="I11" s="580"/>
      <c r="J11" s="580"/>
    </row>
    <row r="12" spans="1:14">
      <c r="A12" s="580" t="s">
        <v>414</v>
      </c>
      <c r="B12" s="580"/>
      <c r="C12" s="580"/>
      <c r="D12" s="580"/>
      <c r="E12" s="580"/>
      <c r="F12" s="580"/>
      <c r="G12" s="580"/>
      <c r="H12" s="580"/>
      <c r="I12" s="580"/>
      <c r="J12" s="580"/>
    </row>
    <row r="13" spans="1:14" ht="30" customHeight="1">
      <c r="A13" s="589" t="s">
        <v>416</v>
      </c>
      <c r="B13" s="589"/>
      <c r="C13" s="589"/>
      <c r="D13" s="589"/>
      <c r="E13" s="589"/>
      <c r="F13" s="589"/>
      <c r="G13" s="589"/>
      <c r="H13" s="589"/>
      <c r="I13" s="589"/>
      <c r="J13" s="589"/>
    </row>
    <row r="14" spans="1:14">
      <c r="M14" s="223" t="s">
        <v>419</v>
      </c>
    </row>
    <row r="16" spans="1:14">
      <c r="B16" s="588" t="s">
        <v>411</v>
      </c>
      <c r="C16" s="588"/>
      <c r="D16" s="588"/>
      <c r="E16" s="588"/>
      <c r="F16" s="588"/>
      <c r="G16" s="588"/>
      <c r="M16" s="32" t="s">
        <v>346</v>
      </c>
    </row>
    <row r="17" spans="2:7">
      <c r="B17" s="588"/>
      <c r="C17" s="588"/>
      <c r="D17" s="588"/>
      <c r="E17" s="588"/>
      <c r="F17" s="588"/>
      <c r="G17" s="588"/>
    </row>
    <row r="18" spans="2:7">
      <c r="B18" s="588"/>
      <c r="C18" s="588"/>
      <c r="D18" s="588"/>
      <c r="E18" s="588"/>
      <c r="F18" s="588"/>
      <c r="G18" s="588"/>
    </row>
  </sheetData>
  <mergeCells count="10">
    <mergeCell ref="B16:G18"/>
    <mergeCell ref="A11:J11"/>
    <mergeCell ref="K3:N3"/>
    <mergeCell ref="A13:J13"/>
    <mergeCell ref="G1:H1"/>
    <mergeCell ref="A5:J5"/>
    <mergeCell ref="A4:J4"/>
    <mergeCell ref="A3:J3"/>
    <mergeCell ref="A10:J10"/>
    <mergeCell ref="A12:J12"/>
  </mergeCells>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7"/>
  <sheetViews>
    <sheetView zoomScale="68" zoomScaleNormal="100" workbookViewId="0">
      <selection activeCell="K21" sqref="K21"/>
    </sheetView>
  </sheetViews>
  <sheetFormatPr defaultColWidth="9.140625" defaultRowHeight="15"/>
  <cols>
    <col min="1" max="1" width="10.85546875" style="86" customWidth="1"/>
    <col min="2" max="2" width="10.5703125" style="86" customWidth="1"/>
    <col min="3" max="3" width="77" style="86" customWidth="1"/>
    <col min="4" max="4" width="10.5703125" style="86" customWidth="1"/>
    <col min="5" max="5" width="11" style="86" customWidth="1"/>
    <col min="6" max="6" width="12.5703125" style="86" customWidth="1"/>
    <col min="7" max="7" width="4.5703125" style="86" customWidth="1"/>
    <col min="8" max="8" width="3.5703125" style="86" customWidth="1"/>
    <col min="9" max="9" width="25.5703125" style="86" customWidth="1"/>
    <col min="10" max="10" width="3.5703125" style="86" customWidth="1"/>
    <col min="11" max="11" width="24.5703125" style="86" customWidth="1"/>
    <col min="12" max="16384" width="9.140625" style="86"/>
  </cols>
  <sheetData>
    <row r="1" spans="1:19">
      <c r="A1" s="90"/>
      <c r="B1" s="86" t="s">
        <v>50</v>
      </c>
      <c r="D1" s="91"/>
      <c r="E1" s="86" t="s">
        <v>51</v>
      </c>
      <c r="G1" s="277"/>
      <c r="H1" s="277"/>
      <c r="I1" s="86" t="s">
        <v>52</v>
      </c>
      <c r="L1" s="92"/>
      <c r="M1" s="86" t="s">
        <v>53</v>
      </c>
    </row>
    <row r="2" spans="1:19">
      <c r="A2" s="87"/>
      <c r="B2" s="87"/>
      <c r="C2" s="87"/>
      <c r="D2" s="87"/>
      <c r="E2" s="87"/>
      <c r="F2" s="87"/>
      <c r="G2" s="87"/>
      <c r="H2" s="87"/>
      <c r="I2" s="87"/>
      <c r="J2" s="87"/>
      <c r="K2" s="87"/>
    </row>
    <row r="3" spans="1:19" ht="15" customHeight="1">
      <c r="A3" s="566" t="s">
        <v>376</v>
      </c>
      <c r="B3" s="567"/>
      <c r="C3" s="567"/>
      <c r="D3" s="567"/>
      <c r="E3" s="568"/>
      <c r="F3" s="94"/>
      <c r="G3" s="94"/>
      <c r="H3" s="94"/>
      <c r="I3" s="94"/>
      <c r="J3" s="94"/>
      <c r="K3" s="94"/>
      <c r="L3" s="88"/>
      <c r="M3" s="88"/>
      <c r="N3" s="88"/>
      <c r="O3" s="88"/>
      <c r="P3" s="88"/>
      <c r="Q3" s="88"/>
      <c r="R3" s="88"/>
      <c r="S3" s="88"/>
    </row>
    <row r="4" spans="1:19" ht="50.45" customHeight="1">
      <c r="A4" s="389" t="s">
        <v>377</v>
      </c>
      <c r="B4" s="390"/>
      <c r="C4" s="390"/>
      <c r="D4" s="390"/>
      <c r="E4" s="391"/>
      <c r="F4" s="93"/>
      <c r="G4" s="93"/>
      <c r="H4" s="93"/>
      <c r="I4" s="93"/>
      <c r="J4" s="93"/>
      <c r="K4" s="93"/>
      <c r="L4" s="88"/>
      <c r="M4" s="88"/>
      <c r="N4" s="88"/>
      <c r="O4" s="88"/>
      <c r="P4" s="88"/>
      <c r="Q4" s="88"/>
      <c r="R4" s="88"/>
      <c r="S4" s="88"/>
    </row>
    <row r="5" spans="1:19">
      <c r="A5" s="591" t="s">
        <v>61</v>
      </c>
      <c r="B5" s="591" t="s">
        <v>62</v>
      </c>
      <c r="C5" s="591" t="s">
        <v>63</v>
      </c>
      <c r="D5" s="591" t="s">
        <v>58</v>
      </c>
      <c r="E5" s="591"/>
      <c r="F5" s="87"/>
      <c r="G5" s="87"/>
      <c r="H5" s="87"/>
      <c r="I5" s="87"/>
      <c r="J5" s="87"/>
      <c r="K5" s="87"/>
    </row>
    <row r="6" spans="1:19">
      <c r="A6" s="591"/>
      <c r="B6" s="591"/>
      <c r="C6" s="591"/>
      <c r="D6" s="145" t="s">
        <v>59</v>
      </c>
      <c r="E6" s="145" t="s">
        <v>60</v>
      </c>
      <c r="F6" s="87"/>
      <c r="G6" s="87"/>
      <c r="H6" s="87"/>
      <c r="I6" s="87"/>
      <c r="J6" s="87"/>
      <c r="K6" s="87"/>
    </row>
    <row r="7" spans="1:19" ht="39.75" customHeight="1">
      <c r="A7" s="265" t="s">
        <v>64</v>
      </c>
      <c r="B7" s="266" t="s">
        <v>65</v>
      </c>
      <c r="C7" s="267" t="s">
        <v>69</v>
      </c>
      <c r="D7" s="265" t="s">
        <v>57</v>
      </c>
      <c r="E7" s="265" t="s">
        <v>57</v>
      </c>
      <c r="F7" s="87"/>
      <c r="G7" s="87"/>
      <c r="H7" s="87"/>
      <c r="I7" s="87"/>
      <c r="J7" s="87"/>
      <c r="K7" s="87"/>
    </row>
    <row r="8" spans="1:19" ht="39.75" customHeight="1">
      <c r="A8" s="265" t="s">
        <v>64</v>
      </c>
      <c r="B8" s="266" t="s">
        <v>65</v>
      </c>
      <c r="C8" s="267" t="s">
        <v>379</v>
      </c>
      <c r="D8" s="265" t="s">
        <v>57</v>
      </c>
      <c r="E8" s="265" t="s">
        <v>57</v>
      </c>
      <c r="F8" s="87"/>
      <c r="G8" s="87"/>
      <c r="H8" s="87"/>
      <c r="I8" s="87"/>
      <c r="J8" s="87"/>
      <c r="K8" s="87"/>
    </row>
    <row r="9" spans="1:19" ht="39.75" customHeight="1">
      <c r="A9" s="261" t="s">
        <v>65</v>
      </c>
      <c r="B9" s="262"/>
      <c r="C9" s="263" t="s">
        <v>378</v>
      </c>
      <c r="D9" s="264" t="s">
        <v>57</v>
      </c>
      <c r="E9" s="264" t="s">
        <v>57</v>
      </c>
      <c r="F9" s="87"/>
      <c r="G9" s="87"/>
      <c r="H9" s="87"/>
      <c r="I9" s="87"/>
      <c r="J9" s="87"/>
      <c r="K9" s="87"/>
    </row>
    <row r="10" spans="1:19">
      <c r="A10" s="87"/>
      <c r="B10" s="87"/>
      <c r="C10" s="87"/>
      <c r="D10" s="87"/>
      <c r="E10" s="87"/>
      <c r="F10" s="87"/>
      <c r="G10" s="87"/>
      <c r="H10" s="87"/>
      <c r="I10" s="87"/>
      <c r="J10" s="87"/>
      <c r="K10" s="87"/>
    </row>
    <row r="11" spans="1:19">
      <c r="A11" s="87"/>
      <c r="B11" s="87"/>
      <c r="C11" s="87"/>
      <c r="D11" s="87"/>
      <c r="E11" s="87"/>
      <c r="F11" s="87"/>
      <c r="G11" s="87"/>
      <c r="H11" s="87"/>
      <c r="I11" s="87"/>
      <c r="J11" s="87"/>
      <c r="K11" s="87"/>
    </row>
    <row r="15" spans="1:19">
      <c r="B15" s="89"/>
      <c r="C15" s="89"/>
      <c r="D15" s="89"/>
      <c r="E15" s="89"/>
      <c r="F15" s="89"/>
      <c r="G15" s="89"/>
      <c r="H15" s="89"/>
      <c r="I15" s="89"/>
      <c r="J15" s="89"/>
      <c r="K15" s="89"/>
      <c r="L15" s="89"/>
      <c r="M15" s="89"/>
      <c r="N15" s="89"/>
      <c r="O15" s="89"/>
      <c r="P15" s="89"/>
      <c r="Q15" s="89"/>
    </row>
    <row r="17" spans="2:2">
      <c r="B17" s="10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E834-5599-4E69-86E7-9475DA1B5121}">
  <dimension ref="A1:S17"/>
  <sheetViews>
    <sheetView zoomScale="68" zoomScaleNormal="100" workbookViewId="0">
      <selection activeCell="I16" sqref="I16"/>
    </sheetView>
  </sheetViews>
  <sheetFormatPr defaultColWidth="9.140625" defaultRowHeight="15"/>
  <cols>
    <col min="1" max="1" width="10.85546875" style="86" customWidth="1"/>
    <col min="2" max="2" width="10.5703125" style="86" customWidth="1"/>
    <col min="3" max="3" width="77" style="86" customWidth="1"/>
    <col min="4" max="4" width="10.5703125" style="86" customWidth="1"/>
    <col min="5" max="5" width="11" style="86" customWidth="1"/>
    <col min="6" max="6" width="12.5703125" style="86" customWidth="1"/>
    <col min="7" max="7" width="4.5703125" style="86" customWidth="1"/>
    <col min="8" max="8" width="3.5703125" style="86" customWidth="1"/>
    <col min="9" max="9" width="25.5703125" style="86" customWidth="1"/>
    <col min="10" max="10" width="3.5703125" style="86" customWidth="1"/>
    <col min="11" max="11" width="24.5703125" style="86" customWidth="1"/>
    <col min="12" max="16384" width="9.140625" style="86"/>
  </cols>
  <sheetData>
    <row r="1" spans="1:19">
      <c r="A1" s="90"/>
      <c r="B1" s="86" t="s">
        <v>50</v>
      </c>
      <c r="D1" s="91"/>
      <c r="E1" s="86" t="s">
        <v>51</v>
      </c>
      <c r="G1" s="277"/>
      <c r="H1" s="277"/>
      <c r="I1" s="86" t="s">
        <v>52</v>
      </c>
      <c r="L1" s="92"/>
      <c r="M1" s="86" t="s">
        <v>53</v>
      </c>
    </row>
    <row r="2" spans="1:19">
      <c r="A2" s="87"/>
      <c r="B2" s="87"/>
      <c r="C2" s="87"/>
      <c r="D2" s="87"/>
      <c r="E2" s="87"/>
      <c r="F2" s="87"/>
      <c r="G2" s="87"/>
      <c r="H2" s="87"/>
      <c r="I2" s="87"/>
      <c r="J2" s="87"/>
      <c r="K2" s="87"/>
    </row>
    <row r="3" spans="1:19" ht="15" customHeight="1">
      <c r="A3" s="566" t="s">
        <v>376</v>
      </c>
      <c r="B3" s="567"/>
      <c r="C3" s="567"/>
      <c r="D3" s="567"/>
      <c r="E3" s="568"/>
      <c r="F3" s="94"/>
      <c r="G3" s="94"/>
      <c r="H3" s="94"/>
      <c r="I3" s="94"/>
      <c r="J3" s="94"/>
      <c r="K3" s="94"/>
      <c r="L3" s="88"/>
      <c r="M3" s="88"/>
      <c r="N3" s="88"/>
      <c r="O3" s="88"/>
      <c r="P3" s="88"/>
      <c r="Q3" s="88"/>
      <c r="R3" s="88"/>
      <c r="S3" s="88"/>
    </row>
    <row r="4" spans="1:19" ht="50.45" customHeight="1">
      <c r="A4" s="389" t="s">
        <v>377</v>
      </c>
      <c r="B4" s="390"/>
      <c r="C4" s="390"/>
      <c r="D4" s="390"/>
      <c r="E4" s="391"/>
      <c r="F4" s="93"/>
      <c r="G4" s="93"/>
      <c r="H4" s="93"/>
      <c r="I4" s="93"/>
      <c r="J4" s="93"/>
      <c r="K4" s="93"/>
      <c r="L4" s="88"/>
      <c r="M4" s="88"/>
      <c r="N4" s="88"/>
      <c r="O4" s="88"/>
      <c r="P4" s="88"/>
      <c r="Q4" s="88"/>
      <c r="R4" s="88"/>
      <c r="S4" s="88"/>
    </row>
    <row r="5" spans="1:19">
      <c r="A5" s="591" t="s">
        <v>61</v>
      </c>
      <c r="B5" s="591" t="s">
        <v>62</v>
      </c>
      <c r="C5" s="591" t="s">
        <v>63</v>
      </c>
      <c r="D5" s="591" t="s">
        <v>58</v>
      </c>
      <c r="E5" s="591"/>
      <c r="F5" s="87"/>
      <c r="G5" s="87"/>
      <c r="H5" s="87"/>
      <c r="I5" s="87"/>
      <c r="J5" s="87"/>
      <c r="K5" s="87"/>
    </row>
    <row r="6" spans="1:19">
      <c r="A6" s="591"/>
      <c r="B6" s="591"/>
      <c r="C6" s="591"/>
      <c r="D6" s="234" t="s">
        <v>59</v>
      </c>
      <c r="E6" s="234" t="s">
        <v>60</v>
      </c>
      <c r="F6" s="87"/>
      <c r="G6" s="87"/>
      <c r="H6" s="87"/>
      <c r="I6" s="87"/>
      <c r="J6" s="87"/>
      <c r="K6" s="87"/>
    </row>
    <row r="7" spans="1:19" ht="39.75" customHeight="1">
      <c r="A7" s="265" t="s">
        <v>64</v>
      </c>
      <c r="B7" s="266" t="s">
        <v>65</v>
      </c>
      <c r="C7" s="267" t="s">
        <v>69</v>
      </c>
      <c r="D7" s="265" t="s">
        <v>57</v>
      </c>
      <c r="E7" s="265" t="s">
        <v>57</v>
      </c>
      <c r="F7" s="87"/>
      <c r="G7" s="87"/>
      <c r="H7" s="87"/>
      <c r="I7" s="87"/>
      <c r="J7" s="87"/>
      <c r="K7" s="87"/>
    </row>
    <row r="8" spans="1:19" ht="39.75" customHeight="1">
      <c r="A8" s="265" t="s">
        <v>64</v>
      </c>
      <c r="B8" s="266" t="s">
        <v>65</v>
      </c>
      <c r="C8" s="267" t="s">
        <v>379</v>
      </c>
      <c r="D8" s="265" t="s">
        <v>57</v>
      </c>
      <c r="E8" s="265" t="s">
        <v>57</v>
      </c>
      <c r="F8" s="87"/>
      <c r="G8" s="87"/>
      <c r="H8" s="87"/>
      <c r="I8" s="87"/>
      <c r="J8" s="87"/>
      <c r="K8" s="87"/>
    </row>
    <row r="9" spans="1:19" ht="39.75" customHeight="1">
      <c r="A9" s="261" t="s">
        <v>65</v>
      </c>
      <c r="B9" s="262"/>
      <c r="C9" s="268" t="s">
        <v>380</v>
      </c>
      <c r="D9" s="264" t="s">
        <v>57</v>
      </c>
      <c r="E9" s="264" t="s">
        <v>57</v>
      </c>
      <c r="F9" s="87"/>
      <c r="G9" s="87"/>
      <c r="H9" s="87"/>
      <c r="I9" s="87"/>
      <c r="J9" s="87"/>
      <c r="K9" s="87"/>
    </row>
    <row r="10" spans="1:19">
      <c r="A10" s="87"/>
      <c r="B10" s="87"/>
      <c r="C10" s="87"/>
      <c r="D10" s="87"/>
      <c r="E10" s="87"/>
      <c r="F10" s="87"/>
      <c r="G10" s="87"/>
      <c r="H10" s="87"/>
      <c r="I10" s="87"/>
      <c r="J10" s="87"/>
      <c r="K10" s="87"/>
    </row>
    <row r="11" spans="1:19">
      <c r="A11" s="87"/>
      <c r="B11" s="87"/>
      <c r="C11" s="87"/>
      <c r="D11" s="87"/>
      <c r="E11" s="87"/>
      <c r="F11" s="87"/>
      <c r="G11" s="87"/>
      <c r="H11" s="87"/>
      <c r="I11" s="87"/>
      <c r="J11" s="87"/>
      <c r="K11" s="87"/>
    </row>
    <row r="15" spans="1:19">
      <c r="B15" s="89"/>
      <c r="C15" s="89"/>
      <c r="D15" s="89"/>
      <c r="E15" s="89"/>
      <c r="F15" s="89"/>
      <c r="G15" s="89"/>
      <c r="H15" s="89"/>
      <c r="I15" s="89"/>
      <c r="J15" s="89"/>
      <c r="K15" s="89"/>
      <c r="L15" s="89"/>
      <c r="M15" s="89"/>
      <c r="N15" s="89"/>
      <c r="O15" s="89"/>
      <c r="P15" s="89"/>
      <c r="Q15" s="89"/>
    </row>
    <row r="17" spans="2:2">
      <c r="B17" s="10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5"/>
  <sheetViews>
    <sheetView zoomScaleNormal="100" workbookViewId="0">
      <selection activeCell="C14" sqref="C14"/>
    </sheetView>
  </sheetViews>
  <sheetFormatPr defaultColWidth="9.140625" defaultRowHeight="15"/>
  <cols>
    <col min="1" max="1" width="10.85546875" style="86" customWidth="1"/>
    <col min="2" max="2" width="10.5703125" style="86" customWidth="1"/>
    <col min="3" max="3" width="77" style="86" customWidth="1"/>
    <col min="4" max="4" width="10.5703125" style="86" customWidth="1"/>
    <col min="5" max="5" width="11" style="86" customWidth="1"/>
    <col min="6" max="6" width="12.5703125" style="86" customWidth="1"/>
    <col min="7" max="7" width="4.5703125" style="86" customWidth="1"/>
    <col min="8" max="8" width="3.5703125" style="86" customWidth="1"/>
    <col min="9" max="9" width="25.5703125" style="86" customWidth="1"/>
    <col min="10" max="10" width="3.5703125" style="86" customWidth="1"/>
    <col min="11" max="11" width="24.5703125" style="86" customWidth="1"/>
    <col min="12" max="16384" width="9.140625" style="86"/>
  </cols>
  <sheetData>
    <row r="1" spans="1:19">
      <c r="A1" s="90"/>
      <c r="B1" s="86" t="s">
        <v>50</v>
      </c>
      <c r="D1" s="91"/>
      <c r="E1" s="86" t="s">
        <v>51</v>
      </c>
      <c r="G1" s="277"/>
      <c r="H1" s="277"/>
      <c r="I1" s="86" t="s">
        <v>52</v>
      </c>
      <c r="L1" s="92"/>
      <c r="M1" s="86" t="s">
        <v>53</v>
      </c>
    </row>
    <row r="2" spans="1:19">
      <c r="A2" s="87"/>
      <c r="B2" s="87"/>
      <c r="C2" s="87"/>
      <c r="D2" s="87"/>
      <c r="E2" s="87"/>
      <c r="F2" s="87"/>
      <c r="G2" s="87"/>
      <c r="H2" s="87"/>
      <c r="I2" s="87"/>
      <c r="J2" s="87"/>
      <c r="K2" s="87"/>
    </row>
    <row r="3" spans="1:19" ht="15" customHeight="1">
      <c r="A3" s="566" t="s">
        <v>375</v>
      </c>
      <c r="B3" s="567"/>
      <c r="C3" s="567"/>
      <c r="D3" s="567"/>
      <c r="E3" s="568"/>
      <c r="F3" s="94"/>
      <c r="G3" s="94"/>
      <c r="H3" s="94"/>
      <c r="I3" s="94"/>
      <c r="J3" s="94"/>
      <c r="K3" s="94"/>
      <c r="L3" s="88"/>
      <c r="M3" s="88"/>
      <c r="N3" s="88"/>
      <c r="O3" s="88"/>
      <c r="P3" s="88"/>
      <c r="Q3" s="88"/>
      <c r="R3" s="88"/>
      <c r="S3" s="88"/>
    </row>
    <row r="4" spans="1:19" ht="18" customHeight="1">
      <c r="A4" s="389" t="s">
        <v>374</v>
      </c>
      <c r="B4" s="390"/>
      <c r="C4" s="390"/>
      <c r="D4" s="390"/>
      <c r="E4" s="391"/>
      <c r="F4" s="93"/>
      <c r="G4" s="93"/>
      <c r="H4" s="93"/>
      <c r="I4" s="93"/>
      <c r="J4" s="93"/>
      <c r="K4" s="93"/>
      <c r="L4" s="88"/>
      <c r="M4" s="88"/>
      <c r="N4" s="88"/>
      <c r="O4" s="88"/>
      <c r="P4" s="88"/>
      <c r="Q4" s="88"/>
      <c r="R4" s="88"/>
      <c r="S4" s="88"/>
    </row>
    <row r="5" spans="1:19">
      <c r="A5" s="87"/>
      <c r="B5" s="87"/>
      <c r="C5" s="87"/>
      <c r="D5" s="87"/>
      <c r="E5" s="87"/>
      <c r="F5" s="87"/>
      <c r="G5" s="87"/>
      <c r="H5" s="87"/>
      <c r="I5" s="87"/>
      <c r="J5" s="87"/>
      <c r="K5" s="87"/>
    </row>
  </sheetData>
  <mergeCells count="3">
    <mergeCell ref="G1:H1"/>
    <mergeCell ref="A3:E3"/>
    <mergeCell ref="A4:E4"/>
  </mergeCells>
  <pageMargins left="0.5" right="0.5"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1748-7446-42C0-B729-C8D7701FD561}">
  <dimension ref="A1:S5"/>
  <sheetViews>
    <sheetView zoomScaleNormal="100" workbookViewId="0">
      <selection activeCell="C13" sqref="C13"/>
    </sheetView>
  </sheetViews>
  <sheetFormatPr defaultColWidth="9.140625" defaultRowHeight="15"/>
  <cols>
    <col min="1" max="1" width="10.85546875" style="86" customWidth="1"/>
    <col min="2" max="2" width="10.5703125" style="86" customWidth="1"/>
    <col min="3" max="3" width="77" style="86" customWidth="1"/>
    <col min="4" max="4" width="10.5703125" style="86" customWidth="1"/>
    <col min="5" max="5" width="11" style="86" customWidth="1"/>
    <col min="6" max="6" width="12.5703125" style="86" customWidth="1"/>
    <col min="7" max="7" width="4.5703125" style="86" customWidth="1"/>
    <col min="8" max="8" width="3.5703125" style="86" customWidth="1"/>
    <col min="9" max="9" width="25.5703125" style="86" customWidth="1"/>
    <col min="10" max="10" width="3.5703125" style="86" customWidth="1"/>
    <col min="11" max="11" width="24.5703125" style="86" customWidth="1"/>
    <col min="12" max="16384" width="9.140625" style="86"/>
  </cols>
  <sheetData>
    <row r="1" spans="1:19">
      <c r="A1" s="90"/>
      <c r="B1" s="86" t="s">
        <v>50</v>
      </c>
      <c r="D1" s="91"/>
      <c r="E1" s="86" t="s">
        <v>51</v>
      </c>
      <c r="G1" s="277"/>
      <c r="H1" s="277"/>
      <c r="I1" s="86" t="s">
        <v>52</v>
      </c>
      <c r="L1" s="92"/>
      <c r="M1" s="86" t="s">
        <v>53</v>
      </c>
    </row>
    <row r="2" spans="1:19">
      <c r="A2" s="87"/>
      <c r="B2" s="87"/>
      <c r="C2" s="87"/>
      <c r="D2" s="87"/>
      <c r="E2" s="87"/>
      <c r="F2" s="87"/>
      <c r="G2" s="87"/>
      <c r="H2" s="87"/>
      <c r="I2" s="87"/>
      <c r="J2" s="87"/>
      <c r="K2" s="87"/>
    </row>
    <row r="3" spans="1:19" ht="15" customHeight="1">
      <c r="A3" s="566" t="s">
        <v>375</v>
      </c>
      <c r="B3" s="567"/>
      <c r="C3" s="567"/>
      <c r="D3" s="567"/>
      <c r="E3" s="568"/>
      <c r="F3" s="94"/>
      <c r="G3" s="94"/>
      <c r="H3" s="94"/>
      <c r="I3" s="94"/>
      <c r="J3" s="94"/>
      <c r="K3" s="94"/>
      <c r="L3" s="88"/>
      <c r="M3" s="88"/>
      <c r="N3" s="88"/>
      <c r="O3" s="88"/>
      <c r="P3" s="88"/>
      <c r="Q3" s="88"/>
      <c r="R3" s="88"/>
      <c r="S3" s="88"/>
    </row>
    <row r="4" spans="1:19" ht="18" customHeight="1">
      <c r="A4" s="389" t="s">
        <v>374</v>
      </c>
      <c r="B4" s="390"/>
      <c r="C4" s="390"/>
      <c r="D4" s="390"/>
      <c r="E4" s="391"/>
      <c r="F4" s="93"/>
      <c r="G4" s="93"/>
      <c r="H4" s="93"/>
      <c r="I4" s="93"/>
      <c r="J4" s="93"/>
      <c r="K4" s="93"/>
      <c r="L4" s="88"/>
      <c r="M4" s="88"/>
      <c r="N4" s="88"/>
      <c r="O4" s="88"/>
      <c r="P4" s="88"/>
      <c r="Q4" s="88"/>
      <c r="R4" s="88"/>
      <c r="S4" s="88"/>
    </row>
    <row r="5" spans="1:19">
      <c r="A5" s="87"/>
      <c r="B5" s="87"/>
      <c r="C5" s="87"/>
      <c r="D5" s="87"/>
      <c r="E5" s="87"/>
      <c r="F5" s="87"/>
      <c r="G5" s="87"/>
      <c r="H5" s="87"/>
      <c r="I5" s="87"/>
      <c r="J5" s="87"/>
      <c r="K5" s="87"/>
    </row>
  </sheetData>
  <mergeCells count="3">
    <mergeCell ref="G1:H1"/>
    <mergeCell ref="A3:E3"/>
    <mergeCell ref="A4:E4"/>
  </mergeCells>
  <pageMargins left="0.5" right="0.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71C57F-D0F1-4021-8AE0-5B377356DF4C}">
  <ds:schemaRefs>
    <ds:schemaRef ds:uri="5067c814-4b34-462c-a21d-c185ff6548d2"/>
    <ds:schemaRef ds:uri="http://www.w3.org/XML/1998/namespace"/>
    <ds:schemaRef ds:uri="785685f2-c2e1-4352-89aa-3faca8eaba52"/>
    <ds:schemaRef ds:uri="http://purl.org/dc/term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2369EB29-21B6-439E-B74E-939CF0D941B2}">
  <ds:schemaRefs>
    <ds:schemaRef ds:uri="http://schemas.microsoft.com/sharepoint/v3/contenttype/forms"/>
  </ds:schemaRefs>
</ds:datastoreItem>
</file>

<file path=customXml/itemProps3.xml><?xml version="1.0" encoding="utf-8"?>
<ds:datastoreItem xmlns:ds="http://schemas.openxmlformats.org/officeDocument/2006/customXml" ds:itemID="{26930288-D35B-4D69-A175-023F7263A6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16</vt:i4>
      </vt:variant>
    </vt:vector>
  </HeadingPairs>
  <TitlesOfParts>
    <vt:vector size="38" baseType="lpstr">
      <vt:lpstr>Table Sequence</vt:lpstr>
      <vt:lpstr>Hyperlinks</vt:lpstr>
      <vt:lpstr>NRCC Headers</vt:lpstr>
      <vt:lpstr>LMCC Headers</vt:lpstr>
      <vt:lpstr>NRCC A. General Info</vt:lpstr>
      <vt:lpstr>LMCC A. General Info</vt:lpstr>
      <vt:lpstr>NRCC B. Project Scope</vt:lpstr>
      <vt:lpstr>LMCC B. Project Scope</vt:lpstr>
      <vt:lpstr>C. Compliance</vt:lpstr>
      <vt:lpstr>D. Exceptional Conditions</vt:lpstr>
      <vt:lpstr>E. Additional Remarks</vt:lpstr>
      <vt:lpstr>F. Allocated Zone</vt:lpstr>
      <vt:lpstr>G. PV</vt:lpstr>
      <vt:lpstr>H. SWH_NOT USED</vt:lpstr>
      <vt:lpstr>H. SWH</vt:lpstr>
      <vt:lpstr>I. Tstat+EE</vt:lpstr>
      <vt:lpstr>NRCC J. PV&amp;Batt</vt:lpstr>
      <vt:lpstr>LMCC J. PV&amp;Batt</vt:lpstr>
      <vt:lpstr>K. NRCI</vt:lpstr>
      <vt:lpstr>K. LMCI</vt:lpstr>
      <vt:lpstr>L. NRCA</vt:lpstr>
      <vt:lpstr>L. LMCA</vt:lpstr>
      <vt:lpstr>'C. Compliance'!Print_Area</vt:lpstr>
      <vt:lpstr>'D. Exceptional Conditions'!Print_Area</vt:lpstr>
      <vt:lpstr>'E. Additional Remarks'!Print_Area</vt:lpstr>
      <vt:lpstr>'G. PV'!Print_Area</vt:lpstr>
      <vt:lpstr>'H. SWH'!Print_Area</vt:lpstr>
      <vt:lpstr>'H. SWH_NOT USED'!Print_Area</vt:lpstr>
      <vt:lpstr>'K. LMCI'!Print_Area</vt:lpstr>
      <vt:lpstr>'K. NRCI'!Print_Area</vt:lpstr>
      <vt:lpstr>'L. LMCA'!Print_Area</vt:lpstr>
      <vt:lpstr>'L. NRCA'!Print_Area</vt:lpstr>
      <vt:lpstr>'LMCC A. General Info'!Print_Area</vt:lpstr>
      <vt:lpstr>'LMCC B. Project Scope'!Print_Area</vt:lpstr>
      <vt:lpstr>'LMCC Headers'!Print_Area</vt:lpstr>
      <vt:lpstr>'NRCC A. General Info'!Print_Area</vt:lpstr>
      <vt:lpstr>'NRCC B. Project Scope'!Print_Area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Alhabibi, Haider@Energy</cp:lastModifiedBy>
  <cp:lastPrinted>2017-06-23T22:55:01Z</cp:lastPrinted>
  <dcterms:created xsi:type="dcterms:W3CDTF">2017-03-06T18:27:21Z</dcterms:created>
  <dcterms:modified xsi:type="dcterms:W3CDTF">2022-05-25T00:45:04Z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